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se\Dropbox\paper-coimbra\tv-tropes-word2vec\data\excel\"/>
    </mc:Choice>
  </mc:AlternateContent>
  <bookViews>
    <workbookView xWindow="0" yWindow="0" windowWidth="16815" windowHeight="7650"/>
  </bookViews>
  <sheets>
    <sheet name="Hoja1" sheetId="1" r:id="rId1"/>
  </sheets>
  <functionGroups builtInGroupCount="18"/>
  <definedNames>
    <definedName name="_xlnm._FilterDatabase" localSheetId="0" hidden="1">Hoja1!$E:$E</definedName>
    <definedName name="_xlnm.Extract" localSheetId="0">Hoja1!$P:$P</definedName>
    <definedName name="_xlnm.Criteria" localSheetId="0">Hoja1!$G$1:$G$200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G208" i="1"/>
  <c r="G207" i="1"/>
  <c r="G206" i="1" l="1"/>
  <c r="G205" i="1"/>
  <c r="G204" i="1"/>
  <c r="G203" i="1"/>
  <c r="G202" i="1"/>
  <c r="G201" i="1"/>
  <c r="G200" i="1" l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2" i="1"/>
  <c r="G103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3" i="1"/>
  <c r="G2" i="1"/>
  <c r="G4" i="1"/>
</calcChain>
</file>

<file path=xl/sharedStrings.xml><?xml version="1.0" encoding="utf-8"?>
<sst xmlns="http://schemas.openxmlformats.org/spreadsheetml/2006/main" count="32940" uniqueCount="25538">
  <si>
    <t>Trope</t>
  </si>
  <si>
    <t>BigBad</t>
  </si>
  <si>
    <t>ShoutOut</t>
  </si>
  <si>
    <t>JerkAss</t>
  </si>
  <si>
    <t>OhCrap</t>
  </si>
  <si>
    <t>ChekhovsGun</t>
  </si>
  <si>
    <t>Foreshadowing</t>
  </si>
  <si>
    <t>BittersweetEnding</t>
  </si>
  <si>
    <t>DeadpanSnarker</t>
  </si>
  <si>
    <t>TitleDrop</t>
  </si>
  <si>
    <t>RunningGag</t>
  </si>
  <si>
    <t>DownerEnding</t>
  </si>
  <si>
    <t>LargeHam</t>
  </si>
  <si>
    <t>HeroicSacrifice</t>
  </si>
  <si>
    <t>Fanservice</t>
  </si>
  <si>
    <t>TooDumbToLive</t>
  </si>
  <si>
    <t>DrivenToSuicide</t>
  </si>
  <si>
    <t>LampshadeHanging</t>
  </si>
  <si>
    <t>AssholeVictim</t>
  </si>
  <si>
    <t>WhatHappenedToTheMouse</t>
  </si>
  <si>
    <t>KarmaHoudini</t>
  </si>
  <si>
    <t>BookEnds</t>
  </si>
  <si>
    <t>MeaningfulName</t>
  </si>
  <si>
    <t>GroinAttack</t>
  </si>
  <si>
    <t>KickTheDog</t>
  </si>
  <si>
    <t>BerserkButton</t>
  </si>
  <si>
    <t>TheCameo</t>
  </si>
  <si>
    <t>TheDragon</t>
  </si>
  <si>
    <t>RealLife</t>
  </si>
  <si>
    <t>TheReveal</t>
  </si>
  <si>
    <t>BrickJoke</t>
  </si>
  <si>
    <t>PrecisionFStrike</t>
  </si>
  <si>
    <t>RealityEnsues</t>
  </si>
  <si>
    <t>TruthInTelevision</t>
  </si>
  <si>
    <t>InUniverse</t>
  </si>
  <si>
    <t>CallBack</t>
  </si>
  <si>
    <t>MoodWhiplash</t>
  </si>
  <si>
    <t>YourCheatingHeart</t>
  </si>
  <si>
    <t>EstablishingCharacterMoment</t>
  </si>
  <si>
    <t>HeelFaceTurn</t>
  </si>
  <si>
    <t>AxCrazy</t>
  </si>
  <si>
    <t>JerkWithAHeartOfGold</t>
  </si>
  <si>
    <t>IronicEcho</t>
  </si>
  <si>
    <t>TheReasonYouSuckSpeech</t>
  </si>
  <si>
    <t>HeroicBSOD</t>
  </si>
  <si>
    <t>WordOfGod</t>
  </si>
  <si>
    <t>MsFanservice</t>
  </si>
  <si>
    <t>BigDamnHeroes</t>
  </si>
  <si>
    <t>EvenEvilHasStandards</t>
  </si>
  <si>
    <t>PlayedForLaughs</t>
  </si>
  <si>
    <t>MythologyGag</t>
  </si>
  <si>
    <t>ActorAllusion</t>
  </si>
  <si>
    <t>ButtMonkey</t>
  </si>
  <si>
    <t>PetTheDog</t>
  </si>
  <si>
    <t>CurbStompBattle</t>
  </si>
  <si>
    <t>BlatantLies</t>
  </si>
  <si>
    <t>WhamLine</t>
  </si>
  <si>
    <t>NotSoDifferent</t>
  </si>
  <si>
    <t>DisproportionateRetribution</t>
  </si>
  <si>
    <t>TakeThat</t>
  </si>
  <si>
    <t>EyeScream</t>
  </si>
  <si>
    <t>SceneryPorn</t>
  </si>
  <si>
    <t>RoaringRampageOfRevenge</t>
  </si>
  <si>
    <t>HoistByHisOwnPetard</t>
  </si>
  <si>
    <t>SubvertedTrope</t>
  </si>
  <si>
    <t>AdultFear</t>
  </si>
  <si>
    <t>FanDisservice</t>
  </si>
  <si>
    <t>NiceJobBreakingItHero</t>
  </si>
  <si>
    <t>TemptingFate</t>
  </si>
  <si>
    <t>CreatorCameo</t>
  </si>
  <si>
    <t>MyGodWhatHaveIDone</t>
  </si>
  <si>
    <t>WhatTheHellHero</t>
  </si>
  <si>
    <t>BlackComedy</t>
  </si>
  <si>
    <t>UpToEleven</t>
  </si>
  <si>
    <t>GettingCrapPastTheRadar</t>
  </si>
  <si>
    <t>HopeSpot</t>
  </si>
  <si>
    <t>ActionGirl</t>
  </si>
  <si>
    <t>JustifiedTrope</t>
  </si>
  <si>
    <t>PoliceAreUseless</t>
  </si>
  <si>
    <t>ProductPlacement</t>
  </si>
  <si>
    <t>Expy</t>
  </si>
  <si>
    <t>TheStinger</t>
  </si>
  <si>
    <t>VillainousBreakdown</t>
  </si>
  <si>
    <t>ShownTheirWork</t>
  </si>
  <si>
    <t>NoNameGiven</t>
  </si>
  <si>
    <t>Cloudcuckoolander</t>
  </si>
  <si>
    <t>ChekhovsSkill</t>
  </si>
  <si>
    <t>LaserGuidedKarma</t>
  </si>
  <si>
    <t>GoryDiscretionShot</t>
  </si>
  <si>
    <t>CatchPhrase</t>
  </si>
  <si>
    <t>AffablyEvil</t>
  </si>
  <si>
    <t>OnlySaneMan</t>
  </si>
  <si>
    <t>WouldHurtAChild</t>
  </si>
  <si>
    <t>ArcWords</t>
  </si>
  <si>
    <t>TheAlcoholic</t>
  </si>
  <si>
    <t>ScrewThisImOuttaHere</t>
  </si>
  <si>
    <t>BodyHorror</t>
  </si>
  <si>
    <t>VillainProtagonist</t>
  </si>
  <si>
    <t>IdiotBall</t>
  </si>
  <si>
    <t>NoodleIncident</t>
  </si>
  <si>
    <t>SpiritualSuccessor</t>
  </si>
  <si>
    <t>AntiHero</t>
  </si>
  <si>
    <t>DoesThisRemindYouOfAnything</t>
  </si>
  <si>
    <t>FreezeFrameBonus</t>
  </si>
  <si>
    <t>CorruptCorporateExecutive</t>
  </si>
  <si>
    <t>SoundtrackDissonance</t>
  </si>
  <si>
    <t>FauxAffablyEvil</t>
  </si>
  <si>
    <t>ExactWords</t>
  </si>
  <si>
    <t>BadassBoast</t>
  </si>
  <si>
    <t>CoolCar</t>
  </si>
  <si>
    <t>CrapsackWorld</t>
  </si>
  <si>
    <t>AbusiveParents</t>
  </si>
  <si>
    <t>BilingualBonus</t>
  </si>
  <si>
    <t>TookALevelInBadass</t>
  </si>
  <si>
    <t>Irony</t>
  </si>
  <si>
    <t>AllThereInTheManual</t>
  </si>
  <si>
    <t>CharacterDevelopment</t>
  </si>
  <si>
    <t>NiceGuy</t>
  </si>
  <si>
    <t>RedHerring</t>
  </si>
  <si>
    <t>Determinator</t>
  </si>
  <si>
    <t>SmugSnake</t>
  </si>
  <si>
    <t>DarkerAndEdgier</t>
  </si>
  <si>
    <t>ReasonableAuthorityFigure</t>
  </si>
  <si>
    <t>ForegoneConclusion</t>
  </si>
  <si>
    <t>FreudianExcuse</t>
  </si>
  <si>
    <t>MacGuffin</t>
  </si>
  <si>
    <t>Mooks</t>
  </si>
  <si>
    <t>ClusterFBomb</t>
  </si>
  <si>
    <t>ChekhovsGunman</t>
  </si>
  <si>
    <t>DisappearedDad</t>
  </si>
  <si>
    <t>HypocriticalHumor</t>
  </si>
  <si>
    <t>NeverTrustATrailer</t>
  </si>
  <si>
    <t>ArtisticLicenseHistory</t>
  </si>
  <si>
    <t>PapaWolf</t>
  </si>
  <si>
    <t>CompositeCharacter</t>
  </si>
  <si>
    <t>SequelHook</t>
  </si>
  <si>
    <t>BigNo</t>
  </si>
  <si>
    <t>CassandraTruth</t>
  </si>
  <si>
    <t>MadeOfIron</t>
  </si>
  <si>
    <t>JerkassHasAPoint</t>
  </si>
  <si>
    <t>SerialKiller</t>
  </si>
  <si>
    <t>OffWithHisHead</t>
  </si>
  <si>
    <t>BoomHeadshot</t>
  </si>
  <si>
    <t>KarmicDeath</t>
  </si>
  <si>
    <t>TheMole</t>
  </si>
  <si>
    <t>LoveTriangle</t>
  </si>
  <si>
    <t>MindScrew</t>
  </si>
  <si>
    <t>TrailersAlwaysSpoil</t>
  </si>
  <si>
    <t>ArsonMurderAndJaywalking</t>
  </si>
  <si>
    <t>FunnyBackgroundEvent</t>
  </si>
  <si>
    <t>ImpaledWithExtremePrejudice</t>
  </si>
  <si>
    <t>ForTheEvulz</t>
  </si>
  <si>
    <t>Gorn</t>
  </si>
  <si>
    <t>NoHoldsBarredBeatdown</t>
  </si>
  <si>
    <t>ContrivedCoincidence</t>
  </si>
  <si>
    <t>BatmanGambit</t>
  </si>
  <si>
    <t>DirtyCoward</t>
  </si>
  <si>
    <t>EarnYourHappyEnding</t>
  </si>
  <si>
    <t>RuleOfCool</t>
  </si>
  <si>
    <t>BreakingTheFourthWall</t>
  </si>
  <si>
    <t>DirtyCop</t>
  </si>
  <si>
    <t>WouldHitAGirl</t>
  </si>
  <si>
    <t>TheSociopath</t>
  </si>
  <si>
    <t>ComicallyMissingThePoint</t>
  </si>
  <si>
    <t>FinalGirl</t>
  </si>
  <si>
    <t>VeryLooselyBasedOnATrueStory</t>
  </si>
  <si>
    <t>CoversAlwaysLie</t>
  </si>
  <si>
    <t>SarcasmMode</t>
  </si>
  <si>
    <t>StockFootage</t>
  </si>
  <si>
    <t>AlphaBitch</t>
  </si>
  <si>
    <t>Adorkable</t>
  </si>
  <si>
    <t>MeaningfulEcho</t>
  </si>
  <si>
    <t>CruelAndUnusualDeath</t>
  </si>
  <si>
    <t>SanitySlippage</t>
  </si>
  <si>
    <t>NoCelebritiesWereHarmed</t>
  </si>
  <si>
    <t>Beat</t>
  </si>
  <si>
    <t>LighterAndSofter</t>
  </si>
  <si>
    <t>ImprovisedWeapon</t>
  </si>
  <si>
    <t>ContinuityNod</t>
  </si>
  <si>
    <t>Hypocrite</t>
  </si>
  <si>
    <t>ItsAllAboutMe</t>
  </si>
  <si>
    <t>AntiVillain</t>
  </si>
  <si>
    <t>InsistentTerminology</t>
  </si>
  <si>
    <t>ShowWithinAShow</t>
  </si>
  <si>
    <t>HowWeGotHere</t>
  </si>
  <si>
    <t>BadBoss</t>
  </si>
  <si>
    <t>BitchInSheepsClothing</t>
  </si>
  <si>
    <t>RefugeInAudacity</t>
  </si>
  <si>
    <t>ExactlyWhatItSaysOnTheTin</t>
  </si>
  <si>
    <t>NothingIsScarier</t>
  </si>
  <si>
    <t>TimeSkip</t>
  </si>
  <si>
    <t>Squick</t>
  </si>
  <si>
    <t>StealthPun</t>
  </si>
  <si>
    <t>MissingMom</t>
  </si>
  <si>
    <t>DistractedByTheSexy</t>
  </si>
  <si>
    <t>AdaptationExpansion</t>
  </si>
  <si>
    <t>AdaptedOut</t>
  </si>
  <si>
    <t>FromBadToWorse</t>
  </si>
  <si>
    <t>MaleGaze</t>
  </si>
  <si>
    <t>DisneyVillainDeath</t>
  </si>
  <si>
    <t>MamaBear</t>
  </si>
  <si>
    <t>PreMortemOneLiner</t>
  </si>
  <si>
    <t>KillEmAll</t>
  </si>
  <si>
    <t>AnachronismStew</t>
  </si>
  <si>
    <t>YouHaveOutlivedYourUsefulness</t>
  </si>
  <si>
    <t>RuleOfThree</t>
  </si>
  <si>
    <t>ShirtlessScene</t>
  </si>
  <si>
    <t>JumpScare</t>
  </si>
  <si>
    <t>AsHimself</t>
  </si>
  <si>
    <t>FaceHeelTurn</t>
  </si>
  <si>
    <t>DamselInDistress</t>
  </si>
  <si>
    <t>HiddenDepths</t>
  </si>
  <si>
    <t>TropeNamer</t>
  </si>
  <si>
    <t>AnAesop</t>
  </si>
  <si>
    <t>DespairEventHorizon</t>
  </si>
  <si>
    <t>BreakTheCutie</t>
  </si>
  <si>
    <t>DemotedToExtra</t>
  </si>
  <si>
    <t>Flashback</t>
  </si>
  <si>
    <t>Fingore</t>
  </si>
  <si>
    <t>ImprobableAimingSkills</t>
  </si>
  <si>
    <t>KillItWithFire</t>
  </si>
  <si>
    <t>ThoseTwoGuys</t>
  </si>
  <si>
    <t>BlackDudeDiesFirst</t>
  </si>
  <si>
    <t>FemmeFatale</t>
  </si>
  <si>
    <t>MercyKill</t>
  </si>
  <si>
    <t>WorthyOpponent</t>
  </si>
  <si>
    <t>CarFu</t>
  </si>
  <si>
    <t>WellIntentionedExtremist</t>
  </si>
  <si>
    <t>DeathGlare</t>
  </si>
  <si>
    <t>AdaptationalVillainy</t>
  </si>
  <si>
    <t>ManChild</t>
  </si>
  <si>
    <t>HappilyMarried</t>
  </si>
  <si>
    <t>MaybeMagicMaybeMundane</t>
  </si>
  <si>
    <t>OohMeAccentsSlipping</t>
  </si>
  <si>
    <t>GilliganCut</t>
  </si>
  <si>
    <t>Leitmotif</t>
  </si>
  <si>
    <t>AsYouKnow</t>
  </si>
  <si>
    <t>MoreDakka</t>
  </si>
  <si>
    <t>ItMakesSenseInContext</t>
  </si>
  <si>
    <t>ReallyGetsAround</t>
  </si>
  <si>
    <t>StalkerWithACrush</t>
  </si>
  <si>
    <t>HeelRealization</t>
  </si>
  <si>
    <t>ADateWithRosiePalms</t>
  </si>
  <si>
    <t>AnyoneCanDie</t>
  </si>
  <si>
    <t>HonorBeforeReason</t>
  </si>
  <si>
    <t>ItsPersonal</t>
  </si>
  <si>
    <t>NeverMyFault</t>
  </si>
  <si>
    <t>WhamShot</t>
  </si>
  <si>
    <t>ImagineSpot</t>
  </si>
  <si>
    <t>Lampshaded</t>
  </si>
  <si>
    <t>FinalBattle</t>
  </si>
  <si>
    <t>CombatPragmatist</t>
  </si>
  <si>
    <t>EvenEvilHasLovedOnes</t>
  </si>
  <si>
    <t>PunctuatedForEmphasis</t>
  </si>
  <si>
    <t>BaitAndSwitch</t>
  </si>
  <si>
    <t>ManipulativeBastard</t>
  </si>
  <si>
    <t>WhereAreTheyNowEpilogue</t>
  </si>
  <si>
    <t>TheEighties</t>
  </si>
  <si>
    <t>RuleOfSymbolism</t>
  </si>
  <si>
    <t>DecoyProtagonist</t>
  </si>
  <si>
    <t>EurekaMoment</t>
  </si>
  <si>
    <t>MrFanservice</t>
  </si>
  <si>
    <t>TheBadGuyWins</t>
  </si>
  <si>
    <t>UnreliableNarrator</t>
  </si>
  <si>
    <t>DullSurprise</t>
  </si>
  <si>
    <t>PoliticallyIncorrectVillain</t>
  </si>
  <si>
    <t>RealityIsUnrealistic</t>
  </si>
  <si>
    <t>YouHaveFailedMe</t>
  </si>
  <si>
    <t>HateSink</t>
  </si>
  <si>
    <t>ShellShockedVeteran</t>
  </si>
  <si>
    <t>AdaptationalHeroism</t>
  </si>
  <si>
    <t>RousingSpeech</t>
  </si>
  <si>
    <t>AdaptationDistillation</t>
  </si>
  <si>
    <t>RaceLift</t>
  </si>
  <si>
    <t>BondOneLiner</t>
  </si>
  <si>
    <t>CoolOldGuy</t>
  </si>
  <si>
    <t>Deconstruction</t>
  </si>
  <si>
    <t>PunnyName</t>
  </si>
  <si>
    <t>AvertedTrope</t>
  </si>
  <si>
    <t>DeathByAdaptation</t>
  </si>
  <si>
    <t>TropeCodifier</t>
  </si>
  <si>
    <t>Subverted</t>
  </si>
  <si>
    <t>EvilLaugh</t>
  </si>
  <si>
    <t>FaceDeathWithDignity</t>
  </si>
  <si>
    <t>GenreSavvy</t>
  </si>
  <si>
    <t>CaptainObvious</t>
  </si>
  <si>
    <t>MadScientist</t>
  </si>
  <si>
    <t>NotQuiteDead</t>
  </si>
  <si>
    <t>SeriousBusiness</t>
  </si>
  <si>
    <t>TakingYouWithMe</t>
  </si>
  <si>
    <t>ScaryBlackMan</t>
  </si>
  <si>
    <t>TranquilFury</t>
  </si>
  <si>
    <t>InvokedTrope</t>
  </si>
  <si>
    <t>RuleOfFunny</t>
  </si>
  <si>
    <t>TheStoic</t>
  </si>
  <si>
    <t>ExtremelyShortTimespan</t>
  </si>
  <si>
    <t>FamousLastWords</t>
  </si>
  <si>
    <t>GreaterScopeVillain</t>
  </si>
  <si>
    <t>NiceHat</t>
  </si>
  <si>
    <t>BewareTheNiceOnes</t>
  </si>
  <si>
    <t>CampGay</t>
  </si>
  <si>
    <t>JerkJock</t>
  </si>
  <si>
    <t>AdaptationNameChange</t>
  </si>
  <si>
    <t>ArmorPiercingQuestion</t>
  </si>
  <si>
    <t>RedemptionEqualsDeath</t>
  </si>
  <si>
    <t>TheOner</t>
  </si>
  <si>
    <t>DoubleEntendre</t>
  </si>
  <si>
    <t>ArtisticLicenseBiology</t>
  </si>
  <si>
    <t>ColdBloodedTorture</t>
  </si>
  <si>
    <t>StuffBlowingUp</t>
  </si>
  <si>
    <t>ThereIsNoKillLikeOverkill</t>
  </si>
  <si>
    <t>BettyAndVeronica</t>
  </si>
  <si>
    <t>NiceJobFixingItVillain</t>
  </si>
  <si>
    <t>LaResistance</t>
  </si>
  <si>
    <t>FateWorseThanDeath</t>
  </si>
  <si>
    <t>GoldDigger</t>
  </si>
  <si>
    <t>DrowningMySorrows</t>
  </si>
  <si>
    <t>CreepyChild</t>
  </si>
  <si>
    <t>PrettyInMink</t>
  </si>
  <si>
    <t>PunchClockVillain</t>
  </si>
  <si>
    <t>ChewingTheScenery</t>
  </si>
  <si>
    <t>AnArmAndALeg</t>
  </si>
  <si>
    <t>InfantImmortality</t>
  </si>
  <si>
    <t>LeaningOnTheFourthWall</t>
  </si>
  <si>
    <t>AmbiguouslyGay</t>
  </si>
  <si>
    <t>AndIMustScream</t>
  </si>
  <si>
    <t>DeliberatelyMonochrome</t>
  </si>
  <si>
    <t>TheDitz</t>
  </si>
  <si>
    <t>CastingGag</t>
  </si>
  <si>
    <t>GunsAkimbo</t>
  </si>
  <si>
    <t>MeetCute</t>
  </si>
  <si>
    <t>SparedByTheAdaptation</t>
  </si>
  <si>
    <t>OnlyKnownByTheirNickname</t>
  </si>
  <si>
    <t>VomitIndiscretionShot</t>
  </si>
  <si>
    <t>ImperialStormtrooperMarksmanshipAcademy</t>
  </si>
  <si>
    <t>ManlyTears</t>
  </si>
  <si>
    <t>Mook</t>
  </si>
  <si>
    <t>ArtisticLicensePhysics</t>
  </si>
  <si>
    <t>BeautyIsNeverTarnished</t>
  </si>
  <si>
    <t>PragmaticAdaptation</t>
  </si>
  <si>
    <t>WarIsHell</t>
  </si>
  <si>
    <t>InNameOnly</t>
  </si>
  <si>
    <t>ParentalAbandonment</t>
  </si>
  <si>
    <t>AttemptedRape</t>
  </si>
  <si>
    <t>KnifeNut</t>
  </si>
  <si>
    <t>MatchCut</t>
  </si>
  <si>
    <t>BarBrawl</t>
  </si>
  <si>
    <t>NotEvenBotheringWithTheAccent</t>
  </si>
  <si>
    <t>TheDogBitesBack</t>
  </si>
  <si>
    <t>AlliterativeName</t>
  </si>
  <si>
    <t>DarkAndTroubledPast</t>
  </si>
  <si>
    <t>FakingTheDead</t>
  </si>
  <si>
    <t>EvilPlan</t>
  </si>
  <si>
    <t>GainaxEnding</t>
  </si>
  <si>
    <t>OneManArmy</t>
  </si>
  <si>
    <t>AndStarring</t>
  </si>
  <si>
    <t>BloodlessCarnage</t>
  </si>
  <si>
    <t>Homage</t>
  </si>
  <si>
    <t>FailedASpotCheck</t>
  </si>
  <si>
    <t>PoorCommunicationKills</t>
  </si>
  <si>
    <t>BadassLongcoat</t>
  </si>
  <si>
    <t>HeterosexualLifePartners</t>
  </si>
  <si>
    <t>TheAtoner</t>
  </si>
  <si>
    <t>EnemyMine</t>
  </si>
  <si>
    <t>WellDoneSonGuy</t>
  </si>
  <si>
    <t>BasedOnATrueStory</t>
  </si>
  <si>
    <t>HairTriggerTemper</t>
  </si>
  <si>
    <t>PlayedWith</t>
  </si>
  <si>
    <t>OneWordTitle</t>
  </si>
  <si>
    <t>TheSeventies</t>
  </si>
  <si>
    <t>TheHero</t>
  </si>
  <si>
    <t>NoSell</t>
  </si>
  <si>
    <t>DeathBySex</t>
  </si>
  <si>
    <t>UnusuallyUninterestingSight</t>
  </si>
  <si>
    <t>VisualPun</t>
  </si>
  <si>
    <t>GreenEyedMonster</t>
  </si>
  <si>
    <t>SayMyName</t>
  </si>
  <si>
    <t>TheCavalry</t>
  </si>
  <si>
    <t>BloodFromTheMouth</t>
  </si>
  <si>
    <t>TheCasanova</t>
  </si>
  <si>
    <t>BottomlessMagazines</t>
  </si>
  <si>
    <t>TapOnTheHead</t>
  </si>
  <si>
    <t>AllJustADream</t>
  </si>
  <si>
    <t>BecomingTheMask</t>
  </si>
  <si>
    <t>CelebrityParadox</t>
  </si>
  <si>
    <t>OverlyLongGag</t>
  </si>
  <si>
    <t>StylisticSuck</t>
  </si>
  <si>
    <t>ActionPrologue</t>
  </si>
  <si>
    <t>AdaptationalAttractiveness</t>
  </si>
  <si>
    <t>BeCarefulWhatYouWishFor</t>
  </si>
  <si>
    <t>DeliberateValuesDissonance</t>
  </si>
  <si>
    <t>TheFilmOfTheBook</t>
  </si>
  <si>
    <t>TheHeroDies</t>
  </si>
  <si>
    <t>YouKilledMyFather</t>
  </si>
  <si>
    <t>DeusExMachina</t>
  </si>
  <si>
    <t>ParentalSubstitute</t>
  </si>
  <si>
    <t>CowboyCop</t>
  </si>
  <si>
    <t>DefrostingIceQueen</t>
  </si>
  <si>
    <t>NeckSnap</t>
  </si>
  <si>
    <t>TheVoiceless</t>
  </si>
  <si>
    <t>ObfuscatingStupidity</t>
  </si>
  <si>
    <t>AscendedExtra</t>
  </si>
  <si>
    <t>FramingDevice</t>
  </si>
  <si>
    <t>HandWave</t>
  </si>
  <si>
    <t>OOCIsSeriousBusiness</t>
  </si>
  <si>
    <t>TheDreaded</t>
  </si>
  <si>
    <t>UnusualEuphemism</t>
  </si>
  <si>
    <t>DeathOfAChild</t>
  </si>
  <si>
    <t>IncrediblyLamePun</t>
  </si>
  <si>
    <t>LoveAtFirstSight</t>
  </si>
  <si>
    <t>ManOnFire</t>
  </si>
  <si>
    <t>RedOniBlueOni</t>
  </si>
  <si>
    <t>BigApplesauce</t>
  </si>
  <si>
    <t>AllGirlsWantBadBoys</t>
  </si>
  <si>
    <t>NamesToRunAwayFromReallyFast</t>
  </si>
  <si>
    <t>ShutUpHannibal</t>
  </si>
  <si>
    <t>AluminumChristmasTrees</t>
  </si>
  <si>
    <t>ProperlyParanoid</t>
  </si>
  <si>
    <t>CrazyPrepared</t>
  </si>
  <si>
    <t>SlasherSmile</t>
  </si>
  <si>
    <t>ThoseWackyNazis</t>
  </si>
  <si>
    <t>DiscussedTrope</t>
  </si>
  <si>
    <t>DrivesLikeCrazy</t>
  </si>
  <si>
    <t>HistoricalDomainCharacter</t>
  </si>
  <si>
    <t>INeedAFreakingDrink</t>
  </si>
  <si>
    <t>ManicPixieDreamGirl</t>
  </si>
  <si>
    <t>TearJerker</t>
  </si>
  <si>
    <t>ActuallyPrettyFunny</t>
  </si>
  <si>
    <t>AffectionateParody</t>
  </si>
  <si>
    <t>DomesticAbuse</t>
  </si>
  <si>
    <t>FlippingTheBird</t>
  </si>
  <si>
    <t>RecycledInSpace</t>
  </si>
  <si>
    <t>CanonForeigner</t>
  </si>
  <si>
    <t>EpicFail</t>
  </si>
  <si>
    <t>HeKnowsTooMuch</t>
  </si>
  <si>
    <t>StepfordSmiler</t>
  </si>
  <si>
    <t>DisneyDeath</t>
  </si>
  <si>
    <t>EveryCarIsAPinto</t>
  </si>
  <si>
    <t>AdultsAreUseless</t>
  </si>
  <si>
    <t>TheLancer</t>
  </si>
  <si>
    <t>PaperThinDisguise</t>
  </si>
  <si>
    <t>Averted</t>
  </si>
  <si>
    <t>BreakTheHaughty</t>
  </si>
  <si>
    <t>LoveInterest</t>
  </si>
  <si>
    <t>MayDecemberRomance</t>
  </si>
  <si>
    <t>DramaticIrony</t>
  </si>
  <si>
    <t>Narrator</t>
  </si>
  <si>
    <t>AnAxeToGrind</t>
  </si>
  <si>
    <t>FilmNoir</t>
  </si>
  <si>
    <t>HilarityEnsues</t>
  </si>
  <si>
    <t>InTheBack</t>
  </si>
  <si>
    <t>RedShirt</t>
  </si>
  <si>
    <t>BloodKnight</t>
  </si>
  <si>
    <t>CatapultNightmare</t>
  </si>
  <si>
    <t>ImAHumanitarian</t>
  </si>
  <si>
    <t>InvertedTrope</t>
  </si>
  <si>
    <t>TakeAThirdOption</t>
  </si>
  <si>
    <t>TheGhost</t>
  </si>
  <si>
    <t>BigEater</t>
  </si>
  <si>
    <t>BrokenPedestal</t>
  </si>
  <si>
    <t>Foil</t>
  </si>
  <si>
    <t>HumiliationConga</t>
  </si>
  <si>
    <t>BrokenBird</t>
  </si>
  <si>
    <t>BaldOfEvil</t>
  </si>
  <si>
    <t>TheEndOrIsIt</t>
  </si>
  <si>
    <t>BelligerentSexualTension</t>
  </si>
  <si>
    <t>BFG</t>
  </si>
  <si>
    <t>TheAllegedCar</t>
  </si>
  <si>
    <t>TheSmartGuy</t>
  </si>
  <si>
    <t>EldritchAbomination</t>
  </si>
  <si>
    <t>Novelization</t>
  </si>
  <si>
    <t>OneSteveLimit</t>
  </si>
  <si>
    <t>BullyingADragon</t>
  </si>
  <si>
    <t>DwindlingParty</t>
  </si>
  <si>
    <t>EasilyForgiven</t>
  </si>
  <si>
    <t>DepartmentOfRedundancyDepartment</t>
  </si>
  <si>
    <t>FridgeBrilliance</t>
  </si>
  <si>
    <t>SlashedThroat</t>
  </si>
  <si>
    <t>TheBigGuy</t>
  </si>
  <si>
    <t>AwesomeMcCoolname</t>
  </si>
  <si>
    <t>HaveAGayOldTime</t>
  </si>
  <si>
    <t>ObstructiveBureaucrat</t>
  </si>
  <si>
    <t>PreAsskickingOneLiner</t>
  </si>
  <si>
    <t>YourHeadAsplode</t>
  </si>
  <si>
    <t>SpannerInTheWorks</t>
  </si>
  <si>
    <t>EveryoneHasStandards</t>
  </si>
  <si>
    <t>FireForgedFriends</t>
  </si>
  <si>
    <t>ObviouslyEvil</t>
  </si>
  <si>
    <t>EvilIsHammy</t>
  </si>
  <si>
    <t>Recut</t>
  </si>
  <si>
    <t>ShootTheShaggyDog</t>
  </si>
  <si>
    <t>DidNotGetTheGirl</t>
  </si>
  <si>
    <t>DirtyOldMan</t>
  </si>
  <si>
    <t>GenderFlip</t>
  </si>
  <si>
    <t>DownplayedTrope</t>
  </si>
  <si>
    <t>HealingFactor</t>
  </si>
  <si>
    <t>KnightTemplar</t>
  </si>
  <si>
    <t>TheLoad</t>
  </si>
  <si>
    <t>TheUnreveal</t>
  </si>
  <si>
    <t>ChaseScene</t>
  </si>
  <si>
    <t>FantasticRacism</t>
  </si>
  <si>
    <t>ShesGotLegs</t>
  </si>
  <si>
    <t>BackFromTheDead</t>
  </si>
  <si>
    <t>CallingTheOldManOut</t>
  </si>
  <si>
    <t>HereWeGoAgain</t>
  </si>
  <si>
    <t>RapeAsDrama</t>
  </si>
  <si>
    <t>SceneryGorn</t>
  </si>
  <si>
    <t>LoopholeAbuse</t>
  </si>
  <si>
    <t>RealLifeWritesThePlot</t>
  </si>
  <si>
    <t>ArchEnemy</t>
  </si>
  <si>
    <t>SuperStrength</t>
  </si>
  <si>
    <t>AntagonistTitle</t>
  </si>
  <si>
    <t>NoOSHACompliance</t>
  </si>
  <si>
    <t>ProtagonistTitle</t>
  </si>
  <si>
    <t>HalfTheManHeUsedToBe</t>
  </si>
  <si>
    <t>HookerWithAHeartOfGold</t>
  </si>
  <si>
    <t>CentralTheme</t>
  </si>
  <si>
    <t>EvilIsPetty</t>
  </si>
  <si>
    <t>AlasPoorVillain</t>
  </si>
  <si>
    <t>EveryoneCallsHimBarkeep</t>
  </si>
  <si>
    <t>HistoricalVillainUpgrade</t>
  </si>
  <si>
    <t>NoEnding</t>
  </si>
  <si>
    <t>Blackmail</t>
  </si>
  <si>
    <t>NotWhatItLooksLike</t>
  </si>
  <si>
    <t>ExecutiveMeddling</t>
  </si>
  <si>
    <t>OnlyAFleshWound</t>
  </si>
  <si>
    <t>Pun</t>
  </si>
  <si>
    <t>BoundAndGagged</t>
  </si>
  <si>
    <t>GoneHorriblyRight</t>
  </si>
  <si>
    <t>MundaneMadeAwesome</t>
  </si>
  <si>
    <t>RagTagBunchOfMisfits</t>
  </si>
  <si>
    <t>VitriolicBestBuds</t>
  </si>
  <si>
    <t>AgeLift</t>
  </si>
  <si>
    <t>IWantMyBelovedToBeHappy</t>
  </si>
  <si>
    <t>PlotHole</t>
  </si>
  <si>
    <t>PluckyComicRelief</t>
  </si>
  <si>
    <t>ShaggyDogStory</t>
  </si>
  <si>
    <t>BadassGrandpa</t>
  </si>
  <si>
    <t>BunnyEarsLawyer</t>
  </si>
  <si>
    <t>InformedAbility</t>
  </si>
  <si>
    <t>PayEvilUntoEvil</t>
  </si>
  <si>
    <t>SuddenlyShouting</t>
  </si>
  <si>
    <t>ThisIsGonnaSuck</t>
  </si>
  <si>
    <t>AFatherToHisMen</t>
  </si>
  <si>
    <t>DealWithTheDevil</t>
  </si>
  <si>
    <t>DemonicPossession</t>
  </si>
  <si>
    <t>FishOutOfWater</t>
  </si>
  <si>
    <t>MyBelovedSmother</t>
  </si>
  <si>
    <t>TheChessmaster</t>
  </si>
  <si>
    <t>ActionSurvivor</t>
  </si>
  <si>
    <t>ThePowerOfLove</t>
  </si>
  <si>
    <t>AsideGlance</t>
  </si>
  <si>
    <t>AuthorAppeal</t>
  </si>
  <si>
    <t>BlackAndGrayMorality</t>
  </si>
  <si>
    <t>MakeItLookLikeAnAccident</t>
  </si>
  <si>
    <t>NonIndicativeName</t>
  </si>
  <si>
    <t>PosthumousCharacter</t>
  </si>
  <si>
    <t>TheFifties</t>
  </si>
  <si>
    <t>ComingOfAgeStory</t>
  </si>
  <si>
    <t>MexicanStandoff</t>
  </si>
  <si>
    <t>WrongGenreSavvy</t>
  </si>
  <si>
    <t>HenpeckedHusband</t>
  </si>
  <si>
    <t>HeWhoFightsMonsters</t>
  </si>
  <si>
    <t>WoundedGazelleGambit</t>
  </si>
  <si>
    <t>AbhorrentAdmirer</t>
  </si>
  <si>
    <t>ArrangedMarriage</t>
  </si>
  <si>
    <t>IntrepidReporter</t>
  </si>
  <si>
    <t>PlayedForDrama</t>
  </si>
  <si>
    <t>TheMovie</t>
  </si>
  <si>
    <t>DevelopingDoomedCharacters</t>
  </si>
  <si>
    <t>PragmaticVillainy</t>
  </si>
  <si>
    <t>TheAce</t>
  </si>
  <si>
    <t>TrainingMontage</t>
  </si>
  <si>
    <t>WeaponOfChoice</t>
  </si>
  <si>
    <t>FridgeLogic</t>
  </si>
  <si>
    <t>TwentyMinutesIntoTheFuture</t>
  </si>
  <si>
    <t>ZombieApocalypse</t>
  </si>
  <si>
    <t>AllMenArePerverts</t>
  </si>
  <si>
    <t>DeathByIrony</t>
  </si>
  <si>
    <t>KickTheSonOfABitch</t>
  </si>
  <si>
    <t>LogoJoke</t>
  </si>
  <si>
    <t>MrExposition</t>
  </si>
  <si>
    <t>BiTheWay</t>
  </si>
  <si>
    <t>GenreShift</t>
  </si>
  <si>
    <t>VillainWithGoodPublicity</t>
  </si>
  <si>
    <t>ArtisticLicenseGeography</t>
  </si>
  <si>
    <t>FrameUp</t>
  </si>
  <si>
    <t>ImplacableMan</t>
  </si>
  <si>
    <t>TheFaceless</t>
  </si>
  <si>
    <t>TheSixties</t>
  </si>
  <si>
    <t>BigBadDuumvirate</t>
  </si>
  <si>
    <t>DaylightHorror</t>
  </si>
  <si>
    <t>PsychopathicManchild</t>
  </si>
  <si>
    <t>SheCleansUpNicely</t>
  </si>
  <si>
    <t>TheMafia</t>
  </si>
  <si>
    <t>TokenMinority</t>
  </si>
  <si>
    <t>TwistEnding</t>
  </si>
  <si>
    <t>CatScare</t>
  </si>
  <si>
    <t>DrugsAreBad</t>
  </si>
  <si>
    <t>SelfDeprecation</t>
  </si>
  <si>
    <t>SmallNameBigEgo</t>
  </si>
  <si>
    <t>AndTheAdventureContinues</t>
  </si>
  <si>
    <t>DoggedNiceGuy</t>
  </si>
  <si>
    <t>FanserviceExtra</t>
  </si>
  <si>
    <t>MistakenForGay</t>
  </si>
  <si>
    <t>TrueCompanions</t>
  </si>
  <si>
    <t>DestinationDefenestration</t>
  </si>
  <si>
    <t>InsultBackfire</t>
  </si>
  <si>
    <t>NoGoodDeedGoesUnpunished</t>
  </si>
  <si>
    <t>SirSwearsAlot</t>
  </si>
  <si>
    <t>WhyDontYouJustShootHim</t>
  </si>
  <si>
    <t>EvilDetectingDog</t>
  </si>
  <si>
    <t>Fainting</t>
  </si>
  <si>
    <t>JackBauerInterrogationTechnique</t>
  </si>
  <si>
    <t>TheDeterminator</t>
  </si>
  <si>
    <t>ActionFilmQuietDramaScene</t>
  </si>
  <si>
    <t>AdaptationalBadass</t>
  </si>
  <si>
    <t>CoolGuns</t>
  </si>
  <si>
    <t>AdvertisedExtra</t>
  </si>
  <si>
    <t>AGodAmI</t>
  </si>
  <si>
    <t>AmoralAttorney</t>
  </si>
  <si>
    <t>BigBrotherInstinct</t>
  </si>
  <si>
    <t>BlackBestFriend</t>
  </si>
  <si>
    <t>BrokenAesop</t>
  </si>
  <si>
    <t>KubrickStare</t>
  </si>
  <si>
    <t>LeaveTheCameraRunning</t>
  </si>
  <si>
    <t>MeaningfulBackgroundEvent</t>
  </si>
  <si>
    <t>TranslationConvention</t>
  </si>
  <si>
    <t>Understatement</t>
  </si>
  <si>
    <t>AfterTheEnd</t>
  </si>
  <si>
    <t>LetsGetDangerous</t>
  </si>
  <si>
    <t>BadassNormal</t>
  </si>
  <si>
    <t>AnachronicOrder</t>
  </si>
  <si>
    <t>AwardBaitSong</t>
  </si>
  <si>
    <t>DiesWideOpen</t>
  </si>
  <si>
    <t>RichBitch</t>
  </si>
  <si>
    <t>StarCrossedLovers</t>
  </si>
  <si>
    <t>BabiesEverAfter</t>
  </si>
  <si>
    <t>DumbBlonde</t>
  </si>
  <si>
    <t>MuggingTheMonster</t>
  </si>
  <si>
    <t>OffscreenTeleportation</t>
  </si>
  <si>
    <t>DeathSeeker</t>
  </si>
  <si>
    <t>DidntThinkThisThrough</t>
  </si>
  <si>
    <t>HorrorDoesntSettleForSimpleTuesday</t>
  </si>
  <si>
    <t>ImmuneToBullets</t>
  </si>
  <si>
    <t>InsaneTrollLogic</t>
  </si>
  <si>
    <t>DaChief</t>
  </si>
  <si>
    <t>DroppedABridgeOnHim</t>
  </si>
  <si>
    <t>ToplessnessFromTheBack</t>
  </si>
  <si>
    <t>UngratefulBastard</t>
  </si>
  <si>
    <t>AmbiguousDisorder</t>
  </si>
  <si>
    <t>AmbiguousEnding</t>
  </si>
  <si>
    <t>ApocalypseHow</t>
  </si>
  <si>
    <t>BrutalHonesty</t>
  </si>
  <si>
    <t>DressingAsTheEnemy</t>
  </si>
  <si>
    <t>DueToTheDead</t>
  </si>
  <si>
    <t>EvilCounterpart</t>
  </si>
  <si>
    <t>NeverFoundTheBody</t>
  </si>
  <si>
    <t>SettingUpdate</t>
  </si>
  <si>
    <t>Bowdlerise</t>
  </si>
  <si>
    <t>DefiantToTheEnd</t>
  </si>
  <si>
    <t>MadnessMantra</t>
  </si>
  <si>
    <t>SlapSlapKiss</t>
  </si>
  <si>
    <t>TagLine</t>
  </si>
  <si>
    <t>UnresolvedSexualTension</t>
  </si>
  <si>
    <t>AccidentalMurder</t>
  </si>
  <si>
    <t>AdaptationDyeJob</t>
  </si>
  <si>
    <t>BetterToDieThanBeKilled</t>
  </si>
  <si>
    <t>CurseCutShort</t>
  </si>
  <si>
    <t>IDidWhatIHadToDo</t>
  </si>
  <si>
    <t>MotiveRant</t>
  </si>
  <si>
    <t>SadisticChoice</t>
  </si>
  <si>
    <t>TheStoner</t>
  </si>
  <si>
    <t>UnwittingInstigatorOfDoom</t>
  </si>
  <si>
    <t>Eagleland</t>
  </si>
  <si>
    <t>HandCannon</t>
  </si>
  <si>
    <t>WoobieDestroyerOfWorlds</t>
  </si>
  <si>
    <t>BondVillainStupidity</t>
  </si>
  <si>
    <t>CrazyJealousGuy</t>
  </si>
  <si>
    <t>PoliceBrutality</t>
  </si>
  <si>
    <t>PsychoForHire</t>
  </si>
  <si>
    <t>ShowerScene</t>
  </si>
  <si>
    <t>DrillSergeantNasty</t>
  </si>
  <si>
    <t>RapeIsASpecialKindOfEvil</t>
  </si>
  <si>
    <t>StraightGay</t>
  </si>
  <si>
    <t>TheBrute</t>
  </si>
  <si>
    <t>BigFancyHouse</t>
  </si>
  <si>
    <t>OurZombiesAreDifferent</t>
  </si>
  <si>
    <t>RetiredBadass</t>
  </si>
  <si>
    <t>SkewedPriorities</t>
  </si>
  <si>
    <t>AlmostKiss</t>
  </si>
  <si>
    <t>DarkIsNotEvil</t>
  </si>
  <si>
    <t>EvilGloating</t>
  </si>
  <si>
    <t>RippedFromTheHeadlines</t>
  </si>
  <si>
    <t>TheNineties</t>
  </si>
  <si>
    <t>Yandere</t>
  </si>
  <si>
    <t>AMinorKidroduction</t>
  </si>
  <si>
    <t>MomentKiller</t>
  </si>
  <si>
    <t>RomanticFalseLead</t>
  </si>
  <si>
    <t>ShipperOnDeck</t>
  </si>
  <si>
    <t>TrailersAlwaysLie</t>
  </si>
  <si>
    <t>AllForNothing</t>
  </si>
  <si>
    <t>FatBastard</t>
  </si>
  <si>
    <t>MadeOfExplodium</t>
  </si>
  <si>
    <t>MotorMouth</t>
  </si>
  <si>
    <t>SuspiciouslySpecificDenial</t>
  </si>
  <si>
    <t>BetaCouple</t>
  </si>
  <si>
    <t>ChildrenAreInnocent</t>
  </si>
  <si>
    <t>ProfessionalKiller</t>
  </si>
  <si>
    <t>VillainSong</t>
  </si>
  <si>
    <t>WomanScorned</t>
  </si>
  <si>
    <t>CreditsGag</t>
  </si>
  <si>
    <t>AgonyOfTheFeet</t>
  </si>
  <si>
    <t>ClosedCircle</t>
  </si>
  <si>
    <t>FacialHorror</t>
  </si>
  <si>
    <t>HandicappedBadass</t>
  </si>
  <si>
    <t>StormingTheCastle</t>
  </si>
  <si>
    <t>TakingTheBullet</t>
  </si>
  <si>
    <t>AllThereInTheScript</t>
  </si>
  <si>
    <t>BloodierAndGorier</t>
  </si>
  <si>
    <t>FatalFlaw</t>
  </si>
  <si>
    <t>GrievousBottleyHarm</t>
  </si>
  <si>
    <t>HeroAntagonist</t>
  </si>
  <si>
    <t>HistoricalHeroUpgrade</t>
  </si>
  <si>
    <t>Satan</t>
  </si>
  <si>
    <t>AssShove</t>
  </si>
  <si>
    <t>InformedAttribute</t>
  </si>
  <si>
    <t>MoralEventHorizon</t>
  </si>
  <si>
    <t>OffscreenMomentOfAwesome</t>
  </si>
  <si>
    <t>RedEyesTakeWarning</t>
  </si>
  <si>
    <t>OnceMoreWithClarity</t>
  </si>
  <si>
    <t>ParentalIncest</t>
  </si>
  <si>
    <t>AnguishedDeclarationOfLove</t>
  </si>
  <si>
    <t>DissonantSerenity</t>
  </si>
  <si>
    <t>HumansAreBastards</t>
  </si>
  <si>
    <t>LaughingMad</t>
  </si>
  <si>
    <t>OurVampiresAreDifferent</t>
  </si>
  <si>
    <t>RedRightHand</t>
  </si>
  <si>
    <t>Revenge</t>
  </si>
  <si>
    <t>SealedEvilInACan</t>
  </si>
  <si>
    <t>TheChick</t>
  </si>
  <si>
    <t>ThoseTwoBadGuys</t>
  </si>
  <si>
    <t>WickedCultured</t>
  </si>
  <si>
    <t>ExtremeDoormat</t>
  </si>
  <si>
    <t>KilledMidSentence</t>
  </si>
  <si>
    <t>NoAntagonist</t>
  </si>
  <si>
    <t>OneWingedAngel</t>
  </si>
  <si>
    <t>OnlyInItForTheMoney</t>
  </si>
  <si>
    <t>Retirony</t>
  </si>
  <si>
    <t>UnbuiltTrope</t>
  </si>
  <si>
    <t>UndyingLoyalty</t>
  </si>
  <si>
    <t>AsLongAsItSoundsForeign</t>
  </si>
  <si>
    <t>ForWantOfANail</t>
  </si>
  <si>
    <t>IHaveYourWife</t>
  </si>
  <si>
    <t>SlidingScaleOfIdealismVersusCynicism</t>
  </si>
  <si>
    <t>AccidentalMisnaming</t>
  </si>
  <si>
    <t>CostumePorn</t>
  </si>
  <si>
    <t>CrouchingMoronHiddenBadass</t>
  </si>
  <si>
    <t>TropeMaker</t>
  </si>
  <si>
    <t>BrotherSisterIncest</t>
  </si>
  <si>
    <t>TheVamp</t>
  </si>
  <si>
    <t>WholePlotReference</t>
  </si>
  <si>
    <t>BolivianArmyEnding</t>
  </si>
  <si>
    <t>FunWithAcronyms</t>
  </si>
  <si>
    <t>RetCon</t>
  </si>
  <si>
    <t>TheStarscream</t>
  </si>
  <si>
    <t>TookALevelInJerkass</t>
  </si>
  <si>
    <t>ScareChord</t>
  </si>
  <si>
    <t>WomanInWhite</t>
  </si>
  <si>
    <t>ZergRush</t>
  </si>
  <si>
    <t>BareYourMidriff</t>
  </si>
  <si>
    <t>GoodIsNotNice</t>
  </si>
  <si>
    <t>GuileHero</t>
  </si>
  <si>
    <t>MoralityPet</t>
  </si>
  <si>
    <t>SexyDiscretionShot</t>
  </si>
  <si>
    <t>SoleSurvivor</t>
  </si>
  <si>
    <t>AnimalMotifs</t>
  </si>
  <si>
    <t>CatFight</t>
  </si>
  <si>
    <t>EvenBadMenLoveTheirMamas</t>
  </si>
  <si>
    <t>InMediasRes</t>
  </si>
  <si>
    <t>LastNameBasis</t>
  </si>
  <si>
    <t>NakedPeopleAreFunny</t>
  </si>
  <si>
    <t>OutrunTheFireball</t>
  </si>
  <si>
    <t>ShipTease</t>
  </si>
  <si>
    <t>VillainBall</t>
  </si>
  <si>
    <t>BigDamnKiss</t>
  </si>
  <si>
    <t>CardCarryingVillain</t>
  </si>
  <si>
    <t>CountryMatters</t>
  </si>
  <si>
    <t>HollywoodLaw</t>
  </si>
  <si>
    <t>LackOfEmpathy</t>
  </si>
  <si>
    <t>PeekABooCorpse</t>
  </si>
  <si>
    <t>SecretTestOfCharacter</t>
  </si>
  <si>
    <t>SilenceIsGolden</t>
  </si>
  <si>
    <t>WorldOfHam</t>
  </si>
  <si>
    <t>DeconstructedTrope</t>
  </si>
  <si>
    <t>FiveManBand</t>
  </si>
  <si>
    <t>LudicrousGibs</t>
  </si>
  <si>
    <t>PutOnABus</t>
  </si>
  <si>
    <t>Corpsing</t>
  </si>
  <si>
    <t>GetOut</t>
  </si>
  <si>
    <t>LightIsNotGood</t>
  </si>
  <si>
    <t>MyGreatestFailure</t>
  </si>
  <si>
    <t>RiddleForTheAges</t>
  </si>
  <si>
    <t>SacrificialLion</t>
  </si>
  <si>
    <t>TheLostLenore</t>
  </si>
  <si>
    <t>TheQuietOne</t>
  </si>
  <si>
    <t>ArtisticLicenseMilitary</t>
  </si>
  <si>
    <t>FreakOut</t>
  </si>
  <si>
    <t>GreyAndGrayMorality</t>
  </si>
  <si>
    <t>LockAndLoadMontage</t>
  </si>
  <si>
    <t>MaybeEverAfter</t>
  </si>
  <si>
    <t>NoIndoorVoice</t>
  </si>
  <si>
    <t>PimpedOutDress</t>
  </si>
  <si>
    <t>ToiletHumor</t>
  </si>
  <si>
    <t>AuthorAvatar</t>
  </si>
  <si>
    <t>BlackComedyRape</t>
  </si>
  <si>
    <t>DualWielding</t>
  </si>
  <si>
    <t>HistoricalInJoke</t>
  </si>
  <si>
    <t>LastStand</t>
  </si>
  <si>
    <t>SuddenSequelDeathSyndrome</t>
  </si>
  <si>
    <t>TogetherInDeath</t>
  </si>
  <si>
    <t>TrainingFromHell</t>
  </si>
  <si>
    <t>BeardOfEvil</t>
  </si>
  <si>
    <t>DyingMomentOfAwesome</t>
  </si>
  <si>
    <t>GovernmentConspiracy</t>
  </si>
  <si>
    <t>LoadsAndLoadsOfCharacters</t>
  </si>
  <si>
    <t>MindRape</t>
  </si>
  <si>
    <t>ParentalNeglect</t>
  </si>
  <si>
    <t>RasputinianDeath</t>
  </si>
  <si>
    <t>TokenGoodTeammate</t>
  </si>
  <si>
    <t>WhatYouAreInTheDark</t>
  </si>
  <si>
    <t>WretchedHive</t>
  </si>
  <si>
    <t>BigBadEnsemble</t>
  </si>
  <si>
    <t>CaptainErsatz</t>
  </si>
  <si>
    <t>DarkActionGirl</t>
  </si>
  <si>
    <t>DarkestHour</t>
  </si>
  <si>
    <t>ImportantHaircut</t>
  </si>
  <si>
    <t>ValuesDissonance</t>
  </si>
  <si>
    <t>AwesomeButImpractical</t>
  </si>
  <si>
    <t>InstantDeathBullet</t>
  </si>
  <si>
    <t>InterruptedSuicide</t>
  </si>
  <si>
    <t>NeckLift</t>
  </si>
  <si>
    <t>RaceAgainstTheClock</t>
  </si>
  <si>
    <t>SexSlave</t>
  </si>
  <si>
    <t>DeletedScene</t>
  </si>
  <si>
    <t>DoesNotLikeShoes</t>
  </si>
  <si>
    <t>HellIsThatNoise</t>
  </si>
  <si>
    <t>HumanoidAbomination</t>
  </si>
  <si>
    <t>RewatchBonus</t>
  </si>
  <si>
    <t>ScrewTheRulesImDoingWhatsRight</t>
  </si>
  <si>
    <t>DoubleStandard</t>
  </si>
  <si>
    <t>MegaCorp</t>
  </si>
  <si>
    <t>BlondeBrunetteRedhead</t>
  </si>
  <si>
    <t>DreamSequence</t>
  </si>
  <si>
    <t>HappyEnding</t>
  </si>
  <si>
    <t>InfoDump</t>
  </si>
  <si>
    <t>KidsAreCruel</t>
  </si>
  <si>
    <t>PyrrhicVictory</t>
  </si>
  <si>
    <t>ReassignedToAntarctica</t>
  </si>
  <si>
    <t>ThousandYardStare</t>
  </si>
  <si>
    <t>AirVentPassageway</t>
  </si>
  <si>
    <t>DefiedTrope</t>
  </si>
  <si>
    <t>EvilSoundsDeep</t>
  </si>
  <si>
    <t>PsychicPowers</t>
  </si>
  <si>
    <t>TheBully</t>
  </si>
  <si>
    <t>AmbiguousSituation</t>
  </si>
  <si>
    <t>AsTheGoodBookSays</t>
  </si>
  <si>
    <t>GirlOnGirlIsHot</t>
  </si>
  <si>
    <t>NotSoStoic</t>
  </si>
  <si>
    <t>ScrewTheRulesIHaveMoney</t>
  </si>
  <si>
    <t>WeCanRuleTogether</t>
  </si>
  <si>
    <t>AmusingInjuries</t>
  </si>
  <si>
    <t>AutoErotica</t>
  </si>
  <si>
    <t>BuffySpeak</t>
  </si>
  <si>
    <t>CreativeClosingCredits</t>
  </si>
  <si>
    <t>CoolShades</t>
  </si>
  <si>
    <t>EvilCannotComprehendGood</t>
  </si>
  <si>
    <t>KangarooCourt</t>
  </si>
  <si>
    <t>MaleFrontalNudity</t>
  </si>
  <si>
    <t>NightmareFuel</t>
  </si>
  <si>
    <t>StealthHiBye</t>
  </si>
  <si>
    <t>Chiaroscuro</t>
  </si>
  <si>
    <t>DoubleMeaningTitle</t>
  </si>
  <si>
    <t>ForcedToWatch</t>
  </si>
  <si>
    <t>OffIntoTheDistanceEnding</t>
  </si>
  <si>
    <t>TheChosenOne</t>
  </si>
  <si>
    <t>TheSmurfettePrinciple</t>
  </si>
  <si>
    <t>ArtisticLicenseLaw</t>
  </si>
  <si>
    <t>AwLookTheyReallyDoLoveEachOther</t>
  </si>
  <si>
    <t>BadassBookworm</t>
  </si>
  <si>
    <t>CainAndAbel</t>
  </si>
  <si>
    <t>CallForward</t>
  </si>
  <si>
    <t>EarlyInstallmentWeirdness</t>
  </si>
  <si>
    <t>EvilBrit</t>
  </si>
  <si>
    <t>AlienInvasion</t>
  </si>
  <si>
    <t>AppliedPhlebotinum</t>
  </si>
  <si>
    <t>BloodyHilarious</t>
  </si>
  <si>
    <t>MightyWhitey</t>
  </si>
  <si>
    <t>OverprotectiveDad</t>
  </si>
  <si>
    <t>RatedMForManly</t>
  </si>
  <si>
    <t>ShootTheDog</t>
  </si>
  <si>
    <t>TookALevelInKindness</t>
  </si>
  <si>
    <t>DiabolusExMachina</t>
  </si>
  <si>
    <t>MarriedToTheJob</t>
  </si>
  <si>
    <t>MassOhCrap</t>
  </si>
  <si>
    <t>RevengeBeforeReason</t>
  </si>
  <si>
    <t>ThisIsForEmphasisBitch</t>
  </si>
  <si>
    <t>WideEyedIdealist</t>
  </si>
  <si>
    <t>AnimatedCreditsOpening</t>
  </si>
  <si>
    <t>AuthorityEqualsAsskicking</t>
  </si>
  <si>
    <t>CoolOldLady</t>
  </si>
  <si>
    <t>DepravedBisexual</t>
  </si>
  <si>
    <t>ExpositoryHairstyleChange</t>
  </si>
  <si>
    <t>ForScience</t>
  </si>
  <si>
    <t>GatlingGood</t>
  </si>
  <si>
    <t>IJustShotMarvinInTheFace</t>
  </si>
  <si>
    <t>RoomFullOfCrazy</t>
  </si>
  <si>
    <t>TotallyRadical</t>
  </si>
  <si>
    <t>UnwittingPawn</t>
  </si>
  <si>
    <t>BatterUp</t>
  </si>
  <si>
    <t>CameraAbuse</t>
  </si>
  <si>
    <t>ClothingDamage</t>
  </si>
  <si>
    <t>DaddysGirl</t>
  </si>
  <si>
    <t>HumanSacrifice</t>
  </si>
  <si>
    <t>IndyPloy</t>
  </si>
  <si>
    <t>Inverted</t>
  </si>
  <si>
    <t>ItWillNeverCatchOn</t>
  </si>
  <si>
    <t>OlderThanTheyLook</t>
  </si>
  <si>
    <t>RedshirtArmy</t>
  </si>
  <si>
    <t>TheEndOfTheWorldAsWeKnowIt</t>
  </si>
  <si>
    <t>ThroughTheEyesOfMadness</t>
  </si>
  <si>
    <t>WhatAnIdiot</t>
  </si>
  <si>
    <t>YouHaveGotToBeKiddingMe</t>
  </si>
  <si>
    <t>ColorCodedForYourConvenience</t>
  </si>
  <si>
    <t>DeadAllAlong</t>
  </si>
  <si>
    <t>FakeShemp</t>
  </si>
  <si>
    <t>OffingTheOffspring</t>
  </si>
  <si>
    <t>DarkReprise</t>
  </si>
  <si>
    <t>DiedInYourArmsTonight</t>
  </si>
  <si>
    <t>DisguisedInDrag</t>
  </si>
  <si>
    <t>GoneHorriblyWrong</t>
  </si>
  <si>
    <t>GratuitousEnglish</t>
  </si>
  <si>
    <t>HoneyTrap</t>
  </si>
  <si>
    <t>ImprobableWeaponUser</t>
  </si>
  <si>
    <t>MoralGuardians</t>
  </si>
  <si>
    <t>NWordPrivileges</t>
  </si>
  <si>
    <t>RuleOfDrama</t>
  </si>
  <si>
    <t>SpitefulSpit</t>
  </si>
  <si>
    <t>ThePlace</t>
  </si>
  <si>
    <t>WalkingShirtlessScene</t>
  </si>
  <si>
    <t>BadFuture</t>
  </si>
  <si>
    <t>BigGood</t>
  </si>
  <si>
    <t>EightiesHair</t>
  </si>
  <si>
    <t>FourthDateMarriage</t>
  </si>
  <si>
    <t>HeroOfAnotherStory</t>
  </si>
  <si>
    <t>ItCanThink</t>
  </si>
  <si>
    <t>MurderTheHypotenuse</t>
  </si>
  <si>
    <t>OnlyOneName</t>
  </si>
  <si>
    <t>SliceOfLife</t>
  </si>
  <si>
    <t>UnSpokenPlanGuarantee</t>
  </si>
  <si>
    <t>DontExplainTheJoke</t>
  </si>
  <si>
    <t>DragonInChief</t>
  </si>
  <si>
    <t>HollywoodDarkness</t>
  </si>
  <si>
    <t>KilledOffscreen</t>
  </si>
  <si>
    <t>MarketBasedTitle</t>
  </si>
  <si>
    <t>MonumentalDamage</t>
  </si>
  <si>
    <t>NotSoAboveItAll</t>
  </si>
  <si>
    <t>POVCam</t>
  </si>
  <si>
    <t>BrainlessBeauty</t>
  </si>
  <si>
    <t>BuryYourGays</t>
  </si>
  <si>
    <t>DramaticGunCock</t>
  </si>
  <si>
    <t>DumbMuscle</t>
  </si>
  <si>
    <t>EarlyBirdCameo</t>
  </si>
  <si>
    <t>EvilAllAlong</t>
  </si>
  <si>
    <t>FriendToAllChildren</t>
  </si>
  <si>
    <t>FunnyForeigner</t>
  </si>
  <si>
    <t>HollywoodTactics</t>
  </si>
  <si>
    <t>InsufferableGenius</t>
  </si>
  <si>
    <t>NaiveNewcomer</t>
  </si>
  <si>
    <t>NightmareSequence</t>
  </si>
  <si>
    <t>PrisonRape</t>
  </si>
  <si>
    <t>SinisterMinister</t>
  </si>
  <si>
    <t>UnstoppableRage</t>
  </si>
  <si>
    <t>WhyDidItHaveToBeSnakes</t>
  </si>
  <si>
    <t>ArtisticLicenseGunSafety</t>
  </si>
  <si>
    <t>BringMyBrownPants</t>
  </si>
  <si>
    <t>CrucifiedHeroShot</t>
  </si>
  <si>
    <t>JustInTime</t>
  </si>
  <si>
    <t>MushroomSamba</t>
  </si>
  <si>
    <t>RecklessGunUsage</t>
  </si>
  <si>
    <t>SacrificialLamb</t>
  </si>
  <si>
    <t>VerbalTic</t>
  </si>
  <si>
    <t>WeaksauceWeakness</t>
  </si>
  <si>
    <t>BMovie</t>
  </si>
  <si>
    <t>ChronicBackstabbingDisorder</t>
  </si>
  <si>
    <t>FieryRedhead</t>
  </si>
  <si>
    <t>NobleDemon</t>
  </si>
  <si>
    <t>PrettyLittleHeadshots</t>
  </si>
  <si>
    <t>ScrewTheMoneyIHaveRules</t>
  </si>
  <si>
    <t>TimeTravel</t>
  </si>
  <si>
    <t>BavarianFireDrill</t>
  </si>
  <si>
    <t>ChainsawGood</t>
  </si>
  <si>
    <t>ClearMyName</t>
  </si>
  <si>
    <t>EatingTheEyeCandy</t>
  </si>
  <si>
    <t>FridgeHorror</t>
  </si>
  <si>
    <t>FromNobodyToNightmare</t>
  </si>
  <si>
    <t>SassyBlackWoman</t>
  </si>
  <si>
    <t>SoftGlass</t>
  </si>
  <si>
    <t>Troll</t>
  </si>
  <si>
    <t>VillainHasAPoint</t>
  </si>
  <si>
    <t>VillainOpeningScene</t>
  </si>
  <si>
    <t>VomitDiscretionShot</t>
  </si>
  <si>
    <t>ApocalypticLog</t>
  </si>
  <si>
    <t>BuriedAlive</t>
  </si>
  <si>
    <t>EmpathicEnvironment</t>
  </si>
  <si>
    <t>EyepatchOfPower</t>
  </si>
  <si>
    <t>FatalFamilyPhoto</t>
  </si>
  <si>
    <t>HairOfGoldHeartOfGold</t>
  </si>
  <si>
    <t>InspectorJavert</t>
  </si>
  <si>
    <t>SmokingIsCool</t>
  </si>
  <si>
    <t>SuspiciouslySimilarSubstitute</t>
  </si>
  <si>
    <t>AIIsACrapshoot</t>
  </si>
  <si>
    <t>BadBadActing</t>
  </si>
  <si>
    <t>DropTheHammer</t>
  </si>
  <si>
    <t>EvilVersusEvil</t>
  </si>
  <si>
    <t>GenderBlenderName</t>
  </si>
  <si>
    <t>ItsAllMyFault</t>
  </si>
  <si>
    <t>JitterCam</t>
  </si>
  <si>
    <t>SelfMadeOrphan</t>
  </si>
  <si>
    <t>TheSpeechless</t>
  </si>
  <si>
    <t>AwfulWeddedLife</t>
  </si>
  <si>
    <t>GentleGiant</t>
  </si>
  <si>
    <t>Invoked</t>
  </si>
  <si>
    <t>MinimalistCast</t>
  </si>
  <si>
    <t>RageBreakingPoint</t>
  </si>
  <si>
    <t>SchmuckBait</t>
  </si>
  <si>
    <t>ZigZagged</t>
  </si>
  <si>
    <t>BenevolentBoss</t>
  </si>
  <si>
    <t>BlandNameProduct</t>
  </si>
  <si>
    <t>LeftTheBackgroundMusicOn</t>
  </si>
  <si>
    <t>MenAreTheExpendableGender</t>
  </si>
  <si>
    <t>NoSocialSkills</t>
  </si>
  <si>
    <t>PoweredArmor</t>
  </si>
  <si>
    <t>ReplacementGoldfish</t>
  </si>
  <si>
    <t>TheManBehindTheMan</t>
  </si>
  <si>
    <t>TheMistress</t>
  </si>
  <si>
    <t>TheUnfavorite</t>
  </si>
  <si>
    <t>ThrowingYourSwordAlwaysWorks</t>
  </si>
  <si>
    <t>BrainwashedAndCrazy</t>
  </si>
  <si>
    <t>DutchAngle</t>
  </si>
  <si>
    <t>GiantMook</t>
  </si>
  <si>
    <t>GoshdangItToHeck</t>
  </si>
  <si>
    <t>PlayingGertrude</t>
  </si>
  <si>
    <t>TheBigDamnKiss</t>
  </si>
  <si>
    <t>UglyGuyHotWife</t>
  </si>
  <si>
    <t>UpperClassTwit</t>
  </si>
  <si>
    <t>VictoriasSecretCompartment</t>
  </si>
  <si>
    <t>BadassInANiceSuit</t>
  </si>
  <si>
    <t>CanNotSpitItOut</t>
  </si>
  <si>
    <t>ChekhovsGag</t>
  </si>
  <si>
    <t>MemeticMutation</t>
  </si>
  <si>
    <t>MuggedForDisguise</t>
  </si>
  <si>
    <t>RealityHasNoSubtitles</t>
  </si>
  <si>
    <t>ShrinkingViolet</t>
  </si>
  <si>
    <t>StableTimeLoop</t>
  </si>
  <si>
    <t>TheLeader</t>
  </si>
  <si>
    <t>VideoCredits</t>
  </si>
  <si>
    <t>DeathByChildbirth</t>
  </si>
  <si>
    <t>DownerBeginning</t>
  </si>
  <si>
    <t>EngineeredPublicConfession</t>
  </si>
  <si>
    <t>FeetFirstIntroduction</t>
  </si>
  <si>
    <t>IncurableCoughOfDeath</t>
  </si>
  <si>
    <t>MalevolentMaskedMen</t>
  </si>
  <si>
    <t>RandomEventsPlot</t>
  </si>
  <si>
    <t>SherlockScan</t>
  </si>
  <si>
    <t>SophisticatedAsHell</t>
  </si>
  <si>
    <t>TragicKeepsake</t>
  </si>
  <si>
    <t>AdaptationalWimp</t>
  </si>
  <si>
    <t>AnnoyingYoungerSibling</t>
  </si>
  <si>
    <t>CanonDiscontinuity</t>
  </si>
  <si>
    <t>DuelToTheDeath</t>
  </si>
  <si>
    <t>HighClassGlass</t>
  </si>
  <si>
    <t>IHaveNoSon</t>
  </si>
  <si>
    <t>IntergenerationalFriendship</t>
  </si>
  <si>
    <t>OminousLatinChanting</t>
  </si>
  <si>
    <t>UrExample</t>
  </si>
  <si>
    <t>AmbiguouslyBi</t>
  </si>
  <si>
    <t>BungledSuicide</t>
  </si>
  <si>
    <t>LaughablyEvil</t>
  </si>
  <si>
    <t>MisplacedWildlife</t>
  </si>
  <si>
    <t>MonsterClown</t>
  </si>
  <si>
    <t>SuperSoldier</t>
  </si>
  <si>
    <t>SuperWindowJump</t>
  </si>
  <si>
    <t>TheXOfY</t>
  </si>
  <si>
    <t>ThrowItIn</t>
  </si>
  <si>
    <t>UnexplainedRecovery</t>
  </si>
  <si>
    <t>WouldntHurtAChild</t>
  </si>
  <si>
    <t>ATasteOfTheLash</t>
  </si>
  <si>
    <t>BigShutUp</t>
  </si>
  <si>
    <t>DeadStarWalking</t>
  </si>
  <si>
    <t>GoodGirlsAvoidAbortion</t>
  </si>
  <si>
    <t>HoYay</t>
  </si>
  <si>
    <t>LukeIAmYourFather</t>
  </si>
  <si>
    <t>NightmareFace</t>
  </si>
  <si>
    <t>SequelEscalation</t>
  </si>
  <si>
    <t>SirNotAppearingInThisTrailer</t>
  </si>
  <si>
    <t>SuicideByCop</t>
  </si>
  <si>
    <t>BadassBeard</t>
  </si>
  <si>
    <t>DancePartyEnding</t>
  </si>
  <si>
    <t>DarkIsEvil</t>
  </si>
  <si>
    <t>DescriptionCut</t>
  </si>
  <si>
    <t>FriendlyEnemy</t>
  </si>
  <si>
    <t>GenreThrowback</t>
  </si>
  <si>
    <t>GodzillaThreshold</t>
  </si>
  <si>
    <t>ItWorksBetterWithBullets</t>
  </si>
  <si>
    <t>KilledOffForReal</t>
  </si>
  <si>
    <t>KillTheCutie</t>
  </si>
  <si>
    <t>MissionControl</t>
  </si>
  <si>
    <t>MyCarHatesMe</t>
  </si>
  <si>
    <t>PlayingWithATrope</t>
  </si>
  <si>
    <t>SpoiledBrat</t>
  </si>
  <si>
    <t>ArtisticLicense</t>
  </si>
  <si>
    <t>BigLippedAlligatorMoment</t>
  </si>
  <si>
    <t>ButForMeItWasTuesday</t>
  </si>
  <si>
    <t>DudeNotFunny</t>
  </si>
  <si>
    <t>EiffelTowerEffect</t>
  </si>
  <si>
    <t>EpicMovie</t>
  </si>
  <si>
    <t>HardWorkMontage</t>
  </si>
  <si>
    <t>HollywoodNerd</t>
  </si>
  <si>
    <t>HotBlooded</t>
  </si>
  <si>
    <t>LiteralMinded</t>
  </si>
  <si>
    <t>MistakenForCheating</t>
  </si>
  <si>
    <t>MundaneUtility</t>
  </si>
  <si>
    <t>NotUsingTheZWord</t>
  </si>
  <si>
    <t>StartOfDarkness</t>
  </si>
  <si>
    <t>TheFundamentalist</t>
  </si>
  <si>
    <t>TraumaCongaLine</t>
  </si>
  <si>
    <t>AdamWesting</t>
  </si>
  <si>
    <t>BreadEggsMilkSquick</t>
  </si>
  <si>
    <t>ControlFreak</t>
  </si>
  <si>
    <t>ILied</t>
  </si>
  <si>
    <t>SameLanguageDub</t>
  </si>
  <si>
    <t>SpitTake</t>
  </si>
  <si>
    <t>TheWorfEffect</t>
  </si>
  <si>
    <t>TrademarkFavoriteFood</t>
  </si>
  <si>
    <t>VigilanteMan</t>
  </si>
  <si>
    <t>WhatTheHellIsThatAccent</t>
  </si>
  <si>
    <t>Greed</t>
  </si>
  <si>
    <t>PantyShot</t>
  </si>
  <si>
    <t>TeensAreMonsters</t>
  </si>
  <si>
    <t>TheHeavy</t>
  </si>
  <si>
    <t>TheRemake</t>
  </si>
  <si>
    <t>YankTheDogsChain</t>
  </si>
  <si>
    <t>BriefcaseFullOfMoney</t>
  </si>
  <si>
    <t>CoolPlane</t>
  </si>
  <si>
    <t>FourTemperamentEnsemble</t>
  </si>
  <si>
    <t>GenreBusting</t>
  </si>
  <si>
    <t>SharpDressedMan</t>
  </si>
  <si>
    <t>SurroundedByIdiots</t>
  </si>
  <si>
    <t>ThatManIsDead</t>
  </si>
  <si>
    <t>TheRival</t>
  </si>
  <si>
    <t>TownWithADarkSecret</t>
  </si>
  <si>
    <t>AbortedArc</t>
  </si>
  <si>
    <t>AffectionateNickname</t>
  </si>
  <si>
    <t>BlownAcrossTheRoom</t>
  </si>
  <si>
    <t>CringeComedy</t>
  </si>
  <si>
    <t>DysfunctionalFamily</t>
  </si>
  <si>
    <t>EmbarrassingNickname</t>
  </si>
  <si>
    <t>GambitPileup</t>
  </si>
  <si>
    <t>GracefulLoser</t>
  </si>
  <si>
    <t>HollywoodAtheist</t>
  </si>
  <si>
    <t>HumanShield</t>
  </si>
  <si>
    <t>MinorCrimeRevealsMajorPlot</t>
  </si>
  <si>
    <t>Retraux</t>
  </si>
  <si>
    <t>StayInTheKitchen</t>
  </si>
  <si>
    <t>AnswerCut</t>
  </si>
  <si>
    <t>BadGuyBar</t>
  </si>
  <si>
    <t>ConMan</t>
  </si>
  <si>
    <t>DefeatMeansFriendship</t>
  </si>
  <si>
    <t>DesignatedGirlFight</t>
  </si>
  <si>
    <t>GambitRoulette</t>
  </si>
  <si>
    <t>KnightOfCerebus</t>
  </si>
  <si>
    <t>SlippingAMickey</t>
  </si>
  <si>
    <t>UnflinchingWalk</t>
  </si>
  <si>
    <t>YourMom</t>
  </si>
  <si>
    <t>AristocratsAreEvil</t>
  </si>
  <si>
    <t>BehindTheBlack</t>
  </si>
  <si>
    <t>ButNowIMustGo</t>
  </si>
  <si>
    <t>DeathFromAbove</t>
  </si>
  <si>
    <t>GreenAesop</t>
  </si>
  <si>
    <t>HappilyEverAfter</t>
  </si>
  <si>
    <t>IHaveYouNowMyPretty</t>
  </si>
  <si>
    <t>IllGirl</t>
  </si>
  <si>
    <t>LineOfSightName</t>
  </si>
  <si>
    <t>NiceToTheWaiter</t>
  </si>
  <si>
    <t>OurGhostsAreDifferent</t>
  </si>
  <si>
    <t>PairTheSpares</t>
  </si>
  <si>
    <t>RoadTripPlot</t>
  </si>
  <si>
    <t>Skinnydipping</t>
  </si>
  <si>
    <t>SpottingTheThread</t>
  </si>
  <si>
    <t>TimePassesMontage</t>
  </si>
  <si>
    <t>Tsundere</t>
  </si>
  <si>
    <t>AllPartOfTheShow</t>
  </si>
  <si>
    <t>AteHisGun</t>
  </si>
  <si>
    <t>CharacterTitle</t>
  </si>
  <si>
    <t>IAteWhat</t>
  </si>
  <si>
    <t>MostWritersAreWriters</t>
  </si>
  <si>
    <t>PlotArmor</t>
  </si>
  <si>
    <t>PrettyBoy</t>
  </si>
  <si>
    <t>SpellMyNameWithAnS</t>
  </si>
  <si>
    <t>TakeOverTheWorld</t>
  </si>
  <si>
    <t>ThemeNaming</t>
  </si>
  <si>
    <t>BadassBystander</t>
  </si>
  <si>
    <t>BadassPreacher</t>
  </si>
  <si>
    <t>BulletproofVest</t>
  </si>
  <si>
    <t>DiscOneFinalBoss</t>
  </si>
  <si>
    <t>EpicTrackingShot</t>
  </si>
  <si>
    <t>FacePalm</t>
  </si>
  <si>
    <t>LeftHanging</t>
  </si>
  <si>
    <t>LoveDodecahedron</t>
  </si>
  <si>
    <t>MadeOfPlasticine</t>
  </si>
  <si>
    <t>Malaproper</t>
  </si>
  <si>
    <t>ScreamsLikeALittleGirl</t>
  </si>
  <si>
    <t>UptownGirl</t>
  </si>
  <si>
    <t>WildTeenParty</t>
  </si>
  <si>
    <t>BadassDriver</t>
  </si>
  <si>
    <t>BattleInTheRain</t>
  </si>
  <si>
    <t>CoDragons</t>
  </si>
  <si>
    <t>HeroesWantRedHeads</t>
  </si>
  <si>
    <t>HospitalHottie</t>
  </si>
  <si>
    <t>HumansAreTheRealMonsters</t>
  </si>
  <si>
    <t>ImpairmentShot</t>
  </si>
  <si>
    <t>JustPlaneWrong</t>
  </si>
  <si>
    <t>LadyInRed</t>
  </si>
  <si>
    <t>OneLastJob</t>
  </si>
  <si>
    <t>OscarBait</t>
  </si>
  <si>
    <t>ParentsAsPeople</t>
  </si>
  <si>
    <t>RemakeCameo</t>
  </si>
  <si>
    <t>SatelliteLoveInterest</t>
  </si>
  <si>
    <t>SnowMeansDeath</t>
  </si>
  <si>
    <t>StealthInsult</t>
  </si>
  <si>
    <t>StiffUpperLip</t>
  </si>
  <si>
    <t>TheLoinsSleepTonight</t>
  </si>
  <si>
    <t>AerithAndBob</t>
  </si>
  <si>
    <t>BeautyEqualsGoodness</t>
  </si>
  <si>
    <t>BookDumb</t>
  </si>
  <si>
    <t>BulletTime</t>
  </si>
  <si>
    <t>DirtyCommunists</t>
  </si>
  <si>
    <t>EliteMooks</t>
  </si>
  <si>
    <t>FalseFlagOperation</t>
  </si>
  <si>
    <t>HalfwayPlotSwitch</t>
  </si>
  <si>
    <t>ItIsPronouncedTroPay</t>
  </si>
  <si>
    <t>LatexPerfection</t>
  </si>
  <si>
    <t>TimeshiftedActor</t>
  </si>
  <si>
    <t>TomboyAndGirlyGirl</t>
  </si>
  <si>
    <t>TorchesAndPitchforks</t>
  </si>
  <si>
    <t>YoureInsane</t>
  </si>
  <si>
    <t>BeardOfSorrow</t>
  </si>
  <si>
    <t>BlackAndGreyMorality</t>
  </si>
  <si>
    <t>ClingyJealousGirl</t>
  </si>
  <si>
    <t>ConspicuousCG</t>
  </si>
  <si>
    <t>DenserAndWackier</t>
  </si>
  <si>
    <t>DepravedHomosexual</t>
  </si>
  <si>
    <t>GeniusBruiser</t>
  </si>
  <si>
    <t>IdleRich</t>
  </si>
  <si>
    <t>IJustWantToBeNormal</t>
  </si>
  <si>
    <t>NonActionGuy</t>
  </si>
  <si>
    <t>SingleWomanSeeksGoodMan</t>
  </si>
  <si>
    <t>WhatCouldHaveBeen</t>
  </si>
  <si>
    <t>AdaptationInducedPlothole</t>
  </si>
  <si>
    <t>BlackAndWhiteMorality</t>
  </si>
  <si>
    <t>ColdSniper</t>
  </si>
  <si>
    <t>CoolTeacher</t>
  </si>
  <si>
    <t>DoubleSubverted</t>
  </si>
  <si>
    <t>DramaticThunder</t>
  </si>
  <si>
    <t>DrivingADesk</t>
  </si>
  <si>
    <t>INeverSaidItWasPoison</t>
  </si>
  <si>
    <t>MurderIsTheBestSolution</t>
  </si>
  <si>
    <t>NumberTwo</t>
  </si>
  <si>
    <t>RewardedAsATraitorDeserves</t>
  </si>
  <si>
    <t>ShovelStrike</t>
  </si>
  <si>
    <t>SmallRoleBigImpact</t>
  </si>
  <si>
    <t>TheCaper</t>
  </si>
  <si>
    <t>TheMusical</t>
  </si>
  <si>
    <t>TomatoInTheMirror</t>
  </si>
  <si>
    <t>UnfortunateNames</t>
  </si>
  <si>
    <t>AintTooProudToBeg</t>
  </si>
  <si>
    <t>AllWomenAreLustful</t>
  </si>
  <si>
    <t>AndThisIsFor</t>
  </si>
  <si>
    <t>BigBadWannabe</t>
  </si>
  <si>
    <t>BlessedWithSuck</t>
  </si>
  <si>
    <t>ChuckCunninghamSyndrome</t>
  </si>
  <si>
    <t>CorruptHick</t>
  </si>
  <si>
    <t>DisposableFiance</t>
  </si>
  <si>
    <t>EnfantTerrible</t>
  </si>
  <si>
    <t>GorgeousPeriodDress</t>
  </si>
  <si>
    <t>IncestSubtext</t>
  </si>
  <si>
    <t>InstantSedation</t>
  </si>
  <si>
    <t>PoliticallyIncorrectHero</t>
  </si>
  <si>
    <t>ScreamingWoman</t>
  </si>
  <si>
    <t>SetRightWhatOnceWentWrong</t>
  </si>
  <si>
    <t>TheUnintelligible</t>
  </si>
  <si>
    <t>TroublingUnchildlikeBehavior</t>
  </si>
  <si>
    <t>Zeerust</t>
  </si>
  <si>
    <t>CarChase</t>
  </si>
  <si>
    <t>ComicBookAdaptation</t>
  </si>
  <si>
    <t>FiveSecondForeshadowing</t>
  </si>
  <si>
    <t>GoodSmokingEvilSmoking</t>
  </si>
  <si>
    <t>HeldGaze</t>
  </si>
  <si>
    <t>HorribleJudgeOfCharacter</t>
  </si>
  <si>
    <t>InterspeciesRomance</t>
  </si>
  <si>
    <t>JustFollowingOrders</t>
  </si>
  <si>
    <t>Kaiju</t>
  </si>
  <si>
    <t>LightningBruiser</t>
  </si>
  <si>
    <t>NamedByTheAdaptation</t>
  </si>
  <si>
    <t>NoFourthWall</t>
  </si>
  <si>
    <t>NoOneGetsLeftBehind</t>
  </si>
  <si>
    <t>OddCouple</t>
  </si>
  <si>
    <t>ProtagonistCenteredMorality</t>
  </si>
  <si>
    <t>WeUsedToBeFriends</t>
  </si>
  <si>
    <t>AbsurdlySharpBlade</t>
  </si>
  <si>
    <t>AntiClimax</t>
  </si>
  <si>
    <t>BrattyTeenageDaughter</t>
  </si>
  <si>
    <t>BuxomIsBetter</t>
  </si>
  <si>
    <t>CoincidentalBroadcast</t>
  </si>
  <si>
    <t>ColorMotif</t>
  </si>
  <si>
    <t>CrossesTheLineTwice</t>
  </si>
  <si>
    <t>DeepSouth</t>
  </si>
  <si>
    <t>DynamicEntry</t>
  </si>
  <si>
    <t>EverythingsBetterWithMonkeys</t>
  </si>
  <si>
    <t>GeneralRipper</t>
  </si>
  <si>
    <t>HumanPopsicle</t>
  </si>
  <si>
    <t>MediumAwareness</t>
  </si>
  <si>
    <t>ObfuscatingDisability</t>
  </si>
  <si>
    <t>OutlivingOnesOffspring</t>
  </si>
  <si>
    <t>PistolWhipping</t>
  </si>
  <si>
    <t>RaceForYourLove</t>
  </si>
  <si>
    <t>RefusalOfTheCall</t>
  </si>
  <si>
    <t>SenselessSacrifice</t>
  </si>
  <si>
    <t>SlasherMovie</t>
  </si>
  <si>
    <t>TeamMom</t>
  </si>
  <si>
    <t>TeethClenchedTeamwork</t>
  </si>
  <si>
    <t>TheVirus</t>
  </si>
  <si>
    <t>WickedStepmother</t>
  </si>
  <si>
    <t>YouCantFightFate</t>
  </si>
  <si>
    <t>YouHaveToBelieveMe</t>
  </si>
  <si>
    <t>BadassBiker</t>
  </si>
  <si>
    <t>DangerTakesABackSeat</t>
  </si>
  <si>
    <t>GoOutWithASmile</t>
  </si>
  <si>
    <t>HamToHamCombat</t>
  </si>
  <si>
    <t>HotScientist</t>
  </si>
  <si>
    <t>IChooseToStay</t>
  </si>
  <si>
    <t>ImpersonatingAnOfficer</t>
  </si>
  <si>
    <t>InnocentlyInsensitive</t>
  </si>
  <si>
    <t>InterruptedIntimacy</t>
  </si>
  <si>
    <t>Justified</t>
  </si>
  <si>
    <t>KnightInSourArmor</t>
  </si>
  <si>
    <t>KnowWhenToFoldEm</t>
  </si>
  <si>
    <t>LastOfHisKind</t>
  </si>
  <si>
    <t>LesCollaborateurs</t>
  </si>
  <si>
    <t>NerdGlasses</t>
  </si>
  <si>
    <t>StockScream</t>
  </si>
  <si>
    <t>BrilliantButLazy</t>
  </si>
  <si>
    <t>ComedicSociopathy</t>
  </si>
  <si>
    <t>ContinuitySnarl</t>
  </si>
  <si>
    <t>CrapsaccharineWorld</t>
  </si>
  <si>
    <t>DistantFinale</t>
  </si>
  <si>
    <t>DoubleTake</t>
  </si>
  <si>
    <t>GoMadFromTheRevelation</t>
  </si>
  <si>
    <t>GoodScarsEvilScars</t>
  </si>
  <si>
    <t>LeeroyJenkins</t>
  </si>
  <si>
    <t>Narm</t>
  </si>
  <si>
    <t>OutGambitted</t>
  </si>
  <si>
    <t>RealMenWearPink</t>
  </si>
  <si>
    <t>TechnoBabble</t>
  </si>
  <si>
    <t>TheComicallySerious</t>
  </si>
  <si>
    <t>WomenAreWiser</t>
  </si>
  <si>
    <t>AcePilot</t>
  </si>
  <si>
    <t>AdaptationPersonalityChange</t>
  </si>
  <si>
    <t>ArtShift</t>
  </si>
  <si>
    <t>BaldOfAwesome</t>
  </si>
  <si>
    <t>BecauseYouWereNiceToMe</t>
  </si>
  <si>
    <t>CaliforniaDoubling</t>
  </si>
  <si>
    <t>FamilyUnfriendlyDeath</t>
  </si>
  <si>
    <t>GoodPeopleHaveGoodSex</t>
  </si>
  <si>
    <t>HelloNurse</t>
  </si>
  <si>
    <t>MeanBoss</t>
  </si>
  <si>
    <t>ShapedLikeItself</t>
  </si>
  <si>
    <t>SocietyMarchesOn</t>
  </si>
  <si>
    <t>ThouShaltNotKill</t>
  </si>
  <si>
    <t>XanatosGambit</t>
  </si>
  <si>
    <t>XanatosSpeedChess</t>
  </si>
  <si>
    <t>AlternateHistory</t>
  </si>
  <si>
    <t>CampStraight</t>
  </si>
  <si>
    <t>ChristianityIsCatholic</t>
  </si>
  <si>
    <t>Gaslighting</t>
  </si>
  <si>
    <t>GetAHoldOfYourselfMan</t>
  </si>
  <si>
    <t>HarmfulToMinors</t>
  </si>
  <si>
    <t>HeroStoleMyBike</t>
  </si>
  <si>
    <t>IdenticalStranger</t>
  </si>
  <si>
    <t>IfICantHaveYou</t>
  </si>
  <si>
    <t>LadyDrunk</t>
  </si>
  <si>
    <t>LettingHerHairDown</t>
  </si>
  <si>
    <t>MutualKill</t>
  </si>
  <si>
    <t>NiceGirl</t>
  </si>
  <si>
    <t>NoAnimalsWereHarmed</t>
  </si>
  <si>
    <t>SesquipedalianLoquaciousness</t>
  </si>
  <si>
    <t>ThemeMusicPowerUp</t>
  </si>
  <si>
    <t>ThereAreNoTherapists</t>
  </si>
  <si>
    <t>TraumaticHaircut</t>
  </si>
  <si>
    <t>TropeNamers</t>
  </si>
  <si>
    <t>WeHaveReserves</t>
  </si>
  <si>
    <t>ArtifactTitle</t>
  </si>
  <si>
    <t>AskAStupidQuestion</t>
  </si>
  <si>
    <t>BiggerIsBetterInBed</t>
  </si>
  <si>
    <t>CigaretteOfAnxiety</t>
  </si>
  <si>
    <t>DisposableSexWorker</t>
  </si>
  <si>
    <t>FlatCharacter</t>
  </si>
  <si>
    <t>FriendToAllLivingThings</t>
  </si>
  <si>
    <t>KatanasAreJustBetter</t>
  </si>
  <si>
    <t>LoveRedeems</t>
  </si>
  <si>
    <t>PoliticallyCorrectHistory</t>
  </si>
  <si>
    <t>RealityWarper</t>
  </si>
  <si>
    <t>RescueRomance</t>
  </si>
  <si>
    <t>SexySecretary</t>
  </si>
  <si>
    <t>TeacherStudentRomance</t>
  </si>
  <si>
    <t>TrashTheSet</t>
  </si>
  <si>
    <t>ApatheticCitizens</t>
  </si>
  <si>
    <t>Backstory</t>
  </si>
  <si>
    <t>DisasterDominoes</t>
  </si>
  <si>
    <t>Discussed</t>
  </si>
  <si>
    <t>DramaticUnmask</t>
  </si>
  <si>
    <t>ElaborateUndergroundBase</t>
  </si>
  <si>
    <t>EverybodySmokes</t>
  </si>
  <si>
    <t>FirstNameBasis</t>
  </si>
  <si>
    <t>GadgeteerGenius</t>
  </si>
  <si>
    <t>GagPenis</t>
  </si>
  <si>
    <t>GirlPosse</t>
  </si>
  <si>
    <t>HiddenInPlainSight</t>
  </si>
  <si>
    <t>MookHorrorShow</t>
  </si>
  <si>
    <t>NumberedSequels</t>
  </si>
  <si>
    <t>OminousFog</t>
  </si>
  <si>
    <t>OmnicidalManiac</t>
  </si>
  <si>
    <t>RevolversAreJustBetter</t>
  </si>
  <si>
    <t>SecretKeeper</t>
  </si>
  <si>
    <t>SexyBacklessOutfit</t>
  </si>
  <si>
    <t>SingleTear</t>
  </si>
  <si>
    <t>SmartPeoplePlayChess</t>
  </si>
  <si>
    <t>StockholmSyndrome</t>
  </si>
  <si>
    <t>ThePeepingTom</t>
  </si>
  <si>
    <t>WhatMeasureIsANonHuman</t>
  </si>
  <si>
    <t>WholesomeCrossdresser</t>
  </si>
  <si>
    <t>WritersCannotDoMath</t>
  </si>
  <si>
    <t>YouShallNotPass</t>
  </si>
  <si>
    <t>BearsAreBadNews</t>
  </si>
  <si>
    <t>ChairmanOfTheBrawl</t>
  </si>
  <si>
    <t>ColonelBadass</t>
  </si>
  <si>
    <t>DanceOfRomance</t>
  </si>
  <si>
    <t>DeathByCameo</t>
  </si>
  <si>
    <t>DeathTrap</t>
  </si>
  <si>
    <t>EldritchLocation</t>
  </si>
  <si>
    <t>EndOfAnAge</t>
  </si>
  <si>
    <t>HeroWithBadPublicity</t>
  </si>
  <si>
    <t>HollywoodSilencer</t>
  </si>
  <si>
    <t>LiteralMetaphor</t>
  </si>
  <si>
    <t>MirrorScare</t>
  </si>
  <si>
    <t>ObliviousToLove</t>
  </si>
  <si>
    <t>PeriodPiece</t>
  </si>
  <si>
    <t>PlayedStraight</t>
  </si>
  <si>
    <t>Pride</t>
  </si>
  <si>
    <t>PuttingOnTheReich</t>
  </si>
  <si>
    <t>ResetButton</t>
  </si>
  <si>
    <t>SociopathicSoldier</t>
  </si>
  <si>
    <t>SuperPersistentPredator</t>
  </si>
  <si>
    <t>TakeOurWordForIt</t>
  </si>
  <si>
    <t>YourDaysAreNumbered</t>
  </si>
  <si>
    <t>AlwaysChaoticEvil</t>
  </si>
  <si>
    <t>ATeamFiring</t>
  </si>
  <si>
    <t>BrattyHalfPint</t>
  </si>
  <si>
    <t>ChekhovsBoomerang</t>
  </si>
  <si>
    <t>ChildhoodFriendRomance</t>
  </si>
  <si>
    <t>DeadPersonImpersonation</t>
  </si>
  <si>
    <t>DVDCommentary</t>
  </si>
  <si>
    <t>ExplainExplainOhCrap</t>
  </si>
  <si>
    <t>GoodAdulteryBadAdultery</t>
  </si>
  <si>
    <t>GrandFinale</t>
  </si>
  <si>
    <t>ILoveTheDead</t>
  </si>
  <si>
    <t>JumpingOffTheSlipperySlope</t>
  </si>
  <si>
    <t>KavorkaMan</t>
  </si>
  <si>
    <t>LipstickLesbian</t>
  </si>
  <si>
    <t>MessianicArchetype</t>
  </si>
  <si>
    <t>MoralMyopia</t>
  </si>
  <si>
    <t>NewMeat</t>
  </si>
  <si>
    <t>SkywardScream</t>
  </si>
  <si>
    <t>ThatCameOutWrong</t>
  </si>
  <si>
    <t>TheChewToy</t>
  </si>
  <si>
    <t>TheIngenue</t>
  </si>
  <si>
    <t>TragicVillain</t>
  </si>
  <si>
    <t>UncannyValley</t>
  </si>
  <si>
    <t>AudienceSurrogate</t>
  </si>
  <si>
    <t>BadassCrew</t>
  </si>
  <si>
    <t>CanadaEh</t>
  </si>
  <si>
    <t>ChildByRape</t>
  </si>
  <si>
    <t>ConvectionSchmonvection</t>
  </si>
  <si>
    <t>CoolAndUnusualPunishment</t>
  </si>
  <si>
    <t>CycleOfRevenge</t>
  </si>
  <si>
    <t>DeadlyEuphemism</t>
  </si>
  <si>
    <t>EvilCripple</t>
  </si>
  <si>
    <t>Flynning</t>
  </si>
  <si>
    <t>GallowsHumor</t>
  </si>
  <si>
    <t>GoryDeadlyOverkillTitleOfFatalDeath</t>
  </si>
  <si>
    <t>HotterAndSexier</t>
  </si>
  <si>
    <t>OpeningMonologue</t>
  </si>
  <si>
    <t>PatrioticFervor</t>
  </si>
  <si>
    <t>RabidCop</t>
  </si>
  <si>
    <t>SerialEscalation</t>
  </si>
  <si>
    <t>TamperingWithFoodAndDrink</t>
  </si>
  <si>
    <t>TheGuardsMustBeCrazy</t>
  </si>
  <si>
    <t>TheSheriff</t>
  </si>
  <si>
    <t>WithFriendsLikeThese</t>
  </si>
  <si>
    <t>AmbiguouslyJewish</t>
  </si>
  <si>
    <t>AmericaSavesTheDay</t>
  </si>
  <si>
    <t>BigScrewedUpFamily</t>
  </si>
  <si>
    <t>Camp</t>
  </si>
  <si>
    <t>CasualDangerDialogue</t>
  </si>
  <si>
    <t>CreepyDoll</t>
  </si>
  <si>
    <t>CrowdSong</t>
  </si>
  <si>
    <t>CruelMercy</t>
  </si>
  <si>
    <t>DecompositeCharacter</t>
  </si>
  <si>
    <t>GoodParents</t>
  </si>
  <si>
    <t>HumongousMecha</t>
  </si>
  <si>
    <t>MacGyvering</t>
  </si>
  <si>
    <t>MauveShirt</t>
  </si>
  <si>
    <t>NinjaPirateZombieRobot</t>
  </si>
  <si>
    <t>PowerWalk</t>
  </si>
  <si>
    <t>RememberTheNewGuy</t>
  </si>
  <si>
    <t>SexySoakedShirt</t>
  </si>
  <si>
    <t>SomethingElseAlsoRises</t>
  </si>
  <si>
    <t>SpinningPaper</t>
  </si>
  <si>
    <t>TheGunslinger</t>
  </si>
  <si>
    <t>TheNeidermeyer</t>
  </si>
  <si>
    <t>TheTheTitle</t>
  </si>
  <si>
    <t>BlueAndOrangeMorality</t>
  </si>
  <si>
    <t>BoisterousBruiser</t>
  </si>
  <si>
    <t>BreakThemByTalking</t>
  </si>
  <si>
    <t>CasanovaWannabe</t>
  </si>
  <si>
    <t>CreepyMonotone</t>
  </si>
  <si>
    <t>FelonyMisdemeanor</t>
  </si>
  <si>
    <t>GenreBlindness</t>
  </si>
  <si>
    <t>God</t>
  </si>
  <si>
    <t>GrandTheftMe</t>
  </si>
  <si>
    <t>HeelFaceDoorSlam</t>
  </si>
  <si>
    <t>SuperSpeed</t>
  </si>
  <si>
    <t>TheMafiya</t>
  </si>
  <si>
    <t>VillainousRescue</t>
  </si>
  <si>
    <t>WhereTheHellIsSpringfield</t>
  </si>
  <si>
    <t>WorldOfSnark</t>
  </si>
  <si>
    <t>AbsoluteCleavage</t>
  </si>
  <si>
    <t>AloneWithThePsycho</t>
  </si>
  <si>
    <t>AmicableExes</t>
  </si>
  <si>
    <t>ApologeticAttacker</t>
  </si>
  <si>
    <t>AttackItsWeakPoint</t>
  </si>
  <si>
    <t>ChildSoldiers</t>
  </si>
  <si>
    <t>CoolBike</t>
  </si>
  <si>
    <t>CoolSword</t>
  </si>
  <si>
    <t>FacelessGoons</t>
  </si>
  <si>
    <t>ForeignRemake</t>
  </si>
  <si>
    <t>GrayRainOfDepression</t>
  </si>
  <si>
    <t>IdenticalGrandson</t>
  </si>
  <si>
    <t>IKnowYoureInThereSomewhereFight</t>
  </si>
  <si>
    <t>InformedFlaw</t>
  </si>
  <si>
    <t>JustBetweenYouAndMe</t>
  </si>
  <si>
    <t>MagicalNegro</t>
  </si>
  <si>
    <t>NeutralFemale</t>
  </si>
  <si>
    <t>ScrewTheRulesIHaveConnections</t>
  </si>
  <si>
    <t>ShooOutTheClowns</t>
  </si>
  <si>
    <t>SplashOfColor</t>
  </si>
  <si>
    <t>SplitPersonality</t>
  </si>
  <si>
    <t>TheVoice</t>
  </si>
  <si>
    <t>UnsympatheticComedyProtagonist</t>
  </si>
  <si>
    <t>YouAreBetterThanYouThinkYouAre</t>
  </si>
  <si>
    <t>GloryDays</t>
  </si>
  <si>
    <t>HauntedHouse</t>
  </si>
  <si>
    <t>ITakeOffenseToThatLastOne</t>
  </si>
  <si>
    <t>Meganekko</t>
  </si>
  <si>
    <t>OneWomanWail</t>
  </si>
  <si>
    <t>RightBehindMe</t>
  </si>
  <si>
    <t>SadistTeacher</t>
  </si>
  <si>
    <t>SexlessMarriage</t>
  </si>
  <si>
    <t>StupidEvil</t>
  </si>
  <si>
    <t>TheEndingChangesEverything</t>
  </si>
  <si>
    <t>ThePowerOfFriendship</t>
  </si>
  <si>
    <t>AuthorTract</t>
  </si>
  <si>
    <t>AvoidTheDreadedGRating</t>
  </si>
  <si>
    <t>CollapsingLair</t>
  </si>
  <si>
    <t>DecapitationPresentation</t>
  </si>
  <si>
    <t>FallenOnHardTimesJob</t>
  </si>
  <si>
    <t>GenkiGirl</t>
  </si>
  <si>
    <t>HighPressureBlood</t>
  </si>
  <si>
    <t>HollywoodHacking</t>
  </si>
  <si>
    <t>JurisdictionFriction</t>
  </si>
  <si>
    <t>KillSat</t>
  </si>
  <si>
    <t>LawOfInverseFertility</t>
  </si>
  <si>
    <t>LegacyCharacter</t>
  </si>
  <si>
    <t>LyricalDissonance</t>
  </si>
  <si>
    <t>MathematiciansAnswer</t>
  </si>
  <si>
    <t>ModestyBedsheet</t>
  </si>
  <si>
    <t>NobodyPoops</t>
  </si>
  <si>
    <t>NonActionBigBad</t>
  </si>
  <si>
    <t>NotHisSled</t>
  </si>
  <si>
    <t>OddFriendship</t>
  </si>
  <si>
    <t>RammingAlwaysWorks</t>
  </si>
  <si>
    <t>SamusIsAGirl</t>
  </si>
  <si>
    <t>ShowSomeLeg</t>
  </si>
  <si>
    <t>SlutShaming</t>
  </si>
  <si>
    <t>SurrealHorror</t>
  </si>
  <si>
    <t>TheCavalryArrivesLate</t>
  </si>
  <si>
    <t>WorldWarIII</t>
  </si>
  <si>
    <t>WouldntHitAGirl</t>
  </si>
  <si>
    <t>AlienBlood</t>
  </si>
  <si>
    <t>AmbitionIsEvil</t>
  </si>
  <si>
    <t>BestialityIsDepraved</t>
  </si>
  <si>
    <t>BrainyBrunette</t>
  </si>
  <si>
    <t>BriefAccentImitation</t>
  </si>
  <si>
    <t>BroadStrokes</t>
  </si>
  <si>
    <t>CompressedAdaptation</t>
  </si>
  <si>
    <t>DoubleSubversion</t>
  </si>
  <si>
    <t>DramaticDrop</t>
  </si>
  <si>
    <t>EvilSorcerer</t>
  </si>
  <si>
    <t>Flanderization</t>
  </si>
  <si>
    <t>GratuitousFrench</t>
  </si>
  <si>
    <t>GrossUpCloseUp</t>
  </si>
  <si>
    <t>HannibalLecture</t>
  </si>
  <si>
    <t>IronicName</t>
  </si>
  <si>
    <t>JerkWithAHeartOfJerk</t>
  </si>
  <si>
    <t>JobTitle</t>
  </si>
  <si>
    <t>LoveMakesYouEvil</t>
  </si>
  <si>
    <t>MoeGreeneSpecial</t>
  </si>
  <si>
    <t>PocketProtector</t>
  </si>
  <si>
    <t>PublicDomainSoundtrack</t>
  </si>
  <si>
    <t>YouCantGoHomeAgain</t>
  </si>
  <si>
    <t>YoungerThanTheyLook</t>
  </si>
  <si>
    <t>AlternativeForeignThemeSong</t>
  </si>
  <si>
    <t>AscendToAHigherPlaneOfExistence</t>
  </si>
  <si>
    <t>AudibleSharpness</t>
  </si>
  <si>
    <t>BedlamHouse</t>
  </si>
  <si>
    <t>BlastingItOutOfTheirHands</t>
  </si>
  <si>
    <t>BlindWithoutEm</t>
  </si>
  <si>
    <t>BrownNote</t>
  </si>
  <si>
    <t>ButchLesbian</t>
  </si>
  <si>
    <t>CellPhonesAreUseless</t>
  </si>
  <si>
    <t>DoubleStandardRapeFemaleOnMale</t>
  </si>
  <si>
    <t>ElectricTorture</t>
  </si>
  <si>
    <t>FlatWhat</t>
  </si>
  <si>
    <t>FoolishSiblingResponsibleSibling</t>
  </si>
  <si>
    <t>InnocentInnuendo</t>
  </si>
  <si>
    <t>JustForPun</t>
  </si>
  <si>
    <t>MacheteMayhem</t>
  </si>
  <si>
    <t>Mockumentary</t>
  </si>
  <si>
    <t>ModestyTowel</t>
  </si>
  <si>
    <t>MohsScaleOfViolenceHardness</t>
  </si>
  <si>
    <t>NoOneCouldSurviveThat</t>
  </si>
  <si>
    <t>ObligatoryWarCrimeScene</t>
  </si>
  <si>
    <t>OffhandBackhand</t>
  </si>
  <si>
    <t>PlotTriggeringDeath</t>
  </si>
  <si>
    <t>PowerTrio</t>
  </si>
  <si>
    <t>Prequel</t>
  </si>
  <si>
    <t>ShotgunsAreJustBetter</t>
  </si>
  <si>
    <t>ThisIsReality</t>
  </si>
  <si>
    <t>AllOfTheOtherReindeer</t>
  </si>
  <si>
    <t>ClickHello</t>
  </si>
  <si>
    <t>CorruptPolitician</t>
  </si>
  <si>
    <t>CreepyBasement</t>
  </si>
  <si>
    <t>CyberPunk</t>
  </si>
  <si>
    <t>DisposableWoman</t>
  </si>
  <si>
    <t>DumbassHasAPoint</t>
  </si>
  <si>
    <t>EmbarrassingFirstName</t>
  </si>
  <si>
    <t>FalseReassurance</t>
  </si>
  <si>
    <t>FullFrontalAssault</t>
  </si>
  <si>
    <t>GenerationXerox</t>
  </si>
  <si>
    <t>HostageSituation</t>
  </si>
  <si>
    <t>HumanAliens</t>
  </si>
  <si>
    <t>ISurrenderSuckers</t>
  </si>
  <si>
    <t>OfficialCouple</t>
  </si>
  <si>
    <t>PintSizedPowerhouse</t>
  </si>
  <si>
    <t>PluckyGirl</t>
  </si>
  <si>
    <t>RedBaron</t>
  </si>
  <si>
    <t>Sadist</t>
  </si>
  <si>
    <t>SceneryCensor</t>
  </si>
  <si>
    <t>SeanConneryIsAboutToShootYou</t>
  </si>
  <si>
    <t>SeinfeldianConversation</t>
  </si>
  <si>
    <t>ShowerOfAngst</t>
  </si>
  <si>
    <t>SlidingScaleOfIdealismVsCynicism</t>
  </si>
  <si>
    <t>SoundOnlyDeath</t>
  </si>
  <si>
    <t>TheKenBurnsEffect</t>
  </si>
  <si>
    <t>ThirdPersonPerson</t>
  </si>
  <si>
    <t>AnythingThatMoves</t>
  </si>
  <si>
    <t>BackToBackBadasses</t>
  </si>
  <si>
    <t>BadassMustache</t>
  </si>
  <si>
    <t>Deconstructed</t>
  </si>
  <si>
    <t>EvilOldFolks</t>
  </si>
  <si>
    <t>FemaleGaze</t>
  </si>
  <si>
    <t>GoodCopBadCop</t>
  </si>
  <si>
    <t>GossipyHens</t>
  </si>
  <si>
    <t>HighHeelFaceTurn</t>
  </si>
  <si>
    <t>LeParkour</t>
  </si>
  <si>
    <t>PercussiveMaintenance</t>
  </si>
  <si>
    <t>SaveTheVillain</t>
  </si>
  <si>
    <t>SchizoTech</t>
  </si>
  <si>
    <t>SomethingOnlyTheyWouldSay</t>
  </si>
  <si>
    <t>TenMinuteRetirement</t>
  </si>
  <si>
    <t>ThePollyanna</t>
  </si>
  <si>
    <t>TheUnfettered</t>
  </si>
  <si>
    <t>YourPrincessIsInAnotherCastle</t>
  </si>
  <si>
    <t>AchillesHeel</t>
  </si>
  <si>
    <t>AndThenJohnWasAZombie</t>
  </si>
  <si>
    <t>AngryBlackMan</t>
  </si>
  <si>
    <t>ArbitrarySkepticism</t>
  </si>
  <si>
    <t>ArcSymbol</t>
  </si>
  <si>
    <t>AttackOfThe50FootWhatever</t>
  </si>
  <si>
    <t>BountyHunter</t>
  </si>
  <si>
    <t>CallingCard</t>
  </si>
  <si>
    <t>FiveFiveFive</t>
  </si>
  <si>
    <t>FreudianSlip</t>
  </si>
  <si>
    <t>FreudianTrio</t>
  </si>
  <si>
    <t>HellholePrison</t>
  </si>
  <si>
    <t>HeroicSecondWind</t>
  </si>
  <si>
    <t>InelegantBlubbering</t>
  </si>
  <si>
    <t>InformedAttractiveness</t>
  </si>
  <si>
    <t>ItHasBeenAnHonor</t>
  </si>
  <si>
    <t>ManInWhite</t>
  </si>
  <si>
    <t>OutWithABang</t>
  </si>
  <si>
    <t>Reconstruction</t>
  </si>
  <si>
    <t>RedScare</t>
  </si>
  <si>
    <t>SecondLove</t>
  </si>
  <si>
    <t>StuffedIntoTheFridge</t>
  </si>
  <si>
    <t>TankGoodness</t>
  </si>
  <si>
    <t>ThemeTuneCameo</t>
  </si>
  <si>
    <t>TortureTechnician</t>
  </si>
  <si>
    <t>AlternateTimeline</t>
  </si>
  <si>
    <t>AmazonBrigade</t>
  </si>
  <si>
    <t>Biopic</t>
  </si>
  <si>
    <t>CameBackWrong</t>
  </si>
  <si>
    <t>CantGetAwayWithNuthin</t>
  </si>
  <si>
    <t>CarCushion</t>
  </si>
  <si>
    <t>ChivalrousPervert</t>
  </si>
  <si>
    <t>CutLexLuthorACheck</t>
  </si>
  <si>
    <t>DareToBeBadass</t>
  </si>
  <si>
    <t>EeriePaleSkinnedBrunette</t>
  </si>
  <si>
    <t>ExcitedShowTitle</t>
  </si>
  <si>
    <t>FunWithSubtitles</t>
  </si>
  <si>
    <t>GeniusBonus</t>
  </si>
  <si>
    <t>GoodOldFisticuffs</t>
  </si>
  <si>
    <t>HilariousOuttakes</t>
  </si>
  <si>
    <t>ImpaledPalm</t>
  </si>
  <si>
    <t>ImplausibleDeniability</t>
  </si>
  <si>
    <t>LoveMakesYouCrazy</t>
  </si>
  <si>
    <t>NoOntologicalInertia</t>
  </si>
  <si>
    <t>SarcasticConfession</t>
  </si>
  <si>
    <t>SurvivorGuilt</t>
  </si>
  <si>
    <t>TheAntichrist</t>
  </si>
  <si>
    <t>TitledAfterTheSong</t>
  </si>
  <si>
    <t>TrustPassword</t>
  </si>
  <si>
    <t>VillainsOutShopping</t>
  </si>
  <si>
    <t>WiseBeyondTheirYears</t>
  </si>
  <si>
    <t>WorstAid</t>
  </si>
  <si>
    <t>AccidentalPervert</t>
  </si>
  <si>
    <t>AngryGuardDog</t>
  </si>
  <si>
    <t>AscendedFanboy</t>
  </si>
  <si>
    <t>BadLiar</t>
  </si>
  <si>
    <t>BashBrothers</t>
  </si>
  <si>
    <t>BigWhat</t>
  </si>
  <si>
    <t>ChildHater</t>
  </si>
  <si>
    <t>CultureClash</t>
  </si>
  <si>
    <t>DontGoInTheWoods</t>
  </si>
  <si>
    <t>DreamingOfThingsToCome</t>
  </si>
  <si>
    <t>DudeWheresMyRespect</t>
  </si>
  <si>
    <t>EveryoneLovesBlondes</t>
  </si>
  <si>
    <t>FoodPorn</t>
  </si>
  <si>
    <t>GreatEscape</t>
  </si>
  <si>
    <t>HellBentForLeather</t>
  </si>
  <si>
    <t>IgnoredExpert</t>
  </si>
  <si>
    <t>IncorruptiblePurePureness</t>
  </si>
  <si>
    <t>IneffectualSympatheticVillain</t>
  </si>
  <si>
    <t>LongList</t>
  </si>
  <si>
    <t>NeverLiveItDown</t>
  </si>
  <si>
    <t>NeverMessWithGranny</t>
  </si>
  <si>
    <t>NukeEm</t>
  </si>
  <si>
    <t>ParentalFavoritism</t>
  </si>
  <si>
    <t>PunBasedTitle</t>
  </si>
  <si>
    <t>RevisedEnding</t>
  </si>
  <si>
    <t>SequelGoesForeign</t>
  </si>
  <si>
    <t>SheIsAllGrownUp</t>
  </si>
  <si>
    <t>TeenPregnancy</t>
  </si>
  <si>
    <t>TheCuckooLanderWasRight</t>
  </si>
  <si>
    <t>UnderestimatingBadassery</t>
  </si>
  <si>
    <t>WhatMeasureIsAMook</t>
  </si>
  <si>
    <t>WrestlerInAllOfUs</t>
  </si>
  <si>
    <t>ZigZaggedTrope</t>
  </si>
  <si>
    <t>ActionizedSequel</t>
  </si>
  <si>
    <t>AllLoveIsUnrequited</t>
  </si>
  <si>
    <t>ANaziByAnyOtherName</t>
  </si>
  <si>
    <t>Angrish</t>
  </si>
  <si>
    <t>BankRobbery</t>
  </si>
  <si>
    <t>BasedOnAGreatBigLie</t>
  </si>
  <si>
    <t>CruelTwistEnding</t>
  </si>
  <si>
    <t>CueTheSun</t>
  </si>
  <si>
    <t>DawsonCasting</t>
  </si>
  <si>
    <t>DieHardOnAnX</t>
  </si>
  <si>
    <t>FaceFramedInShadow</t>
  </si>
  <si>
    <t>ICallItVera</t>
  </si>
  <si>
    <t>ImprobableInfantSurvival</t>
  </si>
  <si>
    <t>MissedHimByThatMuch</t>
  </si>
  <si>
    <t>RecycledSoundtrack</t>
  </si>
  <si>
    <t>Stripperiffic</t>
  </si>
  <si>
    <t>VertigoEffect</t>
  </si>
  <si>
    <t>WhipItGood</t>
  </si>
  <si>
    <t>WorstNewsJudgmentEver</t>
  </si>
  <si>
    <t>Yakuza</t>
  </si>
  <si>
    <t>ZombieInfectee</t>
  </si>
  <si>
    <t>AdaptationExplanationExtrication</t>
  </si>
  <si>
    <t>AmbiguouslyBrown</t>
  </si>
  <si>
    <t>ArmorIsUseless</t>
  </si>
  <si>
    <t>AStormIsComing</t>
  </si>
  <si>
    <t>BeYourself</t>
  </si>
  <si>
    <t>BilingualDialogue</t>
  </si>
  <si>
    <t>ByTheBookCop</t>
  </si>
  <si>
    <t>Cliffhanger</t>
  </si>
  <si>
    <t>CoolBigSis</t>
  </si>
  <si>
    <t>CorruptCop</t>
  </si>
  <si>
    <t>CriticalResearchFailure</t>
  </si>
  <si>
    <t>DysfunctionJunction</t>
  </si>
  <si>
    <t>ElitesAreMoreGlamorous</t>
  </si>
  <si>
    <t>HeroicSuicide</t>
  </si>
  <si>
    <t>HomoeroticSubtext</t>
  </si>
  <si>
    <t>JumpCut</t>
  </si>
  <si>
    <t>LastSecondWordSwap</t>
  </si>
  <si>
    <t>LonelyAtTheTop</t>
  </si>
  <si>
    <t>MonochromeCasting</t>
  </si>
  <si>
    <t>OrWasItADream</t>
  </si>
  <si>
    <t>PunchPunchPunchUhOh</t>
  </si>
  <si>
    <t>PunkInTheTrunk</t>
  </si>
  <si>
    <t>RagsToRiches</t>
  </si>
  <si>
    <t>SlobsVersusSnobs</t>
  </si>
  <si>
    <t>SomeoneToRememberHimBy</t>
  </si>
  <si>
    <t>StrawFeminist</t>
  </si>
  <si>
    <t>TheCaptain</t>
  </si>
  <si>
    <t>TheEnd</t>
  </si>
  <si>
    <t>TheGreatDepression</t>
  </si>
  <si>
    <t>TheImmodestOrgasm</t>
  </si>
  <si>
    <t>ThisCannotBe</t>
  </si>
  <si>
    <t>ArtificialLimbs</t>
  </si>
  <si>
    <t>ChildProdigy</t>
  </si>
  <si>
    <t>ChromosomeCasting</t>
  </si>
  <si>
    <t>ConspiracyTheorist</t>
  </si>
  <si>
    <t>DidntSeeThatComing</t>
  </si>
  <si>
    <t>DyingAsYourself</t>
  </si>
  <si>
    <t>EnforcedMethodActing</t>
  </si>
  <si>
    <t>EverybodysDeadDave</t>
  </si>
  <si>
    <t>EvilMatriarch</t>
  </si>
  <si>
    <t>GenreBlind</t>
  </si>
  <si>
    <t>HandOrObjectUnderwear</t>
  </si>
  <si>
    <t>HappyEndingOverride</t>
  </si>
  <si>
    <t>HistoricalBeautyUpdate</t>
  </si>
  <si>
    <t>IronicNurseryTune</t>
  </si>
  <si>
    <t>LaserGuidedAmnesia</t>
  </si>
  <si>
    <t>RapeAsBackstory</t>
  </si>
  <si>
    <t>ShutUpKirk</t>
  </si>
  <si>
    <t>SissyVillain</t>
  </si>
  <si>
    <t>SleepingSingle</t>
  </si>
  <si>
    <t>SlidingScaleOfComedyAndHorror</t>
  </si>
  <si>
    <t>SuddenlyVoiced</t>
  </si>
  <si>
    <t>TheCharmer</t>
  </si>
  <si>
    <t>TheHeart</t>
  </si>
  <si>
    <t>ThrownOutTheAirlock</t>
  </si>
  <si>
    <t>TokenEvilTeammate</t>
  </si>
  <si>
    <t>TokenRomance</t>
  </si>
  <si>
    <t>ToThePain</t>
  </si>
  <si>
    <t>TruerToTheText</t>
  </si>
  <si>
    <t>UncleTomfoolery</t>
  </si>
  <si>
    <t>ZanyScheme</t>
  </si>
  <si>
    <t>AlmightyJanitor</t>
  </si>
  <si>
    <t>AlternateContinuity</t>
  </si>
  <si>
    <t>AmazinglyEmbarrassingParents</t>
  </si>
  <si>
    <t>ArtisticLicenseAstronomy</t>
  </si>
  <si>
    <t>AwesomenessByAnalysis</t>
  </si>
  <si>
    <t>BaitTheDog</t>
  </si>
  <si>
    <t>Blackface</t>
  </si>
  <si>
    <t>ColdOpen</t>
  </si>
  <si>
    <t>ComfortingComforter</t>
  </si>
  <si>
    <t>DancesAndBalls</t>
  </si>
  <si>
    <t>DistressedDude</t>
  </si>
  <si>
    <t>Downplayed</t>
  </si>
  <si>
    <t>DramaticallyMissingThePoint</t>
  </si>
  <si>
    <t>Dystopia</t>
  </si>
  <si>
    <t>EtTuBrute</t>
  </si>
  <si>
    <t>FollowTheLeader</t>
  </si>
  <si>
    <t>GroundhogDayLoop</t>
  </si>
  <si>
    <t>HyperCompetentSidekick</t>
  </si>
  <si>
    <t>IOweYouMyLife</t>
  </si>
  <si>
    <t>LivingMacGuffin</t>
  </si>
  <si>
    <t>LoveEpiphany</t>
  </si>
  <si>
    <t>NoKillLikeOverkill</t>
  </si>
  <si>
    <t>NotSoHarmlessVillain</t>
  </si>
  <si>
    <t>OfCorsetsSexy</t>
  </si>
  <si>
    <t>PopculturalOsmosisFailure</t>
  </si>
  <si>
    <t>RealTime</t>
  </si>
  <si>
    <t>RoyalsWhoActuallyDoSomething</t>
  </si>
  <si>
    <t>TallDarkAndHandsome</t>
  </si>
  <si>
    <t>TrainStationGoodbye</t>
  </si>
  <si>
    <t>UtopiaJustifiesTheMeans</t>
  </si>
  <si>
    <t>ViewersAreGeniuses</t>
  </si>
  <si>
    <t>WaxingLyrical</t>
  </si>
  <si>
    <t>WhereDaWhiteWomenAt</t>
  </si>
  <si>
    <t>WhoNamesTheirKidDude</t>
  </si>
  <si>
    <t>AllYourBaseAreBelongToUs</t>
  </si>
  <si>
    <t>ArmorPiercingSlap</t>
  </si>
  <si>
    <t>BastardBoyfriend</t>
  </si>
  <si>
    <t>BloodIsSquickerInWater</t>
  </si>
  <si>
    <t>BoobyTrap</t>
  </si>
  <si>
    <t>CoitusEnsues</t>
  </si>
  <si>
    <t>ConcealmentEqualsCover</t>
  </si>
  <si>
    <t>DiabolicalMastermind</t>
  </si>
  <si>
    <t>DoomedByCanon</t>
  </si>
  <si>
    <t>DoubleStandardAbuseFemaleOnMale</t>
  </si>
  <si>
    <t>FallingInLoveMontage</t>
  </si>
  <si>
    <t>FauxActionGirl</t>
  </si>
  <si>
    <t>GirlNextDoor</t>
  </si>
  <si>
    <t>GratuitousSpanish</t>
  </si>
  <si>
    <t>IncompatibleOrientation</t>
  </si>
  <si>
    <t>IWantSong</t>
  </si>
  <si>
    <t>LadykillerInLove</t>
  </si>
  <si>
    <t>LimitedWardrobe</t>
  </si>
  <si>
    <t>ManBitesMan</t>
  </si>
  <si>
    <t>MasterOfDisguise</t>
  </si>
  <si>
    <t>OldMaster</t>
  </si>
  <si>
    <t>PrettyFlyForAWhiteGuy</t>
  </si>
  <si>
    <t>RageAgainstTheReflection</t>
  </si>
  <si>
    <t>RareGuns</t>
  </si>
  <si>
    <t>SensitiveGuyAndManlyMan</t>
  </si>
  <si>
    <t>ShotInTheAss</t>
  </si>
  <si>
    <t>SnarkToSnarkCombat</t>
  </si>
  <si>
    <t>StupidCrooks</t>
  </si>
  <si>
    <t>TakeMyHand</t>
  </si>
  <si>
    <t>TheBigBoard</t>
  </si>
  <si>
    <t>VillainousBSOD</t>
  </si>
  <si>
    <t>YouAreInCommandNow</t>
  </si>
  <si>
    <t>AndShowItToYou</t>
  </si>
  <si>
    <t>ArtisticLicenseMedicine</t>
  </si>
  <si>
    <t>BystanderSyndrome</t>
  </si>
  <si>
    <t>CorruptChurch</t>
  </si>
  <si>
    <t>CrossCastRole</t>
  </si>
  <si>
    <t>Cult</t>
  </si>
  <si>
    <t>DaydreamSurprise</t>
  </si>
  <si>
    <t>DisturbedDoves</t>
  </si>
  <si>
    <t>DrinkOrder</t>
  </si>
  <si>
    <t>EatenAlive</t>
  </si>
  <si>
    <t>EqualOpportunityEvil</t>
  </si>
  <si>
    <t>EthicalSlut</t>
  </si>
  <si>
    <t>HappilyAdopted</t>
  </si>
  <si>
    <t>IGaveMyWord</t>
  </si>
  <si>
    <t>InternalReveal</t>
  </si>
  <si>
    <t>MommasBoy</t>
  </si>
  <si>
    <t>PlatonicLifePartners</t>
  </si>
  <si>
    <t>PornStache</t>
  </si>
  <si>
    <t>ShootOutTheLock</t>
  </si>
  <si>
    <t>SpoilerTitle</t>
  </si>
  <si>
    <t>TalkingHeads</t>
  </si>
  <si>
    <t>TattooedCrook</t>
  </si>
  <si>
    <t>TechnologyMarchesOn</t>
  </si>
  <si>
    <t>TheGrimReaper</t>
  </si>
  <si>
    <t>WeAreStrugglingTogether</t>
  </si>
  <si>
    <t>WesternTerrorists</t>
  </si>
  <si>
    <t>YouNoTakeCandle</t>
  </si>
  <si>
    <t>AbsurdlySpaciousSewer</t>
  </si>
  <si>
    <t>AddedAlliterativeAppeal</t>
  </si>
  <si>
    <t>BatmanColdOpen</t>
  </si>
  <si>
    <t>BurnTheWitch</t>
  </si>
  <si>
    <t>CharacterTics</t>
  </si>
  <si>
    <t>ClapYourHandsIfYouBelieve</t>
  </si>
  <si>
    <t>Crossover</t>
  </si>
  <si>
    <t>CursedWithAwesome</t>
  </si>
  <si>
    <t>DeconstructiveParody</t>
  </si>
  <si>
    <t>DisposingOfABody</t>
  </si>
  <si>
    <t>FacingTheBulletsOneLiner</t>
  </si>
  <si>
    <t>FairCop</t>
  </si>
  <si>
    <t>GranolaGirl</t>
  </si>
  <si>
    <t>ICannotSelfTerminate</t>
  </si>
  <si>
    <t>IncomingHam</t>
  </si>
  <si>
    <t>KissingCousins</t>
  </si>
  <si>
    <t>LetsSplitUpGang</t>
  </si>
  <si>
    <t>MistakenIdentity</t>
  </si>
  <si>
    <t>NightmareFetishist</t>
  </si>
  <si>
    <t>OneSceneWonder</t>
  </si>
  <si>
    <t>PietaPlagiarism</t>
  </si>
  <si>
    <t>PopStarComposer</t>
  </si>
  <si>
    <t>PsychoticSmirk</t>
  </si>
  <si>
    <t>RealAfterAll</t>
  </si>
  <si>
    <t>RidingIntoTheSunset</t>
  </si>
  <si>
    <t>RightForTheWrongReasons</t>
  </si>
  <si>
    <t>RomanticComedy</t>
  </si>
  <si>
    <t>ShockAndAwe</t>
  </si>
  <si>
    <t>SteelEarDrums</t>
  </si>
  <si>
    <t>TheOnlyOneAllowedToDefeatYou</t>
  </si>
  <si>
    <t>TheSiege</t>
  </si>
  <si>
    <t>TwoPersonPoolParty</t>
  </si>
  <si>
    <t>VanityLicensePlate</t>
  </si>
  <si>
    <t>AllGermansAreNazis</t>
  </si>
  <si>
    <t>AlmostDeadGuy</t>
  </si>
  <si>
    <t>AlternateUniverse</t>
  </si>
  <si>
    <t>AndYourLittleDogToo</t>
  </si>
  <si>
    <t>AnnoyingArrows</t>
  </si>
  <si>
    <t>BadassAdorable</t>
  </si>
  <si>
    <t>BreakOutTheMuseumPiece</t>
  </si>
  <si>
    <t>ColourCodedForYourConvenience</t>
  </si>
  <si>
    <t>CopKiller</t>
  </si>
  <si>
    <t>EarthShatteringKaboom</t>
  </si>
  <si>
    <t>GeniusDitz</t>
  </si>
  <si>
    <t>GlowingEyesOfDoom</t>
  </si>
  <si>
    <t>GoodShepherd</t>
  </si>
  <si>
    <t>GreekChorus</t>
  </si>
  <si>
    <t>GunshipRescue</t>
  </si>
  <si>
    <t>HurricaneOfPuns</t>
  </si>
  <si>
    <t>ImpoverishedPatrician</t>
  </si>
  <si>
    <t>JustFriends</t>
  </si>
  <si>
    <t>LikeFatherLikeSon</t>
  </si>
  <si>
    <t>LonersAreFreaks</t>
  </si>
  <si>
    <t>MortonsFork</t>
  </si>
  <si>
    <t>MyFriendsAndZoidberg</t>
  </si>
  <si>
    <t>MysteriousPast</t>
  </si>
  <si>
    <t>NippleAndDimed</t>
  </si>
  <si>
    <t>NoHonorAmongThieves</t>
  </si>
  <si>
    <t>NothingPersonal</t>
  </si>
  <si>
    <t>OneDialogueTwoConversations</t>
  </si>
  <si>
    <t>OutOfCharacterAlert</t>
  </si>
  <si>
    <t>OutOfFocus</t>
  </si>
  <si>
    <t>PottyFailure</t>
  </si>
  <si>
    <t>RapeAndRevenge</t>
  </si>
  <si>
    <t>ShoutOutToShakespeare</t>
  </si>
  <si>
    <t>SixthRanger</t>
  </si>
  <si>
    <t>SuicideMission</t>
  </si>
  <si>
    <t>SurprisinglySuddenDeath</t>
  </si>
  <si>
    <t>SuspiciouslyAproposMusic</t>
  </si>
  <si>
    <t>TheFourthWallWillNotProtectYou</t>
  </si>
  <si>
    <t>VillainousCrush</t>
  </si>
  <si>
    <t>VoluntaryShapeshifting</t>
  </si>
  <si>
    <t>ZombieGait</t>
  </si>
  <si>
    <t>AxeCrazy</t>
  </si>
  <si>
    <t>BathtubScene</t>
  </si>
  <si>
    <t>BlackEyesOfEvil</t>
  </si>
  <si>
    <t>ChickMagnet</t>
  </si>
  <si>
    <t>CompanionCube</t>
  </si>
  <si>
    <t>ConsummateLiar</t>
  </si>
  <si>
    <t>CoveredInGunge</t>
  </si>
  <si>
    <t>DeadGuyOnDisplay</t>
  </si>
  <si>
    <t>Deuteragonist</t>
  </si>
  <si>
    <t>DubNameChange</t>
  </si>
  <si>
    <t>ExaggeratedTrope</t>
  </si>
  <si>
    <t>FishOutOfTemporalWater</t>
  </si>
  <si>
    <t>FrickinLaserBeams</t>
  </si>
  <si>
    <t>GrumpyOldMan</t>
  </si>
  <si>
    <t>HighClassCallGirl</t>
  </si>
  <si>
    <t>HollywoodHistory</t>
  </si>
  <si>
    <t>IHaveManyNames</t>
  </si>
  <si>
    <t>InSeriesNickname</t>
  </si>
  <si>
    <t>LittleNo</t>
  </si>
  <si>
    <t>LovableRogue</t>
  </si>
  <si>
    <t>NeverTrustATitle</t>
  </si>
  <si>
    <t>NewPowersAsThePlotDemands</t>
  </si>
  <si>
    <t>PhraseCatcher</t>
  </si>
  <si>
    <t>PromotionToParent</t>
  </si>
  <si>
    <t>SoftWater</t>
  </si>
  <si>
    <t>SpecialEffectsFailure</t>
  </si>
  <si>
    <t>StrappedToAnOperatingTable</t>
  </si>
  <si>
    <t>TitleThemeTune</t>
  </si>
  <si>
    <t>Tomboy</t>
  </si>
  <si>
    <t>TragicMonster</t>
  </si>
  <si>
    <t>YourMindMakesItReal</t>
  </si>
  <si>
    <t>AdaptationalAlternateEnding</t>
  </si>
  <si>
    <t>AliensSpeakingEnglish</t>
  </si>
  <si>
    <t>ArmiesAreEvil</t>
  </si>
  <si>
    <t>BigBrotherIsWatching</t>
  </si>
  <si>
    <t>BigGame</t>
  </si>
  <si>
    <t>BigRedButton</t>
  </si>
  <si>
    <t>ConservationOfNinjutsu</t>
  </si>
  <si>
    <t>CouldntFindAPen</t>
  </si>
  <si>
    <t>CutPhoneLines</t>
  </si>
  <si>
    <t>CuttingTheKnot</t>
  </si>
  <si>
    <t>DamnItFeelsGoodToBeAGangster</t>
  </si>
  <si>
    <t>DeathByMaterialism</t>
  </si>
  <si>
    <t>DistaffCounterpart</t>
  </si>
  <si>
    <t>Documentary</t>
  </si>
  <si>
    <t>DopeSlap</t>
  </si>
  <si>
    <t>GoMadFromTheIsolation</t>
  </si>
  <si>
    <t>IJustWantToBeSpecial</t>
  </si>
  <si>
    <t>InnerMonologue</t>
  </si>
  <si>
    <t>JiveTurkey</t>
  </si>
  <si>
    <t>KillerRobot</t>
  </si>
  <si>
    <t>KnowNothingKnowItAll</t>
  </si>
  <si>
    <t>LosingYourHead</t>
  </si>
  <si>
    <t>NervesOfSteel</t>
  </si>
  <si>
    <t>NighInvulnerability</t>
  </si>
  <si>
    <t>NoEndorHolocaust</t>
  </si>
  <si>
    <t>OffTheShelfFX</t>
  </si>
  <si>
    <t>PassingTheTorch</t>
  </si>
  <si>
    <t>PromotedToLoveInterest</t>
  </si>
  <si>
    <t>RunForTheBorder</t>
  </si>
  <si>
    <t>SelfDestructMechanism</t>
  </si>
  <si>
    <t>ShamelessFanserviceGirl</t>
  </si>
  <si>
    <t>SpringtimeForHitler</t>
  </si>
  <si>
    <t>SupportingProtagonist</t>
  </si>
  <si>
    <t>SwordFight</t>
  </si>
  <si>
    <t>TheMountainsOfIllinois</t>
  </si>
  <si>
    <t>ThePasswordIsAlwaysSwordfish</t>
  </si>
  <si>
    <t>TheWarOnTerror</t>
  </si>
  <si>
    <t>ThrowTheDogABone</t>
  </si>
  <si>
    <t>TooGoodForThisSinfulEarth</t>
  </si>
  <si>
    <t>TooMuchInformation</t>
  </si>
  <si>
    <t>ToxicFriendInfluence</t>
  </si>
  <si>
    <t>TriangRelations</t>
  </si>
  <si>
    <t>WaifFu</t>
  </si>
  <si>
    <t>YouWouldntShootMe</t>
  </si>
  <si>
    <t>Acrofatic</t>
  </si>
  <si>
    <t>AdaptationalNiceGuy</t>
  </si>
  <si>
    <t>AlienGeometries</t>
  </si>
  <si>
    <t>BalefulPolymorph</t>
  </si>
  <si>
    <t>BestServedCold</t>
  </si>
  <si>
    <t>BirthDeathJuxtaposition</t>
  </si>
  <si>
    <t>CaughtWithYourPantsDown</t>
  </si>
  <si>
    <t>ColorCodedCharacters</t>
  </si>
  <si>
    <t>DavidVersusGoliath</t>
  </si>
  <si>
    <t>DontYouDarePityMe</t>
  </si>
  <si>
    <t>EvilChancellor</t>
  </si>
  <si>
    <t>FourEyesZeroSoul</t>
  </si>
  <si>
    <t>FreeRangeChildren</t>
  </si>
  <si>
    <t>FrenchJerk</t>
  </si>
  <si>
    <t>HilariousInHindsight</t>
  </si>
  <si>
    <t>IShallTauntYou</t>
  </si>
  <si>
    <t>MagicalNativeAmerican</t>
  </si>
  <si>
    <t>MickeyMousing</t>
  </si>
  <si>
    <t>MindOverMatter</t>
  </si>
  <si>
    <t>NominalHero</t>
  </si>
  <si>
    <t>PaedoHunt</t>
  </si>
  <si>
    <t>ScrewDestiny</t>
  </si>
  <si>
    <t>SeriesContinuityError</t>
  </si>
  <si>
    <t>SexAsRiteOfPassage</t>
  </si>
  <si>
    <t>SoProudOfYou</t>
  </si>
  <si>
    <t>StockingFiller</t>
  </si>
  <si>
    <t>SweetPollyOliver</t>
  </si>
  <si>
    <t>TroubledButCute</t>
  </si>
  <si>
    <t>UnsettlingGenderReveal</t>
  </si>
  <si>
    <t>AdaptationalAngstUpgrade</t>
  </si>
  <si>
    <t>AlwaysABiggerFish</t>
  </si>
  <si>
    <t>AlwaysSomeoneBetter</t>
  </si>
  <si>
    <t>ArcNumber</t>
  </si>
  <si>
    <t>ArmorPiercingResponse</t>
  </si>
  <si>
    <t>AttentionWhore</t>
  </si>
  <si>
    <t>Bathos</t>
  </si>
  <si>
    <t>BigBadFriend</t>
  </si>
  <si>
    <t>BluntYes</t>
  </si>
  <si>
    <t>BoringButPractical</t>
  </si>
  <si>
    <t>ContinuityReboot</t>
  </si>
  <si>
    <t>CreateYourOwnVillain</t>
  </si>
  <si>
    <t>DyingDream</t>
  </si>
  <si>
    <t>EmpathyDollShot</t>
  </si>
  <si>
    <t>FantasticDrug</t>
  </si>
  <si>
    <t>GiantSpider</t>
  </si>
  <si>
    <t>HorrorHunger</t>
  </si>
  <si>
    <t>IfYouKillHimYouWillBeJustLikeHim</t>
  </si>
  <si>
    <t>InTheBlood</t>
  </si>
  <si>
    <t>IntoxicationEnsues</t>
  </si>
  <si>
    <t>LateArrivalSpoiler</t>
  </si>
  <si>
    <t>LeaveNoWitnesses</t>
  </si>
  <si>
    <t>MasterSwordsman</t>
  </si>
  <si>
    <t>MistreatmentInducedBetrayal</t>
  </si>
  <si>
    <t>MobWar</t>
  </si>
  <si>
    <t>MoralDissonance</t>
  </si>
  <si>
    <t>NamelessNarrative</t>
  </si>
  <si>
    <t>OldMaid</t>
  </si>
  <si>
    <t>RepeatCut</t>
  </si>
  <si>
    <t>ScreamingWarrior</t>
  </si>
  <si>
    <t>ShamefulStrip</t>
  </si>
  <si>
    <t>Slapstick</t>
  </si>
  <si>
    <t>SoreLoser</t>
  </si>
  <si>
    <t>StalkingIsLove</t>
  </si>
  <si>
    <t>SurvivalMantra</t>
  </si>
  <si>
    <t>ThanatosGambit</t>
  </si>
  <si>
    <t>TheChanteuse</t>
  </si>
  <si>
    <t>TheWestern</t>
  </si>
  <si>
    <t>UnkemptBeauty</t>
  </si>
  <si>
    <t>Unperson</t>
  </si>
  <si>
    <t>VasquezAlwaysDies</t>
  </si>
  <si>
    <t>WhoWearsShortShorts</t>
  </si>
  <si>
    <t>AdaptationalNationality</t>
  </si>
  <si>
    <t>ArrogantKungFuGuy</t>
  </si>
  <si>
    <t>ArtifactOfDoom</t>
  </si>
  <si>
    <t>ArtisticLicenseSports</t>
  </si>
  <si>
    <t>BabiesMakeEverythingBetter</t>
  </si>
  <si>
    <t>BadPeopleAbuseAnimals</t>
  </si>
  <si>
    <t>BattleButler</t>
  </si>
  <si>
    <t>BeautifulAllAlong</t>
  </si>
  <si>
    <t>BrokenAce</t>
  </si>
  <si>
    <t>CelibateHero</t>
  </si>
  <si>
    <t>ClimbingClimax</t>
  </si>
  <si>
    <t>ComingOutStory</t>
  </si>
  <si>
    <t>DefectorFromDecadence</t>
  </si>
  <si>
    <t>EventTitle</t>
  </si>
  <si>
    <t>ExploitationFilm</t>
  </si>
  <si>
    <t>FirstKiss</t>
  </si>
  <si>
    <t>GoingCommando</t>
  </si>
  <si>
    <t>GoldFever</t>
  </si>
  <si>
    <t>GoodAllAlong</t>
  </si>
  <si>
    <t>HeManWomanHater</t>
  </si>
  <si>
    <t>HuntingTheMostDangerousGame</t>
  </si>
  <si>
    <t>IDontLikeTheSoundOfThatPlace</t>
  </si>
  <si>
    <t>IronicNickname</t>
  </si>
  <si>
    <t>MagnificentBastard</t>
  </si>
  <si>
    <t>MoodDissonance</t>
  </si>
  <si>
    <t>NextSundayAD</t>
  </si>
  <si>
    <t>NoodleImplements</t>
  </si>
  <si>
    <t>NotDistractedByTheSexy</t>
  </si>
  <si>
    <t>ObnoxiousInLaws</t>
  </si>
  <si>
    <t>OutsideRide</t>
  </si>
  <si>
    <t>PhysicalGod</t>
  </si>
  <si>
    <t>RageAgainstTheHeavens</t>
  </si>
  <si>
    <t>RealPersonCameo</t>
  </si>
  <si>
    <t>ReligionOfEvil</t>
  </si>
  <si>
    <t>SecretIdentity</t>
  </si>
  <si>
    <t>ServileSnarker</t>
  </si>
  <si>
    <t>SoMuchForStealth</t>
  </si>
  <si>
    <t>StaircaseTumble</t>
  </si>
  <si>
    <t>StealingFromTheTill</t>
  </si>
  <si>
    <t>SympatheticInspectorAntagonist</t>
  </si>
  <si>
    <t>TelevisionGeography</t>
  </si>
  <si>
    <t>TheBigRottenApple</t>
  </si>
  <si>
    <t>TheBusCameBack</t>
  </si>
  <si>
    <t>TheFriendNobodyLikes</t>
  </si>
  <si>
    <t>TheMillstone</t>
  </si>
  <si>
    <t>ThisIsADrill</t>
  </si>
  <si>
    <t>TomboyishName</t>
  </si>
  <si>
    <t>TongueTrauma</t>
  </si>
  <si>
    <t>Undercrank</t>
  </si>
  <si>
    <t>VoiceoverLetter</t>
  </si>
  <si>
    <t>ZigZaggingTrope</t>
  </si>
  <si>
    <t>AgentScully</t>
  </si>
  <si>
    <t>AlwaysSaveTheGirl</t>
  </si>
  <si>
    <t>AncientConspiracy</t>
  </si>
  <si>
    <t>Anvilicious</t>
  </si>
  <si>
    <t>ASimplePlan</t>
  </si>
  <si>
    <t>AtomicFBomb</t>
  </si>
  <si>
    <t>AttackOfTheKillerWhatever</t>
  </si>
  <si>
    <t>BasementDweller</t>
  </si>
  <si>
    <t>BladeBelowTheShoulder</t>
  </si>
  <si>
    <t>BringIt</t>
  </si>
  <si>
    <t>BumblingDad</t>
  </si>
  <si>
    <t>CerebusSyndrome</t>
  </si>
  <si>
    <t>ComicBookMoviesDontUseCodenames</t>
  </si>
  <si>
    <t>CuriosityKilledTheCast</t>
  </si>
  <si>
    <t>DoNotCallMePaul</t>
  </si>
  <si>
    <t>EmotionlessGirl</t>
  </si>
  <si>
    <t>EvilTwin</t>
  </si>
  <si>
    <t>EvilWearsBlack</t>
  </si>
  <si>
    <t>GentlemanThief</t>
  </si>
  <si>
    <t>GoodTimesMontage</t>
  </si>
  <si>
    <t>HollywoodAcid</t>
  </si>
  <si>
    <t>IconicOutfit</t>
  </si>
  <si>
    <t>IvyLeagueForEveryone</t>
  </si>
  <si>
    <t>LethalChef</t>
  </si>
  <si>
    <t>LightningCanDoAnything</t>
  </si>
  <si>
    <t>LingerieScene</t>
  </si>
  <si>
    <t>MagicPants</t>
  </si>
  <si>
    <t>MalignedMixedMarriage</t>
  </si>
  <si>
    <t>NewscasterCameo</t>
  </si>
  <si>
    <t>RagingStiffie</t>
  </si>
  <si>
    <t>RevengeByProxy</t>
  </si>
  <si>
    <t>SciFiWritersHaveNoSenseOfScale</t>
  </si>
  <si>
    <t>SeeYouInHell</t>
  </si>
  <si>
    <t>StunnedSilence</t>
  </si>
  <si>
    <t>TheRoaringTwenties</t>
  </si>
  <si>
    <t>TrophyWife</t>
  </si>
  <si>
    <t>WeddingDay</t>
  </si>
  <si>
    <t>AWizardDidIt</t>
  </si>
  <si>
    <t>BirdsOfAFeather</t>
  </si>
  <si>
    <t>BothSidesHaveAPoint</t>
  </si>
  <si>
    <t>Bowdlerize</t>
  </si>
  <si>
    <t>CoitusUninterruptus</t>
  </si>
  <si>
    <t>DistantPrologue</t>
  </si>
  <si>
    <t>DragonTheirFeet</t>
  </si>
  <si>
    <t>ExcusePlot</t>
  </si>
  <si>
    <t>FakeOutOpening</t>
  </si>
  <si>
    <t>FallenHero</t>
  </si>
  <si>
    <t>GenderBender</t>
  </si>
  <si>
    <t>GiantFlyer</t>
  </si>
  <si>
    <t>HitlerCam</t>
  </si>
  <si>
    <t>HitmanWithAHeart</t>
  </si>
  <si>
    <t>IceQueen</t>
  </si>
  <si>
    <t>InCaseYouForgotWhoWroteIt</t>
  </si>
  <si>
    <t>InterplayOfSexAndViolence</t>
  </si>
  <si>
    <t>KlingonPromotion</t>
  </si>
  <si>
    <t>LeFilmArtistique</t>
  </si>
  <si>
    <t>LovableCoward</t>
  </si>
  <si>
    <t>MookLieutenant</t>
  </si>
  <si>
    <t>OurWerewolvesAreDifferent</t>
  </si>
  <si>
    <t>PlayingWithFire</t>
  </si>
  <si>
    <t>PornStash</t>
  </si>
  <si>
    <t>PunctuatedPounding</t>
  </si>
  <si>
    <t>ReasonYouSuckSpeech</t>
  </si>
  <si>
    <t>RobotBuddy</t>
  </si>
  <si>
    <t>ShamingTheMob</t>
  </si>
  <si>
    <t>SickeningCrunch</t>
  </si>
  <si>
    <t>SnuffFilm</t>
  </si>
  <si>
    <t>SpotOfTea</t>
  </si>
  <si>
    <t>Steampunk</t>
  </si>
  <si>
    <t>TheKlutz</t>
  </si>
  <si>
    <t>TheUnfairSex</t>
  </si>
  <si>
    <t>TrueBlueFemininity</t>
  </si>
  <si>
    <t>UncertainDoom</t>
  </si>
  <si>
    <t>VocalDissonance</t>
  </si>
  <si>
    <t>WalkingTheEarth</t>
  </si>
  <si>
    <t>WhatDidIDoLastNight</t>
  </si>
  <si>
    <t>WorldOfCardboardSpeech</t>
  </si>
  <si>
    <t>ArtisticLicenseNuclearPhysics</t>
  </si>
  <si>
    <t>ArtisticLicenseReligion</t>
  </si>
  <si>
    <t>BroughtDownToNormal</t>
  </si>
  <si>
    <t>CareerEndingInjury</t>
  </si>
  <si>
    <t>CasualDangerDialog</t>
  </si>
  <si>
    <t>CombatTentacles</t>
  </si>
  <si>
    <t>CreepyCrossdresser</t>
  </si>
  <si>
    <t>DamselOutOfDistress</t>
  </si>
  <si>
    <t>DarkSecret</t>
  </si>
  <si>
    <t>DatingWhatDaddyHates</t>
  </si>
  <si>
    <t>DeconReconSwitch</t>
  </si>
  <si>
    <t>DoesntLikeGuns</t>
  </si>
  <si>
    <t>DudeShesLikeInAComa</t>
  </si>
  <si>
    <t>EvilMentor</t>
  </si>
  <si>
    <t>ExpandedUniverse</t>
  </si>
  <si>
    <t>GhostlyGoals</t>
  </si>
  <si>
    <t>HistoryRepeats</t>
  </si>
  <si>
    <t>HotTeacher</t>
  </si>
  <si>
    <t>HugeGuyTinyGirl</t>
  </si>
  <si>
    <t>HumanResources</t>
  </si>
  <si>
    <t>HystericalWoman</t>
  </si>
  <si>
    <t>ImpliedTrope</t>
  </si>
  <si>
    <t>IWarnedYou</t>
  </si>
  <si>
    <t>KansasCityShuffle</t>
  </si>
  <si>
    <t>LoveMakesYouDumb</t>
  </si>
  <si>
    <t>MagicCountdown</t>
  </si>
  <si>
    <t>MakingLoveInAllTheWrongPlaces</t>
  </si>
  <si>
    <t>MaliciousMisnaming</t>
  </si>
  <si>
    <t>MinionWithAnFInEvil</t>
  </si>
  <si>
    <t>MorallyAmbiguousDoctorate</t>
  </si>
  <si>
    <t>NewEraSpeech</t>
  </si>
  <si>
    <t>PaintingTheMedium</t>
  </si>
  <si>
    <t>RichSuitorPoorSuitor</t>
  </si>
  <si>
    <t>ScrewTheRulesIMakeThem</t>
  </si>
  <si>
    <t>SiblingRivalry</t>
  </si>
  <si>
    <t>StandardSnippet</t>
  </si>
  <si>
    <t>StrawmanPolitical</t>
  </si>
  <si>
    <t>SweaterGirl</t>
  </si>
  <si>
    <t>SwissCheeseSecurity</t>
  </si>
  <si>
    <t>TagalongKid</t>
  </si>
  <si>
    <t>TheDon</t>
  </si>
  <si>
    <t>TheFool</t>
  </si>
  <si>
    <t>TheMedic</t>
  </si>
  <si>
    <t>ThePlague</t>
  </si>
  <si>
    <t>TheQuisling</t>
  </si>
  <si>
    <t>TheWildWest</t>
  </si>
  <si>
    <t>UseYourHead</t>
  </si>
  <si>
    <t>YouAreNumberSix</t>
  </si>
  <si>
    <t>BetweenMyLegs</t>
  </si>
  <si>
    <t>BFS</t>
  </si>
  <si>
    <t>BreathWeapon</t>
  </si>
  <si>
    <t>CardboardPrison</t>
  </si>
  <si>
    <t>ChainedToABed</t>
  </si>
  <si>
    <t>CIAEvilFBIGood</t>
  </si>
  <si>
    <t>CigarChomper</t>
  </si>
  <si>
    <t>CrazyEnoughToWork</t>
  </si>
  <si>
    <t>DroneOfDread</t>
  </si>
  <si>
    <t>EasterEgg</t>
  </si>
  <si>
    <t>EvilRedhead</t>
  </si>
  <si>
    <t>FirstGirlWins</t>
  </si>
  <si>
    <t>GenericDoomsdayVillain</t>
  </si>
  <si>
    <t>GoingNative</t>
  </si>
  <si>
    <t>HandSignals</t>
  </si>
  <si>
    <t>HangingJudge</t>
  </si>
  <si>
    <t>IdiotHero</t>
  </si>
  <si>
    <t>IWasQuiteALooker</t>
  </si>
  <si>
    <t>KillAndReplace</t>
  </si>
  <si>
    <t>LockedOutOfTheLoop</t>
  </si>
  <si>
    <t>MeaningfulRename</t>
  </si>
  <si>
    <t>MetaCasting</t>
  </si>
  <si>
    <t>MySisterIsOffLimits</t>
  </si>
  <si>
    <t>NewOldWest</t>
  </si>
  <si>
    <t>OneHitKill</t>
  </si>
  <si>
    <t>OutlawCouple</t>
  </si>
  <si>
    <t>ParanoiaFuel</t>
  </si>
  <si>
    <t>PermaStubble</t>
  </si>
  <si>
    <t>ReallySevenHundredYearsOld</t>
  </si>
  <si>
    <t>SecondaryCharacterTitle</t>
  </si>
  <si>
    <t>SeenItAll</t>
  </si>
  <si>
    <t>ShotgunWedding</t>
  </si>
  <si>
    <t>ShowdownAtHighNoon</t>
  </si>
  <si>
    <t>SignatureStyle</t>
  </si>
  <si>
    <t>SpyFiction</t>
  </si>
  <si>
    <t>StaggeredZoom</t>
  </si>
  <si>
    <t>SwordCane</t>
  </si>
  <si>
    <t>TheChainsOfCommanding</t>
  </si>
  <si>
    <t>TheyLookJustLikeEveryoneElse</t>
  </si>
  <si>
    <t>WantedPoster</t>
  </si>
  <si>
    <t>WhenTheClockStrikesTwelve</t>
  </si>
  <si>
    <t>WhoWantsToLiveForever</t>
  </si>
  <si>
    <t>WillingSuspensionOfDisbelief</t>
  </si>
  <si>
    <t>AbandonedArea</t>
  </si>
  <si>
    <t>ActingForTwo</t>
  </si>
  <si>
    <t>AllLovingHero</t>
  </si>
  <si>
    <t>ARealManIsAKiller</t>
  </si>
  <si>
    <t>BadCopIncompetentCop</t>
  </si>
  <si>
    <t>BattleCouple</t>
  </si>
  <si>
    <t>BigBrotherBully</t>
  </si>
  <si>
    <t>BlasphemousBoast</t>
  </si>
  <si>
    <t>BookcasePassage</t>
  </si>
  <si>
    <t>BoomerangBigot</t>
  </si>
  <si>
    <t>CallingYourAttacks</t>
  </si>
  <si>
    <t>CanonImmigrant</t>
  </si>
  <si>
    <t>CastingCouch</t>
  </si>
  <si>
    <t>CharlesAtlasSuperpower</t>
  </si>
  <si>
    <t>CoolLoser</t>
  </si>
  <si>
    <t>CunningLinguist</t>
  </si>
  <si>
    <t>CutHimselfShaving</t>
  </si>
  <si>
    <t>EroticEating</t>
  </si>
  <si>
    <t>FailsafeFailure</t>
  </si>
  <si>
    <t>FatAndSkinny</t>
  </si>
  <si>
    <t>FocusGroupEnding</t>
  </si>
  <si>
    <t>GrievousHarmWithABody</t>
  </si>
  <si>
    <t>HeroInsurance</t>
  </si>
  <si>
    <t>HerrDoktor</t>
  </si>
  <si>
    <t>HollywoodToneDeaf</t>
  </si>
  <si>
    <t>IllKillYou</t>
  </si>
  <si>
    <t>InTheHood</t>
  </si>
  <si>
    <t>KarmaHoudiniWarranty</t>
  </si>
  <si>
    <t>LiteraryAllusionTitle</t>
  </si>
  <si>
    <t>LookBothWays</t>
  </si>
  <si>
    <t>MilesGloriosus</t>
  </si>
  <si>
    <t>MissingTrailerScene</t>
  </si>
  <si>
    <t>NearVillainVictory</t>
  </si>
  <si>
    <t>NotableOriginalMusic</t>
  </si>
  <si>
    <t>PlayingPossum</t>
  </si>
  <si>
    <t>RichesToRags</t>
  </si>
  <si>
    <t>RidiculouslyCuteCritter</t>
  </si>
  <si>
    <t>ScarsAreForever</t>
  </si>
  <si>
    <t>ShowDontTell</t>
  </si>
  <si>
    <t>TheCaligula</t>
  </si>
  <si>
    <t>TroubledBackstoryFlashback</t>
  </si>
  <si>
    <t>TwoFaced</t>
  </si>
  <si>
    <t>YouCanLeaveYourHatOn</t>
  </si>
  <si>
    <t>AndThereWasMuchRejoicing</t>
  </si>
  <si>
    <t>AwesomeMomentOfCrowning</t>
  </si>
  <si>
    <t>BiggerOnTheInside</t>
  </si>
  <si>
    <t>BrokenRecord</t>
  </si>
  <si>
    <t>CatsAreMean</t>
  </si>
  <si>
    <t>EvilGenius</t>
  </si>
  <si>
    <t>EvilOverlord</t>
  </si>
  <si>
    <t>FailedAttemptAtDrama</t>
  </si>
  <si>
    <t>FantasyForbiddingFather</t>
  </si>
  <si>
    <t>FluffyTheTerrible</t>
  </si>
  <si>
    <t>ForcefulKiss</t>
  </si>
  <si>
    <t>GameFace</t>
  </si>
  <si>
    <t>GigglingVillain</t>
  </si>
  <si>
    <t>GraveRobbing</t>
  </si>
  <si>
    <t>Hammerspace</t>
  </si>
  <si>
    <t>HellishCopter</t>
  </si>
  <si>
    <t>HollywoodHealing</t>
  </si>
  <si>
    <t>ImpliedDeathThreat</t>
  </si>
  <si>
    <t>InterServiceRivalry</t>
  </si>
  <si>
    <t>ItAmusedMe</t>
  </si>
  <si>
    <t>ItWasHereISwear</t>
  </si>
  <si>
    <t>LastRequest</t>
  </si>
  <si>
    <t>MacrossMissileMassacre</t>
  </si>
  <si>
    <t>MentorOccupationalHazard</t>
  </si>
  <si>
    <t>NouveauRiche</t>
  </si>
  <si>
    <t>OneHeadTaller</t>
  </si>
  <si>
    <t>OperationJealousy</t>
  </si>
  <si>
    <t>PacManFever</t>
  </si>
  <si>
    <t>PrecociousCrush</t>
  </si>
  <si>
    <t>RayOfHopeEnding</t>
  </si>
  <si>
    <t>ReverseMole</t>
  </si>
  <si>
    <t>SelfFulfillingProphecy</t>
  </si>
  <si>
    <t>SpaceIsNoisy</t>
  </si>
  <si>
    <t>SpaceWhaleAesop</t>
  </si>
  <si>
    <t>SpiritAdvisor</t>
  </si>
  <si>
    <t>StrangeMindsThinkAlike</t>
  </si>
  <si>
    <t>SureLetsGoWithThat</t>
  </si>
  <si>
    <t>TakenForGranite</t>
  </si>
  <si>
    <t>TalkingAnimal</t>
  </si>
  <si>
    <t>TheCynic</t>
  </si>
  <si>
    <t>ThePowerOfRock</t>
  </si>
  <si>
    <t>TrackingDevice</t>
  </si>
  <si>
    <t>UrineTrouble</t>
  </si>
  <si>
    <t>VirginSacrifice</t>
  </si>
  <si>
    <t>WarIsGlorious</t>
  </si>
  <si>
    <t>WeHardlyKnewYe</t>
  </si>
  <si>
    <t>YouAreNotAlone</t>
  </si>
  <si>
    <t>AgeCut</t>
  </si>
  <si>
    <t>AndYouWereThere</t>
  </si>
  <si>
    <t>APartyAlsoKnownAsAnOrgy</t>
  </si>
  <si>
    <t>ArmCannon</t>
  </si>
  <si>
    <t>ArmsDealer</t>
  </si>
  <si>
    <t>BaitAndSwitchGunshot</t>
  </si>
  <si>
    <t>BlackSheep</t>
  </si>
  <si>
    <t>ColonyDrop</t>
  </si>
  <si>
    <t>ColorWash</t>
  </si>
  <si>
    <t>CrashIntoHello</t>
  </si>
  <si>
    <t>DeanBitterman</t>
  </si>
  <si>
    <t>DistinctionWithoutADifference</t>
  </si>
  <si>
    <t>EarAche</t>
  </si>
  <si>
    <t>EnhanceButton</t>
  </si>
  <si>
    <t>EverybodyWasKungFuFighting</t>
  </si>
  <si>
    <t>ExtraExtraReadAllAboutIt</t>
  </si>
  <si>
    <t>GangstaStyle</t>
  </si>
  <si>
    <t>GoodColorsEvilColors</t>
  </si>
  <si>
    <t>HalfHumanHybrid</t>
  </si>
  <si>
    <t>Hallucinations</t>
  </si>
  <si>
    <t>ImaginaryFriend</t>
  </si>
  <si>
    <t>ImmediateSequel</t>
  </si>
  <si>
    <t>InstantExpert</t>
  </si>
  <si>
    <t>InvincibleHero</t>
  </si>
  <si>
    <t>LargeAndInCharge</t>
  </si>
  <si>
    <t>LetsYouAndHimFight</t>
  </si>
  <si>
    <t>LonelyRichKid</t>
  </si>
  <si>
    <t>MadeASlave</t>
  </si>
  <si>
    <t>Montage</t>
  </si>
  <si>
    <t>NewYearHasCome</t>
  </si>
  <si>
    <t>PottyEmergency</t>
  </si>
  <si>
    <t>PsychoLesbian</t>
  </si>
  <si>
    <t>QuickDraw</t>
  </si>
  <si>
    <t>QuicksandSucks</t>
  </si>
  <si>
    <t>RelationshipUpgrade</t>
  </si>
  <si>
    <t>ShutUpKiss</t>
  </si>
  <si>
    <t>SmashCut</t>
  </si>
  <si>
    <t>SplitScreen</t>
  </si>
  <si>
    <t>StateSec</t>
  </si>
  <si>
    <t>SympathyForTheDevil</t>
  </si>
  <si>
    <t>ThreateningShark</t>
  </si>
  <si>
    <t>TragicHero</t>
  </si>
  <si>
    <t>TriggerHappy</t>
  </si>
  <si>
    <t>WhiteDwarfStarlet</t>
  </si>
  <si>
    <t>WorfHadTheFlu</t>
  </si>
  <si>
    <t>YellowPeril</t>
  </si>
  <si>
    <t>AdaptationalModesty</t>
  </si>
  <si>
    <t>AesopAmnesia</t>
  </si>
  <si>
    <t>AsianSpeekeeEngrish</t>
  </si>
  <si>
    <t>ByronicHero</t>
  </si>
  <si>
    <t>CampingACrapper</t>
  </si>
  <si>
    <t>ClarkKenting</t>
  </si>
  <si>
    <t>CosmicHorrorStory</t>
  </si>
  <si>
    <t>CovertPervert</t>
  </si>
  <si>
    <t>CryingWolf</t>
  </si>
  <si>
    <t>CulturalTranslation</t>
  </si>
  <si>
    <t>DiegeticSwitch</t>
  </si>
  <si>
    <t>DuctTapeForEverything</t>
  </si>
  <si>
    <t>EnforcedTrope</t>
  </si>
  <si>
    <t>FilmOfTheBook</t>
  </si>
  <si>
    <t>FlyingSaucer</t>
  </si>
  <si>
    <t>GagBoobs</t>
  </si>
  <si>
    <t>GoodIsNotSoft</t>
  </si>
  <si>
    <t>GutturalGrowler</t>
  </si>
  <si>
    <t>HesBack</t>
  </si>
  <si>
    <t>IHaveAFamily</t>
  </si>
  <si>
    <t>IKnowYouKnowIKnow</t>
  </si>
  <si>
    <t>InnocentFanserviceGirl</t>
  </si>
  <si>
    <t>InVinoVeritas</t>
  </si>
  <si>
    <t>LastMinuteHookup</t>
  </si>
  <si>
    <t>ManipulativeBitch</t>
  </si>
  <si>
    <t>MildlyMilitary</t>
  </si>
  <si>
    <t>MolotovCocktail</t>
  </si>
  <si>
    <t>MrsRobinson</t>
  </si>
  <si>
    <t>NotNowKiddo</t>
  </si>
  <si>
    <t>OedipusComplex</t>
  </si>
  <si>
    <t>OldSoldier</t>
  </si>
  <si>
    <t>RailingKill</t>
  </si>
  <si>
    <t>RealitySubtext</t>
  </si>
  <si>
    <t>ReliablyUnreliableGuns</t>
  </si>
  <si>
    <t>ResignationsNotAccepted</t>
  </si>
  <si>
    <t>SaltAndPepper</t>
  </si>
  <si>
    <t>SemperFi</t>
  </si>
  <si>
    <t>ShowerOfLove</t>
  </si>
  <si>
    <t>StressVomit</t>
  </si>
  <si>
    <t>SympatheticMurderer</t>
  </si>
  <si>
    <t>TantrumThrowing</t>
  </si>
  <si>
    <t>TechnologyPorn</t>
  </si>
  <si>
    <t>TheCastShowOff</t>
  </si>
  <si>
    <t>TheEmpire</t>
  </si>
  <si>
    <t>TheFunInFuneral</t>
  </si>
  <si>
    <t>TheMentor</t>
  </si>
  <si>
    <t>ToiletHumour</t>
  </si>
  <si>
    <t>TwoLinesNoWaiting</t>
  </si>
  <si>
    <t>UncomfortableElevatorMoment</t>
  </si>
  <si>
    <t>UnscrupulousHero</t>
  </si>
  <si>
    <t>UsedFuture</t>
  </si>
  <si>
    <t>VerbalBackspace</t>
  </si>
  <si>
    <t>VisualInnuendo</t>
  </si>
  <si>
    <t>WhenYouComingHomeDad</t>
  </si>
  <si>
    <t>WhiteShirtOfDeath</t>
  </si>
  <si>
    <t>YouKeepUsingThatWord</t>
  </si>
  <si>
    <t>YouNeedToGetLaid</t>
  </si>
  <si>
    <t>AbnormalAmmo</t>
  </si>
  <si>
    <t>AlternateCharacterInterpretation</t>
  </si>
  <si>
    <t>AnOfferYouCantRefuse</t>
  </si>
  <si>
    <t>BackAlleyDoctor</t>
  </si>
  <si>
    <t>BewareTheQuietOnes</t>
  </si>
  <si>
    <t>BoxedCrook</t>
  </si>
  <si>
    <t>ConvenientlyTimedAttackFromBehind</t>
  </si>
  <si>
    <t>DatingCatwoman</t>
  </si>
  <si>
    <t>EasyAmnesia</t>
  </si>
  <si>
    <t>EroticDream</t>
  </si>
  <si>
    <t>EverythingsBetterWithSpinning</t>
  </si>
  <si>
    <t>ExplosiveLeash</t>
  </si>
  <si>
    <t>ExtremeMeleeRevenge</t>
  </si>
  <si>
    <t>FalseFriend</t>
  </si>
  <si>
    <t>FromTheMouthsOfBabes</t>
  </si>
  <si>
    <t>Gayngst</t>
  </si>
  <si>
    <t>GenreDeconstruction</t>
  </si>
  <si>
    <t>HeadbuttOfLove</t>
  </si>
  <si>
    <t>HighAltitudeInterrogation</t>
  </si>
  <si>
    <t>HollywoodScience</t>
  </si>
  <si>
    <t>HongKongDub</t>
  </si>
  <si>
    <t>HopelessSuitor</t>
  </si>
  <si>
    <t>HostileWeather</t>
  </si>
  <si>
    <t>InspirationallyDisadvantaged</t>
  </si>
  <si>
    <t>KissOfDeath</t>
  </si>
  <si>
    <t>LiteralAssKicking</t>
  </si>
  <si>
    <t>MyGirlIsNotASlut</t>
  </si>
  <si>
    <t>OpeningScroll</t>
  </si>
  <si>
    <t>ParentalBonus</t>
  </si>
  <si>
    <t>PleaseWakeUp</t>
  </si>
  <si>
    <t>PokeThePoodle</t>
  </si>
  <si>
    <t>PopCulturalOsmosis</t>
  </si>
  <si>
    <t>PunchedAcrossTheRoom</t>
  </si>
  <si>
    <t>RapePillageAndBurn</t>
  </si>
  <si>
    <t>Roofhopping</t>
  </si>
  <si>
    <t>SadlyMythtaken</t>
  </si>
  <si>
    <t>ScienceIsBad</t>
  </si>
  <si>
    <t>Seppuku</t>
  </si>
  <si>
    <t>ShadowDiscretionShot</t>
  </si>
  <si>
    <t>StageMom</t>
  </si>
  <si>
    <t>StealthParody</t>
  </si>
  <si>
    <t>SupervillainLair</t>
  </si>
  <si>
    <t>TheFairFolk</t>
  </si>
  <si>
    <t>TheGamblingAddict</t>
  </si>
  <si>
    <t>TheLastTitle</t>
  </si>
  <si>
    <t>ThePlan</t>
  </si>
  <si>
    <t>VaderBreath</t>
  </si>
  <si>
    <t>VillainousFriendship</t>
  </si>
  <si>
    <t>WhosOnFirst</t>
  </si>
  <si>
    <t>AbsenceMakesTheHeartGoYonder</t>
  </si>
  <si>
    <t>AdaptationalUgliness</t>
  </si>
  <si>
    <t>BadassFamily</t>
  </si>
  <si>
    <t>BarrierBustingBlow</t>
  </si>
  <si>
    <t>BreakHisHeartToSaveHim</t>
  </si>
  <si>
    <t>BulletproofHumanShield</t>
  </si>
  <si>
    <t>Confessional</t>
  </si>
  <si>
    <t>CoolTrain</t>
  </si>
  <si>
    <t>CrazySurvivalist</t>
  </si>
  <si>
    <t>CuteMute</t>
  </si>
  <si>
    <t>CyanidePill</t>
  </si>
  <si>
    <t>DidYouJustPunchOutCthulhu</t>
  </si>
  <si>
    <t>DinerBrawl</t>
  </si>
  <si>
    <t>DisasterMovie</t>
  </si>
  <si>
    <t>DrivenToMadness</t>
  </si>
  <si>
    <t>EvenTheGuysWantHim</t>
  </si>
  <si>
    <t>FinalSpeech</t>
  </si>
  <si>
    <t>ForgottenFallenFriend</t>
  </si>
  <si>
    <t>GreatWhiteHunter</t>
  </si>
  <si>
    <t>HardDrinkingPartyGirl</t>
  </si>
  <si>
    <t>HaveIMentionedIAmHeterosexualToday</t>
  </si>
  <si>
    <t>HookHand</t>
  </si>
  <si>
    <t>HorribleHollywood</t>
  </si>
  <si>
    <t>IrisOut</t>
  </si>
  <si>
    <t>KillerRabbit</t>
  </si>
  <si>
    <t>LanguageBarrier</t>
  </si>
  <si>
    <t>LikeASonToMe</t>
  </si>
  <si>
    <t>LovableJock</t>
  </si>
  <si>
    <t>MadonnaWhoreComplex</t>
  </si>
  <si>
    <t>MakesJustAsMuchSenseInContext</t>
  </si>
  <si>
    <t>MiscarriageOfJustice</t>
  </si>
  <si>
    <t>MisplacedRetribution</t>
  </si>
  <si>
    <t>NewMediaAreEvil</t>
  </si>
  <si>
    <t>NoPeriodsPeriod</t>
  </si>
  <si>
    <t>PerspectiveFlip</t>
  </si>
  <si>
    <t>PowerPerversionPotential</t>
  </si>
  <si>
    <t>PuppeteerParasite</t>
  </si>
  <si>
    <t>ReedRichardsIsUseless</t>
  </si>
  <si>
    <t>ShootTheHostage</t>
  </si>
  <si>
    <t>SociopathicHero</t>
  </si>
  <si>
    <t>SpySpeak</t>
  </si>
  <si>
    <t>StatusQuoIsGod</t>
  </si>
  <si>
    <t>TalkingIsAFreeAction</t>
  </si>
  <si>
    <t>TechnicalPacifist</t>
  </si>
  <si>
    <t>TheAlcatraz</t>
  </si>
  <si>
    <t>TheDulcineaEffect</t>
  </si>
  <si>
    <t>TheEdwardianEra</t>
  </si>
  <si>
    <t>TheMenInBlack</t>
  </si>
  <si>
    <t>TheScapegoat</t>
  </si>
  <si>
    <t>TimeyWimeyBall</t>
  </si>
  <si>
    <t>TortureCellar</t>
  </si>
  <si>
    <t>TravelMontage</t>
  </si>
  <si>
    <t>Tuckerization</t>
  </si>
  <si>
    <t>UnwantedAssistance</t>
  </si>
  <si>
    <t>VillainExitStageLeft</t>
  </si>
  <si>
    <t>VoiceOfTheLegion</t>
  </si>
  <si>
    <t>WalkingSpoiler</t>
  </si>
  <si>
    <t>WallOfWeapons</t>
  </si>
  <si>
    <t>WeakenedByTheLight</t>
  </si>
  <si>
    <t>WickedWitch</t>
  </si>
  <si>
    <t>AdaptationalJerkass</t>
  </si>
  <si>
    <t>AllBikersAreHellsAngels</t>
  </si>
  <si>
    <t>ArtificialGravity</t>
  </si>
  <si>
    <t>AttentionDeficitOohShiny</t>
  </si>
  <si>
    <t>BeleagueredAssistant</t>
  </si>
  <si>
    <t>Bizarrchitecture</t>
  </si>
  <si>
    <t>BlindIdiotTranslation</t>
  </si>
  <si>
    <t>BodySurf</t>
  </si>
  <si>
    <t>ChekhovsHobby</t>
  </si>
  <si>
    <t>ConspicuousConsumption</t>
  </si>
  <si>
    <t>ContractOnTheHitman</t>
  </si>
  <si>
    <t>CorruptTheCutie</t>
  </si>
  <si>
    <t>CrazyCatLady</t>
  </si>
  <si>
    <t>CreatorThumbprint</t>
  </si>
  <si>
    <t>CreepySouvenir</t>
  </si>
  <si>
    <t>CulturedBadass</t>
  </si>
  <si>
    <t>DevilInPlainSight</t>
  </si>
  <si>
    <t>DidIMentionItsChristmas</t>
  </si>
  <si>
    <t>DiggingYourselfDeeper</t>
  </si>
  <si>
    <t>EvilOverlooker</t>
  </si>
  <si>
    <t>GeneralFailure</t>
  </si>
  <si>
    <t>HandsomeLech</t>
  </si>
  <si>
    <t>HostageForMacGuffin</t>
  </si>
  <si>
    <t>InLoveWithTheMark</t>
  </si>
  <si>
    <t>InterchangeableAsianCultures</t>
  </si>
  <si>
    <t>JailBait</t>
  </si>
  <si>
    <t>KickThemWhileTheyAreDown</t>
  </si>
  <si>
    <t>LightFeminineAndDarkFeminine</t>
  </si>
  <si>
    <t>LoanShark</t>
  </si>
  <si>
    <t>LoonyFan</t>
  </si>
  <si>
    <t>MadDoctor</t>
  </si>
  <si>
    <t>MamasBabyPapasMaybe</t>
  </si>
  <si>
    <t>Metaphorgotten</t>
  </si>
  <si>
    <t>MonsterMisogyny</t>
  </si>
  <si>
    <t>MultipleGunshotDeath</t>
  </si>
  <si>
    <t>Nepotism</t>
  </si>
  <si>
    <t>NoMrBondIExpectYouToDine</t>
  </si>
  <si>
    <t>OppositesAttract</t>
  </si>
  <si>
    <t>OutsideContextProblem</t>
  </si>
  <si>
    <t>PainfulTransformation</t>
  </si>
  <si>
    <t>PrivateDetective</t>
  </si>
  <si>
    <t>ProtagonistJourneyToVillain</t>
  </si>
  <si>
    <t>PsychicLink</t>
  </si>
  <si>
    <t>RealityHasNoSoundtrack</t>
  </si>
  <si>
    <t>SlapstickKnowsNoGender</t>
  </si>
  <si>
    <t>SpiritualAntithesis</t>
  </si>
  <si>
    <t>StatingTheSimpleSolution</t>
  </si>
  <si>
    <t>TheFarmerAndTheViper</t>
  </si>
  <si>
    <t>TheShrink</t>
  </si>
  <si>
    <t>TheWoobie</t>
  </si>
  <si>
    <t>TransparentCloset</t>
  </si>
  <si>
    <t>TriumphantReprise</t>
  </si>
  <si>
    <t>VoodooShark</t>
  </si>
  <si>
    <t>WeaponizedCar</t>
  </si>
  <si>
    <t>WeirdnessCensor</t>
  </si>
  <si>
    <t>Wuxia</t>
  </si>
  <si>
    <t>AwfulTruth</t>
  </si>
  <si>
    <t>BlackAndNerdy</t>
  </si>
  <si>
    <t>CombatStilettos</t>
  </si>
  <si>
    <t>CompensatingForSomething</t>
  </si>
  <si>
    <t>ComplexityAddiction</t>
  </si>
  <si>
    <t>CoolStarship</t>
  </si>
  <si>
    <t>CouldHaveAvoidedThisPlot</t>
  </si>
  <si>
    <t>CutHisHeartOutWithASpoon</t>
  </si>
  <si>
    <t>DefiledForever</t>
  </si>
  <si>
    <t>DisneyAcidSequence</t>
  </si>
  <si>
    <t>DoingItForTheArt</t>
  </si>
  <si>
    <t>DolledUpInstallment</t>
  </si>
  <si>
    <t>DreamWithinADream</t>
  </si>
  <si>
    <t>DuringTheWar</t>
  </si>
  <si>
    <t>EverythingsBetterWithPrincesses</t>
  </si>
  <si>
    <t>EvilUncle</t>
  </si>
  <si>
    <t>ExactEavesdropping</t>
  </si>
  <si>
    <t>ForDoomTheBellTolls</t>
  </si>
  <si>
    <t>FourIsDeath</t>
  </si>
  <si>
    <t>FriendlySniper</t>
  </si>
  <si>
    <t>FruitCart</t>
  </si>
  <si>
    <t>FryingPanOfDoom</t>
  </si>
  <si>
    <t>GeniusLoci</t>
  </si>
  <si>
    <t>GloryHound</t>
  </si>
  <si>
    <t>HighVoltageDeath</t>
  </si>
  <si>
    <t>HollywoodSatanism</t>
  </si>
  <si>
    <t>HolyBurnsEvil</t>
  </si>
  <si>
    <t>Housewife</t>
  </si>
  <si>
    <t>ItWasHisSled</t>
  </si>
  <si>
    <t>LoveHurts</t>
  </si>
  <si>
    <t>MediumBlending</t>
  </si>
  <si>
    <t>MurderSuicide</t>
  </si>
  <si>
    <t>NamedAfterSomebodyFamous</t>
  </si>
  <si>
    <t>NeverBringAKnifeToAFistFight</t>
  </si>
  <si>
    <t>ParentWithNewParamour</t>
  </si>
  <si>
    <t>PinballProtagonist</t>
  </si>
  <si>
    <t>PresentDayPast</t>
  </si>
  <si>
    <t>RelatedInTheAdaptation</t>
  </si>
  <si>
    <t>Ruritania</t>
  </si>
  <si>
    <t>ScreamingBirth</t>
  </si>
  <si>
    <t>ShoePhone</t>
  </si>
  <si>
    <t>SiblingYinYang</t>
  </si>
  <si>
    <t>SmokingHotSex</t>
  </si>
  <si>
    <t>SpeechImpediment</t>
  </si>
  <si>
    <t>SpicyLatina</t>
  </si>
  <si>
    <t>StrawNihilist</t>
  </si>
  <si>
    <t>TheCanKickedHim</t>
  </si>
  <si>
    <t>TheCorrupter</t>
  </si>
  <si>
    <t>TheLadette</t>
  </si>
  <si>
    <t>TheMatchmaker</t>
  </si>
  <si>
    <t>TheNeedsOfTheMany</t>
  </si>
  <si>
    <t>ThickerThanWater</t>
  </si>
  <si>
    <t>TraintopBattle</t>
  </si>
  <si>
    <t>TurnedAgainstTheirMasters</t>
  </si>
  <si>
    <t>WorldOfBadass</t>
  </si>
  <si>
    <t>YourTerroristsAreOurFreedomFighters</t>
  </si>
  <si>
    <t>AlienSky</t>
  </si>
  <si>
    <t>AlternativeCharacterInterpretation</t>
  </si>
  <si>
    <t>AnalogyBackfire</t>
  </si>
  <si>
    <t>AnAssKickingChristmas</t>
  </si>
  <si>
    <t>AsskickingEqualsAuthority</t>
  </si>
  <si>
    <t>BadassInDistress</t>
  </si>
  <si>
    <t>BadSanta</t>
  </si>
  <si>
    <t>BedmateReveal</t>
  </si>
  <si>
    <t>BeethovenWasAnAlienSpy</t>
  </si>
  <si>
    <t>BizarreAlienBiology</t>
  </si>
  <si>
    <t>Brownface</t>
  </si>
  <si>
    <t>BusbyBerkeleyNumber</t>
  </si>
  <si>
    <t>DeathOfTheHypotenuse</t>
  </si>
  <si>
    <t>EnsembleCast</t>
  </si>
  <si>
    <t>FriendsRentControl</t>
  </si>
  <si>
    <t>Gasshole</t>
  </si>
  <si>
    <t>GirlishPigtails</t>
  </si>
  <si>
    <t>HatePlague</t>
  </si>
  <si>
    <t>HeadphonesEqualIsolation</t>
  </si>
  <si>
    <t>HelmetsAreHardlyHeroic</t>
  </si>
  <si>
    <t>IResembleThatRemark</t>
  </si>
  <si>
    <t>Joisey</t>
  </si>
  <si>
    <t>JumpedAtTheCall</t>
  </si>
  <si>
    <t>LoveMartyr</t>
  </si>
  <si>
    <t>MiniMecha</t>
  </si>
  <si>
    <t>MixAndMatchCritters</t>
  </si>
  <si>
    <t>NeverLearnedToRead</t>
  </si>
  <si>
    <t>NoYou</t>
  </si>
  <si>
    <t>OrangeBlueContrast</t>
  </si>
  <si>
    <t>PantsPositiveSafety</t>
  </si>
  <si>
    <t>PleaseDontLeaveMe</t>
  </si>
  <si>
    <t>RichIdiotWithNoDayJob</t>
  </si>
  <si>
    <t>RussianRoulette</t>
  </si>
  <si>
    <t>SayingTooMuch</t>
  </si>
  <si>
    <t>ShroudedInMyth</t>
  </si>
  <si>
    <t>SoftSpokenSadist</t>
  </si>
  <si>
    <t>SpontaneousChoreography</t>
  </si>
  <si>
    <t>TheArtifact</t>
  </si>
  <si>
    <t>TheBeard</t>
  </si>
  <si>
    <t>TheGloriousWarOfSisterlyRivalry</t>
  </si>
  <si>
    <t>TheStoolPigeon</t>
  </si>
  <si>
    <t>ThreeWaySex</t>
  </si>
  <si>
    <t>UnlimitedWardrobe</t>
  </si>
  <si>
    <t>UnluckyChildhoodFriend</t>
  </si>
  <si>
    <t>VillainousIncest</t>
  </si>
  <si>
    <t>WardrobeMalfunction</t>
  </si>
  <si>
    <t>WasOnceAMan</t>
  </si>
  <si>
    <t>WillTheyOrWontThey</t>
  </si>
  <si>
    <t>ZeroPercentApprovalRating</t>
  </si>
  <si>
    <t>AbandonedHospital</t>
  </si>
  <si>
    <t>AdaptationalNameChange</t>
  </si>
  <si>
    <t>AHouseDivided</t>
  </si>
  <si>
    <t>BaitAndSwitchComment</t>
  </si>
  <si>
    <t>BlackmailIsSuchAnUglyWord</t>
  </si>
  <si>
    <t>BrainBleach</t>
  </si>
  <si>
    <t>Brainwashed</t>
  </si>
  <si>
    <t>BreakUpMakeUpScenario</t>
  </si>
  <si>
    <t>CantKillYouStillNeedYou</t>
  </si>
  <si>
    <t>ChestBurster</t>
  </si>
  <si>
    <t>DivorceIsTemporary</t>
  </si>
  <si>
    <t>DownToTheLastPlay</t>
  </si>
  <si>
    <t>EnemyRisingBehind</t>
  </si>
  <si>
    <t>EverythingIsOnline</t>
  </si>
  <si>
    <t>EverythingTryingToKillYou</t>
  </si>
  <si>
    <t>FilmWithinAFilm</t>
  </si>
  <si>
    <t>ForeignQueasine</t>
  </si>
  <si>
    <t>GhostTown</t>
  </si>
  <si>
    <t>GlassesPull</t>
  </si>
  <si>
    <t>Goth</t>
  </si>
  <si>
    <t>HearingVoices</t>
  </si>
  <si>
    <t>HeelFaceRevolvingDoor</t>
  </si>
  <si>
    <t>HistoricalVillainDowngrade</t>
  </si>
  <si>
    <t>HiveMind</t>
  </si>
  <si>
    <t>HollywoodHeartAttack</t>
  </si>
  <si>
    <t>HookersAndBlow</t>
  </si>
  <si>
    <t>InstantlyProvenWrong</t>
  </si>
  <si>
    <t>KingIncognito</t>
  </si>
  <si>
    <t>LifeOrLimbDecision</t>
  </si>
  <si>
    <t>LittleBlackDress</t>
  </si>
  <si>
    <t>LittleMissBadass</t>
  </si>
  <si>
    <t>LotusEaterMachine</t>
  </si>
  <si>
    <t>LowerClassLout</t>
  </si>
  <si>
    <t>MagicRealism</t>
  </si>
  <si>
    <t>Melodrama</t>
  </si>
  <si>
    <t>NakedOnArrival</t>
  </si>
  <si>
    <t>NecessarilyEvil</t>
  </si>
  <si>
    <t>NonActorVehicle</t>
  </si>
  <si>
    <t>ObliviouslyEvil</t>
  </si>
  <si>
    <t>OrbitalShot</t>
  </si>
  <si>
    <t>OrificeInvasion</t>
  </si>
  <si>
    <t>PrivateMilitaryContractors</t>
  </si>
  <si>
    <t>ProudWarriorRaceGuy</t>
  </si>
  <si>
    <t>ReligiousHorror</t>
  </si>
  <si>
    <t>ReptilesAreAbhorrent</t>
  </si>
  <si>
    <t>RockBeatsLaser</t>
  </si>
  <si>
    <t>RunawayBride</t>
  </si>
  <si>
    <t>SelfMadeMan</t>
  </si>
  <si>
    <t>SergeantRock</t>
  </si>
  <si>
    <t>SinisterShades</t>
  </si>
  <si>
    <t>SinisterSurveillance</t>
  </si>
  <si>
    <t>SleazyPolitician</t>
  </si>
  <si>
    <t>SourceMusic</t>
  </si>
  <si>
    <t>SpoilerCover</t>
  </si>
  <si>
    <t>StealthSequel</t>
  </si>
  <si>
    <t>StraightMan</t>
  </si>
  <si>
    <t>Streetwalker</t>
  </si>
  <si>
    <t>SuperOCD</t>
  </si>
  <si>
    <t>TakeMeInstead</t>
  </si>
  <si>
    <t>TeenGenius</t>
  </si>
  <si>
    <t>TeenyWeenie</t>
  </si>
  <si>
    <t>TheCallKnowsWhereYouLive</t>
  </si>
  <si>
    <t>TheCassandra</t>
  </si>
  <si>
    <t>TheGreatPoliticsMessUp</t>
  </si>
  <si>
    <t>TheIgor</t>
  </si>
  <si>
    <t>ThePreciousPreciousCar</t>
  </si>
  <si>
    <t>TheRevolutionWillNotBeCivilized</t>
  </si>
  <si>
    <t>TrainEscape</t>
  </si>
  <si>
    <t>TrapDoor</t>
  </si>
  <si>
    <t>TurnInYourBadge</t>
  </si>
  <si>
    <t>UndeadChild</t>
  </si>
  <si>
    <t>VideoPhone</t>
  </si>
  <si>
    <t>VigilanteExecution</t>
  </si>
  <si>
    <t>WhatCouldPossiblyGoWrong</t>
  </si>
  <si>
    <t>WhatIsThisThingYouCallLove</t>
  </si>
  <si>
    <t>Workaholic</t>
  </si>
  <si>
    <t>Yellowface</t>
  </si>
  <si>
    <t>AbandonedWarehouse</t>
  </si>
  <si>
    <t>AlliterativeTitle</t>
  </si>
  <si>
    <t>AMillionIsAStatistic</t>
  </si>
  <si>
    <t>AttackAttackAttack</t>
  </si>
  <si>
    <t>AvengingTheVillain</t>
  </si>
  <si>
    <t>BorrowedCatchphrase</t>
  </si>
  <si>
    <t>BreadEggsBreadedEggs</t>
  </si>
  <si>
    <t>BritishStuffiness</t>
  </si>
  <si>
    <t>BurgerFool</t>
  </si>
  <si>
    <t>ChainPain</t>
  </si>
  <si>
    <t>ChekhovsLecture</t>
  </si>
  <si>
    <t>CoolBoat</t>
  </si>
  <si>
    <t>CureYourGays</t>
  </si>
  <si>
    <t>DeadlineNews</t>
  </si>
  <si>
    <t>DidYouJustFlipOffCthulhu</t>
  </si>
  <si>
    <t>DyingAlone</t>
  </si>
  <si>
    <t>EarWorm</t>
  </si>
  <si>
    <t>FamilyUnfriendlyViolence</t>
  </si>
  <si>
    <t>FollowThatCar</t>
  </si>
  <si>
    <t>FramingTheGuiltyParty</t>
  </si>
  <si>
    <t>GangBangers</t>
  </si>
  <si>
    <t>GayParee</t>
  </si>
  <si>
    <t>GodivaHair</t>
  </si>
  <si>
    <t>GratuitousGerman</t>
  </si>
  <si>
    <t>GrowingUpSucks</t>
  </si>
  <si>
    <t>GunTwirling</t>
  </si>
  <si>
    <t>HesDeadJim</t>
  </si>
  <si>
    <t>IKnowMortalKombat</t>
  </si>
  <si>
    <t>InspiredBy</t>
  </si>
  <si>
    <t>JustAStupidAccent</t>
  </si>
  <si>
    <t>LovableAlphaBitch</t>
  </si>
  <si>
    <t>LoveableRogue</t>
  </si>
  <si>
    <t>LovePotion</t>
  </si>
  <si>
    <t>MadBomber</t>
  </si>
  <si>
    <t>Mondegreen</t>
  </si>
  <si>
    <t>NeverBringAKnifeToAGunFight</t>
  </si>
  <si>
    <t>NeverSayDie</t>
  </si>
  <si>
    <t>NighInvulnerable</t>
  </si>
  <si>
    <t>NotHelpingYourCase</t>
  </si>
  <si>
    <t>ObviousStuntDouble</t>
  </si>
  <si>
    <t>OhNoNotAgain</t>
  </si>
  <si>
    <t>OneBulletLeft</t>
  </si>
  <si>
    <t>OneLastSmoke</t>
  </si>
  <si>
    <t>PassThePopcorn</t>
  </si>
  <si>
    <t>PieInTheFace</t>
  </si>
  <si>
    <t>PresidentEvil</t>
  </si>
  <si>
    <t>PsychicAssistedSuicide</t>
  </si>
  <si>
    <t>RedLightDistrict</t>
  </si>
  <si>
    <t>RevealingCoverup</t>
  </si>
  <si>
    <t>RevealShot</t>
  </si>
  <si>
    <t>RhymesOnADime</t>
  </si>
  <si>
    <t>RoboticReveal</t>
  </si>
  <si>
    <t>SexySurfacingShot</t>
  </si>
  <si>
    <t>StockSoundEffects</t>
  </si>
  <si>
    <t>TerribleIntervieweesMontage</t>
  </si>
  <si>
    <t>TheDanza</t>
  </si>
  <si>
    <t>TheInfiltration</t>
  </si>
  <si>
    <t>TheLastOfTheseIsNotLikeTheOthers</t>
  </si>
  <si>
    <t>ThePurge</t>
  </si>
  <si>
    <t>TheQueensLatin</t>
  </si>
  <si>
    <t>TheSocialDarwinist</t>
  </si>
  <si>
    <t>TheUnfavourite</t>
  </si>
  <si>
    <t>ThrowAwayGuns</t>
  </si>
  <si>
    <t>TorturePorn</t>
  </si>
  <si>
    <t>TrueLovesKiss</t>
  </si>
  <si>
    <t>TwentyMinutesIntoThePast</t>
  </si>
  <si>
    <t>VehicleTitle</t>
  </si>
  <si>
    <t>WolverinePublicity</t>
  </si>
  <si>
    <t>WrenchWench</t>
  </si>
  <si>
    <t>AmusementPark</t>
  </si>
  <si>
    <t>AndNowYouMustMarryMe</t>
  </si>
  <si>
    <t>AudienceParticipation</t>
  </si>
  <si>
    <t>BladeOfGrassCut</t>
  </si>
  <si>
    <t>BladeOnAStick</t>
  </si>
  <si>
    <t>BrandX</t>
  </si>
  <si>
    <t>ButNotTooBlack</t>
  </si>
  <si>
    <t>Cameo</t>
  </si>
  <si>
    <t>CharacterFilibuster</t>
  </si>
  <si>
    <t>CityMouse</t>
  </si>
  <si>
    <t>ConversationCut</t>
  </si>
  <si>
    <t>CoolHorse</t>
  </si>
  <si>
    <t>CountryMouse</t>
  </si>
  <si>
    <t>CurbstompCushion</t>
  </si>
  <si>
    <t>DarkestAfrica</t>
  </si>
  <si>
    <t>DeadlyPrank</t>
  </si>
  <si>
    <t>DeathEqualsRedemption</t>
  </si>
  <si>
    <t>DidTheyOrDidntThey</t>
  </si>
  <si>
    <t>DoubleTap</t>
  </si>
  <si>
    <t>EyeTake</t>
  </si>
  <si>
    <t>FictionalCounterpart</t>
  </si>
  <si>
    <t>FinalSolution</t>
  </si>
  <si>
    <t>FrankensteinsMonster</t>
  </si>
  <si>
    <t>GodwinsLaw</t>
  </si>
  <si>
    <t>GunStruggle</t>
  </si>
  <si>
    <t>HarsherInHindsight</t>
  </si>
  <si>
    <t>IAmSong</t>
  </si>
  <si>
    <t>IAmTheNoun</t>
  </si>
  <si>
    <t>IgnoredEpiphany</t>
  </si>
  <si>
    <t>ImColdSoCold</t>
  </si>
  <si>
    <t>ImpromptuTracheotomy</t>
  </si>
  <si>
    <t>JabbaTableManners</t>
  </si>
  <si>
    <t>KillAllHumans</t>
  </si>
  <si>
    <t>LadyOfWar</t>
  </si>
  <si>
    <t>LaserSight</t>
  </si>
  <si>
    <t>LetsFightLikeGentlemen</t>
  </si>
  <si>
    <t>LettingTheAirOutOfTheBand</t>
  </si>
  <si>
    <t>LittlestCancerPatient</t>
  </si>
  <si>
    <t>Masquerade</t>
  </si>
  <si>
    <t>NamesTheSame</t>
  </si>
  <si>
    <t>NoBisexuals</t>
  </si>
  <si>
    <t>NonMaliciousMonster</t>
  </si>
  <si>
    <t>OddlyNamedSequel2ElectricBoogaloo</t>
  </si>
  <si>
    <t>OminousPipeOrgan</t>
  </si>
  <si>
    <t>OurDemonsAreDifferent</t>
  </si>
  <si>
    <t>Overcrank</t>
  </si>
  <si>
    <t>ParentalMarriageVeto</t>
  </si>
  <si>
    <t>PutDownYourGunAndStepAway</t>
  </si>
  <si>
    <t>PuttingTheBandBackTogether</t>
  </si>
  <si>
    <t>RapeDiscretionShot</t>
  </si>
  <si>
    <t>RapidAging</t>
  </si>
  <si>
    <t>RooftopConfrontation</t>
  </si>
  <si>
    <t>RousseauWasRight</t>
  </si>
  <si>
    <t>RuleOfScary</t>
  </si>
  <si>
    <t>SecondActBreakup</t>
  </si>
  <si>
    <t>SerkisFolk</t>
  </si>
  <si>
    <t>ShadowArchetype</t>
  </si>
  <si>
    <t>ShameIfSomethingHappened</t>
  </si>
  <si>
    <t>Sidekick</t>
  </si>
  <si>
    <t>SinsOfOurFathers</t>
  </si>
  <si>
    <t>StarfishAliens</t>
  </si>
  <si>
    <t>StatuesqueStunner</t>
  </si>
  <si>
    <t>SugarAndIcePersonality</t>
  </si>
  <si>
    <t>SupernaturalProofFather</t>
  </si>
  <si>
    <t>TheirFirstTime</t>
  </si>
  <si>
    <t>TheMasquerade</t>
  </si>
  <si>
    <t>ThematicSeries</t>
  </si>
  <si>
    <t>TheOtherDarrin</t>
  </si>
  <si>
    <t>TheWatson</t>
  </si>
  <si>
    <t>ThirteenIsUnlucky</t>
  </si>
  <si>
    <t>ThrowingTheFight</t>
  </si>
  <si>
    <t>TimeBomb</t>
  </si>
  <si>
    <t>ToServeMan</t>
  </si>
  <si>
    <t>TyrantTakesTheHelm</t>
  </si>
  <si>
    <t>UptightLovesWild</t>
  </si>
  <si>
    <t>WhatDoesSheSeeInHim</t>
  </si>
  <si>
    <t>YourApprovalFillsMeWithShame</t>
  </si>
  <si>
    <t>ActualPacifist</t>
  </si>
  <si>
    <t>AFormYouAreComfortableWith</t>
  </si>
  <si>
    <t>AvengersAssemble</t>
  </si>
  <si>
    <t>BarehandedBladeBlock</t>
  </si>
  <si>
    <t>BattleAmongstTheFlames</t>
  </si>
  <si>
    <t>BeautyInversion</t>
  </si>
  <si>
    <t>BewareTheSillyOnes</t>
  </si>
  <si>
    <t>BigYes</t>
  </si>
  <si>
    <t>BodyDouble</t>
  </si>
  <si>
    <t>BottleEpisode</t>
  </si>
  <si>
    <t>BrooklynRage</t>
  </si>
  <si>
    <t>ChickFlick</t>
  </si>
  <si>
    <t>CloseOnTitle</t>
  </si>
  <si>
    <t>CoolMask</t>
  </si>
  <si>
    <t>CowardlyLion</t>
  </si>
  <si>
    <t>CrisisOfFaith</t>
  </si>
  <si>
    <t>CynicismCatalyst</t>
  </si>
  <si>
    <t>DeadPersonConversation</t>
  </si>
  <si>
    <t>DigitalDestruction</t>
  </si>
  <si>
    <t>DragQueen</t>
  </si>
  <si>
    <t>DrJerk</t>
  </si>
  <si>
    <t>EverythingsBetterWithDinosaurs</t>
  </si>
  <si>
    <t>EvilAlbino</t>
  </si>
  <si>
    <t>EyeAwaken</t>
  </si>
  <si>
    <t>FamedInStory</t>
  </si>
  <si>
    <t>FilleFatale</t>
  </si>
  <si>
    <t>FunetikAksent</t>
  </si>
  <si>
    <t>GasMaskMooks</t>
  </si>
  <si>
    <t>GreedyJew</t>
  </si>
  <si>
    <t>GreyAndGreyMorality</t>
  </si>
  <si>
    <t>HardBoiledDetective</t>
  </si>
  <si>
    <t>IfYoureSoEvilEatThisKitten</t>
  </si>
  <si>
    <t>Improv</t>
  </si>
  <si>
    <t>ItIsDehumanizing</t>
  </si>
  <si>
    <t>LikeBrotherAndSister</t>
  </si>
  <si>
    <t>LiveActionAdaptation</t>
  </si>
  <si>
    <t>MeaningfulFuneral</t>
  </si>
  <si>
    <t>MisplacedNamesPoster</t>
  </si>
  <si>
    <t>NameAndName</t>
  </si>
  <si>
    <t>NoPlansNoPrototypeNoBackup</t>
  </si>
  <si>
    <t>NoSympathy</t>
  </si>
  <si>
    <t>NotWithTheSafetyOnYouWont</t>
  </si>
  <si>
    <t>OmnidisciplinaryScientist</t>
  </si>
  <si>
    <t>OneBookAuthor</t>
  </si>
  <si>
    <t>QuirkyMinibossSquad</t>
  </si>
  <si>
    <t>RealIsBrown</t>
  </si>
  <si>
    <t>ReportsOfMyDeathWereGreatlyExaggerated</t>
  </si>
  <si>
    <t>SadClown</t>
  </si>
  <si>
    <t>ScrewThisImOutOfHere</t>
  </si>
  <si>
    <t>SexDrugsAndRockAndRoll</t>
  </si>
  <si>
    <t>StringyHairedGhostGirl</t>
  </si>
  <si>
    <t>SuicideAttack</t>
  </si>
  <si>
    <t>ThatPoorCat</t>
  </si>
  <si>
    <t>TheBladeAlwaysLandsPointyEndIn</t>
  </si>
  <si>
    <t>TheDandy</t>
  </si>
  <si>
    <t>TheGlassesGottaGo</t>
  </si>
  <si>
    <t>TheNapoleon</t>
  </si>
  <si>
    <t>WallBangHer</t>
  </si>
  <si>
    <t>WardensAreEvil</t>
  </si>
  <si>
    <t>WatchThePaintJob</t>
  </si>
  <si>
    <t>WimpFight</t>
  </si>
  <si>
    <t>YesMan</t>
  </si>
  <si>
    <t>YouMonster</t>
  </si>
  <si>
    <t>AbandonShip</t>
  </si>
  <si>
    <t>AndImTheQueenOfSheba</t>
  </si>
  <si>
    <t>ArtisticLicenseChemistry</t>
  </si>
  <si>
    <t>AtTheOperaTonight</t>
  </si>
  <si>
    <t>AxeBeforeEntering</t>
  </si>
  <si>
    <t>BadassBaritone</t>
  </si>
  <si>
    <t>BadHabits</t>
  </si>
  <si>
    <t>BecauseDestinySaysSo</t>
  </si>
  <si>
    <t>BeenThereShapedHistory</t>
  </si>
  <si>
    <t>BigBrotherMentor</t>
  </si>
  <si>
    <t>BiggerBad</t>
  </si>
  <si>
    <t>BondageIsBad</t>
  </si>
  <si>
    <t>BorrowedBiometricBypass</t>
  </si>
  <si>
    <t>CarnivalOfKillers</t>
  </si>
  <si>
    <t>CultSoundtrack</t>
  </si>
  <si>
    <t>Cyborg</t>
  </si>
  <si>
    <t>DearJohnLetter</t>
  </si>
  <si>
    <t>DoingInTheWizard</t>
  </si>
  <si>
    <t>DoubleMeaning</t>
  </si>
  <si>
    <t>DownOnTheFarm</t>
  </si>
  <si>
    <t>DragonAscendant</t>
  </si>
  <si>
    <t>DrowningPit</t>
  </si>
  <si>
    <t>FakeDefector</t>
  </si>
  <si>
    <t>ForeignCussWord</t>
  </si>
  <si>
    <t>ForgotAboutHisPowers</t>
  </si>
  <si>
    <t>FriendsWithBenefits</t>
  </si>
  <si>
    <t>FunctionalAddict</t>
  </si>
  <si>
    <t>GlassCannon</t>
  </si>
  <si>
    <t>GoGoEnslavement</t>
  </si>
  <si>
    <t>HappierHomeMovie</t>
  </si>
  <si>
    <t>HappyFlashback</t>
  </si>
  <si>
    <t>HatesBeingTouched</t>
  </si>
  <si>
    <t>InnocentBlueEyes</t>
  </si>
  <si>
    <t>KickedUpstairs</t>
  </si>
  <si>
    <t>LawfulStupid</t>
  </si>
  <si>
    <t>LawyerFriendlyCameo</t>
  </si>
  <si>
    <t>LensFlare</t>
  </si>
  <si>
    <t>MisfitMobilizationMoment</t>
  </si>
  <si>
    <t>MST3KMantra</t>
  </si>
  <si>
    <t>MultinationalTeam</t>
  </si>
  <si>
    <t>MurderByMistake</t>
  </si>
  <si>
    <t>MyCountryRightOrWrong</t>
  </si>
  <si>
    <t>NationalStereotypes</t>
  </si>
  <si>
    <t>NotMakingThisUpDisclaimer</t>
  </si>
  <si>
    <t>NumberOfTheBeast</t>
  </si>
  <si>
    <t>ObfuscatingInsanity</t>
  </si>
  <si>
    <t>OpposingSportsTeam</t>
  </si>
  <si>
    <t>OverlyNarrowSuperlative</t>
  </si>
  <si>
    <t>PlayingAgainstType</t>
  </si>
  <si>
    <t>RailroadTracksOfDoom</t>
  </si>
  <si>
    <t>RealMenLoveJesus</t>
  </si>
  <si>
    <t>RuleOfPool</t>
  </si>
  <si>
    <t>SoundEffectBleep</t>
  </si>
  <si>
    <t>SpaceClothes</t>
  </si>
  <si>
    <t>SpotlightStealingSquad</t>
  </si>
  <si>
    <t>StalkerShrine</t>
  </si>
  <si>
    <t>TerribleTrio</t>
  </si>
  <si>
    <t>TheResenter</t>
  </si>
  <si>
    <t>TheTalk</t>
  </si>
  <si>
    <t>TheTeaser</t>
  </si>
  <si>
    <t>TheToothHurts</t>
  </si>
  <si>
    <t>TimeCompressionMontage</t>
  </si>
  <si>
    <t>UsedToBeASweetKid</t>
  </si>
  <si>
    <t>YouAreWhatYouHate</t>
  </si>
  <si>
    <t>AcceptableTargets</t>
  </si>
  <si>
    <t>AccidentalHero</t>
  </si>
  <si>
    <t>AHandfulForAnEye</t>
  </si>
  <si>
    <t>AlcoholInducedIdiocy</t>
  </si>
  <si>
    <t>ArtisticLicensePaleontology</t>
  </si>
  <si>
    <t>AttackDrone</t>
  </si>
  <si>
    <t>BeneathTheMask</t>
  </si>
  <si>
    <t>BlingOfWar</t>
  </si>
  <si>
    <t>BornInTheWrongCentury</t>
  </si>
  <si>
    <t>BridalCarry</t>
  </si>
  <si>
    <t>CheerfulChild</t>
  </si>
  <si>
    <t>CodeName</t>
  </si>
  <si>
    <t>CreepyCrows</t>
  </si>
  <si>
    <t>Cuckold</t>
  </si>
  <si>
    <t>DarknessEqualsDeath</t>
  </si>
  <si>
    <t>DyingDeclarationOfLove</t>
  </si>
  <si>
    <t>EveryoneCanSeeIt</t>
  </si>
  <si>
    <t>FakeoutMakeout</t>
  </si>
  <si>
    <t>FoundFootageFilms</t>
  </si>
  <si>
    <t>FriendlessBackground</t>
  </si>
  <si>
    <t>HarmlessFreezing</t>
  </si>
  <si>
    <t>HisNameIs</t>
  </si>
  <si>
    <t>HonestCorporateExecutive</t>
  </si>
  <si>
    <t>ImADoctorNotAPlaceholder</t>
  </si>
  <si>
    <t>InformedJudaism</t>
  </si>
  <si>
    <t>InjunCountry</t>
  </si>
  <si>
    <t>InTheStyleOf</t>
  </si>
  <si>
    <t>JerkassWoobie</t>
  </si>
  <si>
    <t>JugglingLoadedGuns</t>
  </si>
  <si>
    <t>JustTrainWrong</t>
  </si>
  <si>
    <t>KneelBeforeZod</t>
  </si>
  <si>
    <t>LikesOlderWomen</t>
  </si>
  <si>
    <t>MagicPlasticSurgery</t>
  </si>
  <si>
    <t>MookChivalry</t>
  </si>
  <si>
    <t>MundaneSolution</t>
  </si>
  <si>
    <t>NauseaFuel</t>
  </si>
  <si>
    <t>NayTheist</t>
  </si>
  <si>
    <t>OopNorth</t>
  </si>
  <si>
    <t>OurAngelsAreDifferent</t>
  </si>
  <si>
    <t>OverlyLongName</t>
  </si>
  <si>
    <t>PhallicWeapon</t>
  </si>
  <si>
    <t>PropagandaMachine</t>
  </si>
  <si>
    <t>ScarilyCompetentTracker</t>
  </si>
  <si>
    <t>ScavengerWorld</t>
  </si>
  <si>
    <t>SilentAntagonist</t>
  </si>
  <si>
    <t>SmallTownBoredom</t>
  </si>
  <si>
    <t>StepfordSuburbia</t>
  </si>
  <si>
    <t>SuperSerum</t>
  </si>
  <si>
    <t>SurpriseIncest</t>
  </si>
  <si>
    <t>TheDrifter</t>
  </si>
  <si>
    <t>TheOneThatGotAway</t>
  </si>
  <si>
    <t>ThereWasADoor</t>
  </si>
  <si>
    <t>TheRunaway</t>
  </si>
  <si>
    <t>TitleIn</t>
  </si>
  <si>
    <t>TooKinkyToTorture</t>
  </si>
  <si>
    <t>TransformationSequence</t>
  </si>
  <si>
    <t>Troperiffic</t>
  </si>
  <si>
    <t>TyrannosaurusRex</t>
  </si>
  <si>
    <t>UnfriendlyFire</t>
  </si>
  <si>
    <t>UnskilledButStrong</t>
  </si>
  <si>
    <t>VagueAge</t>
  </si>
  <si>
    <t>VillainousValor</t>
  </si>
  <si>
    <t>WireDilemma</t>
  </si>
  <si>
    <t>YiddishAsASecondLanguage</t>
  </si>
  <si>
    <t>AbsentMindedProfessor</t>
  </si>
  <si>
    <t>AFriendInNeed</t>
  </si>
  <si>
    <t>AliensAreBastards</t>
  </si>
  <si>
    <t>AliensInCardiff</t>
  </si>
  <si>
    <t>ALighterShadeOfBlack</t>
  </si>
  <si>
    <t>AncientAstronauts</t>
  </si>
  <si>
    <t>AnimatedAdaptation</t>
  </si>
  <si>
    <t>BadassArmy</t>
  </si>
  <si>
    <t>BadGuysDoTheDirtyWork</t>
  </si>
  <si>
    <t>BananaRepublic</t>
  </si>
  <si>
    <t>BitchAlert</t>
  </si>
  <si>
    <t>BloodSplatteredInnocents</t>
  </si>
  <si>
    <t>BusCrash</t>
  </si>
  <si>
    <t>ChekhovsArmoury</t>
  </si>
  <si>
    <t>DeadHandShot</t>
  </si>
  <si>
    <t>DeceasedParentsAreTheBest</t>
  </si>
  <si>
    <t>DeflectorShields</t>
  </si>
  <si>
    <t>DemBones</t>
  </si>
  <si>
    <t>DisabilitySuperpower</t>
  </si>
  <si>
    <t>DoomedHometown</t>
  </si>
  <si>
    <t>EverybodyLives</t>
  </si>
  <si>
    <t>FacialDialogue</t>
  </si>
  <si>
    <t>FadeToWhite</t>
  </si>
  <si>
    <t>FamilyOfChoice</t>
  </si>
  <si>
    <t>FriendOrFoe</t>
  </si>
  <si>
    <t>GildedCage</t>
  </si>
  <si>
    <t>GlamourFailure</t>
  </si>
  <si>
    <t>GodSaveUsFromTheQueen</t>
  </si>
  <si>
    <t>HaveYouToldAnyoneElse</t>
  </si>
  <si>
    <t>HeartwarmingOrphan</t>
  </si>
  <si>
    <t>Hell</t>
  </si>
  <si>
    <t>HillbillyHorrors</t>
  </si>
  <si>
    <t>IAmAHumanitarian</t>
  </si>
  <si>
    <t>IgnoreTheFanservice</t>
  </si>
  <si>
    <t>ImMelting</t>
  </si>
  <si>
    <t>InSpiteOfANail</t>
  </si>
  <si>
    <t>Intermission</t>
  </si>
  <si>
    <t>ItsRainingMen</t>
  </si>
  <si>
    <t>IWillWaitForYou</t>
  </si>
  <si>
    <t>JackassGenie</t>
  </si>
  <si>
    <t>KeystoneArmy</t>
  </si>
  <si>
    <t>KillerGorilla</t>
  </si>
  <si>
    <t>LiteralCliffhanger</t>
  </si>
  <si>
    <t>LongingLook</t>
  </si>
  <si>
    <t>LookBehindYou</t>
  </si>
  <si>
    <t>LovableSexManiac</t>
  </si>
  <si>
    <t>LoveConfession</t>
  </si>
  <si>
    <t>MagicalRealism</t>
  </si>
  <si>
    <t>MakeMeWannaShout</t>
  </si>
  <si>
    <t>MementoMacGuffin</t>
  </si>
  <si>
    <t>MindControl</t>
  </si>
  <si>
    <t>NeverSmileAtACrocodile</t>
  </si>
  <si>
    <t>NeverSuicide</t>
  </si>
  <si>
    <t>NoBodyLeftBehind</t>
  </si>
  <si>
    <t>NostalgiaFilter</t>
  </si>
  <si>
    <t>OfficerAndAGentleman</t>
  </si>
  <si>
    <t>OldDarkHouse</t>
  </si>
  <si>
    <t>OldRetainer</t>
  </si>
  <si>
    <t>Omniglot</t>
  </si>
  <si>
    <t>PsychoStrings</t>
  </si>
  <si>
    <t>RogerRabbitEffect</t>
  </si>
  <si>
    <t>RomancingTheWidow</t>
  </si>
  <si>
    <t>RRatedOpening</t>
  </si>
  <si>
    <t>ScarpiaUltimatum</t>
  </si>
  <si>
    <t>SexIsEvilAndIAmHorny</t>
  </si>
  <si>
    <t>Sexophone</t>
  </si>
  <si>
    <t>SexyShirtSwitch</t>
  </si>
  <si>
    <t>SignificantWardrobeShift</t>
  </si>
  <si>
    <t>TactfulTranslation</t>
  </si>
  <si>
    <t>TalkToTheFist</t>
  </si>
  <si>
    <t>TeamDad</t>
  </si>
  <si>
    <t>ThatMakesMeFeelAngry</t>
  </si>
  <si>
    <t>TheCartel</t>
  </si>
  <si>
    <t>TheForties</t>
  </si>
  <si>
    <t>TheOphelia</t>
  </si>
  <si>
    <t>ThereIsOnlyOneBed</t>
  </si>
  <si>
    <t>TheseHandsHaveKilled</t>
  </si>
  <si>
    <t>ThisIsUnforgivable</t>
  </si>
  <si>
    <t>TroubledProduction</t>
  </si>
  <si>
    <t>TwoDecadesBehind</t>
  </si>
  <si>
    <t>WarForFunAndProfit</t>
  </si>
  <si>
    <t>WaveMotionGun</t>
  </si>
  <si>
    <t>WhoShotJFK</t>
  </si>
  <si>
    <t>YouAreTooLate</t>
  </si>
  <si>
    <t>YouGottaHaveBlueHair</t>
  </si>
  <si>
    <t>YouSaidYouWouldLetThemGo</t>
  </si>
  <si>
    <t>ActionHero</t>
  </si>
  <si>
    <t>AloofDarkHairedGirl</t>
  </si>
  <si>
    <t>Bandito</t>
  </si>
  <si>
    <t>BattleCry</t>
  </si>
  <si>
    <t>BedTrick</t>
  </si>
  <si>
    <t>BeingGoodSucks</t>
  </si>
  <si>
    <t>BigBadassBattleSequence</t>
  </si>
  <si>
    <t>BingeMontage</t>
  </si>
  <si>
    <t>BlackMagic</t>
  </si>
  <si>
    <t>BlitheSpirit</t>
  </si>
  <si>
    <t>CapitalismIsBad</t>
  </si>
  <si>
    <t>ChangedMyMindKid</t>
  </si>
  <si>
    <t>CharacterAsHimself</t>
  </si>
  <si>
    <t>CloningBlues</t>
  </si>
  <si>
    <t>ColdHam</t>
  </si>
  <si>
    <t>CoolVersusAwesome</t>
  </si>
  <si>
    <t>CPRCleanPrettyReliable</t>
  </si>
  <si>
    <t>CreatorBreakdown</t>
  </si>
  <si>
    <t>CuteKitten</t>
  </si>
  <si>
    <t>DarkMessiah</t>
  </si>
  <si>
    <t>DeadlyDodging</t>
  </si>
  <si>
    <t>DoomedMoralVictor</t>
  </si>
  <si>
    <t>DoorClosesEnding</t>
  </si>
  <si>
    <t>EleventhHourSuperpower</t>
  </si>
  <si>
    <t>EpicFlail</t>
  </si>
  <si>
    <t>EverytownAmerica</t>
  </si>
  <si>
    <t>EvilIsNotAToy</t>
  </si>
  <si>
    <t>EvilVsEvil</t>
  </si>
  <si>
    <t>ExtremeOmnivore</t>
  </si>
  <si>
    <t>FirstContact</t>
  </si>
  <si>
    <t>Gainaxing</t>
  </si>
  <si>
    <t>GirlOfTheWeek</t>
  </si>
  <si>
    <t>GondorCallsForAid</t>
  </si>
  <si>
    <t>GoodHairEvilHair</t>
  </si>
  <si>
    <t>GreasySpoon</t>
  </si>
  <si>
    <t>GunPorn</t>
  </si>
  <si>
    <t>HighSchoolDance</t>
  </si>
  <si>
    <t>HotForTeacher</t>
  </si>
  <si>
    <t>HyperlinkStory</t>
  </si>
  <si>
    <t>IceCreamKoan</t>
  </si>
  <si>
    <t>ICouldaBeenAContender</t>
  </si>
  <si>
    <t>IronicJuxtaposition</t>
  </si>
  <si>
    <t>ISeeDeadPeople</t>
  </si>
  <si>
    <t>KryptoniteFactor</t>
  </si>
  <si>
    <t>LikeAnOldMarriedCouple</t>
  </si>
  <si>
    <t>LonelyPianoPiece</t>
  </si>
  <si>
    <t>MadArtist</t>
  </si>
  <si>
    <t>MilkingTheGiantCow</t>
  </si>
  <si>
    <t>MoodSwinger</t>
  </si>
  <si>
    <t>MoreTeethThanTheOsmondFamily</t>
  </si>
  <si>
    <t>Narcissist</t>
  </si>
  <si>
    <t>NationalGeographicNudity</t>
  </si>
  <si>
    <t>NobleSavage</t>
  </si>
  <si>
    <t>NoBudget</t>
  </si>
  <si>
    <t>NotMyDriver</t>
  </si>
  <si>
    <t>OldShame</t>
  </si>
  <si>
    <t>OurPresidentsAreDifferent</t>
  </si>
  <si>
    <t>ParodiedTrope</t>
  </si>
  <si>
    <t>PinkMeansFeminine</t>
  </si>
  <si>
    <t>PlayingSick</t>
  </si>
  <si>
    <t>PosthumousNarration</t>
  </si>
  <si>
    <t>PrisonRiot</t>
  </si>
  <si>
    <t>RightHandCat</t>
  </si>
  <si>
    <t>RightThroughHisPants</t>
  </si>
  <si>
    <t>RoaringRampageOfRescue</t>
  </si>
  <si>
    <t>RogueAgent</t>
  </si>
  <si>
    <t>SatelliteCharacter</t>
  </si>
  <si>
    <t>SelectiveObliviousness</t>
  </si>
  <si>
    <t>SelfHarm</t>
  </si>
  <si>
    <t>ShootingSuperman</t>
  </si>
  <si>
    <t>SigilSpam</t>
  </si>
  <si>
    <t>SoBadItsGood</t>
  </si>
  <si>
    <t>SquareCubeLaw</t>
  </si>
  <si>
    <t>StarvingArtist</t>
  </si>
  <si>
    <t>StopMotion</t>
  </si>
  <si>
    <t>TestosteronePoisoning</t>
  </si>
  <si>
    <t>TheBet</t>
  </si>
  <si>
    <t>TheCoronerDothProtestTooMuch</t>
  </si>
  <si>
    <t>TheHedonist</t>
  </si>
  <si>
    <t>TheKlan</t>
  </si>
  <si>
    <t>TheNotLoveInterest</t>
  </si>
  <si>
    <t>ThePiratesWhoDontDoAnything</t>
  </si>
  <si>
    <t>TheRemnant</t>
  </si>
  <si>
    <t>TheSquad</t>
  </si>
  <si>
    <t>ThirdActMisunderstanding</t>
  </si>
  <si>
    <t>ThirstyDesert</t>
  </si>
  <si>
    <t>TwoferTokenMinority</t>
  </si>
  <si>
    <t>UnderdogsNeverLose</t>
  </si>
  <si>
    <t>UnreliableExpositor</t>
  </si>
  <si>
    <t>WhiteMansBurden</t>
  </si>
  <si>
    <t>WilliamTelling</t>
  </si>
  <si>
    <t>WritingAroundTrademarks</t>
  </si>
  <si>
    <t>YouBastard</t>
  </si>
  <si>
    <t>AchievementsInIgnorance</t>
  </si>
  <si>
    <t>AdrenalineMakeover</t>
  </si>
  <si>
    <t>AgentMulder</t>
  </si>
  <si>
    <t>ArtisticLicenseEconomics</t>
  </si>
  <si>
    <t>AscendedMeme</t>
  </si>
  <si>
    <t>AttractiveBentGender</t>
  </si>
  <si>
    <t>BadDreams</t>
  </si>
  <si>
    <t>BeamMeUpScotty</t>
  </si>
  <si>
    <t>BeatStillMyHeart</t>
  </si>
  <si>
    <t>BellyDancer</t>
  </si>
  <si>
    <t>BilingualBackfire</t>
  </si>
  <si>
    <t>BloodyHandprint</t>
  </si>
  <si>
    <t>BoyMeetsGirl</t>
  </si>
  <si>
    <t>CantHoldHisLiquor</t>
  </si>
  <si>
    <t>CategoryTraitor</t>
  </si>
  <si>
    <t>ComesGreatResponsibility</t>
  </si>
  <si>
    <t>ComingInHot</t>
  </si>
  <si>
    <t>CreepyTwins</t>
  </si>
  <si>
    <t>CuteAndPsycho</t>
  </si>
  <si>
    <t>Dedication</t>
  </si>
  <si>
    <t>DoNotAdjustYourSet</t>
  </si>
  <si>
    <t>DragonWithAnAgenda</t>
  </si>
  <si>
    <t>EvilerThanThou</t>
  </si>
  <si>
    <t>FadeToBlack</t>
  </si>
  <si>
    <t>FakeNationality</t>
  </si>
  <si>
    <t>FantasySequence</t>
  </si>
  <si>
    <t>FastRoping</t>
  </si>
  <si>
    <t>FlatEarthAtheist</t>
  </si>
  <si>
    <t>FoodFight</t>
  </si>
  <si>
    <t>GiantWallOfWateryDoom</t>
  </si>
  <si>
    <t>GoodBadGirl</t>
  </si>
  <si>
    <t>GoThroughMe</t>
  </si>
  <si>
    <t>GrandRomanticGesture</t>
  </si>
  <si>
    <t>HeteronormativeCrusader</t>
  </si>
  <si>
    <t>HollywoodVoodoo</t>
  </si>
  <si>
    <t>JustDesserts</t>
  </si>
  <si>
    <t>JustLikeRobinHood</t>
  </si>
  <si>
    <t>KidHero</t>
  </si>
  <si>
    <t>KindHeartedCatLover</t>
  </si>
  <si>
    <t>LampshadedDoubleEntendre</t>
  </si>
  <si>
    <t>LetMeGetThisStraight</t>
  </si>
  <si>
    <t>LetUsNeverSpeakOfThisAgain</t>
  </si>
  <si>
    <t>LittlePeopleAreSurreal</t>
  </si>
  <si>
    <t>LivingLegend</t>
  </si>
  <si>
    <t>LongTitle</t>
  </si>
  <si>
    <t>LostInTranslation</t>
  </si>
  <si>
    <t>MadeForTVMovie</t>
  </si>
  <si>
    <t>MadScientistLaboratory</t>
  </si>
  <si>
    <t>MasqueradeBall</t>
  </si>
  <si>
    <t>NegatedMomentOfAwesome</t>
  </si>
  <si>
    <t>NoPeripheralVision</t>
  </si>
  <si>
    <t>NothingButHits</t>
  </si>
  <si>
    <t>OffOnATechnicality</t>
  </si>
  <si>
    <t>OncePerEpisode</t>
  </si>
  <si>
    <t>OnlyFriend</t>
  </si>
  <si>
    <t>Paparazzi</t>
  </si>
  <si>
    <t>PleasePutSomeClothesOn</t>
  </si>
  <si>
    <t>PsychoPsychologist</t>
  </si>
  <si>
    <t>RagnarokProofing</t>
  </si>
  <si>
    <t>RecycledPremise</t>
  </si>
  <si>
    <t>RetiredMonster</t>
  </si>
  <si>
    <t>RightThroughTheWall</t>
  </si>
  <si>
    <t>RippleEffectProofMemory</t>
  </si>
  <si>
    <t>RomanAClef</t>
  </si>
  <si>
    <t>RomanticRain</t>
  </si>
  <si>
    <t>SarcasmBlind</t>
  </si>
  <si>
    <t>SawedOffShotgun</t>
  </si>
  <si>
    <t>ScienceHero</t>
  </si>
  <si>
    <t>ScreamDiscretionShot</t>
  </si>
  <si>
    <t>SexForServices</t>
  </si>
  <si>
    <t>SharkPool</t>
  </si>
  <si>
    <t>ShellShockSilence</t>
  </si>
  <si>
    <t>SpaghettiWestern</t>
  </si>
  <si>
    <t>SternChase</t>
  </si>
  <si>
    <t>SuperSenses</t>
  </si>
  <si>
    <t>SympatheticAdulterer</t>
  </si>
  <si>
    <t>TakeThisJobAndShoveIt</t>
  </si>
  <si>
    <t>TearOffYourFace</t>
  </si>
  <si>
    <t>TheCutie</t>
  </si>
  <si>
    <t>TheLastDance</t>
  </si>
  <si>
    <t>TrojanPrisoner</t>
  </si>
  <si>
    <t>UnfortunateImplications</t>
  </si>
  <si>
    <t>UnknownRival</t>
  </si>
  <si>
    <t>ValleyGirl</t>
  </si>
  <si>
    <t>VaporWear</t>
  </si>
  <si>
    <t>VehicularSabotage</t>
  </si>
  <si>
    <t>WasItReallyWorthIt</t>
  </si>
  <si>
    <t>WhiteMaskOfDoom</t>
  </si>
  <si>
    <t>WhyWontYouDie</t>
  </si>
  <si>
    <t>WithGreatPowerComesGreatInsanity</t>
  </si>
  <si>
    <t>WrongSideOfTheTracks</t>
  </si>
  <si>
    <t>XtremeKoolLetterz</t>
  </si>
  <si>
    <t>AdaptationDeviation</t>
  </si>
  <si>
    <t>AlcoholHic</t>
  </si>
  <si>
    <t>AlcoholicParent</t>
  </si>
  <si>
    <t>AlienAbduction</t>
  </si>
  <si>
    <t>AllGuysWantCheerleaders</t>
  </si>
  <si>
    <t>ArentYouGoingToRavishMe</t>
  </si>
  <si>
    <t>ArtisticLicenseEngineering</t>
  </si>
  <si>
    <t>AshFace</t>
  </si>
  <si>
    <t>AttackOfTheFiftyFootWhatever</t>
  </si>
  <si>
    <t>BarbieDollAnatomy</t>
  </si>
  <si>
    <t>BearTrap</t>
  </si>
  <si>
    <t>BedsheetLadder</t>
  </si>
  <si>
    <t>BigBeautifulWoman</t>
  </si>
  <si>
    <t>BreakoutCharacter</t>
  </si>
  <si>
    <t>ButNotTooGay</t>
  </si>
  <si>
    <t>CaptainsLog</t>
  </si>
  <si>
    <t>CeilingCling</t>
  </si>
  <si>
    <t>CitizenshipMarriage</t>
  </si>
  <si>
    <t>CuteMonsterGirl</t>
  </si>
  <si>
    <t>DeathByOriginStory</t>
  </si>
  <si>
    <t>Delinquents</t>
  </si>
  <si>
    <t>DepravedDwarf</t>
  </si>
  <si>
    <t>DesperatelyLookingForAPurposeInLife</t>
  </si>
  <si>
    <t>DragonLady</t>
  </si>
  <si>
    <t>DramaticShattering</t>
  </si>
  <si>
    <t>EvenTheGirlsWantHer</t>
  </si>
  <si>
    <t>EvilCostumeSwitch</t>
  </si>
  <si>
    <t>FixingTheGame</t>
  </si>
  <si>
    <t>FortuneTeller</t>
  </si>
  <si>
    <t>GeorgeLucasAlteredVersion</t>
  </si>
  <si>
    <t>GoneSwimmingClothesStolen</t>
  </si>
  <si>
    <t>GRatedDrug</t>
  </si>
  <si>
    <t>HighConcept</t>
  </si>
  <si>
    <t>HolierThanThou</t>
  </si>
  <si>
    <t>HollywoodCostuming</t>
  </si>
  <si>
    <t>HollywoodHomely</t>
  </si>
  <si>
    <t>HomageShot</t>
  </si>
  <si>
    <t>IHaveThisFriend</t>
  </si>
  <si>
    <t>ImmediateSelfContradiction</t>
  </si>
  <si>
    <t>IndulgentFantasySegue</t>
  </si>
  <si>
    <t>InstitutionalApparel</t>
  </si>
  <si>
    <t>LastKiss</t>
  </si>
  <si>
    <t>LatinLover</t>
  </si>
  <si>
    <t>LeftForDead</t>
  </si>
  <si>
    <t>MoneyDearBoy</t>
  </si>
  <si>
    <t>NeverHeardThatOneBefore</t>
  </si>
  <si>
    <t>NewAgeRetroHippie</t>
  </si>
  <si>
    <t>NiceCharacterMeanActor</t>
  </si>
  <si>
    <t>NoCommunitiesWereHarmed</t>
  </si>
  <si>
    <t>NotGoodWithRejection</t>
  </si>
  <si>
    <t>OlderThanTheyThink</t>
  </si>
  <si>
    <t>OnceAnEpisode</t>
  </si>
  <si>
    <t>PeoplePuppets</t>
  </si>
  <si>
    <t>PlatonicProstitution</t>
  </si>
  <si>
    <t>PsychologicalHorror</t>
  </si>
  <si>
    <t>PyrrhicVillainy</t>
  </si>
  <si>
    <t>Reincarnation</t>
  </si>
  <si>
    <t>SacredHospitality</t>
  </si>
  <si>
    <t>ScreenToStageAdaptation</t>
  </si>
  <si>
    <t>SeparatedByACommonLanguage</t>
  </si>
  <si>
    <t>SexIsEvil</t>
  </si>
  <si>
    <t>SharedUniverse</t>
  </si>
  <si>
    <t>ShotAtDawn</t>
  </si>
  <si>
    <t>SillyRabbitIdealismIsForKids</t>
  </si>
  <si>
    <t>Squee</t>
  </si>
  <si>
    <t>StalkerWithoutACrush</t>
  </si>
  <si>
    <t>SternTeacher</t>
  </si>
  <si>
    <t>SummonBiggerFish</t>
  </si>
  <si>
    <t>TearsOfBlood</t>
  </si>
  <si>
    <t>TheBeautifulElite</t>
  </si>
  <si>
    <t>TheGlassesComeOff</t>
  </si>
  <si>
    <t>TheShowMustGoOn</t>
  </si>
  <si>
    <t>TheTeam</t>
  </si>
  <si>
    <t>TrainingThePeacefulVillagers</t>
  </si>
  <si>
    <t>TrainJob</t>
  </si>
  <si>
    <t>VerbThis</t>
  </si>
  <si>
    <t>VorpalPillow</t>
  </si>
  <si>
    <t>WackyWaysideTribe</t>
  </si>
  <si>
    <t>ADogNamedDog</t>
  </si>
  <si>
    <t>AgeGapRomance</t>
  </si>
  <si>
    <t>AmateurSleuth</t>
  </si>
  <si>
    <t>AppropriatedAppellation</t>
  </si>
  <si>
    <t>ArmoredClosetGay</t>
  </si>
  <si>
    <t>BetterAsFriends</t>
  </si>
  <si>
    <t>BlackWidow</t>
  </si>
  <si>
    <t>BlastOut</t>
  </si>
  <si>
    <t>BuddyCopShow</t>
  </si>
  <si>
    <t>CarMeetsHouse</t>
  </si>
  <si>
    <t>CatholicSchoolGirlsRule</t>
  </si>
  <si>
    <t>ColdEquation</t>
  </si>
  <si>
    <t>DanceBattler</t>
  </si>
  <si>
    <t>DeadManWriting</t>
  </si>
  <si>
    <t>DeathIsDramatic</t>
  </si>
  <si>
    <t>DestroyTheProductPlacement</t>
  </si>
  <si>
    <t>DiesDifferentlyInAdaptation</t>
  </si>
  <si>
    <t>DieselPunk</t>
  </si>
  <si>
    <t>DoesNotKnowHisOwnStrength</t>
  </si>
  <si>
    <t>DoNotTauntCthulhu</t>
  </si>
  <si>
    <t>DonutMessWithACop</t>
  </si>
  <si>
    <t>DoorStopBaby</t>
  </si>
  <si>
    <t>DreamIntro</t>
  </si>
  <si>
    <t>EntitledBastard</t>
  </si>
  <si>
    <t>EstablishingShot</t>
  </si>
  <si>
    <t>EvilFormerFriend</t>
  </si>
  <si>
    <t>ExactTimeToFailure</t>
  </si>
  <si>
    <t>FailureIsTheOnlyOption</t>
  </si>
  <si>
    <t>ForceFeeding</t>
  </si>
  <si>
    <t>HangoverSensitivity</t>
  </si>
  <si>
    <t>HauledBeforeASenateSubCommittee</t>
  </si>
  <si>
    <t>HeartbrokenBadass</t>
  </si>
  <si>
    <t>HeroKiller</t>
  </si>
  <si>
    <t>HonestJohnsDealership</t>
  </si>
  <si>
    <t>ILoveNuclearPower</t>
  </si>
  <si>
    <t>InvulnerableKnuckles</t>
  </si>
  <si>
    <t>ItsPronouncedTroPAY</t>
  </si>
  <si>
    <t>JustBeforeTheEnd</t>
  </si>
  <si>
    <t>KnightInShiningArmor</t>
  </si>
  <si>
    <t>LameComeback</t>
  </si>
  <si>
    <t>Lampshade</t>
  </si>
  <si>
    <t>LeaveBehindAPistol</t>
  </si>
  <si>
    <t>LemonyNarrator</t>
  </si>
  <si>
    <t>LongLostRelative</t>
  </si>
  <si>
    <t>LuredIntoATrap</t>
  </si>
  <si>
    <t>MadwomanInTheAttic</t>
  </si>
  <si>
    <t>MakeOutPoint</t>
  </si>
  <si>
    <t>MilitaryMaverick</t>
  </si>
  <si>
    <t>MisaimedFandom</t>
  </si>
  <si>
    <t>MovieSuperheroesWearBlack</t>
  </si>
  <si>
    <t>MultipleChoicePast</t>
  </si>
  <si>
    <t>OlderHeroVsYoungerVillain</t>
  </si>
  <si>
    <t>PeopleInRubberSuits</t>
  </si>
  <si>
    <t>PoweredByAForsakenChild</t>
  </si>
  <si>
    <t>ProphecyTwist</t>
  </si>
  <si>
    <t>PsychoSerum</t>
  </si>
  <si>
    <t>QuickNip</t>
  </si>
  <si>
    <t>RantInducingSlight</t>
  </si>
  <si>
    <t>Really700YearsOld</t>
  </si>
  <si>
    <t>RedemptionQuest</t>
  </si>
  <si>
    <t>RequiredSecondaryPowers</t>
  </si>
  <si>
    <t>RetGone</t>
  </si>
  <si>
    <t>RidiculouslyHumanRobots</t>
  </si>
  <si>
    <t>SecretRelationship</t>
  </si>
  <si>
    <t>SeldomSeenSpecies</t>
  </si>
  <si>
    <t>SiblingTriangle</t>
  </si>
  <si>
    <t>SinisterScythe</t>
  </si>
  <si>
    <t>SpecialEffectFailure</t>
  </si>
  <si>
    <t>SpotTheImposter</t>
  </si>
  <si>
    <t>StrippedToTheBone</t>
  </si>
  <si>
    <t>TheSlacker</t>
  </si>
  <si>
    <t>TokenWhite</t>
  </si>
  <si>
    <t>TomeOfEldritchLore</t>
  </si>
  <si>
    <t>TraitorShot</t>
  </si>
  <si>
    <t>Transgender</t>
  </si>
  <si>
    <t>UndignifiedDeath</t>
  </si>
  <si>
    <t>VillainTeamUp</t>
  </si>
  <si>
    <t>WidowsWeeds</t>
  </si>
  <si>
    <t>WireFu</t>
  </si>
  <si>
    <t>AcCENTUponTheWrongSylLABle</t>
  </si>
  <si>
    <t>ActionMom</t>
  </si>
  <si>
    <t>AdaptationalSexuality</t>
  </si>
  <si>
    <t>AloneInACrowd</t>
  </si>
  <si>
    <t>AmbiguousSyntax</t>
  </si>
  <si>
    <t>ArtImitatesArt</t>
  </si>
  <si>
    <t>AssassinOutclassin</t>
  </si>
  <si>
    <t>BangBangBANG</t>
  </si>
  <si>
    <t>BathroomStallOfOverheardInsults</t>
  </si>
  <si>
    <t>BikerBabe</t>
  </si>
  <si>
    <t>BlingBlingBang</t>
  </si>
  <si>
    <t>BlueBlood</t>
  </si>
  <si>
    <t>ButNotTooForeign</t>
  </si>
  <si>
    <t>CharacterTic</t>
  </si>
  <si>
    <t>CrazyAwesome</t>
  </si>
  <si>
    <t>DatedHistory</t>
  </si>
  <si>
    <t>DayOfTheJackboot</t>
  </si>
  <si>
    <t>DeadGuyJunior</t>
  </si>
  <si>
    <t>DeathIsCheap</t>
  </si>
  <si>
    <t>DieLaughing</t>
  </si>
  <si>
    <t>DoesNotLikeMen</t>
  </si>
  <si>
    <t>DoubleAgent</t>
  </si>
  <si>
    <t>EmergingFromTheShadows</t>
  </si>
  <si>
    <t>EthnicMenialLabor</t>
  </si>
  <si>
    <t>ExpectingSomeoneTaller</t>
  </si>
  <si>
    <t>FallingChandelierOfDoom</t>
  </si>
  <si>
    <t>FedToTheBeast</t>
  </si>
  <si>
    <t>Fetish</t>
  </si>
  <si>
    <t>FlorenceNightingaleEffect</t>
  </si>
  <si>
    <t>FlyingCar</t>
  </si>
  <si>
    <t>GunsAreWorthless</t>
  </si>
  <si>
    <t>HeelFaithTurn</t>
  </si>
  <si>
    <t>HeroicBystander</t>
  </si>
  <si>
    <t>HeWhoMustNotBeSeen</t>
  </si>
  <si>
    <t>HormoneAddledTeenager</t>
  </si>
  <si>
    <t>HumansAreFlawed</t>
  </si>
  <si>
    <t>HumansAreSpecial</t>
  </si>
  <si>
    <t>HypnoticEyes</t>
  </si>
  <si>
    <t>IAmNotLeftHanded</t>
  </si>
  <si>
    <t>ItAlwaysRainsAtFunerals</t>
  </si>
  <si>
    <t>JerkassRealization</t>
  </si>
  <si>
    <t>KirkSummation</t>
  </si>
  <si>
    <t>ManipulativeEditing</t>
  </si>
  <si>
    <t>ManOfWealthAndTaste</t>
  </si>
  <si>
    <t>MeleeATrois</t>
  </si>
  <si>
    <t>MightyWhiteyAndMellowYellow</t>
  </si>
  <si>
    <t>MistakenForBadass</t>
  </si>
  <si>
    <t>MisunderstoodLonerWithAHeartOfGold</t>
  </si>
  <si>
    <t>MonumentalBattle</t>
  </si>
  <si>
    <t>NerdsAreSexy</t>
  </si>
  <si>
    <t>NotTheFallThatKillsYou</t>
  </si>
  <si>
    <t>OnceIsNotEnough</t>
  </si>
  <si>
    <t>OnlyMostlyDead</t>
  </si>
  <si>
    <t>OvershadowedByAwesome</t>
  </si>
  <si>
    <t>PartingWordsRegret</t>
  </si>
  <si>
    <t>Patricide</t>
  </si>
  <si>
    <t>PoolScene</t>
  </si>
  <si>
    <t>Portmantitle</t>
  </si>
  <si>
    <t>PowerIncontinence</t>
  </si>
  <si>
    <t>PrimaDonnaDirector</t>
  </si>
  <si>
    <t>RainOfBlood</t>
  </si>
  <si>
    <t>RealisticDictionIsUnrealistic</t>
  </si>
  <si>
    <t>RecordNeedleScratch</t>
  </si>
  <si>
    <t>RedAlert</t>
  </si>
  <si>
    <t>ReversePsychology</t>
  </si>
  <si>
    <t>RichInDollarsPoorInSense</t>
  </si>
  <si>
    <t>RobotGirl</t>
  </si>
  <si>
    <t>SavageWolves</t>
  </si>
  <si>
    <t>SchoolPlay</t>
  </si>
  <si>
    <t>SlashersPreferBlondes</t>
  </si>
  <si>
    <t>SquashedFlat</t>
  </si>
  <si>
    <t>StageMagician</t>
  </si>
  <si>
    <t>SuperMode</t>
  </si>
  <si>
    <t>SwallowedWhole</t>
  </si>
  <si>
    <t>TeamPet</t>
  </si>
  <si>
    <t>TerroristsWithoutACause</t>
  </si>
  <si>
    <t>TheBerserker</t>
  </si>
  <si>
    <t>TheDungAges</t>
  </si>
  <si>
    <t>TheEveryman</t>
  </si>
  <si>
    <t>TheKillerInMe</t>
  </si>
  <si>
    <t>TheRenfield</t>
  </si>
  <si>
    <t>TheyCallMeMisterTibbs</t>
  </si>
  <si>
    <t>ThinkOfTheChildren</t>
  </si>
  <si>
    <t>ThisWasHisTrueForm</t>
  </si>
  <si>
    <t>TronLines</t>
  </si>
  <si>
    <t>UnfinishedBusiness</t>
  </si>
  <si>
    <t>UriahGambit</t>
  </si>
  <si>
    <t>VillainRespect</t>
  </si>
  <si>
    <t>VillainsWantMercy</t>
  </si>
  <si>
    <t>VirginPower</t>
  </si>
  <si>
    <t>VoiceChangeling</t>
  </si>
  <si>
    <t>WallCrawl</t>
  </si>
  <si>
    <t>WarriorPoet</t>
  </si>
  <si>
    <t>WorkingClassHero</t>
  </si>
  <si>
    <t>WorthlessYellowRocks</t>
  </si>
  <si>
    <t>YeOldeButcheredeEnglishe</t>
  </si>
  <si>
    <t>AdmiringTheAbomination</t>
  </si>
  <si>
    <t>AmbiguousGender</t>
  </si>
  <si>
    <t>AmbiguouslyHuman</t>
  </si>
  <si>
    <t>ArmchairMilitary</t>
  </si>
  <si>
    <t>ArtisticLicenseMartialArts</t>
  </si>
  <si>
    <t>BadassCreed</t>
  </si>
  <si>
    <t>BandOfBrothers</t>
  </si>
  <si>
    <t>BitingTheHandHumor</t>
  </si>
  <si>
    <t>Bowdlerization</t>
  </si>
  <si>
    <t>CanineCompanion</t>
  </si>
  <si>
    <t>ConflictBall</t>
  </si>
  <si>
    <t>ConscienceMakesYouGoBack</t>
  </si>
  <si>
    <t>CountingBullets</t>
  </si>
  <si>
    <t>CrustyCaretaker</t>
  </si>
  <si>
    <t>DaEditor</t>
  </si>
  <si>
    <t>DeadlyGas</t>
  </si>
  <si>
    <t>DeathByDespair</t>
  </si>
  <si>
    <t>DeathByFallingOver</t>
  </si>
  <si>
    <t>DeathByPragmatism</t>
  </si>
  <si>
    <t>DeathRay</t>
  </si>
  <si>
    <t>DeathWorld</t>
  </si>
  <si>
    <t>DeconstructedCharacterArchetype</t>
  </si>
  <si>
    <t>DestructiveSavior</t>
  </si>
  <si>
    <t>Dramatization</t>
  </si>
  <si>
    <t>DreadfulMusician</t>
  </si>
  <si>
    <t>EasyEvangelism</t>
  </si>
  <si>
    <t>ExploitedTrope</t>
  </si>
  <si>
    <t>FailureMontage</t>
  </si>
  <si>
    <t>FauxlosophicNarration</t>
  </si>
  <si>
    <t>FeelNoPain</t>
  </si>
  <si>
    <t>FluffyFashionFeathers</t>
  </si>
  <si>
    <t>FountainOfYouth</t>
  </si>
  <si>
    <t>FreakyFridayFlip</t>
  </si>
  <si>
    <t>FromACertainPointOfView</t>
  </si>
  <si>
    <t>GaiasVengeance</t>
  </si>
  <si>
    <t>GivingThemTheStrip</t>
  </si>
  <si>
    <t>HealingHands</t>
  </si>
  <si>
    <t>HeroicWillpower</t>
  </si>
  <si>
    <t>HighSchool</t>
  </si>
  <si>
    <t>HowDoIShotWeb</t>
  </si>
  <si>
    <t>ImAManICantHelpIt</t>
  </si>
  <si>
    <t>IronicEchoCut</t>
  </si>
  <si>
    <t>IWillOnlySlowYouDown</t>
  </si>
  <si>
    <t>LadyMacbeth</t>
  </si>
  <si>
    <t>Lampshades</t>
  </si>
  <si>
    <t>MagicMirror</t>
  </si>
  <si>
    <t>MentalTimeTravel</t>
  </si>
  <si>
    <t>MerchandiseDriven</t>
  </si>
  <si>
    <t>MightyGlacier</t>
  </si>
  <si>
    <t>MononymousBiopicTitle</t>
  </si>
  <si>
    <t>MookFaceTurn</t>
  </si>
  <si>
    <t>Motifs</t>
  </si>
  <si>
    <t>NobleBigotWithABadge</t>
  </si>
  <si>
    <t>NotMeThisTime</t>
  </si>
  <si>
    <t>NotThatKindOfDoctor</t>
  </si>
  <si>
    <t>Polyamory</t>
  </si>
  <si>
    <t>ProducePelting</t>
  </si>
  <si>
    <t>ProsceniumReveal</t>
  </si>
  <si>
    <t>RobbingTheDead</t>
  </si>
  <si>
    <t>SavingTheOrphanage</t>
  </si>
  <si>
    <t>SingleStrokeBattle</t>
  </si>
  <si>
    <t>SingleTargetSexuality</t>
  </si>
  <si>
    <t>SnakeOilSalesman</t>
  </si>
  <si>
    <t>SunglassesAtNight</t>
  </si>
  <si>
    <t>SuperToughness</t>
  </si>
  <si>
    <t>TakeAMomentToCatchYourDeath</t>
  </si>
  <si>
    <t>TastesLikeFriendship</t>
  </si>
  <si>
    <t>TechnicallyLivingZombie</t>
  </si>
  <si>
    <t>ThatRemindsMeOfASong</t>
  </si>
  <si>
    <t>TheBaroness</t>
  </si>
  <si>
    <t>TheCoatsAreOff</t>
  </si>
  <si>
    <t>TheDogWasTheMastermind</t>
  </si>
  <si>
    <t>TheNarrator</t>
  </si>
  <si>
    <t>TheSpock</t>
  </si>
  <si>
    <t>TheTeetotaler</t>
  </si>
  <si>
    <t>TrappedInASinkingCar</t>
  </si>
  <si>
    <t>UrbanLegend</t>
  </si>
  <si>
    <t>VehicleVanish</t>
  </si>
  <si>
    <t>WhyDontYaJustShootHim</t>
  </si>
  <si>
    <t>AcceptableBreaksFromReality</t>
  </si>
  <si>
    <t>AdaptationSpeciesChange</t>
  </si>
  <si>
    <t>AlwaysIdenticalTwins</t>
  </si>
  <si>
    <t>AsianAndNerdy</t>
  </si>
  <si>
    <t>AsianStoreOwner</t>
  </si>
  <si>
    <t>ATragedyOfImpulsiveness</t>
  </si>
  <si>
    <t>BallsOfSteel</t>
  </si>
  <si>
    <t>BattleInTheCenterOfTheMind</t>
  </si>
  <si>
    <t>BigFun</t>
  </si>
  <si>
    <t>BigWordShout</t>
  </si>
  <si>
    <t>BlindSeer</t>
  </si>
  <si>
    <t>BreakingTheBonds</t>
  </si>
  <si>
    <t>BumblingSidekick</t>
  </si>
  <si>
    <t>CannibalClan</t>
  </si>
  <si>
    <t>ChekhovsArmory</t>
  </si>
  <si>
    <t>ChessMotifs</t>
  </si>
  <si>
    <t>ClosestThingWeGot</t>
  </si>
  <si>
    <t>ComplainingAboutRescuesTheyDontLike</t>
  </si>
  <si>
    <t>CompletelyMissingThePoint</t>
  </si>
  <si>
    <t>ContemplateOurNavels</t>
  </si>
  <si>
    <t>ContrastMontage</t>
  </si>
  <si>
    <t>CoupDeGrace</t>
  </si>
  <si>
    <t>CrusadingWidower</t>
  </si>
  <si>
    <t>CuteClumsyGirl</t>
  </si>
  <si>
    <t>DeadlyGame</t>
  </si>
  <si>
    <t>DistinguishedGentlemansPipe</t>
  </si>
  <si>
    <t>DistressCall</t>
  </si>
  <si>
    <t>DistressedDamsel</t>
  </si>
  <si>
    <t>DraggedOffToHell</t>
  </si>
  <si>
    <t>Dramedy</t>
  </si>
  <si>
    <t>ElectrifiedBathtub</t>
  </si>
  <si>
    <t>EMP</t>
  </si>
  <si>
    <t>EnemyCivilWar</t>
  </si>
  <si>
    <t>EuropeansAreKinky</t>
  </si>
  <si>
    <t>EvilTowerOfOminousness</t>
  </si>
  <si>
    <t>ExplosiveDecompression</t>
  </si>
  <si>
    <t>EyeBeams</t>
  </si>
  <si>
    <t>FalseRapeAccusation</t>
  </si>
  <si>
    <t>FingerTwitchingRevival</t>
  </si>
  <si>
    <t>FinishingMove</t>
  </si>
  <si>
    <t>FlashedBadgeHijack</t>
  </si>
  <si>
    <t>FloatingHeadSyndrome</t>
  </si>
  <si>
    <t>GangOfHats</t>
  </si>
  <si>
    <t>GrandeDame</t>
  </si>
  <si>
    <t>HappinessInSlavery</t>
  </si>
  <si>
    <t>HappyDance</t>
  </si>
  <si>
    <t>HidingBehindTheLanguageBarrier</t>
  </si>
  <si>
    <t>HoldingHands</t>
  </si>
  <si>
    <t>HotWitch</t>
  </si>
  <si>
    <t>HypocriticalHumour</t>
  </si>
  <si>
    <t>IfIWantedYouDead</t>
  </si>
  <si>
    <t>IkeaWeaponry</t>
  </si>
  <si>
    <t>ImmodestOrgasm</t>
  </si>
  <si>
    <t>Implied</t>
  </si>
  <si>
    <t>ItsAlwaysMardiGrasInNewOrleans</t>
  </si>
  <si>
    <t>ItsPersonalWithTheDragon</t>
  </si>
  <si>
    <t>JustAFleshWound</t>
  </si>
  <si>
    <t>LemmingCops</t>
  </si>
  <si>
    <t>LesYay</t>
  </si>
  <si>
    <t>LiterallyShatteredLives</t>
  </si>
  <si>
    <t>LondonGangster</t>
  </si>
  <si>
    <t>LostWorld</t>
  </si>
  <si>
    <t>MakeAnExampleOfThem</t>
  </si>
  <si>
    <t>ManHug</t>
  </si>
  <si>
    <t>Minimalism</t>
  </si>
  <si>
    <t>MorallyBankruptBanker</t>
  </si>
  <si>
    <t>MortalWoundReveal</t>
  </si>
  <si>
    <t>NoPartyGiven</t>
  </si>
  <si>
    <t>NotWorthKilling</t>
  </si>
  <si>
    <t>OffstageVillainy</t>
  </si>
  <si>
    <t>OneDimensionalThinking</t>
  </si>
  <si>
    <t>OrphanedPunchline</t>
  </si>
  <si>
    <t>PointyHairedBoss</t>
  </si>
  <si>
    <t>ProfessionalButtKisser</t>
  </si>
  <si>
    <t>ProperLady</t>
  </si>
  <si>
    <t>Pyromaniac</t>
  </si>
  <si>
    <t>RapunzelHair</t>
  </si>
  <si>
    <t>ReadyForLovemaking</t>
  </si>
  <si>
    <t>RemovingTheHeadOrDestroyingTheBrain</t>
  </si>
  <si>
    <t>RenegadeRussian</t>
  </si>
  <si>
    <t>RomanticRunnerUp</t>
  </si>
  <si>
    <t>RoyalBrat</t>
  </si>
  <si>
    <t>RubeGoldbergDevice</t>
  </si>
  <si>
    <t>RuthlessForeignGangsters</t>
  </si>
  <si>
    <t>SantaClaus</t>
  </si>
  <si>
    <t>SerenadeYourLover</t>
  </si>
  <si>
    <t>SmashToBlack</t>
  </si>
  <si>
    <t>SpeechCentricWork</t>
  </si>
  <si>
    <t>Spinoff</t>
  </si>
  <si>
    <t>SpookyPhotographs</t>
  </si>
  <si>
    <t>StockDinosaurs</t>
  </si>
  <si>
    <t>StrongFamilyResemblance</t>
  </si>
  <si>
    <t>TanksButNoTanks</t>
  </si>
  <si>
    <t>TheConspiracy</t>
  </si>
  <si>
    <t>TheHyena</t>
  </si>
  <si>
    <t>TheMockbuster</t>
  </si>
  <si>
    <t>ThenLetMeBeEvil</t>
  </si>
  <si>
    <t>TheTapeKnewYouWouldSayThat</t>
  </si>
  <si>
    <t>TheTriadsAndTheTongs</t>
  </si>
  <si>
    <t>TravelingAtTheSpeedOfPlot</t>
  </si>
  <si>
    <t>UnholyMatrimony</t>
  </si>
  <si>
    <t>UnwillingSuspension</t>
  </si>
  <si>
    <t>UrbanLegends</t>
  </si>
  <si>
    <t>WhatEverHappenedToTheMouse</t>
  </si>
  <si>
    <t>WhosLaughingNow</t>
  </si>
  <si>
    <t>YouKillItYouBoughtIt</t>
  </si>
  <si>
    <t>YoungFutureFamousPeople</t>
  </si>
  <si>
    <t>AdaptationalIntelligence</t>
  </si>
  <si>
    <t>AdaptationOriginConnection</t>
  </si>
  <si>
    <t>AgentPeacock</t>
  </si>
  <si>
    <t>AllPsychologyIsFreudian</t>
  </si>
  <si>
    <t>AlternateDVDCommentary</t>
  </si>
  <si>
    <t>AluminiumChristmasTrees</t>
  </si>
  <si>
    <t>AManIsAlwaysEager</t>
  </si>
  <si>
    <t>AmbiguousTimePeriod</t>
  </si>
  <si>
    <t>AngerBornOfWorry</t>
  </si>
  <si>
    <t>AnimalAssassin</t>
  </si>
  <si>
    <t>BaldBlackLeaderGuy</t>
  </si>
  <si>
    <t>BeamOWar</t>
  </si>
  <si>
    <t>BeeAfraid</t>
  </si>
  <si>
    <t>BelievingTheirOwnLies</t>
  </si>
  <si>
    <t>BigBlackout</t>
  </si>
  <si>
    <t>BigCreepyCrawlies</t>
  </si>
  <si>
    <t>BookSafe</t>
  </si>
  <si>
    <t>BourgeoisBohemian</t>
  </si>
  <si>
    <t>BreastAttack</t>
  </si>
  <si>
    <t>BullyHunter</t>
  </si>
  <si>
    <t>CheatersNeverProsper</t>
  </si>
  <si>
    <t>ChekhovsClassroom</t>
  </si>
  <si>
    <t>CoolUncle</t>
  </si>
  <si>
    <t>CorruptBureaucrat</t>
  </si>
  <si>
    <t>CreatorProvincialism</t>
  </si>
  <si>
    <t>DestructoNookie</t>
  </si>
  <si>
    <t>DevelopmentHell</t>
  </si>
  <si>
    <t>DodgyToupee</t>
  </si>
  <si>
    <t>DoItYourselfThemeTune</t>
  </si>
  <si>
    <t>DoYouWantToCopulate</t>
  </si>
  <si>
    <t>DrunkDriver</t>
  </si>
  <si>
    <t>ElevatorActionSequence</t>
  </si>
  <si>
    <t>EliteMook</t>
  </si>
  <si>
    <t>EnterStageWindow</t>
  </si>
  <si>
    <t>ExtendedDisarming</t>
  </si>
  <si>
    <t>FaceRevealingTurn</t>
  </si>
  <si>
    <t>FakeUltimateHero</t>
  </si>
  <si>
    <t>Fanfare</t>
  </si>
  <si>
    <t>FieryCoverUp</t>
  </si>
  <si>
    <t>FinalBoss</t>
  </si>
  <si>
    <t>FlashbackCut</t>
  </si>
  <si>
    <t>FoodSlap</t>
  </si>
  <si>
    <t>FriendshipMoment</t>
  </si>
  <si>
    <t>GlasgowGrin</t>
  </si>
  <si>
    <t>GodIsEvil</t>
  </si>
  <si>
    <t>GotVolunteered</t>
  </si>
  <si>
    <t>GreatOffscreenWar</t>
  </si>
  <si>
    <t>GunsDoNotWorkThatWay</t>
  </si>
  <si>
    <t>GuttedLikeAFish</t>
  </si>
  <si>
    <t>HandsOnApproach</t>
  </si>
  <si>
    <t>HauntedTechnology</t>
  </si>
  <si>
    <t>HeroesLoveDogs</t>
  </si>
  <si>
    <t>HeroicComedicSociopath</t>
  </si>
  <si>
    <t>HiddenWeapons</t>
  </si>
  <si>
    <t>HooksAndCrooks</t>
  </si>
  <si>
    <t>HotLibrarian</t>
  </si>
  <si>
    <t>IAmSpartacus</t>
  </si>
  <si>
    <t>IconicItem</t>
  </si>
  <si>
    <t>IJustWantToHaveFriends</t>
  </si>
  <si>
    <t>IKissYourHand</t>
  </si>
  <si>
    <t>ImperiledInPregnancy</t>
  </si>
  <si>
    <t>ImprobableAge</t>
  </si>
  <si>
    <t>IncestIsRelative</t>
  </si>
  <si>
    <t>INeverToldYouMyName</t>
  </si>
  <si>
    <t>InnocentBystander</t>
  </si>
  <si>
    <t>InsigniaRipOffRitual</t>
  </si>
  <si>
    <t>InsuranceFraud</t>
  </si>
  <si>
    <t>IronicHell</t>
  </si>
  <si>
    <t>JanitorImpersonationInfiltration</t>
  </si>
  <si>
    <t>JukeboxMusical</t>
  </si>
  <si>
    <t>LogicBomb</t>
  </si>
  <si>
    <t>LukeYouAreMyFather</t>
  </si>
  <si>
    <t>MakeoverMontage</t>
  </si>
  <si>
    <t>MarkOfTheBeast</t>
  </si>
  <si>
    <t>MissionFromGod</t>
  </si>
  <si>
    <t>MistakenForPedophile</t>
  </si>
  <si>
    <t>MixedAncestry</t>
  </si>
  <si>
    <t>MusicalisInterruptus</t>
  </si>
  <si>
    <t>NegativeContinuity</t>
  </si>
  <si>
    <t>NeverHurtAnInnocent</t>
  </si>
  <si>
    <t>NonFatalExplosions</t>
  </si>
  <si>
    <t>PlayingWithSyringes</t>
  </si>
  <si>
    <t>PoisonedChaliceSwitcheroo</t>
  </si>
  <si>
    <t>PracticalEffects</t>
  </si>
  <si>
    <t>RansackedRoom</t>
  </si>
  <si>
    <t>RashomonStyle</t>
  </si>
  <si>
    <t>RhetoricalQuestionBlunder</t>
  </si>
  <si>
    <t>ScareEmStraight</t>
  </si>
  <si>
    <t>ScienceMarchesOn</t>
  </si>
  <si>
    <t>SequelNonEntity</t>
  </si>
  <si>
    <t>ShootTheHostageTaker</t>
  </si>
  <si>
    <t>SiblingTeam</t>
  </si>
  <si>
    <t>SleepingWithTheBoss</t>
  </si>
  <si>
    <t>SnowMeansLove</t>
  </si>
  <si>
    <t>SoulJar</t>
  </si>
  <si>
    <t>SpikesOfDoom</t>
  </si>
  <si>
    <t>SpyCatsuit</t>
  </si>
  <si>
    <t>StarWars</t>
  </si>
  <si>
    <t>TakeThatKiss</t>
  </si>
  <si>
    <t>TakingTheHeat</t>
  </si>
  <si>
    <t>TalentDouble</t>
  </si>
  <si>
    <t>TechnicolorScience</t>
  </si>
  <si>
    <t>TheAggressiveDrugDealer</t>
  </si>
  <si>
    <t>TheDiseaseThatShallNotBeNamed</t>
  </si>
  <si>
    <t>TheGreatestStoryNeverTold</t>
  </si>
  <si>
    <t>TheIrishMob</t>
  </si>
  <si>
    <t>TheTease</t>
  </si>
  <si>
    <t>TheWorldIsJustAwesome</t>
  </si>
  <si>
    <t>ThreePointLanding</t>
  </si>
  <si>
    <t>ToBeLawfulOrGood</t>
  </si>
  <si>
    <t>TurnOfTheMillennium</t>
  </si>
  <si>
    <t>TwilightOfTheOldWest</t>
  </si>
  <si>
    <t>UntranslatedTitle</t>
  </si>
  <si>
    <t>ViewerFriendlyInterface</t>
  </si>
  <si>
    <t>VillainyFreeVillain</t>
  </si>
  <si>
    <t>WasItAllALie</t>
  </si>
  <si>
    <t>WhyWeAreBummedCommunismFell</t>
  </si>
  <si>
    <t>YouExclamation</t>
  </si>
  <si>
    <t>YouRemindMeOfX</t>
  </si>
  <si>
    <t>AbusiveParent</t>
  </si>
  <si>
    <t>AccidentalAimingSkills</t>
  </si>
  <si>
    <t>AchillesInHisTent</t>
  </si>
  <si>
    <t>AllCrimesAreEqual</t>
  </si>
  <si>
    <t>AllMythsAreTrue</t>
  </si>
  <si>
    <t>ArtisticTitle</t>
  </si>
  <si>
    <t>AttackAttackRetreatRetreat</t>
  </si>
  <si>
    <t>AuctionOfEvil</t>
  </si>
  <si>
    <t>BeingEvilSucks</t>
  </si>
  <si>
    <t>BigFriendlyDog</t>
  </si>
  <si>
    <t>BrokenMasquerade</t>
  </si>
  <si>
    <t>CannotTellALie</t>
  </si>
  <si>
    <t>CerebusCallback</t>
  </si>
  <si>
    <t>CheeseEatingSurrenderMonkeys</t>
  </si>
  <si>
    <t>CleanUpCrew</t>
  </si>
  <si>
    <t>CommanderContrarian</t>
  </si>
  <si>
    <t>ContinuityCameo</t>
  </si>
  <si>
    <t>ConveyorBeltODoom</t>
  </si>
  <si>
    <t>CooldownHug</t>
  </si>
  <si>
    <t>CoolGun</t>
  </si>
  <si>
    <t>CoolShip</t>
  </si>
  <si>
    <t>CurtainCamouflage</t>
  </si>
  <si>
    <t>DangerousWindows</t>
  </si>
  <si>
    <t>DeadlyBath</t>
  </si>
  <si>
    <t>DontMakeMeDestroyYou</t>
  </si>
  <si>
    <t>EmptyShell</t>
  </si>
  <si>
    <t>Epigraph</t>
  </si>
  <si>
    <t>EverythingSoundsSexierInFrench</t>
  </si>
  <si>
    <t>EvilKnockoff</t>
  </si>
  <si>
    <t>FetusTerrible</t>
  </si>
  <si>
    <t>FeudingFamilies</t>
  </si>
  <si>
    <t>FingerGun</t>
  </si>
  <si>
    <t>FireBreathingWeapon</t>
  </si>
  <si>
    <t>FragileSpeedster</t>
  </si>
  <si>
    <t>GoKartingWithBowser</t>
  </si>
  <si>
    <t>GoodCannotComprehendEvil</t>
  </si>
  <si>
    <t>GratuitousForeignLanguage</t>
  </si>
  <si>
    <t>HarmlessVillain</t>
  </si>
  <si>
    <t>HeroesGoneFishing</t>
  </si>
  <si>
    <t>HiddenHeartOfGold</t>
  </si>
  <si>
    <t>IAmVeryBritish</t>
  </si>
  <si>
    <t>ImDyingPleaseTakeMyMacGuffin</t>
  </si>
  <si>
    <t>ImpliedLoveInterest</t>
  </si>
  <si>
    <t>InSpaceEveryoneCanSeeYourFace</t>
  </si>
  <si>
    <t>IntelligenceEqualsIsolation</t>
  </si>
  <si>
    <t>JewishMother</t>
  </si>
  <si>
    <t>LegoGenetics</t>
  </si>
  <si>
    <t>LimaSyndrome</t>
  </si>
  <si>
    <t>MadScientistsBeautifulDaughter</t>
  </si>
  <si>
    <t>MagicalDefibrillator</t>
  </si>
  <si>
    <t>MaritalRapeLicense</t>
  </si>
  <si>
    <t>MarqueeAlterEgo</t>
  </si>
  <si>
    <t>MilitariesAreUseless</t>
  </si>
  <si>
    <t>MistakenForRacist</t>
  </si>
  <si>
    <t>MisterSandmanSequence</t>
  </si>
  <si>
    <t>MonochromePast</t>
  </si>
  <si>
    <t>MoralityChain</t>
  </si>
  <si>
    <t>MyCard</t>
  </si>
  <si>
    <t>NeatFreak</t>
  </si>
  <si>
    <t>NeedleInAStackOfNeedles</t>
  </si>
  <si>
    <t>NonIndicativeTitle</t>
  </si>
  <si>
    <t>NotIfTheyEnjoyedItRationalization</t>
  </si>
  <si>
    <t>NotInThisForYourRevolution</t>
  </si>
  <si>
    <t>Oireland</t>
  </si>
  <si>
    <t>OldFashionedRowboatDate</t>
  </si>
  <si>
    <t>OrphansPlotTrinket</t>
  </si>
  <si>
    <t>OverDrawnAtTheBloodBank</t>
  </si>
  <si>
    <t>PaterFamilicide</t>
  </si>
  <si>
    <t>PlausibleDeniability</t>
  </si>
  <si>
    <t>PlayfulHacker</t>
  </si>
  <si>
    <t>PostClimaxConfrontation</t>
  </si>
  <si>
    <t>PuppyLove</t>
  </si>
  <si>
    <t>RavenHairIvorySkin</t>
  </si>
  <si>
    <t>RayGun</t>
  </si>
  <si>
    <t>SelfSurgery</t>
  </si>
  <si>
    <t>SheFu</t>
  </si>
  <si>
    <t>SlowMotionFall</t>
  </si>
  <si>
    <t>SmoochOfVictory</t>
  </si>
  <si>
    <t>SouthOfTheBorder</t>
  </si>
  <si>
    <t>SpeaksFluentAnimal</t>
  </si>
  <si>
    <t>SpikesOfVillainy</t>
  </si>
  <si>
    <t>SpoiledSweet</t>
  </si>
  <si>
    <t>SuspectIsHatless</t>
  </si>
  <si>
    <t>SweetTooth</t>
  </si>
  <si>
    <t>TearsOfJoy</t>
  </si>
  <si>
    <t>Telepathy</t>
  </si>
  <si>
    <t>TheCobblersChildrenHaveNoShoes</t>
  </si>
  <si>
    <t>TheDoorSlamsYou</t>
  </si>
  <si>
    <t>TheProtagonist</t>
  </si>
  <si>
    <t>ThereAreTwoKindsOfPeopleInTheWorld</t>
  </si>
  <si>
    <t>TheTrickster</t>
  </si>
  <si>
    <t>TheyWouldCutYouUp</t>
  </si>
  <si>
    <t>ThisLoserIsYou</t>
  </si>
  <si>
    <t>TragicDream</t>
  </si>
  <si>
    <t>TragicMistake</t>
  </si>
  <si>
    <t>TrashcanBonfire</t>
  </si>
  <si>
    <t>TrojanHorse</t>
  </si>
  <si>
    <t>TruthSerum</t>
  </si>
  <si>
    <t>TuxedoAndMartini</t>
  </si>
  <si>
    <t>UndercoverCopReveal</t>
  </si>
  <si>
    <t>VampiresAreSexGods</t>
  </si>
  <si>
    <t>VileVillainSaccharineShow</t>
  </si>
  <si>
    <t>VillainDecay</t>
  </si>
  <si>
    <t>WeaponForIntimidation</t>
  </si>
  <si>
    <t>WhatMeasureIsANonCute</t>
  </si>
  <si>
    <t>WhenSheSmiles</t>
  </si>
  <si>
    <t>WhereItAllBegan</t>
  </si>
  <si>
    <t>WhileRomeBurns</t>
  </si>
  <si>
    <t>WholeEpisodeFlashback</t>
  </si>
  <si>
    <t>WigDressAccent</t>
  </si>
  <si>
    <t>WildMassGuessing</t>
  </si>
  <si>
    <t>WolfMan</t>
  </si>
  <si>
    <t>WritersBlock</t>
  </si>
  <si>
    <t>AmbiguouslyEvil</t>
  </si>
  <si>
    <t>AmusementParkOfDoom</t>
  </si>
  <si>
    <t>AndThatsTerrible</t>
  </si>
  <si>
    <t>ArrowsOnFire</t>
  </si>
  <si>
    <t>AstralProjection</t>
  </si>
  <si>
    <t>AutobotsRockOut</t>
  </si>
  <si>
    <t>BackForTheDead</t>
  </si>
  <si>
    <t>BadassAndChildDuo</t>
  </si>
  <si>
    <t>BigSisterInstinct</t>
  </si>
  <si>
    <t>Bishonen</t>
  </si>
  <si>
    <t>Blaxploitation</t>
  </si>
  <si>
    <t>CallToAgriculture</t>
  </si>
  <si>
    <t>CartwrightCurse</t>
  </si>
  <si>
    <t>ChronicHeroSyndrome</t>
  </si>
  <si>
    <t>CleanCut</t>
  </si>
  <si>
    <t>ClearTheirName</t>
  </si>
  <si>
    <t>ClosetKey</t>
  </si>
  <si>
    <t>ConflictingLoyalty</t>
  </si>
  <si>
    <t>CosmicPlaything</t>
  </si>
  <si>
    <t>DentedIron</t>
  </si>
  <si>
    <t>Dracula</t>
  </si>
  <si>
    <t>DuelingMovies</t>
  </si>
  <si>
    <t>DumbIsGood</t>
  </si>
  <si>
    <t>EekAMouse</t>
  </si>
  <si>
    <t>EntitledToHaveYou</t>
  </si>
  <si>
    <t>EveryManHasHisPrice</t>
  </si>
  <si>
    <t>EveryoneIsASuspect</t>
  </si>
  <si>
    <t>EverythingIsBigInTexas</t>
  </si>
  <si>
    <t>FaceFullOfAlienWingWong</t>
  </si>
  <si>
    <t>FlyingBrick</t>
  </si>
  <si>
    <t>FoeTossingCharge</t>
  </si>
  <si>
    <t>FourLinesAllWaiting</t>
  </si>
  <si>
    <t>Gayngster</t>
  </si>
  <si>
    <t>GhostShip</t>
  </si>
  <si>
    <t>GladIThoughtOfIt</t>
  </si>
  <si>
    <t>GladToBeAliveSex</t>
  </si>
  <si>
    <t>GoingPostal</t>
  </si>
  <si>
    <t>GoodIsDumb</t>
  </si>
  <si>
    <t>GunFu</t>
  </si>
  <si>
    <t>GunKata</t>
  </si>
  <si>
    <t>HeartbeatSoundtrack</t>
  </si>
  <si>
    <t>HeroicBastard</t>
  </si>
  <si>
    <t>HilariouslyAbusiveChildhood</t>
  </si>
  <si>
    <t>HoistByTheirOwnPetard</t>
  </si>
  <si>
    <t>HollywoodDensity</t>
  </si>
  <si>
    <t>HumanFocusedAdaptation</t>
  </si>
  <si>
    <t>IncendiaryExponent</t>
  </si>
  <si>
    <t>InevitableWaterfall</t>
  </si>
  <si>
    <t>IWillFindYou</t>
  </si>
  <si>
    <t>JekyllAndHyde</t>
  </si>
  <si>
    <t>JidaiGeki</t>
  </si>
  <si>
    <t>KilledToUpholdTheMasquerade</t>
  </si>
  <si>
    <t>LoadBearingBoss</t>
  </si>
  <si>
    <t>LosingAShoeInTheStruggle</t>
  </si>
  <si>
    <t>MagicFeather</t>
  </si>
  <si>
    <t>MasculineGirlFeminineBoy</t>
  </si>
  <si>
    <t>MassiveNumberedSiblings</t>
  </si>
  <si>
    <t>MayflyDecemberRomance</t>
  </si>
  <si>
    <t>MetaphoricallyTrue</t>
  </si>
  <si>
    <t>MissKitty</t>
  </si>
  <si>
    <t>MoreThanMindControl</t>
  </si>
  <si>
    <t>MurderousThighs</t>
  </si>
  <si>
    <t>MustHaveCaffeine</t>
  </si>
  <si>
    <t>MustMakeAmends</t>
  </si>
  <si>
    <t>MyNaymeIs</t>
  </si>
  <si>
    <t>NarratorAllAlong</t>
  </si>
  <si>
    <t>NervousWreck</t>
  </si>
  <si>
    <t>NoPartyLikeADonnerParty</t>
  </si>
  <si>
    <t>OffTheWagon</t>
  </si>
  <si>
    <t>OffWithHerHead</t>
  </si>
  <si>
    <t>OminousMusicBoxTune</t>
  </si>
  <si>
    <t>OnlySaneWoman</t>
  </si>
  <si>
    <t>OpenMindedParent</t>
  </si>
  <si>
    <t>PhotographicMemory</t>
  </si>
  <si>
    <t>PlummetPerspective</t>
  </si>
  <si>
    <t>PolarOppositeTwins</t>
  </si>
  <si>
    <t>PragmaticHero</t>
  </si>
  <si>
    <t>PrimalFear</t>
  </si>
  <si>
    <t>PrivateEyeMonologue</t>
  </si>
  <si>
    <t>RampJump</t>
  </si>
  <si>
    <t>RecursiveCanon</t>
  </si>
  <si>
    <t>RedAndBlackAndEvilAllOver</t>
  </si>
  <si>
    <t>RedemptionRejection</t>
  </si>
  <si>
    <t>ReformedCriminal</t>
  </si>
  <si>
    <t>RetroUniverse</t>
  </si>
  <si>
    <t>ScrewPolitenessImASenior</t>
  </si>
  <si>
    <t>SdrawkcabName</t>
  </si>
  <si>
    <t>SelfDisposingVillain</t>
  </si>
  <si>
    <t>SickeninglySweethearts</t>
  </si>
  <si>
    <t>SilentSnarker</t>
  </si>
  <si>
    <t>SpyCam</t>
  </si>
  <si>
    <t>StartMyOwn</t>
  </si>
  <si>
    <t>Synchronization</t>
  </si>
  <si>
    <t>TakeThatAudience</t>
  </si>
  <si>
    <t>TheEvilsOfFreeWill</t>
  </si>
  <si>
    <t>TheInformant</t>
  </si>
  <si>
    <t>TheMainCharactersDoEverything</t>
  </si>
  <si>
    <t>TheMakeover</t>
  </si>
  <si>
    <t>TheNameIsBondJamesBond</t>
  </si>
  <si>
    <t>ThePrimaDonna</t>
  </si>
  <si>
    <t>TheStrategist</t>
  </si>
  <si>
    <t>TheWorldsExpertOnGettingKilled</t>
  </si>
  <si>
    <t>VersusTitle</t>
  </si>
  <si>
    <t>ViolentGlaswegian</t>
  </si>
  <si>
    <t>VisionaryVillain</t>
  </si>
  <si>
    <t>VivaLasVegas</t>
  </si>
  <si>
    <t>VodkaDrunkenski</t>
  </si>
  <si>
    <t>VolleyingInsults</t>
  </si>
  <si>
    <t>WalkAndTalk</t>
  </si>
  <si>
    <t>WeWillMeetAgain</t>
  </si>
  <si>
    <t>WhamEpisode</t>
  </si>
  <si>
    <t>WriterOnBoard</t>
  </si>
  <si>
    <t>ZettaiRyouiki</t>
  </si>
  <si>
    <t>AcquiredSituationalNarcissism</t>
  </si>
  <si>
    <t>ActionDressRip</t>
  </si>
  <si>
    <t>ArtisticLicenseCars</t>
  </si>
  <si>
    <t>ArtisticLicenseShips</t>
  </si>
  <si>
    <t>AThreesomeIsHot</t>
  </si>
  <si>
    <t>BabyCarriage</t>
  </si>
  <si>
    <t>BadassGay</t>
  </si>
  <si>
    <t>BattleDiscretionShot</t>
  </si>
  <si>
    <t>BeastAndBeauty</t>
  </si>
  <si>
    <t>BeingTorturedMakesYouEvil</t>
  </si>
  <si>
    <t>BetaBitch</t>
  </si>
  <si>
    <t>BetterThanABareBulb</t>
  </si>
  <si>
    <t>Bifauxnen</t>
  </si>
  <si>
    <t>BigManOnCampus</t>
  </si>
  <si>
    <t>BloodBrothers</t>
  </si>
  <si>
    <t>BloodOath</t>
  </si>
  <si>
    <t>BoyishShortHair</t>
  </si>
  <si>
    <t>BreakingSpeech</t>
  </si>
  <si>
    <t>BrokenHeel</t>
  </si>
  <si>
    <t>BusFullOfInnocents</t>
  </si>
  <si>
    <t>CameraFiend</t>
  </si>
  <si>
    <t>CarpetOfVirility</t>
  </si>
  <si>
    <t>CavalryBetrayal</t>
  </si>
  <si>
    <t>ChildSoldier</t>
  </si>
  <si>
    <t>ChromaKey</t>
  </si>
  <si>
    <t>ChurchMilitant</t>
  </si>
  <si>
    <t>CombatParkour</t>
  </si>
  <si>
    <t>CondescendingCompassion</t>
  </si>
  <si>
    <t>ConvenientlyAnOrphan</t>
  </si>
  <si>
    <t>CouldSayItBut</t>
  </si>
  <si>
    <t>CradlingYourKill</t>
  </si>
  <si>
    <t>CripplingTheCompetition</t>
  </si>
  <si>
    <t>CruelToBeKind</t>
  </si>
  <si>
    <t>DateRapeAverted</t>
  </si>
  <si>
    <t>DeathFakedForYou</t>
  </si>
  <si>
    <t>DeepCoverAgent</t>
  </si>
  <si>
    <t>DevouredByTheHorde</t>
  </si>
  <si>
    <t>DisconnectedByDeath</t>
  </si>
  <si>
    <t>DisintegratorRay</t>
  </si>
  <si>
    <t>DoNotGoGentle</t>
  </si>
  <si>
    <t>EscalatingWar</t>
  </si>
  <si>
    <t>ExpospeakGag</t>
  </si>
  <si>
    <t>Fauxreigner</t>
  </si>
  <si>
    <t>FingertipDrugAnalysis</t>
  </si>
  <si>
    <t>FirstPersonPeripheralNarrator</t>
  </si>
  <si>
    <t>FiveTokenBand</t>
  </si>
  <si>
    <t>FutureSlang</t>
  </si>
  <si>
    <t>GoodOldWays</t>
  </si>
  <si>
    <t>GrewASpine</t>
  </si>
  <si>
    <t>GutPunch</t>
  </si>
  <si>
    <t>HallOfMirrors</t>
  </si>
  <si>
    <t>HandGagging</t>
  </si>
  <si>
    <t>HellHotel</t>
  </si>
  <si>
    <t>HollywoodNewEngland</t>
  </si>
  <si>
    <t>Hologram</t>
  </si>
  <si>
    <t>ImpactSilhouette</t>
  </si>
  <si>
    <t>ImpossiblyCoolWeapon</t>
  </si>
  <si>
    <t>ImpossiblyTackyClothes</t>
  </si>
  <si>
    <t>IndecisiveParody</t>
  </si>
  <si>
    <t>InherentlyFunnyWords</t>
  </si>
  <si>
    <t>InstrumentOfMurder</t>
  </si>
  <si>
    <t>InterestingSituationDuel</t>
  </si>
  <si>
    <t>InternalHomage</t>
  </si>
  <si>
    <t>IOwnThisTown</t>
  </si>
  <si>
    <t>IShouldWriteABookAboutThis</t>
  </si>
  <si>
    <t>ItsQuietTooQuiet</t>
  </si>
  <si>
    <t>JadedWashout</t>
  </si>
  <si>
    <t>JustThinkOfThePotential</t>
  </si>
  <si>
    <t>KitchenSinkDrama</t>
  </si>
  <si>
    <t>Kneecapping</t>
  </si>
  <si>
    <t>KnockOutGas</t>
  </si>
  <si>
    <t>LaymansTerms</t>
  </si>
  <si>
    <t>LesbianVampire</t>
  </si>
  <si>
    <t>LightIsGood</t>
  </si>
  <si>
    <t>LiteralGenie</t>
  </si>
  <si>
    <t>LocalHangout</t>
  </si>
  <si>
    <t>LoserProtagonist</t>
  </si>
  <si>
    <t>MandatoryUnretirement</t>
  </si>
  <si>
    <t>MasterOfIllusion</t>
  </si>
  <si>
    <t>MenacingStroll</t>
  </si>
  <si>
    <t>MohsScaleOfScienceFictionHardness</t>
  </si>
  <si>
    <t>MotherRussiaMakesYouStrong</t>
  </si>
  <si>
    <t>MovingTheGoalposts</t>
  </si>
  <si>
    <t>MurderByCremation</t>
  </si>
  <si>
    <t>NobodyCallsMeChicken</t>
  </si>
  <si>
    <t>NoSenseOfPersonalSpace</t>
  </si>
  <si>
    <t>OddballInTheSeries</t>
  </si>
  <si>
    <t>OddNameOut</t>
  </si>
  <si>
    <t>OffscreenCrash</t>
  </si>
  <si>
    <t>OneOfTheBoys</t>
  </si>
  <si>
    <t>OneTrueLove</t>
  </si>
  <si>
    <t>PlethoraOfMistakes</t>
  </si>
  <si>
    <t>PowerGlows</t>
  </si>
  <si>
    <t>PrimalScene</t>
  </si>
  <si>
    <t>PsychologicalThriller</t>
  </si>
  <si>
    <t>PurpleProse</t>
  </si>
  <si>
    <t>RageQuit</t>
  </si>
  <si>
    <t>ReincarnationRomance</t>
  </si>
  <si>
    <t>RightUnderTheirNoses</t>
  </si>
  <si>
    <t>RomComJob</t>
  </si>
  <si>
    <t>SensorSuspense</t>
  </si>
  <si>
    <t>SevenDeadlySins</t>
  </si>
  <si>
    <t>SicklyGreenGlow</t>
  </si>
  <si>
    <t>SkunkStripe</t>
  </si>
  <si>
    <t>SleevesAreForWimps</t>
  </si>
  <si>
    <t>SlowMotion</t>
  </si>
  <si>
    <t>SoapBoxSadie</t>
  </si>
  <si>
    <t>SoBeautifulItsACurse</t>
  </si>
  <si>
    <t>SomethingCompletelyDifferent</t>
  </si>
  <si>
    <t>StonersAreFunny</t>
  </si>
  <si>
    <t>StreetUrchin</t>
  </si>
  <si>
    <t>SuddenDownerEnding</t>
  </si>
  <si>
    <t>TaintedVeins</t>
  </si>
  <si>
    <t>TakeUpMySword</t>
  </si>
  <si>
    <t>TeamTitle</t>
  </si>
  <si>
    <t>TearsOfRemorse</t>
  </si>
  <si>
    <t>TheButlerDidIt</t>
  </si>
  <si>
    <t>TheCon</t>
  </si>
  <si>
    <t>TheGovernment</t>
  </si>
  <si>
    <t>TheNicknamer</t>
  </si>
  <si>
    <t>TheyDo</t>
  </si>
  <si>
    <t>TheyWastedAPerfectlyGoodSandwich</t>
  </si>
  <si>
    <t>ThreatBackfire</t>
  </si>
  <si>
    <t>TortureAlwaysWorks</t>
  </si>
  <si>
    <t>Tragedy</t>
  </si>
  <si>
    <t>TranshumanTreachery</t>
  </si>
  <si>
    <t>TriggerPhrase</t>
  </si>
  <si>
    <t>TrueArtIsIncomprehensible</t>
  </si>
  <si>
    <t>WaitHere</t>
  </si>
  <si>
    <t>WordSaladTitle</t>
  </si>
  <si>
    <t>AccidentalInnuendo</t>
  </si>
  <si>
    <t>AdolfHitlarious</t>
  </si>
  <si>
    <t>AfterActionPatchUp</t>
  </si>
  <si>
    <t>AlanSmithee</t>
  </si>
  <si>
    <t>AnimalisticAbomination</t>
  </si>
  <si>
    <t>ArmouredClosetGay</t>
  </si>
  <si>
    <t>ArtisticLicenceHistory</t>
  </si>
  <si>
    <t>AsceticAesthetic</t>
  </si>
  <si>
    <t>AssimilationPlot</t>
  </si>
  <si>
    <t>BadassCape</t>
  </si>
  <si>
    <t>BadVibrations</t>
  </si>
  <si>
    <t>BigEntrance</t>
  </si>
  <si>
    <t>BlackSpeech</t>
  </si>
  <si>
    <t>BloodSport</t>
  </si>
  <si>
    <t>BrainsAndBrawn</t>
  </si>
  <si>
    <t>BuryYourDisabled</t>
  </si>
  <si>
    <t>CameBackStrong</t>
  </si>
  <si>
    <t>CaptainSmoothAndSergeantRough</t>
  </si>
  <si>
    <t>CerebusRetcon</t>
  </si>
  <si>
    <t>ChummyCommies</t>
  </si>
  <si>
    <t>CityNoir</t>
  </si>
  <si>
    <t>ClassicalAntihero</t>
  </si>
  <si>
    <t>ConservationOfNinjitsu</t>
  </si>
  <si>
    <t>ConversationalTroping</t>
  </si>
  <si>
    <t>CryIntoChest</t>
  </si>
  <si>
    <t>DesignatedVillain</t>
  </si>
  <si>
    <t>Disneyfication</t>
  </si>
  <si>
    <t>DivingSave</t>
  </si>
  <si>
    <t>DoNotDoThisCoolThing</t>
  </si>
  <si>
    <t>DontMakeMeTakeMyBeltOff</t>
  </si>
  <si>
    <t>DontThinkFeel</t>
  </si>
  <si>
    <t>DoomsdayDevice</t>
  </si>
  <si>
    <t>DramaPreservingHandicap</t>
  </si>
  <si>
    <t>DrivingQuestion</t>
  </si>
  <si>
    <t>DrunkenMaster</t>
  </si>
  <si>
    <t>ElevatorFailure</t>
  </si>
  <si>
    <t>EnsignNewbie</t>
  </si>
  <si>
    <t>EveryoneWentToSchoolTogether</t>
  </si>
  <si>
    <t>EverythingsLouderWithBagpipes</t>
  </si>
  <si>
    <t>ExiledToTheCouch</t>
  </si>
  <si>
    <t>ExplosiveInstrumentation</t>
  </si>
  <si>
    <t>FailureHero</t>
  </si>
  <si>
    <t>FakeAmerican</t>
  </si>
  <si>
    <t>FireAndBrimstoneHell</t>
  </si>
  <si>
    <t>FiringInTheAirALot</t>
  </si>
  <si>
    <t>FiveFingerDiscount</t>
  </si>
  <si>
    <t>FoeYay</t>
  </si>
  <si>
    <t>FourStarBadass</t>
  </si>
  <si>
    <t>GermansLoveDavidHasselhoff</t>
  </si>
  <si>
    <t>GetItOverWith</t>
  </si>
  <si>
    <t>GraveMarkingScene</t>
  </si>
  <si>
    <t>HadToComeToPrisonToBeACrook</t>
  </si>
  <si>
    <t>HasAType</t>
  </si>
  <si>
    <t>HasTwoMommies</t>
  </si>
  <si>
    <t>HelicopterBlender</t>
  </si>
  <si>
    <t>HideYourLesbians</t>
  </si>
  <si>
    <t>HoldTheLine</t>
  </si>
  <si>
    <t>HumansAreMorons</t>
  </si>
  <si>
    <t>IdentityAmnesia</t>
  </si>
  <si>
    <t>IfItBleedsItLeads</t>
  </si>
  <si>
    <t>IKnowKarate</t>
  </si>
  <si>
    <t>ImmortalityImmorality</t>
  </si>
  <si>
    <t>InsaneEqualsViolent</t>
  </si>
  <si>
    <t>IntimidationDemonstration</t>
  </si>
  <si>
    <t>Introdump</t>
  </si>
  <si>
    <t>IWantThemAlive</t>
  </si>
  <si>
    <t>JackTheRipoff</t>
  </si>
  <si>
    <t>JetPack</t>
  </si>
  <si>
    <t>JokerImmunity</t>
  </si>
  <si>
    <t>JustAMachine</t>
  </si>
  <si>
    <t>KarmicTransformation</t>
  </si>
  <si>
    <t>KissOfLife</t>
  </si>
  <si>
    <t>KnifeFight</t>
  </si>
  <si>
    <t>LastWords</t>
  </si>
  <si>
    <t>MagicalSecurityCam</t>
  </si>
  <si>
    <t>Mammy</t>
  </si>
  <si>
    <t>ManchurianAgent</t>
  </si>
  <si>
    <t>MartialPacifist</t>
  </si>
  <si>
    <t>MisanthropeSupreme</t>
  </si>
  <si>
    <t>MockMillionaire</t>
  </si>
  <si>
    <t>MummiesAtTheDinnerTable</t>
  </si>
  <si>
    <t>NiceMeanAndInBetween</t>
  </si>
  <si>
    <t>Ninja</t>
  </si>
  <si>
    <t>NobleBigot</t>
  </si>
  <si>
    <t>NobodyHereButUsStatues</t>
  </si>
  <si>
    <t>NoTellMotel</t>
  </si>
  <si>
    <t>NothingExcitingEverHappensHere</t>
  </si>
  <si>
    <t>NotSoWellIntentionedExtremist</t>
  </si>
  <si>
    <t>OurDragonsAreDifferent</t>
  </si>
  <si>
    <t>PerpetualFrowner</t>
  </si>
  <si>
    <t>PinPullingTeeth</t>
  </si>
  <si>
    <t>PlotMandatedFriendshipFailure</t>
  </si>
  <si>
    <t>PlungerDetonator</t>
  </si>
  <si>
    <t>PsychicNosebleed</t>
  </si>
  <si>
    <t>QuestionableConsent</t>
  </si>
  <si>
    <t>ReusableLighterToss</t>
  </si>
  <si>
    <t>RevealingHug</t>
  </si>
  <si>
    <t>RiseFromYourGrave</t>
  </si>
  <si>
    <t>ScoobyDooHoax</t>
  </si>
  <si>
    <t>SecondFaceSmoke</t>
  </si>
  <si>
    <t>SerialRapist</t>
  </si>
  <si>
    <t>ShootHimHeHasAWallet</t>
  </si>
  <si>
    <t>SignatureMove</t>
  </si>
  <si>
    <t>SonOfAWhore</t>
  </si>
  <si>
    <t>SplitPersonalityTakeover</t>
  </si>
  <si>
    <t>SpreadingDisasterMapGraphic</t>
  </si>
  <si>
    <t>StarterVillain</t>
  </si>
  <si>
    <t>StartsWithASuicide</t>
  </si>
  <si>
    <t>StoutStrength</t>
  </si>
  <si>
    <t>StuffedInTheFridge</t>
  </si>
  <si>
    <t>TakeTheWheel</t>
  </si>
  <si>
    <t>TalkingToTheDead</t>
  </si>
  <si>
    <t>TechnicianVersusPerformer</t>
  </si>
  <si>
    <t>TheBlank</t>
  </si>
  <si>
    <t>TheCheerleader</t>
  </si>
  <si>
    <t>TheHerosJourney</t>
  </si>
  <si>
    <t>TheMagicPokerEquation</t>
  </si>
  <si>
    <t>TheMutiny</t>
  </si>
  <si>
    <t>TheSlowPath</t>
  </si>
  <si>
    <t>TheSnackIsMoreInteresting</t>
  </si>
  <si>
    <t>TheSpook</t>
  </si>
  <si>
    <t>TheThirties</t>
  </si>
  <si>
    <t>ThrowingOffTheDisability</t>
  </si>
  <si>
    <t>ToughLove</t>
  </si>
  <si>
    <t>TrappedInTVLand</t>
  </si>
  <si>
    <t>TrashLanding</t>
  </si>
  <si>
    <t>TricksterMentor</t>
  </si>
  <si>
    <t>TwoGuysAndAGirl</t>
  </si>
  <si>
    <t>UnconventionalVehicleChase</t>
  </si>
  <si>
    <t>UnnecessaryCombatRoll</t>
  </si>
  <si>
    <t>ViewersAreMorons</t>
  </si>
  <si>
    <t>VikingFuneral</t>
  </si>
  <si>
    <t>Wangst</t>
  </si>
  <si>
    <t>WeaponsUnderstudies</t>
  </si>
  <si>
    <t>WhenAllYouHaveIsAHammer</t>
  </si>
  <si>
    <t>WhenTreesAttack</t>
  </si>
  <si>
    <t>WrongfulAccusationInsurance</t>
  </si>
  <si>
    <t>YearInsideHourOutside</t>
  </si>
  <si>
    <t>ZipMeUp</t>
  </si>
  <si>
    <t>ActuallyIAmHim</t>
  </si>
  <si>
    <t>ACupAngst</t>
  </si>
  <si>
    <t>AddledAddict</t>
  </si>
  <si>
    <t>AdventurerArchaeologist</t>
  </si>
  <si>
    <t>AltarTheSpeed</t>
  </si>
  <si>
    <t>AMatchMadeInStockholm</t>
  </si>
  <si>
    <t>AndThenWhat</t>
  </si>
  <si>
    <t>AngelUnaware</t>
  </si>
  <si>
    <t>BloodMagic</t>
  </si>
  <si>
    <t>BloodstainedGlassWindows</t>
  </si>
  <si>
    <t>BookBurning</t>
  </si>
  <si>
    <t>BrandishmentBluff</t>
  </si>
  <si>
    <t>BrawnHilda</t>
  </si>
  <si>
    <t>CacophonyCoverUp</t>
  </si>
  <si>
    <t>CarryABigStick</t>
  </si>
  <si>
    <t>CessationOfExistence</t>
  </si>
  <si>
    <t>ChainedHeat</t>
  </si>
  <si>
    <t>CockFight</t>
  </si>
  <si>
    <t>CoverVersion</t>
  </si>
  <si>
    <t>CrystalSpiresAndTogas</t>
  </si>
  <si>
    <t>DeconstructorFleet</t>
  </si>
  <si>
    <t>DepartmentOfChildDisservices</t>
  </si>
  <si>
    <t>DeterminedHomesteader</t>
  </si>
  <si>
    <t>DisposablePilot</t>
  </si>
  <si>
    <t>DriveInTheater</t>
  </si>
  <si>
    <t>DropDeadGorgeous</t>
  </si>
  <si>
    <t>EvilHand</t>
  </si>
  <si>
    <t>EvilIsBigger</t>
  </si>
  <si>
    <t>ExactlyWhatIAimedAt</t>
  </si>
  <si>
    <t>FaceOfAnAngelMindOfADemon</t>
  </si>
  <si>
    <t>FanNickname</t>
  </si>
  <si>
    <t>FlashbackEcho</t>
  </si>
  <si>
    <t>FlashbackEffects</t>
  </si>
  <si>
    <t>FlashForward</t>
  </si>
  <si>
    <t>FlawExploitation</t>
  </si>
  <si>
    <t>ForcedPerspective</t>
  </si>
  <si>
    <t>FreezeFrameEnding</t>
  </si>
  <si>
    <t>FreudianThreat</t>
  </si>
  <si>
    <t>FriendOnTheForce</t>
  </si>
  <si>
    <t>GargleBlaster</t>
  </si>
  <si>
    <t>GirlFriday</t>
  </si>
  <si>
    <t>GiveMeASword</t>
  </si>
  <si>
    <t>HandOfDeath</t>
  </si>
  <si>
    <t>HappyMarriageCharade</t>
  </si>
  <si>
    <t>HeartIsAnAwesomePower</t>
  </si>
  <si>
    <t>HeroicDog</t>
  </si>
  <si>
    <t>HighlyVisibleNinja</t>
  </si>
  <si>
    <t>HiredGuns</t>
  </si>
  <si>
    <t>HourglassPlot</t>
  </si>
  <si>
    <t>IcyBlueEyes</t>
  </si>
  <si>
    <t>IHaveBoobsYouMustObey</t>
  </si>
  <si>
    <t>ItGetsEasier</t>
  </si>
  <si>
    <t>IWorkAlone</t>
  </si>
  <si>
    <t>JumpingOnAGrenade</t>
  </si>
  <si>
    <t>KickingAssInAllHerFinery</t>
  </si>
  <si>
    <t>KillerCop</t>
  </si>
  <si>
    <t>KillItWithIce</t>
  </si>
  <si>
    <t>LeanAndMean</t>
  </si>
  <si>
    <t>LetMeTellYouAStory</t>
  </si>
  <si>
    <t>LivingShadow</t>
  </si>
  <si>
    <t>LooksLikeOrlok</t>
  </si>
  <si>
    <t>MafiaPrincess</t>
  </si>
  <si>
    <t>MalevolentArchitecture</t>
  </si>
  <si>
    <t>MechaMooks</t>
  </si>
  <si>
    <t>MenCantKeepHouse</t>
  </si>
  <si>
    <t>MessyHair</t>
  </si>
  <si>
    <t>MistakenForSpies</t>
  </si>
  <si>
    <t>Mooning</t>
  </si>
  <si>
    <t>MrSmith</t>
  </si>
  <si>
    <t>NightmareFuelColoringBook</t>
  </si>
  <si>
    <t>NoisyNature</t>
  </si>
  <si>
    <t>NonHumanSidekick</t>
  </si>
  <si>
    <t>NotWhatISignedOnFor</t>
  </si>
  <si>
    <t>OffTheRails</t>
  </si>
  <si>
    <t>OperationBlank</t>
  </si>
  <si>
    <t>OralFixation</t>
  </si>
  <si>
    <t>OutdoorBathPeeping</t>
  </si>
  <si>
    <t>OutOfCharacterMoment</t>
  </si>
  <si>
    <t>PantheraAwesome</t>
  </si>
  <si>
    <t>ProfessionalGambler</t>
  </si>
  <si>
    <t>PullTheThread</t>
  </si>
  <si>
    <t>RaisedByGrandparents</t>
  </si>
  <si>
    <t>RebelLeader</t>
  </si>
  <si>
    <t>ReferenceOverdosed</t>
  </si>
  <si>
    <t>RevengeOfTheSequel</t>
  </si>
  <si>
    <t>RoboCam</t>
  </si>
  <si>
    <t>ScienceFiction</t>
  </si>
  <si>
    <t>SecretlyDying</t>
  </si>
  <si>
    <t>Sequel</t>
  </si>
  <si>
    <t>ShearMenace</t>
  </si>
  <si>
    <t>SilkHidingSteel</t>
  </si>
  <si>
    <t>SleepingDummy</t>
  </si>
  <si>
    <t>SpeedSex</t>
  </si>
  <si>
    <t>SpookySeance</t>
  </si>
  <si>
    <t>StrangerInAFamiliarLand</t>
  </si>
  <si>
    <t>StrawmanNewsMedia</t>
  </si>
  <si>
    <t>SuicideBySea</t>
  </si>
  <si>
    <t>SurprisinglyHappyEnding</t>
  </si>
  <si>
    <t>TheButcher</t>
  </si>
  <si>
    <t>TheCape</t>
  </si>
  <si>
    <t>TheGadfly</t>
  </si>
  <si>
    <t>TheJuggernaut</t>
  </si>
  <si>
    <t>ThePowerOfHate</t>
  </si>
  <si>
    <t>TheScourgeOfGod</t>
  </si>
  <si>
    <t>TheSilentBob</t>
  </si>
  <si>
    <t>TheSummation</t>
  </si>
  <si>
    <t>TheUnfought</t>
  </si>
  <si>
    <t>TheVerse</t>
  </si>
  <si>
    <t>UnintentionalPeriodPiece</t>
  </si>
  <si>
    <t>UnnecessaryRoughness</t>
  </si>
  <si>
    <t>VisibleBoomMic</t>
  </si>
  <si>
    <t>WalkOnWater</t>
  </si>
  <si>
    <t>WhatADrag</t>
  </si>
  <si>
    <t>WhiteAndGreyMorality</t>
  </si>
  <si>
    <t>WorthIt</t>
  </si>
  <si>
    <t>YouDidntAsk</t>
  </si>
  <si>
    <t>YouJustToldMe</t>
  </si>
  <si>
    <t>YourCostumeNeedsWork</t>
  </si>
  <si>
    <t>YoureNotMyFather</t>
  </si>
  <si>
    <t>YourSoulIsMine</t>
  </si>
  <si>
    <t>AFateWorseThanDeath</t>
  </si>
  <si>
    <t>AndroclesLion</t>
  </si>
  <si>
    <t>AtLeastIAdmitIt</t>
  </si>
  <si>
    <t>BallisticDiscount</t>
  </si>
  <si>
    <t>BarbarianHero</t>
  </si>
  <si>
    <t>BatmanCanBreatheInSpace</t>
  </si>
  <si>
    <t>BigDamnMovie</t>
  </si>
  <si>
    <t>BigRedDevil</t>
  </si>
  <si>
    <t>BlackIsBiggerInBed</t>
  </si>
  <si>
    <t>BlowingSmokeRings</t>
  </si>
  <si>
    <t>BoltOfDivineRetribution</t>
  </si>
  <si>
    <t>ButterflyOfDoom</t>
  </si>
  <si>
    <t>CareerVersusMan</t>
  </si>
  <si>
    <t>CasualKink</t>
  </si>
  <si>
    <t>CatchAndReturn</t>
  </si>
  <si>
    <t>CaughtInTheRain</t>
  </si>
  <si>
    <t>CavalryOfficer</t>
  </si>
  <si>
    <t>ChewToy</t>
  </si>
  <si>
    <t>CombatByChampion</t>
  </si>
  <si>
    <t>ConcertClimax</t>
  </si>
  <si>
    <t>ConsummateProfessional</t>
  </si>
  <si>
    <t>CoolAirship</t>
  </si>
  <si>
    <t>CuteButCacophonic</t>
  </si>
  <si>
    <t>DamnedByFaintPraise</t>
  </si>
  <si>
    <t>DeaderThanDead</t>
  </si>
  <si>
    <t>DeadlyRotaryFan</t>
  </si>
  <si>
    <t>DeathCourse</t>
  </si>
  <si>
    <t>DerangedAnimation</t>
  </si>
  <si>
    <t>DestroyTheEvidence</t>
  </si>
  <si>
    <t>DestructiveRomance</t>
  </si>
  <si>
    <t>Diary</t>
  </si>
  <si>
    <t>DisappointedInYou</t>
  </si>
  <si>
    <t>DistinguishingMark</t>
  </si>
  <si>
    <t>DotingParent</t>
  </si>
  <si>
    <t>EducationMama</t>
  </si>
  <si>
    <t>EpiphanyTherapy</t>
  </si>
  <si>
    <t>EruditeStoner</t>
  </si>
  <si>
    <t>EverybodyHasLotsOfSex</t>
  </si>
  <si>
    <t>EverythingsBetterWithSparkles</t>
  </si>
  <si>
    <t>EvilutionaryBiologist</t>
  </si>
  <si>
    <t>FaceCam</t>
  </si>
  <si>
    <t>FightClubbing</t>
  </si>
  <si>
    <t>FinaglesLaw</t>
  </si>
  <si>
    <t>FingerInTheMail</t>
  </si>
  <si>
    <t>FlashStep</t>
  </si>
  <si>
    <t>Flatline</t>
  </si>
  <si>
    <t>FromCamouflageToCriminal</t>
  </si>
  <si>
    <t>FullCircleRevolution</t>
  </si>
  <si>
    <t>GaussianGirl</t>
  </si>
  <si>
    <t>GayBestFriend</t>
  </si>
  <si>
    <t>GhostStory</t>
  </si>
  <si>
    <t>GiantEqualsInvincible</t>
  </si>
  <si>
    <t>GiftedlyBad</t>
  </si>
  <si>
    <t>GoodGunsBadGuns</t>
  </si>
  <si>
    <t>GrammarNazi</t>
  </si>
  <si>
    <t>HandWaved</t>
  </si>
  <si>
    <t>HeadTiltinglyKinky</t>
  </si>
  <si>
    <t>HellOnEarth</t>
  </si>
  <si>
    <t>HeroicResolve</t>
  </si>
  <si>
    <t>HeyYouHaymaker</t>
  </si>
  <si>
    <t>HypnoFool</t>
  </si>
  <si>
    <t>IdealizedSex</t>
  </si>
  <si>
    <t>ILetGwenStacyDie</t>
  </si>
  <si>
    <t>InvisibleToNormals</t>
  </si>
  <si>
    <t>ItOnlyWorksOnce</t>
  </si>
  <si>
    <t>IWantMyMommy</t>
  </si>
  <si>
    <t>JustEatGilligan</t>
  </si>
  <si>
    <t>LadyLand</t>
  </si>
  <si>
    <t>LastSecondChance</t>
  </si>
  <si>
    <t>LeaveNoSurvivors</t>
  </si>
  <si>
    <t>LectureAsExposition</t>
  </si>
  <si>
    <t>LivingStatue</t>
  </si>
  <si>
    <t>Magitek</t>
  </si>
  <si>
    <t>ManInAKilt</t>
  </si>
  <si>
    <t>ManlyGay</t>
  </si>
  <si>
    <t>Mayincatec</t>
  </si>
  <si>
    <t>Motif</t>
  </si>
  <si>
    <t>MouthyKid</t>
  </si>
  <si>
    <t>MrImagination</t>
  </si>
  <si>
    <t>MurdererPOV</t>
  </si>
  <si>
    <t>NerdsAreVirgins</t>
  </si>
  <si>
    <t>NietzscheWannabe</t>
  </si>
  <si>
    <t>NobodyOver50IsGay</t>
  </si>
  <si>
    <t>NoMoreForMe</t>
  </si>
  <si>
    <t>NoNewFashionsInTheFuture</t>
  </si>
  <si>
    <t>NotBloodSiblings</t>
  </si>
  <si>
    <t>OldFlame</t>
  </si>
  <si>
    <t>OneGenderSchool</t>
  </si>
  <si>
    <t>OpenSaysMe</t>
  </si>
  <si>
    <t>OurMermaidsAreDifferent</t>
  </si>
  <si>
    <t>OutOfTheInferno</t>
  </si>
  <si>
    <t>PatrickStewartSpeech</t>
  </si>
  <si>
    <t>PlotCoupon</t>
  </si>
  <si>
    <t>PoliticalCorrectnessGoneMad</t>
  </si>
  <si>
    <t>PopTheTires</t>
  </si>
  <si>
    <t>PositiveDiscrimination</t>
  </si>
  <si>
    <t>PreacherMan</t>
  </si>
  <si>
    <t>PreviewsPulse</t>
  </si>
  <si>
    <t>PreviouslyOn</t>
  </si>
  <si>
    <t>ProlongedPrologue</t>
  </si>
  <si>
    <t>PublicExecution</t>
  </si>
  <si>
    <t>RacistGrandma</t>
  </si>
  <si>
    <t>RealPersonEpilogue</t>
  </si>
  <si>
    <t>RewindReplayRepeat</t>
  </si>
  <si>
    <t>RockBottom</t>
  </si>
  <si>
    <t>RomanticTwoGirlFriendship</t>
  </si>
  <si>
    <t>SaveOurStudents</t>
  </si>
  <si>
    <t>ScaryScarecrows</t>
  </si>
  <si>
    <t>ScrewballComedy</t>
  </si>
  <si>
    <t>SeventiesHair</t>
  </si>
  <si>
    <t>SexySilhouette</t>
  </si>
  <si>
    <t>SheIsNotMyGirlfriend</t>
  </si>
  <si>
    <t>ShootTheMessenger</t>
  </si>
  <si>
    <t>SilverBullet</t>
  </si>
  <si>
    <t>SincerityMode</t>
  </si>
  <si>
    <t>SlowClap</t>
  </si>
  <si>
    <t>SouthernBelle</t>
  </si>
  <si>
    <t>SpellMyNameWithAThe</t>
  </si>
  <si>
    <t>SpiderTank</t>
  </si>
  <si>
    <t>StacysMom</t>
  </si>
  <si>
    <t>StandardFemaleGrabArea</t>
  </si>
  <si>
    <t>StringTheory</t>
  </si>
  <si>
    <t>StupidJetpackHitler</t>
  </si>
  <si>
    <t>SuicideAsComedy</t>
  </si>
  <si>
    <t>SurprisinglyGoodEnglish</t>
  </si>
  <si>
    <t>TheresNoKillLikeOverkill</t>
  </si>
  <si>
    <t>TheSavageIndian</t>
  </si>
  <si>
    <t>TheScream</t>
  </si>
  <si>
    <t>TheSyndicate</t>
  </si>
  <si>
    <t>TheyFightCrime</t>
  </si>
  <si>
    <t>TranslatorMicrobes</t>
  </si>
  <si>
    <t>TraumaButton</t>
  </si>
  <si>
    <t>UndersideRide</t>
  </si>
  <si>
    <t>Unishment</t>
  </si>
  <si>
    <t>VoodooDoll</t>
  </si>
  <si>
    <t>WeHaveToGetTheBulletOut</t>
  </si>
  <si>
    <t>WhatBeautifulEyes</t>
  </si>
  <si>
    <t>WhatKindOfLamePowerIsHeartAnyway</t>
  </si>
  <si>
    <t>WhereDoesHeGetAllThoseWonderfulToys</t>
  </si>
  <si>
    <t>WhyDidYouMakeMeHitYou</t>
  </si>
  <si>
    <t>WolverineClaws</t>
  </si>
  <si>
    <t>WreckedWeapon</t>
  </si>
  <si>
    <t>YouLookFamiliar</t>
  </si>
  <si>
    <t>YourOtherLeft</t>
  </si>
  <si>
    <t>ActionDad</t>
  </si>
  <si>
    <t>AerialCanyonChase</t>
  </si>
  <si>
    <t>AerosolFlamethrower</t>
  </si>
  <si>
    <t>AnkleDrag</t>
  </si>
  <si>
    <t>AnthropomorphicPersonification</t>
  </si>
  <si>
    <t>ApocalypseAnarchy</t>
  </si>
  <si>
    <t>Arcadia</t>
  </si>
  <si>
    <t>ArtificialIntelligence</t>
  </si>
  <si>
    <t>ArtisticLicenseGeology</t>
  </si>
  <si>
    <t>AshesToCrashes</t>
  </si>
  <si>
    <t>AuthorExistenceFailure</t>
  </si>
  <si>
    <t>BadassTeacher</t>
  </si>
  <si>
    <t>BananaPeel</t>
  </si>
  <si>
    <t>BeingWatched</t>
  </si>
  <si>
    <t>BiggusDickus</t>
  </si>
  <si>
    <t>BinocularShot</t>
  </si>
  <si>
    <t>BlackCloak</t>
  </si>
  <si>
    <t>BluffTheImpostor</t>
  </si>
  <si>
    <t>BoardingSchoolOfHorrors</t>
  </si>
  <si>
    <t>BulletCatch</t>
  </si>
  <si>
    <t>Chickification</t>
  </si>
  <si>
    <t>CloserToEarth</t>
  </si>
  <si>
    <t>ComicallySmallBribe</t>
  </si>
  <si>
    <t>CosyCatastrophe</t>
  </si>
  <si>
    <t>CrazyHomelessPeople</t>
  </si>
  <si>
    <t>DaddysLittleVillain</t>
  </si>
  <si>
    <t>DastardlyWhiplash</t>
  </si>
  <si>
    <t>DeadlyHug</t>
  </si>
  <si>
    <t>DeathByLookingUp</t>
  </si>
  <si>
    <t>DeathByRacism</t>
  </si>
  <si>
    <t>DecapitatedArmy</t>
  </si>
  <si>
    <t>DirectorsCut</t>
  </si>
  <si>
    <t>DiscoDan</t>
  </si>
  <si>
    <t>DiscreetDrinkDisposal</t>
  </si>
  <si>
    <t>DoppelGanger</t>
  </si>
  <si>
    <t>DoWrongRight</t>
  </si>
  <si>
    <t>DramaticNecklaceRemoval</t>
  </si>
  <si>
    <t>DrinkingGame</t>
  </si>
  <si>
    <t>EatsBabies</t>
  </si>
  <si>
    <t>EmbarrassingMiddleName</t>
  </si>
  <si>
    <t>EnfanteTerrible</t>
  </si>
  <si>
    <t>EverybodyOwnsAFord</t>
  </si>
  <si>
    <t>EveryoneKnowsMorse</t>
  </si>
  <si>
    <t>EvilFeelsGood</t>
  </si>
  <si>
    <t>EvilHasABadSenseOfHumor</t>
  </si>
  <si>
    <t>EvilPhone</t>
  </si>
  <si>
    <t>ExternalCombustion</t>
  </si>
  <si>
    <t>EyelessFace</t>
  </si>
  <si>
    <t>FakeBand</t>
  </si>
  <si>
    <t>FakeBrit</t>
  </si>
  <si>
    <t>FallGuy</t>
  </si>
  <si>
    <t>FisherKing</t>
  </si>
  <si>
    <t>FlashbackNightmare</t>
  </si>
  <si>
    <t>FlippingTheTable</t>
  </si>
  <si>
    <t>FlyawayShot</t>
  </si>
  <si>
    <t>FreudWasRight</t>
  </si>
  <si>
    <t>FullNameBasis</t>
  </si>
  <si>
    <t>FunnyAfro</t>
  </si>
  <si>
    <t>GameOfChicken</t>
  </si>
  <si>
    <t>GiveGeeksAChance</t>
  </si>
  <si>
    <t>GodGuise</t>
  </si>
  <si>
    <t>GoingByTheMatchbook</t>
  </si>
  <si>
    <t>GoshDarnitToHeck</t>
  </si>
  <si>
    <t>GovernmentAgencyOfFiction</t>
  </si>
  <si>
    <t>GroupieBrigade</t>
  </si>
  <si>
    <t>GunNut</t>
  </si>
  <si>
    <t>HarassingPhoneCall</t>
  </si>
  <si>
    <t>HeirClubForMen</t>
  </si>
  <si>
    <t>Hellhound</t>
  </si>
  <si>
    <t>HelloAttorney</t>
  </si>
  <si>
    <t>HiddenWire</t>
  </si>
  <si>
    <t>HollywoodCalifornia</t>
  </si>
  <si>
    <t>HopelessWar</t>
  </si>
  <si>
    <t>HumbleHero</t>
  </si>
  <si>
    <t>IfIDoNotReturn</t>
  </si>
  <si>
    <t>InnocentBigot</t>
  </si>
  <si>
    <t>InsanityDefense</t>
  </si>
  <si>
    <t>IronButtMonkey</t>
  </si>
  <si>
    <t>JacobMarleyApparel</t>
  </si>
  <si>
    <t>JungleDrums</t>
  </si>
  <si>
    <t>KillItWithWater</t>
  </si>
  <si>
    <t>LenoDevice</t>
  </si>
  <si>
    <t>LittleMissSnarker</t>
  </si>
  <si>
    <t>LivingWeapon</t>
  </si>
  <si>
    <t>LogicalWeakness</t>
  </si>
  <si>
    <t>LoudOfWar</t>
  </si>
  <si>
    <t>MagicAIsMagicA</t>
  </si>
  <si>
    <t>MalcolmXerox</t>
  </si>
  <si>
    <t>MaliciousSlander</t>
  </si>
  <si>
    <t>ManEatingPlant</t>
  </si>
  <si>
    <t>McGuffin</t>
  </si>
  <si>
    <t>MentorArchetype</t>
  </si>
  <si>
    <t>MistakenForSpecialGuest</t>
  </si>
  <si>
    <t>MyNameIsInigoMontoya</t>
  </si>
  <si>
    <t>NailEm</t>
  </si>
  <si>
    <t>NakedPeopleTrappedOutside</t>
  </si>
  <si>
    <t>NeverASelfMadeWoman</t>
  </si>
  <si>
    <t>NoPronunciationGuide</t>
  </si>
  <si>
    <t>NosyNeighbor</t>
  </si>
  <si>
    <t>NothingIsTheSameAnymore</t>
  </si>
  <si>
    <t>ObliviousGuiltSlinging</t>
  </si>
  <si>
    <t>OminousWalk</t>
  </si>
  <si>
    <t>OverlyLongTongue</t>
  </si>
  <si>
    <t>OvertRendezvous</t>
  </si>
  <si>
    <t>PanUpToTheSkyEnding</t>
  </si>
  <si>
    <t>ParentalObliviousness</t>
  </si>
  <si>
    <t>PercussivePickpocket</t>
  </si>
  <si>
    <t>PlayingBothSides</t>
  </si>
  <si>
    <t>PsychoExGirlfriend</t>
  </si>
  <si>
    <t>PunchClockHero</t>
  </si>
  <si>
    <t>PungeonMaster</t>
  </si>
  <si>
    <t>RainOfArrows</t>
  </si>
  <si>
    <t>RecycledTrailerMusic</t>
  </si>
  <si>
    <t>ReluctantFanserviceGirl</t>
  </si>
  <si>
    <t>RobotWar</t>
  </si>
  <si>
    <t>RodentsOfUnusualSize</t>
  </si>
  <si>
    <t>RubberForeheadAliens</t>
  </si>
  <si>
    <t>SchoolyardBullyAllGrownUp</t>
  </si>
  <si>
    <t>ScrewTheWarWerePartying</t>
  </si>
  <si>
    <t>SexFaceTurn</t>
  </si>
  <si>
    <t>SexForSolace</t>
  </si>
  <si>
    <t>ShootTheRope</t>
  </si>
  <si>
    <t>SignificantAnagram</t>
  </si>
  <si>
    <t>SilentCredits</t>
  </si>
  <si>
    <t>SingleBiomePlanet</t>
  </si>
  <si>
    <t>SleepCute</t>
  </si>
  <si>
    <t>SmokingIsGlamorous</t>
  </si>
  <si>
    <t>SoLastSeason</t>
  </si>
  <si>
    <t>SpeakNowOrForeverHoldYourPeace</t>
  </si>
  <si>
    <t>SpiritualSequel</t>
  </si>
  <si>
    <t>StarringSpecialEffects</t>
  </si>
  <si>
    <t>StickyFingers</t>
  </si>
  <si>
    <t>StockSubtitle</t>
  </si>
  <si>
    <t>StonerFlick</t>
  </si>
  <si>
    <t>StopTrick</t>
  </si>
  <si>
    <t>StupidStatementDanceMix</t>
  </si>
  <si>
    <t>SupernaturalGoldEyes</t>
  </si>
  <si>
    <t>SurrealHumor</t>
  </si>
  <si>
    <t>SurvivorsGuilt</t>
  </si>
  <si>
    <t>TemporalParadox</t>
  </si>
  <si>
    <t>TestedOnHumans</t>
  </si>
  <si>
    <t>TheBadGuysAreCops</t>
  </si>
  <si>
    <t>TheBait</t>
  </si>
  <si>
    <t>TheFilmOfTheSeries</t>
  </si>
  <si>
    <t>TheForeignSubtitle</t>
  </si>
  <si>
    <t>TheHunterBecomesTheHunted</t>
  </si>
  <si>
    <t>TheMirrorShowsYourTrueSelf</t>
  </si>
  <si>
    <t>ThePenIsMightier</t>
  </si>
  <si>
    <t>TheProfessor</t>
  </si>
  <si>
    <t>TimeAbyss</t>
  </si>
  <si>
    <t>TitleCard</t>
  </si>
  <si>
    <t>TranquillizerDart</t>
  </si>
  <si>
    <t>TrespassingToTalk</t>
  </si>
  <si>
    <t>TropeMakers</t>
  </si>
  <si>
    <t>TroubledFetalPosition</t>
  </si>
  <si>
    <t>UltimateEvil</t>
  </si>
  <si>
    <t>UnexpectedInheritance</t>
  </si>
  <si>
    <t>Unobtainium</t>
  </si>
  <si>
    <t>UnproblematicProstitution</t>
  </si>
  <si>
    <t>UnwantedRescue</t>
  </si>
  <si>
    <t>USMarshal</t>
  </si>
  <si>
    <t>VaginaDentata</t>
  </si>
  <si>
    <t>VerbedTitle</t>
  </si>
  <si>
    <t>VillainsNeverLie</t>
  </si>
  <si>
    <t>VomitingCop</t>
  </si>
  <si>
    <t>WhatAPieceOfJunk</t>
  </si>
  <si>
    <t>WhatNowEnding</t>
  </si>
  <si>
    <t>WhereEverybodyKnowsYourFlame</t>
  </si>
  <si>
    <t>WindowLove</t>
  </si>
  <si>
    <t>WorkingWithTheEx</t>
  </si>
  <si>
    <t>YouAreFat</t>
  </si>
  <si>
    <t>YouCantThwartStageOne</t>
  </si>
  <si>
    <t>ZerothLawRebellion</t>
  </si>
  <si>
    <t>ABoyAndHisX</t>
  </si>
  <si>
    <t>AbsenteeActor</t>
  </si>
  <si>
    <t>AllGaysArePromiscuous</t>
  </si>
  <si>
    <t>AmazingFreakingGrace</t>
  </si>
  <si>
    <t>AmicablyDivorced</t>
  </si>
  <si>
    <t>AntiAir</t>
  </si>
  <si>
    <t>Area51</t>
  </si>
  <si>
    <t>ArtisticLicenseMusic</t>
  </si>
  <si>
    <t>ATasteOfTheirOwnMedicine</t>
  </si>
  <si>
    <t>AuthorFilibuster</t>
  </si>
  <si>
    <t>AutobiographicalRole</t>
  </si>
  <si>
    <t>BarbarianLongHair</t>
  </si>
  <si>
    <t>BehemothBattle</t>
  </si>
  <si>
    <t>BloodBath</t>
  </si>
  <si>
    <t>Bookworm</t>
  </si>
  <si>
    <t>BrainUploading</t>
  </si>
  <si>
    <t>BusmansHoliday</t>
  </si>
  <si>
    <t>ButHeSoundsHandsome</t>
  </si>
  <si>
    <t>ByNoIMeanYes</t>
  </si>
  <si>
    <t>CastFullOfGay</t>
  </si>
  <si>
    <t>CharacterizationMarchesOn</t>
  </si>
  <si>
    <t>ChasedByAngryNatives</t>
  </si>
  <si>
    <t>ChasteHero</t>
  </si>
  <si>
    <t>ChildhoodFriends</t>
  </si>
  <si>
    <t>CircusOfFear</t>
  </si>
  <si>
    <t>CluelessAesop</t>
  </si>
  <si>
    <t>CollidingCriminalConspiracies</t>
  </si>
  <si>
    <t>ComedicUnderwearExposure</t>
  </si>
  <si>
    <t>ComedyOfRemarriage</t>
  </si>
  <si>
    <t>CoolestClubEver</t>
  </si>
  <si>
    <t>CoolVsAwesome</t>
  </si>
  <si>
    <t>CreepyChangingPainting</t>
  </si>
  <si>
    <t>DangerousForbiddenTechnique</t>
  </si>
  <si>
    <t>DeadMansChest</t>
  </si>
  <si>
    <t>DeadMansTriggerFinger</t>
  </si>
  <si>
    <t>DeadSparks</t>
  </si>
  <si>
    <t>DeniedFoodAsPunishment</t>
  </si>
  <si>
    <t>DesignatedHero</t>
  </si>
  <si>
    <t>DesignStudentsOrgasm</t>
  </si>
  <si>
    <t>DidYouActuallyBelieve</t>
  </si>
  <si>
    <t>DisabledLoveInterest</t>
  </si>
  <si>
    <t>DivorceInReno</t>
  </si>
  <si>
    <t>DontCallMeSir</t>
  </si>
  <si>
    <t>DoomedProtagonist</t>
  </si>
  <si>
    <t>Doorstopper</t>
  </si>
  <si>
    <t>DrosteImage</t>
  </si>
  <si>
    <t>DumbJock</t>
  </si>
  <si>
    <t>Ephebophile</t>
  </si>
  <si>
    <t>EpilepticTrees</t>
  </si>
  <si>
    <t>EverybodyLaughsEnding</t>
  </si>
  <si>
    <t>EvilLawyerJoke</t>
  </si>
  <si>
    <t>ExcrementStatement</t>
  </si>
  <si>
    <t>ExplosiveOverclocking</t>
  </si>
  <si>
    <t>Exposition</t>
  </si>
  <si>
    <t>FairytaleWeddingDress</t>
  </si>
  <si>
    <t>FakeMemories</t>
  </si>
  <si>
    <t>FanBoy</t>
  </si>
  <si>
    <t>FatIdiot</t>
  </si>
  <si>
    <t>FingerlessGloves</t>
  </si>
  <si>
    <t>FollowInMyFootsteps</t>
  </si>
  <si>
    <t>FoundFootage</t>
  </si>
  <si>
    <t>FriendOrIdolDecision</t>
  </si>
  <si>
    <t>GaiasLament</t>
  </si>
  <si>
    <t>GameBreakingInjury</t>
  </si>
  <si>
    <t>GentlemanSnarker</t>
  </si>
  <si>
    <t>GetRichQuickScheme</t>
  </si>
  <si>
    <t>GirlsBehindBars</t>
  </si>
  <si>
    <t>GoingDownWithTheShip</t>
  </si>
  <si>
    <t>GolfClubbing</t>
  </si>
  <si>
    <t>GoodOlBoy</t>
  </si>
  <si>
    <t>GoofyPrintUnderwear</t>
  </si>
  <si>
    <t>GrayAndGrayMorality</t>
  </si>
  <si>
    <t>HarbingerOfImpendingDoom</t>
  </si>
  <si>
    <t>HassleFreeHotwire</t>
  </si>
  <si>
    <t>HighSchoolHustler</t>
  </si>
  <si>
    <t>HijackedByGanon</t>
  </si>
  <si>
    <t>HitMeDammit</t>
  </si>
  <si>
    <t>HonoraryUncle</t>
  </si>
  <si>
    <t>HookedUpAfterwards</t>
  </si>
  <si>
    <t>HowTheMightyHaveFallen</t>
  </si>
  <si>
    <t>HulkSpeak</t>
  </si>
  <si>
    <t>HumanTraffickers</t>
  </si>
  <si>
    <t>IfYouEverDoAnythingToHurtHer</t>
  </si>
  <si>
    <t>IJustWantMyBelovedToBeHappy</t>
  </si>
  <si>
    <t>IJustWantToBeLoved</t>
  </si>
  <si>
    <t>ImStandingRightHere</t>
  </si>
  <si>
    <t>InadvertentEntranceCue</t>
  </si>
  <si>
    <t>InitiationCeremony</t>
  </si>
  <si>
    <t>InvisibilityCloak</t>
  </si>
  <si>
    <t>InvisiblePresident</t>
  </si>
  <si>
    <t>ItsASmallWorldAfterAll</t>
  </si>
  <si>
    <t>LandDownUnder</t>
  </si>
  <si>
    <t>LicensedPinballTable</t>
  </si>
  <si>
    <t>LockingMacGyverInTheStoreCupboard</t>
  </si>
  <si>
    <t>MarsNeedsWomen</t>
  </si>
  <si>
    <t>MindControlDevice</t>
  </si>
  <si>
    <t>MistakenForMurderer</t>
  </si>
  <si>
    <t>MobstacleCourse</t>
  </si>
  <si>
    <t>MonsterIsAMommy</t>
  </si>
  <si>
    <t>MyHovercraftIsFullOfEels</t>
  </si>
  <si>
    <t>MyMasterRightOrWrong</t>
  </si>
  <si>
    <t>NoEscapeButDown</t>
  </si>
  <si>
    <t>NoRespectGuy</t>
  </si>
  <si>
    <t>NotAfraidToDie</t>
  </si>
  <si>
    <t>NothingCanStopUsNow</t>
  </si>
  <si>
    <t>NotHyperbole</t>
  </si>
  <si>
    <t>OfficerOHara</t>
  </si>
  <si>
    <t>OnOneCondition</t>
  </si>
  <si>
    <t>OrbitalKiss</t>
  </si>
  <si>
    <t>Parodied</t>
  </si>
  <si>
    <t>Parody</t>
  </si>
  <si>
    <t>PedophilePriest</t>
  </si>
  <si>
    <t>PerkyGoth</t>
  </si>
  <si>
    <t>PlaceWorseThanDeath</t>
  </si>
  <si>
    <t>PlotTwist</t>
  </si>
  <si>
    <t>PoisonedWeapons</t>
  </si>
  <si>
    <t>PostModernism</t>
  </si>
  <si>
    <t>PrepareToDie</t>
  </si>
  <si>
    <t>PunchCatch</t>
  </si>
  <si>
    <t>PuppetKing</t>
  </si>
  <si>
    <t>RecurringRiff</t>
  </si>
  <si>
    <t>RecursiveReality</t>
  </si>
  <si>
    <t>RedIsHeroic</t>
  </si>
  <si>
    <t>RevenantZombie</t>
  </si>
  <si>
    <t>ScatterbrainedSenior</t>
  </si>
  <si>
    <t>SecondPlaceIsForLosers</t>
  </si>
  <si>
    <t>SecretlyWealthy</t>
  </si>
  <si>
    <t>SecretPolice</t>
  </si>
  <si>
    <t>SignatureLine</t>
  </si>
  <si>
    <t>SingleMomStripper</t>
  </si>
  <si>
    <t>SkepticNoLonger</t>
  </si>
  <si>
    <t>SpidersAreScary</t>
  </si>
  <si>
    <t>StakingTheLovedOne</t>
  </si>
  <si>
    <t>StrawMisogynist</t>
  </si>
  <si>
    <t>SuccessionCrisis</t>
  </si>
  <si>
    <t>SuperCellReception</t>
  </si>
  <si>
    <t>SuperpoweredEvilSide</t>
  </si>
  <si>
    <t>TalkingDownTheSuicidal</t>
  </si>
  <si>
    <t>ThatRussianSquatDance</t>
  </si>
  <si>
    <t>TheBigRace</t>
  </si>
  <si>
    <t>TheDarkChick</t>
  </si>
  <si>
    <t>TheMusicalMusical</t>
  </si>
  <si>
    <t>ThePerfectCrime</t>
  </si>
  <si>
    <t>ThePrecariousLedge</t>
  </si>
  <si>
    <t>TheThemeParkVersion</t>
  </si>
  <si>
    <t>ThirdActStupidity</t>
  </si>
  <si>
    <t>ThisIsAWorkOfFiction</t>
  </si>
  <si>
    <t>ThisIsSomethingHesGotToDoHimself</t>
  </si>
  <si>
    <t>ThrowingOutTheScript</t>
  </si>
  <si>
    <t>TimeStandsStill</t>
  </si>
  <si>
    <t>TrappedWithMonsterPlot</t>
  </si>
  <si>
    <t>TreasureMap</t>
  </si>
  <si>
    <t>TurnOutLikeHisFather</t>
  </si>
  <si>
    <t>UnfortunateName</t>
  </si>
  <si>
    <t>VictoriousChildhoodFriend</t>
  </si>
  <si>
    <t>VoiceWithAnInternetConnection</t>
  </si>
  <si>
    <t>WhatDoYouMeanItsNotSymbolic</t>
  </si>
  <si>
    <t>WhereAreTheyNow</t>
  </si>
  <si>
    <t>WritersSuck</t>
  </si>
  <si>
    <t>WrittenByTheWinners</t>
  </si>
  <si>
    <t>YamatoNadeshiko</t>
  </si>
  <si>
    <t>YouFightLikeACow</t>
  </si>
  <si>
    <t>YouGotSpunk</t>
  </si>
  <si>
    <t>YoungGun</t>
  </si>
  <si>
    <t>ADayInTheLimelight</t>
  </si>
  <si>
    <t>AlienLunch</t>
  </si>
  <si>
    <t>AllAnimalsAreDogs</t>
  </si>
  <si>
    <t>AllInTheEyes</t>
  </si>
  <si>
    <t>AllTakeAndNoGive</t>
  </si>
  <si>
    <t>AmnesiacDissonance</t>
  </si>
  <si>
    <t>AmplifiedAnimalAptitude</t>
  </si>
  <si>
    <t>ArrowCam</t>
  </si>
  <si>
    <t>ArtEvolution</t>
  </si>
  <si>
    <t>BackForTheFinale</t>
  </si>
  <si>
    <t>BathroomBreakOut</t>
  </si>
  <si>
    <t>BeautyIsBad</t>
  </si>
  <si>
    <t>BedsheetGhost</t>
  </si>
  <si>
    <t>BigOMG</t>
  </si>
  <si>
    <t>BlackMarket</t>
  </si>
  <si>
    <t>BlindedByTheLight</t>
  </si>
  <si>
    <t>BlueIsHeroic</t>
  </si>
  <si>
    <t>BodyMotifs</t>
  </si>
  <si>
    <t>BreatherEpisode</t>
  </si>
  <si>
    <t>BriarPatching</t>
  </si>
  <si>
    <t>BulletsDoNotWorkThatWay</t>
  </si>
  <si>
    <t>ButLiquorIsQuicker</t>
  </si>
  <si>
    <t>CaneFu</t>
  </si>
  <si>
    <t>CannonFodder</t>
  </si>
  <si>
    <t>CelebrityResemblance</t>
  </si>
  <si>
    <t>CementShoes</t>
  </si>
  <si>
    <t>CheshireCatGrin</t>
  </si>
  <si>
    <t>CirclingVultures</t>
  </si>
  <si>
    <t>CityWithNoName</t>
  </si>
  <si>
    <t>ClosetShuffle</t>
  </si>
  <si>
    <t>ColonelKilgore</t>
  </si>
  <si>
    <t>CombatBreakdown</t>
  </si>
  <si>
    <t>ContemptibleCover</t>
  </si>
  <si>
    <t>CourtroomAntics</t>
  </si>
  <si>
    <t>Cyberspace</t>
  </si>
  <si>
    <t>DeadfootLeadfoot</t>
  </si>
  <si>
    <t>DeadlyDoctor</t>
  </si>
  <si>
    <t>DeadPartner</t>
  </si>
  <si>
    <t>DeceasedFallGuyGambit</t>
  </si>
  <si>
    <t>DeerInTheHeadlights</t>
  </si>
  <si>
    <t>DefectiveDetective</t>
  </si>
  <si>
    <t>Defictionalization</t>
  </si>
  <si>
    <t>DescriptionPorn</t>
  </si>
  <si>
    <t>DickDastardlyStopsToCheat</t>
  </si>
  <si>
    <t>DressHitsFloor</t>
  </si>
  <si>
    <t>DungeonBypass</t>
  </si>
  <si>
    <t>DyingTown</t>
  </si>
  <si>
    <t>EntertaininglyWrong</t>
  </si>
  <si>
    <t>EverybodyCallsHimBarkeep</t>
  </si>
  <si>
    <t>EverythingIsAnIpodInTheFuture</t>
  </si>
  <si>
    <t>EverythingIsRacist</t>
  </si>
  <si>
    <t>EverythingsBetterWithPenguins</t>
  </si>
  <si>
    <t>EyeOpen</t>
  </si>
  <si>
    <t>FakeActionPrologue</t>
  </si>
  <si>
    <t>FascinatingEyebrow</t>
  </si>
  <si>
    <t>FighterLaunchingSequence</t>
  </si>
  <si>
    <t>FightingIrish</t>
  </si>
  <si>
    <t>FightScene</t>
  </si>
  <si>
    <t>FlareGun</t>
  </si>
  <si>
    <t>FlayingAlive</t>
  </si>
  <si>
    <t>GangOfBullies</t>
  </si>
  <si>
    <t>GenderInvertedTrope</t>
  </si>
  <si>
    <t>Ghostapo</t>
  </si>
  <si>
    <t>GladiatorGames</t>
  </si>
  <si>
    <t>GoingColdTurkey</t>
  </si>
  <si>
    <t>GratuitousLaboratoryFlasks</t>
  </si>
  <si>
    <t>HauntedCastle</t>
  </si>
  <si>
    <t>HauntedHouseHistorian</t>
  </si>
  <si>
    <t>HealItWithFire</t>
  </si>
  <si>
    <t>HeliumSpeech</t>
  </si>
  <si>
    <t>HighClassGloves</t>
  </si>
  <si>
    <t>HornyDevils</t>
  </si>
  <si>
    <t>HumanityEnsues</t>
  </si>
  <si>
    <t>HumbleGoal</t>
  </si>
  <si>
    <t>HuskyRusskie</t>
  </si>
  <si>
    <t>IMeantToDoThat</t>
  </si>
  <si>
    <t>IncongruouslyDressedZombie</t>
  </si>
  <si>
    <t>ItsNotYouItsMyEnemies</t>
  </si>
  <si>
    <t>ItsProbablyNothing</t>
  </si>
  <si>
    <t>JustGotOutOfJail</t>
  </si>
  <si>
    <t>JustifiedCriminal</t>
  </si>
  <si>
    <t>KafkaKomedy</t>
  </si>
  <si>
    <t>KidSidekick</t>
  </si>
  <si>
    <t>KnifeThrowingAct</t>
  </si>
  <si>
    <t>KnightTemplarParent</t>
  </si>
  <si>
    <t>KungShui</t>
  </si>
  <si>
    <t>LecherousLicking</t>
  </si>
  <si>
    <t>LetOffByTheDetective</t>
  </si>
  <si>
    <t>LetThemDieHappy</t>
  </si>
  <si>
    <t>LetThePastBurn</t>
  </si>
  <si>
    <t>LoweredMonsterDifficulty</t>
  </si>
  <si>
    <t>LuxuryPrisonSuite</t>
  </si>
  <si>
    <t>ManBehindTheMan</t>
  </si>
  <si>
    <t>MissingWhiteWomanSyndrome</t>
  </si>
  <si>
    <t>MoleInCharge</t>
  </si>
  <si>
    <t>MonsterMash</t>
  </si>
  <si>
    <t>MorningSickness</t>
  </si>
  <si>
    <t>MultipleEndings</t>
  </si>
  <si>
    <t>MyDeathIsJustTheBeginning</t>
  </si>
  <si>
    <t>NakedFreakOut</t>
  </si>
  <si>
    <t>NameOfCain</t>
  </si>
  <si>
    <t>NapoleonDelusion</t>
  </si>
  <si>
    <t>NaziGold</t>
  </si>
  <si>
    <t>NearDeathExperience</t>
  </si>
  <si>
    <t>NeverGotToSayGoodbye</t>
  </si>
  <si>
    <t>NoHuggingNoKissing</t>
  </si>
  <si>
    <t>NotStayingForBreakfast</t>
  </si>
  <si>
    <t>NubileSavage</t>
  </si>
  <si>
    <t>OccultDetective</t>
  </si>
  <si>
    <t>OldMoney</t>
  </si>
  <si>
    <t>OneDegreeOfSeparation</t>
  </si>
  <si>
    <t>OneHitPolykill</t>
  </si>
  <si>
    <t>OnlyTheChosenMayWield</t>
  </si>
  <si>
    <t>OrcusOnHisThrone</t>
  </si>
  <si>
    <t>PaletteSwap</t>
  </si>
  <si>
    <t>PerpetualPoverty</t>
  </si>
  <si>
    <t>PersonOfMassDestruction</t>
  </si>
  <si>
    <t>PhotoMontage</t>
  </si>
  <si>
    <t>PillarOfLight</t>
  </si>
  <si>
    <t>PlotDrivenBreakdown</t>
  </si>
  <si>
    <t>POWCamp</t>
  </si>
  <si>
    <t>PredecessorVillain</t>
  </si>
  <si>
    <t>PrisonsAreGymnasiums</t>
  </si>
  <si>
    <t>PunyEarthlings</t>
  </si>
  <si>
    <t>PygmalionPlot</t>
  </si>
  <si>
    <t>RebelliousPrincess</t>
  </si>
  <si>
    <t>RidiculouslyHumanRobot</t>
  </si>
  <si>
    <t>RightfulKingReturns</t>
  </si>
  <si>
    <t>RightInFrontOfMe</t>
  </si>
  <si>
    <t>RightWingMilitiaFanatic</t>
  </si>
  <si>
    <t>RoguesGallery</t>
  </si>
  <si>
    <t>RummageSaleReject</t>
  </si>
  <si>
    <t>SayYourPrayers</t>
  </si>
  <si>
    <t>SchoolgirlLesbians</t>
  </si>
  <si>
    <t>Sexbot</t>
  </si>
  <si>
    <t>SexyWalk</t>
  </si>
  <si>
    <t>ShooTheDog</t>
  </si>
  <si>
    <t>ShoppingMontage</t>
  </si>
  <si>
    <t>SignsOfDisrepair</t>
  </si>
  <si>
    <t>SilverFox</t>
  </si>
  <si>
    <t>SimpleStaff</t>
  </si>
  <si>
    <t>SlaveToPR</t>
  </si>
  <si>
    <t>Slimeball</t>
  </si>
  <si>
    <t>StabTheScorpion</t>
  </si>
  <si>
    <t>StopOrIWillShoot</t>
  </si>
  <si>
    <t>StrictlyFormula</t>
  </si>
  <si>
    <t>Stripperific</t>
  </si>
  <si>
    <t>SuicidePact</t>
  </si>
  <si>
    <t>SWATTeam</t>
  </si>
  <si>
    <t>SweetAndSourGrapes</t>
  </si>
  <si>
    <t>TeleporterAccident</t>
  </si>
  <si>
    <t>TheCakeIsALie</t>
  </si>
  <si>
    <t>TheMourningAfter</t>
  </si>
  <si>
    <t>TheRadioDiesFirst</t>
  </si>
  <si>
    <t>TheThingThatWouldNotLeave</t>
  </si>
  <si>
    <t>TheUnSmile</t>
  </si>
  <si>
    <t>TheUnsolvedMystery</t>
  </si>
  <si>
    <t>TimePassageBeard</t>
  </si>
  <si>
    <t>TooImportantToWalk</t>
  </si>
  <si>
    <t>ToyotaTripwire</t>
  </si>
  <si>
    <t>TrappedBehindEnemyLines</t>
  </si>
  <si>
    <t>TreacherousAdvisor</t>
  </si>
  <si>
    <t>TrophyRoom</t>
  </si>
  <si>
    <t>TrunkShot</t>
  </si>
  <si>
    <t>TwinThreesomeFantasy</t>
  </si>
  <si>
    <t>TwoFirstNames</t>
  </si>
  <si>
    <t>TwoShotsFromBehindTheBar</t>
  </si>
  <si>
    <t>UnexplainedAccent</t>
  </si>
  <si>
    <t>UrbanWarfare</t>
  </si>
  <si>
    <t>UST</t>
  </si>
  <si>
    <t>VampireHunter</t>
  </si>
  <si>
    <t>WalkingSwimsuitScene</t>
  </si>
  <si>
    <t>WeirdMoon</t>
  </si>
  <si>
    <t>WorldBuilding</t>
  </si>
  <si>
    <t>AbsurdlyHighStakesGame</t>
  </si>
  <si>
    <t>AdaptationalEarlyAppearance</t>
  </si>
  <si>
    <t>AnimalMotif</t>
  </si>
  <si>
    <t>AnywhereButTheirLips</t>
  </si>
  <si>
    <t>APupilOfMineUntilHeTurnedToEvil</t>
  </si>
  <si>
    <t>ArtificialHuman</t>
  </si>
  <si>
    <t>ArtisticLicenseLinguistics</t>
  </si>
  <si>
    <t>AwesomeByAnalysis</t>
  </si>
  <si>
    <t>BadassIsraeli</t>
  </si>
  <si>
    <t>BadSamaritan</t>
  </si>
  <si>
    <t>BatOutOfHell</t>
  </si>
  <si>
    <t>BattleaxeNurse</t>
  </si>
  <si>
    <t>BeautifulDreamer</t>
  </si>
  <si>
    <t>BeAWhoreToGetYourMan</t>
  </si>
  <si>
    <t>BedlahBabe</t>
  </si>
  <si>
    <t>BlackGuyDiesFirst</t>
  </si>
  <si>
    <t>BlackmailBackfire</t>
  </si>
  <si>
    <t>BlobMonster</t>
  </si>
  <si>
    <t>BloodyHorror</t>
  </si>
  <si>
    <t>BodyguardCrush</t>
  </si>
  <si>
    <t>BornLucky</t>
  </si>
  <si>
    <t>BrainFood</t>
  </si>
  <si>
    <t>BrokenFaceplate</t>
  </si>
  <si>
    <t>Bulungi</t>
  </si>
  <si>
    <t>BurnBabyBurn</t>
  </si>
  <si>
    <t>CallToAdventure</t>
  </si>
  <si>
    <t>CasualtyInTheRing</t>
  </si>
  <si>
    <t>CaughtOnTape</t>
  </si>
  <si>
    <t>ChairReveal</t>
  </si>
  <si>
    <t>ChubbyChaser</t>
  </si>
  <si>
    <t>CleaningUpRomanticLooseEnds</t>
  </si>
  <si>
    <t>CommonalityConnection</t>
  </si>
  <si>
    <t>CounterfeitCash</t>
  </si>
  <si>
    <t>CourtroomAntic</t>
  </si>
  <si>
    <t>CovertGroupWithMundaneFront</t>
  </si>
  <si>
    <t>CriminalMindGames</t>
  </si>
  <si>
    <t>CrocodileTears</t>
  </si>
  <si>
    <t>CrooksAreBetterArmed</t>
  </si>
  <si>
    <t>CrypticBackgroundReference</t>
  </si>
  <si>
    <t>CuffsOffRubWrists</t>
  </si>
  <si>
    <t>CulturalPosturing</t>
  </si>
  <si>
    <t>DaddyHadAGoodReasonForAbandoningYou</t>
  </si>
  <si>
    <t>DarkChick</t>
  </si>
  <si>
    <t>DarkenedBuildingShootout</t>
  </si>
  <si>
    <t>DecemberDecemberRomance</t>
  </si>
  <si>
    <t>DesignatedLoveInterest</t>
  </si>
  <si>
    <t>DidNotThinkThisThrough</t>
  </si>
  <si>
    <t>DiedHappilyEverAfter</t>
  </si>
  <si>
    <t>DoesNotLikeGuns</t>
  </si>
  <si>
    <t>DoomedNewClothes</t>
  </si>
  <si>
    <t>DoppelgangerReplacementLoveInterest</t>
  </si>
  <si>
    <t>DrunkOnTheDarkSide</t>
  </si>
  <si>
    <t>DrunkWithPower</t>
  </si>
  <si>
    <t>DuetBonding</t>
  </si>
  <si>
    <t>EatTheEvidence</t>
  </si>
  <si>
    <t>EgomaniacHunter</t>
  </si>
  <si>
    <t>EscapedAnimalRampage</t>
  </si>
  <si>
    <t>EveryoneIsArmed</t>
  </si>
  <si>
    <t>EvilInc</t>
  </si>
  <si>
    <t>ExtremeGraphicalRepresentation</t>
  </si>
  <si>
    <t>FamilyVersusCareer</t>
  </si>
  <si>
    <t>FasterThanLightTravel</t>
  </si>
  <si>
    <t>Fiction500</t>
  </si>
  <si>
    <t>FinishHim</t>
  </si>
  <si>
    <t>FourPhilosophyEnsemble</t>
  </si>
  <si>
    <t>FriendVersusLover</t>
  </si>
  <si>
    <t>GenreMashup</t>
  </si>
  <si>
    <t>GlamorousWartimeSinger</t>
  </si>
  <si>
    <t>Gonk</t>
  </si>
  <si>
    <t>GratuitousJapanese</t>
  </si>
  <si>
    <t>GratuitousNinja</t>
  </si>
  <si>
    <t>GreenSkinnedSpaceBabe</t>
  </si>
  <si>
    <t>HardWorkHardlyWorks</t>
  </si>
  <si>
    <t>HeroicBuild</t>
  </si>
  <si>
    <t>HeroicRROD</t>
  </si>
  <si>
    <t>HiddenElfVillage</t>
  </si>
  <si>
    <t>ImpendingDoomPOV</t>
  </si>
  <si>
    <t>ImprovisedZipline</t>
  </si>
  <si>
    <t>InertialImpalement</t>
  </si>
  <si>
    <t>InLoveWithYourCarnage</t>
  </si>
  <si>
    <t>IntentionallyAwkwardTitle</t>
  </si>
  <si>
    <t>InternalAffairs</t>
  </si>
  <si>
    <t>InYourNatureToDestroyYourselves</t>
  </si>
  <si>
    <t>ItsNotPornItsArt</t>
  </si>
  <si>
    <t>IWantGrandkids</t>
  </si>
  <si>
    <t>JapanTakesOverTheWorld</t>
  </si>
  <si>
    <t>KarmicJackpot</t>
  </si>
  <si>
    <t>KissingUnderTheInfluence</t>
  </si>
  <si>
    <t>LaserHallway</t>
  </si>
  <si>
    <t>LawOfInverseRecoil</t>
  </si>
  <si>
    <t>LifeEnergy</t>
  </si>
  <si>
    <t>LipstickAndLoadMontage</t>
  </si>
  <si>
    <t>LiteraryAgentHypothesis</t>
  </si>
  <si>
    <t>LittleUselessGun</t>
  </si>
  <si>
    <t>LivingEmotionalCrutch</t>
  </si>
  <si>
    <t>LostInTheMaize</t>
  </si>
  <si>
    <t>MalevolentMaskedMan</t>
  </si>
  <si>
    <t>MeaningfulLook</t>
  </si>
  <si>
    <t>MemeticBadass</t>
  </si>
  <si>
    <t>MenDontCry</t>
  </si>
  <si>
    <t>MesACrowd</t>
  </si>
  <si>
    <t>MoreDeadlyThanTheMale</t>
  </si>
  <si>
    <t>MotiveDecay</t>
  </si>
  <si>
    <t>MyGirlIsASlut</t>
  </si>
  <si>
    <t>NakedFirstImpression</t>
  </si>
  <si>
    <t>NearRapeExperience</t>
  </si>
  <si>
    <t>Nerd</t>
  </si>
  <si>
    <t>NeverTheSelvesShallMeet</t>
  </si>
  <si>
    <t>NightmareFuelStationAttendant</t>
  </si>
  <si>
    <t>NoGuyWantsToBeChased</t>
  </si>
  <si>
    <t>NothingUpMySleeve</t>
  </si>
  <si>
    <t>OrphanageOfFear</t>
  </si>
  <si>
    <t>OutgrownSuchSillySuperstitions</t>
  </si>
  <si>
    <t>Outlaw</t>
  </si>
  <si>
    <t>PaidHarem</t>
  </si>
  <si>
    <t>PassiveAggressiveKombat</t>
  </si>
  <si>
    <t>ProfessorGuineaPig</t>
  </si>
  <si>
    <t>PsychoPartyMember</t>
  </si>
  <si>
    <t>PuppyDogEyes</t>
  </si>
  <si>
    <t>RapidFireComedy</t>
  </si>
  <si>
    <t>RichBoredom</t>
  </si>
  <si>
    <t>RougeAnglesOfSatin</t>
  </si>
  <si>
    <t>RunawayTrain</t>
  </si>
  <si>
    <t>ScaryShinyGlasses</t>
  </si>
  <si>
    <t>SecurityCling</t>
  </si>
  <si>
    <t>SexSells</t>
  </si>
  <si>
    <t>ShareTheMalePain</t>
  </si>
  <si>
    <t>ShesAllGrownUp</t>
  </si>
  <si>
    <t>ShouldersUpNudity</t>
  </si>
  <si>
    <t>SinkOrSwimMentor</t>
  </si>
  <si>
    <t>SituationalSexuality</t>
  </si>
  <si>
    <t>SomeAnvilsNeedToBeDropped</t>
  </si>
  <si>
    <t>SpaceIsAnOcean</t>
  </si>
  <si>
    <t>StraightEdgeEvil</t>
  </si>
  <si>
    <t>StrawmanHasAPoint</t>
  </si>
  <si>
    <t>StrippingSnag</t>
  </si>
  <si>
    <t>SurpriseVehicle</t>
  </si>
  <si>
    <t>SwarmOfRats</t>
  </si>
  <si>
    <t>SwitchToEnglish</t>
  </si>
  <si>
    <t>SwordAndSandal</t>
  </si>
  <si>
    <t>SycophanticServant</t>
  </si>
  <si>
    <t>TalkingToThemself</t>
  </si>
  <si>
    <t>TaughtByExperience</t>
  </si>
  <si>
    <t>TheAgeless</t>
  </si>
  <si>
    <t>TheBabyTrap</t>
  </si>
  <si>
    <t>TheBluebeard</t>
  </si>
  <si>
    <t>TheCityVsTheCountry</t>
  </si>
  <si>
    <t>TheDutifulSon</t>
  </si>
  <si>
    <t>TheExile</t>
  </si>
  <si>
    <t>TheFashionista</t>
  </si>
  <si>
    <t>TheHecateSisters</t>
  </si>
  <si>
    <t>TheNewTens</t>
  </si>
  <si>
    <t>ThePromise</t>
  </si>
  <si>
    <t>ThereCanBeOnlyOne</t>
  </si>
  <si>
    <t>TheSavageSouth</t>
  </si>
  <si>
    <t>TheUnpronounceable</t>
  </si>
  <si>
    <t>TheUsurper</t>
  </si>
  <si>
    <t>TheVillainSucksSong</t>
  </si>
  <si>
    <t>TheVonTropeFamily</t>
  </si>
  <si>
    <t>ThisMeansWar</t>
  </si>
  <si>
    <t>ThunderEqualsDownpour</t>
  </si>
  <si>
    <t>TinyGuyHugeGirl</t>
  </si>
  <si>
    <t>TouchOfTheMonster</t>
  </si>
  <si>
    <t>TropaholicsAnonymous</t>
  </si>
  <si>
    <t>TwoGirlsToATeam</t>
  </si>
  <si>
    <t>UncannyFamilyResemblance</t>
  </si>
  <si>
    <t>UnwinnableTrainingSimulation</t>
  </si>
  <si>
    <t>UpgradeVsPrototypeFight</t>
  </si>
  <si>
    <t>UrbanFantasy</t>
  </si>
  <si>
    <t>VengeanceFeelsEmpty</t>
  </si>
  <si>
    <t>ViolentlyProtectiveGirlfriend</t>
  </si>
  <si>
    <t>VisualTitleDrop</t>
  </si>
  <si>
    <t>VulgarHumor</t>
  </si>
  <si>
    <t>WackyFratboyHijinx</t>
  </si>
  <si>
    <t>WeddingSmashers</t>
  </si>
  <si>
    <t>WhiteMaleLead</t>
  </si>
  <si>
    <t>WhoWritesThisCrap</t>
  </si>
  <si>
    <t>WilhelmScream</t>
  </si>
  <si>
    <t>WithMyHandsTied</t>
  </si>
  <si>
    <t>WithUsOrAgainstUs</t>
  </si>
  <si>
    <t>WitnessProtection</t>
  </si>
  <si>
    <t>YouGetMeCoffee</t>
  </si>
  <si>
    <t>YouWillBeSpared</t>
  </si>
  <si>
    <t>AccidentalTruth</t>
  </si>
  <si>
    <t>ActionDuo</t>
  </si>
  <si>
    <t>ActionizedAdaptation</t>
  </si>
  <si>
    <t>ActivationSequence</t>
  </si>
  <si>
    <t>AdaptationalPersonalityChange</t>
  </si>
  <si>
    <t>AncientEgypt</t>
  </si>
  <si>
    <t>AntagonisticOffspring</t>
  </si>
  <si>
    <t>ApocalypseWow</t>
  </si>
  <si>
    <t>ArrowCatch</t>
  </si>
  <si>
    <t>AsideComment</t>
  </si>
  <si>
    <t>AtrociousAlias</t>
  </si>
  <si>
    <t>BackupTwin</t>
  </si>
  <si>
    <t>BadHumorTruck</t>
  </si>
  <si>
    <t>BallroomBlitz</t>
  </si>
  <si>
    <t>BatheHerAndBringHerToMe</t>
  </si>
  <si>
    <t>BathSuicide</t>
  </si>
  <si>
    <t>BatteringRam</t>
  </si>
  <si>
    <t>BeatThemAtTheirOwnGame</t>
  </si>
  <si>
    <t>BlackGalOnWhiteGuyDrama</t>
  </si>
  <si>
    <t>BlackTieInfiltration</t>
  </si>
  <si>
    <t>BlackVikings</t>
  </si>
  <si>
    <t>CannibalTribe</t>
  </si>
  <si>
    <t>CaptainOblivious</t>
  </si>
  <si>
    <t>ChainmailBikini</t>
  </si>
  <si>
    <t>ChokeHolds</t>
  </si>
  <si>
    <t>ClockKing</t>
  </si>
  <si>
    <t>ConLang</t>
  </si>
  <si>
    <t>CountingToThree</t>
  </si>
  <si>
    <t>CreepyBlueEyes</t>
  </si>
  <si>
    <t>CripplingOverspecialization</t>
  </si>
  <si>
    <t>CyberneticsEatYourSoul</t>
  </si>
  <si>
    <t>DadTheVeteran</t>
  </si>
  <si>
    <t>DartboardOfHate</t>
  </si>
  <si>
    <t>DeadlyRoadTrip</t>
  </si>
  <si>
    <t>DefrostingIceKing</t>
  </si>
  <si>
    <t>DelusionsOfEloquence</t>
  </si>
  <si>
    <t>DidYouJustHaveSex</t>
  </si>
  <si>
    <t>DiedStandingUp</t>
  </si>
  <si>
    <t>DisposableVagrant</t>
  </si>
  <si>
    <t>DontTryThisAtHome</t>
  </si>
  <si>
    <t>DownLADrain</t>
  </si>
  <si>
    <t>DrinkingOnDuty</t>
  </si>
  <si>
    <t>DrugsAreGood</t>
  </si>
  <si>
    <t>EmbarrassingTattoo</t>
  </si>
  <si>
    <t>EmergencyTransformation</t>
  </si>
  <si>
    <t>EmpoweredBadassNormal</t>
  </si>
  <si>
    <t>FallenStatesOfAmerica</t>
  </si>
  <si>
    <t>FamilyBusiness</t>
  </si>
  <si>
    <t>FanGirl</t>
  </si>
  <si>
    <t>FatBestFriend</t>
  </si>
  <si>
    <t>FauxFluency</t>
  </si>
  <si>
    <t>FemmeFataleSpy</t>
  </si>
  <si>
    <t>FictionalDocument</t>
  </si>
  <si>
    <t>FluffyCloudHeaven</t>
  </si>
  <si>
    <t>ForcedFriendlyFire</t>
  </si>
  <si>
    <t>ForgingScene</t>
  </si>
  <si>
    <t>Futureshadowing</t>
  </si>
  <si>
    <t>GagDub</t>
  </si>
  <si>
    <t>GeneticEngineeringIsTheNewNuke</t>
  </si>
  <si>
    <t>GeorgeJetsonJobSecurity</t>
  </si>
  <si>
    <t>GodOfEvil</t>
  </si>
  <si>
    <t>GoingForTheBigScoop</t>
  </si>
  <si>
    <t>GoodSamaritan</t>
  </si>
  <si>
    <t>GratuitousLatin</t>
  </si>
  <si>
    <t>HandshakeRefusal</t>
  </si>
  <si>
    <t>HardHead</t>
  </si>
  <si>
    <t>Heaven</t>
  </si>
  <si>
    <t>HelloAgainOfficer</t>
  </si>
  <si>
    <t>HistoricalBadassUpgrade</t>
  </si>
  <si>
    <t>HollywoodNatives</t>
  </si>
  <si>
    <t>HollywoodPudgy</t>
  </si>
  <si>
    <t>HulkingOut</t>
  </si>
  <si>
    <t>HyperspaceArsenal</t>
  </si>
  <si>
    <t>IHateYouVampireDad</t>
  </si>
  <si>
    <t>ImportedAlienPhlebotinum</t>
  </si>
  <si>
    <t>ImproperlyPlacedFirearms</t>
  </si>
  <si>
    <t>IncrediblyObviousTail</t>
  </si>
  <si>
    <t>InLoveWithTheGangstersGirl</t>
  </si>
  <si>
    <t>IslandBase</t>
  </si>
  <si>
    <t>ItsAllJunk</t>
  </si>
  <si>
    <t>JapaneseTourist</t>
  </si>
  <si>
    <t>JediMindTrick</t>
  </si>
  <si>
    <t>JizzedInMyPants</t>
  </si>
  <si>
    <t>LegitimateBusinessmensSocialClub</t>
  </si>
  <si>
    <t>Lobotomy</t>
  </si>
  <si>
    <t>LostInImitation</t>
  </si>
  <si>
    <t>LowSpeedChase</t>
  </si>
  <si>
    <t>MarriageBeforeRomance</t>
  </si>
  <si>
    <t>MassiveMultiplayerScam</t>
  </si>
  <si>
    <t>Matricide</t>
  </si>
  <si>
    <t>MercyLead</t>
  </si>
  <si>
    <t>MidBattleTeaBreak</t>
  </si>
  <si>
    <t>MidSeasonUpgrade</t>
  </si>
  <si>
    <t>MileHighClub</t>
  </si>
  <si>
    <t>MirrorMatch</t>
  </si>
  <si>
    <t>MissionBriefing</t>
  </si>
  <si>
    <t>MomentOfSilence</t>
  </si>
  <si>
    <t>MouthStitchedShut</t>
  </si>
  <si>
    <t>Muggles</t>
  </si>
  <si>
    <t>MySecretPregnancy</t>
  </si>
  <si>
    <t>NoHistoricalFiguresWereHarmed</t>
  </si>
  <si>
    <t>ObiWanMoment</t>
  </si>
  <si>
    <t>OfCorpseHesAlive</t>
  </si>
  <si>
    <t>OlderAndWiser</t>
  </si>
  <si>
    <t>OperaGloves</t>
  </si>
  <si>
    <t>OriginStory</t>
  </si>
  <si>
    <t>PercussiveTherapy</t>
  </si>
  <si>
    <t>PerfectPoison</t>
  </si>
  <si>
    <t>PhoneTraceRace</t>
  </si>
  <si>
    <t>PhonyVeteran</t>
  </si>
  <si>
    <t>PimpDuds</t>
  </si>
  <si>
    <t>PlayingCyrano</t>
  </si>
  <si>
    <t>PoisonousFriend</t>
  </si>
  <si>
    <t>PowerNullifier</t>
  </si>
  <si>
    <t>PregnantBadass</t>
  </si>
  <si>
    <t>ProudWarriorRace</t>
  </si>
  <si>
    <t>PunishmentBox</t>
  </si>
  <si>
    <t>RaisedCatholic</t>
  </si>
  <si>
    <t>RopeBridge</t>
  </si>
  <si>
    <t>RunOrDie</t>
  </si>
  <si>
    <t>ScaledUp</t>
  </si>
  <si>
    <t>SelfServingMemory</t>
  </si>
  <si>
    <t>SeriesFauxnale</t>
  </si>
  <si>
    <t>SexualExtortion</t>
  </si>
  <si>
    <t>ShipSinking</t>
  </si>
  <si>
    <t>ShootTheTelevision</t>
  </si>
  <si>
    <t>SideBet</t>
  </si>
  <si>
    <t>SinisterSubway</t>
  </si>
  <si>
    <t>SlidingScaleOfAdaptationModification</t>
  </si>
  <si>
    <t>SlipIntoSomethingMoreComfortable</t>
  </si>
  <si>
    <t>Slurpasaur</t>
  </si>
  <si>
    <t>SocialClimber</t>
  </si>
  <si>
    <t>SouthernGentleman</t>
  </si>
  <si>
    <t>SouthernGothic</t>
  </si>
  <si>
    <t>SpeakOfTheDevil</t>
  </si>
  <si>
    <t>SpoilerOpening</t>
  </si>
  <si>
    <t>StabTheSalad</t>
  </si>
  <si>
    <t>StagedShooting</t>
  </si>
  <si>
    <t>StrappedToABomb</t>
  </si>
  <si>
    <t>StrawCharacter</t>
  </si>
  <si>
    <t>SuddenMusicalEnding</t>
  </si>
  <si>
    <t>SuperHero</t>
  </si>
  <si>
    <t>SupremeChef</t>
  </si>
  <si>
    <t>SurferDude</t>
  </si>
  <si>
    <t>TalkativeLoon</t>
  </si>
  <si>
    <t>TeenageWasteland</t>
  </si>
  <si>
    <t>TenLittleMurderVictims</t>
  </si>
  <si>
    <t>TheBigEasy</t>
  </si>
  <si>
    <t>TheDyingWalk</t>
  </si>
  <si>
    <t>TheEeyore</t>
  </si>
  <si>
    <t>TheLawOfConservationOfDetail</t>
  </si>
  <si>
    <t>TheMan</t>
  </si>
  <si>
    <t>TheManTheyCouldntHang</t>
  </si>
  <si>
    <t>TheNounAndTheNoun</t>
  </si>
  <si>
    <t>TheOnlyOne</t>
  </si>
  <si>
    <t>ThePigPen</t>
  </si>
  <si>
    <t>TheSchlubPubSeductionDeduction</t>
  </si>
  <si>
    <t>TheScrooge</t>
  </si>
  <si>
    <t>TheSoCalledCoward</t>
  </si>
  <si>
    <t>TheSquadette</t>
  </si>
  <si>
    <t>ToAbsentFriends</t>
  </si>
  <si>
    <t>ToonPhysics</t>
  </si>
  <si>
    <t>TroublingUnchildlikeBehaviour</t>
  </si>
  <si>
    <t>TryAndFollow</t>
  </si>
  <si>
    <t>TwoActStructure</t>
  </si>
  <si>
    <t>UnfoldingPlanMontage</t>
  </si>
  <si>
    <t>UnnaturallyBlueLighting</t>
  </si>
  <si>
    <t>UnrequitedLove</t>
  </si>
  <si>
    <t>VideoNasties</t>
  </si>
  <si>
    <t>ViolenceIsDisturbing</t>
  </si>
  <si>
    <t>WakingUpAtTheMorgue</t>
  </si>
  <si>
    <t>WalkingArmory</t>
  </si>
  <si>
    <t>WatchOutForThatTree</t>
  </si>
  <si>
    <t>WeatherControlMachine</t>
  </si>
  <si>
    <t>WitchHunt</t>
  </si>
  <si>
    <t>WrenchWhack</t>
  </si>
  <si>
    <t>YourSizeMayVary</t>
  </si>
  <si>
    <t>ABirthdayNotABreak</t>
  </si>
  <si>
    <t>AbsurdlyIneffectiveBarricade</t>
  </si>
  <si>
    <t>AdaptationRelationshipOverhaul</t>
  </si>
  <si>
    <t>AdvertisingByAssociation</t>
  </si>
  <si>
    <t>AllMusicalsAreAdaptations</t>
  </si>
  <si>
    <t>AMacGuffinFullOfMoney</t>
  </si>
  <si>
    <t>AmericaWonWorldWarII</t>
  </si>
  <si>
    <t>AnImmigrantsTale</t>
  </si>
  <si>
    <t>AwesomePersonnelCarrier</t>
  </si>
  <si>
    <t>BadassPacifist</t>
  </si>
  <si>
    <t>BalconyEscape</t>
  </si>
  <si>
    <t>BeepingComputers</t>
  </si>
  <si>
    <t>BigGuyLittleGuy</t>
  </si>
  <si>
    <t>BilledAboveTheTitle</t>
  </si>
  <si>
    <t>BlackAndWhiteInsanity</t>
  </si>
  <si>
    <t>BlofeldPloy</t>
  </si>
  <si>
    <t>BoardToDeath</t>
  </si>
  <si>
    <t>BraidsBeadsAndBuckskins</t>
  </si>
  <si>
    <t>BreadAndCircuses</t>
  </si>
  <si>
    <t>CanonCharacterAllAlong</t>
  </si>
  <si>
    <t>CardSharp</t>
  </si>
  <si>
    <t>ClarkesThirdLaw</t>
  </si>
  <si>
    <t>ClassicallyTrainedExtra</t>
  </si>
  <si>
    <t>CollectorOfTheStrange</t>
  </si>
  <si>
    <t>CompellingVoice</t>
  </si>
  <si>
    <t>CompleteTheQuoteTitle</t>
  </si>
  <si>
    <t>CouldntFindALighter</t>
  </si>
  <si>
    <t>Cowboy</t>
  </si>
  <si>
    <t>DangerDeadpan</t>
  </si>
  <si>
    <t>DeadHatShot</t>
  </si>
  <si>
    <t>DeathOfAThousandCuts</t>
  </si>
  <si>
    <t>DemolitionsExpert</t>
  </si>
  <si>
    <t>DeusExNukina</t>
  </si>
  <si>
    <t>DiagonalCut</t>
  </si>
  <si>
    <t>DirtyCommies</t>
  </si>
  <si>
    <t>DirtyOldWoman</t>
  </si>
  <si>
    <t>Dissimile</t>
  </si>
  <si>
    <t>DivideAndConquer</t>
  </si>
  <si>
    <t>DontTouchItYouIdiot</t>
  </si>
  <si>
    <t>EatingLunchAlone</t>
  </si>
  <si>
    <t>EnvironmentalSymbolism</t>
  </si>
  <si>
    <t>EscapePod</t>
  </si>
  <si>
    <t>EveryoneLooksSexierIfFrench</t>
  </si>
  <si>
    <t>FacelessMooks</t>
  </si>
  <si>
    <t>FashionShow</t>
  </si>
  <si>
    <t>FightToSurvive</t>
  </si>
  <si>
    <t>FirstLove</t>
  </si>
  <si>
    <t>FlowerMotifs</t>
  </si>
  <si>
    <t>ForeignLanguageTirade</t>
  </si>
  <si>
    <t>FourthWallObserver</t>
  </si>
  <si>
    <t>FreakierThanFiction</t>
  </si>
  <si>
    <t>FrontlineGeneral</t>
  </si>
  <si>
    <t>GeekyTurnOn</t>
  </si>
  <si>
    <t>GenreRoulette</t>
  </si>
  <si>
    <t>GhostCity</t>
  </si>
  <si>
    <t>GirlfriendInCanada</t>
  </si>
  <si>
    <t>GodIsGood</t>
  </si>
  <si>
    <t>GoodThingYouCanHeal</t>
  </si>
  <si>
    <t>GossipEvolution</t>
  </si>
  <si>
    <t>GPSEvidence</t>
  </si>
  <si>
    <t>GrayAndGreyMorality</t>
  </si>
  <si>
    <t>GuysSmashGirlsShoot</t>
  </si>
  <si>
    <t>HalfBreedDiscrimination</t>
  </si>
  <si>
    <t>HappilyEverBefore</t>
  </si>
  <si>
    <t>HappyPlace</t>
  </si>
  <si>
    <t>HarpoonGun</t>
  </si>
  <si>
    <t>Hellgate</t>
  </si>
  <si>
    <t>HemoErotic</t>
  </si>
  <si>
    <t>HeroicBloodshed</t>
  </si>
  <si>
    <t>HistoricalBeautyUpgrade</t>
  </si>
  <si>
    <t>HufflepuffHouse</t>
  </si>
  <si>
    <t>HugeHolographicHead</t>
  </si>
  <si>
    <t>IdiotPlot</t>
  </si>
  <si>
    <t>IfItsYouItsOkay</t>
  </si>
  <si>
    <t>InadequateInheritor</t>
  </si>
  <si>
    <t>InJoke</t>
  </si>
  <si>
    <t>InstantCostumeChange</t>
  </si>
  <si>
    <t>IntimateOpenShirt</t>
  </si>
  <si>
    <t>Invisibility</t>
  </si>
  <si>
    <t>IrrationalHatred</t>
  </si>
  <si>
    <t>IsThisThingStillOn</t>
  </si>
  <si>
    <t>ItMayHelpYouOnYourQuest</t>
  </si>
  <si>
    <t>ItRunsInTheFamily</t>
  </si>
  <si>
    <t>IWillPunishYourFriendForYourFailure</t>
  </si>
  <si>
    <t>JawBreaker</t>
  </si>
  <si>
    <t>JunglesSoundLikeKookaburras</t>
  </si>
  <si>
    <t>Keet</t>
  </si>
  <si>
    <t>KillThePoor</t>
  </si>
  <si>
    <t>KingpinInHisGym</t>
  </si>
  <si>
    <t>LastBreathBullet</t>
  </si>
  <si>
    <t>LieBackAndThinkOfEngland</t>
  </si>
  <si>
    <t>LockDown</t>
  </si>
  <si>
    <t>LonelyFuneral</t>
  </si>
  <si>
    <t>LooksLikeCesare</t>
  </si>
  <si>
    <t>LooseLips</t>
  </si>
  <si>
    <t>LovingAShadow</t>
  </si>
  <si>
    <t>LowClearance</t>
  </si>
  <si>
    <t>MarilynManeuver</t>
  </si>
  <si>
    <t>MarryForLove</t>
  </si>
  <si>
    <t>MasterComputer</t>
  </si>
  <si>
    <t>MatingDance</t>
  </si>
  <si>
    <t>MirandaRights</t>
  </si>
  <si>
    <t>MirroredConfrontationShot</t>
  </si>
  <si>
    <t>MisterMuffykins</t>
  </si>
  <si>
    <t>MockGuffin</t>
  </si>
  <si>
    <t>MonochromeToColor</t>
  </si>
  <si>
    <t>Montages</t>
  </si>
  <si>
    <t>Nanomachines</t>
  </si>
  <si>
    <t>NoPlotNoProblem</t>
  </si>
  <si>
    <t>NotAfraidOfYouAnymore</t>
  </si>
  <si>
    <t>ObsessiveCompulsiveBarkeeping</t>
  </si>
  <si>
    <t>OddlySmallOrganization</t>
  </si>
  <si>
    <t>OneHourWorkWeek</t>
  </si>
  <si>
    <t>OnePhoneCall</t>
  </si>
  <si>
    <t>OpenMouthInsertFoot</t>
  </si>
  <si>
    <t>OpenSecret</t>
  </si>
  <si>
    <t>OrderVersusChaos</t>
  </si>
  <si>
    <t>OriginsEpisode</t>
  </si>
  <si>
    <t>OvertOperative</t>
  </si>
  <si>
    <t>PaperTiger</t>
  </si>
  <si>
    <t>ParachuteInATree</t>
  </si>
  <si>
    <t>ParentalIssues</t>
  </si>
  <si>
    <t>ParentalSexualitySquick</t>
  </si>
  <si>
    <t>ParentheticalSwearing</t>
  </si>
  <si>
    <t>PercussivePrevention</t>
  </si>
  <si>
    <t>PerpSweating</t>
  </si>
  <si>
    <t>PineappleSurprise</t>
  </si>
  <si>
    <t>PlotParallel</t>
  </si>
  <si>
    <t>PoliceProcedural</t>
  </si>
  <si>
    <t>PostKissCatatonia</t>
  </si>
  <si>
    <t>PraetorianGuard</t>
  </si>
  <si>
    <t>PrinceCharming</t>
  </si>
  <si>
    <t>RepetitiveName</t>
  </si>
  <si>
    <t>RescueSex</t>
  </si>
  <si>
    <t>RestrainingBolt</t>
  </si>
  <si>
    <t>RetiredGunfighter</t>
  </si>
  <si>
    <t>RevisitingTheRoots</t>
  </si>
  <si>
    <t>RoadApples</t>
  </si>
  <si>
    <t>RoleCalled</t>
  </si>
  <si>
    <t>RoyalWe</t>
  </si>
  <si>
    <t>SafeCracking</t>
  </si>
  <si>
    <t>SarcasticClapping</t>
  </si>
  <si>
    <t>SavedByCanon</t>
  </si>
  <si>
    <t>SealedRoomInTheMiddleOfNowhere</t>
  </si>
  <si>
    <t>SealedWithAKiss</t>
  </si>
  <si>
    <t>SecretTest</t>
  </si>
  <si>
    <t>SexComedy</t>
  </si>
  <si>
    <t>SexyCoatFlashing</t>
  </si>
  <si>
    <t>SmarterThanYouLook</t>
  </si>
  <si>
    <t>SmartPeopleWearGlasses</t>
  </si>
  <si>
    <t>SoapOperaDisease</t>
  </si>
  <si>
    <t>SpaceIsCold</t>
  </si>
  <si>
    <t>SpiderSense</t>
  </si>
  <si>
    <t>SpookyPainting</t>
  </si>
  <si>
    <t>StageNames</t>
  </si>
  <si>
    <t>StupidSacrifice</t>
  </si>
  <si>
    <t>SufficientlyAdvancedAlien</t>
  </si>
  <si>
    <t>SuperheroOrigin</t>
  </si>
  <si>
    <t>SwissArmyWeapon</t>
  </si>
  <si>
    <t>SymbolicBlood</t>
  </si>
  <si>
    <t>SyntheticPlague</t>
  </si>
  <si>
    <t>TailorMadePrison</t>
  </si>
  <si>
    <t>TheAloner</t>
  </si>
  <si>
    <t>TheCaretaker</t>
  </si>
  <si>
    <t>TheChiefsDaughter</t>
  </si>
  <si>
    <t>TheCloudcuckoolanderWasRight</t>
  </si>
  <si>
    <t>TheEvilGenius</t>
  </si>
  <si>
    <t>TheEvilPrince</t>
  </si>
  <si>
    <t>TheFamilyThatSlaysTogether</t>
  </si>
  <si>
    <t>TheFlapper</t>
  </si>
  <si>
    <t>TheGrotesque</t>
  </si>
  <si>
    <t>TheLastDJ</t>
  </si>
  <si>
    <t>TheLostWoods</t>
  </si>
  <si>
    <t>TheMasochismTango</t>
  </si>
  <si>
    <t>TheNoseKnows</t>
  </si>
  <si>
    <t>TheNthDoctor</t>
  </si>
  <si>
    <t>TheOutsideWorld</t>
  </si>
  <si>
    <t>ThePatriarch</t>
  </si>
  <si>
    <t>ThePromisedLand</t>
  </si>
  <si>
    <t>TheSwarm</t>
  </si>
  <si>
    <t>TheUnseen</t>
  </si>
  <si>
    <t>TheWallsAreClosingIn</t>
  </si>
  <si>
    <t>ThingsThatGoBumpInTheNight</t>
  </si>
  <si>
    <t>ThisMeansWarpaint</t>
  </si>
  <si>
    <t>TitleOfTheDead</t>
  </si>
  <si>
    <t>TooSoon</t>
  </si>
  <si>
    <t>TotalEclipseOfThePlot</t>
  </si>
  <si>
    <t>TrappedByGamblingDebts</t>
  </si>
  <si>
    <t>TrashTalk</t>
  </si>
  <si>
    <t>TraumaInducedAmnesia</t>
  </si>
  <si>
    <t>TrivialTitle</t>
  </si>
  <si>
    <t>TwoPartTrilogy</t>
  </si>
  <si>
    <t>Typecasting</t>
  </si>
  <si>
    <t>Ubermensch</t>
  </si>
  <si>
    <t>VampireBitesSuck</t>
  </si>
  <si>
    <t>VillainousValour</t>
  </si>
  <si>
    <t>VirtualGhost</t>
  </si>
  <si>
    <t>VowOfCelibacy</t>
  </si>
  <si>
    <t>WackyMarriageProposal</t>
  </si>
  <si>
    <t>WaistcoatOfStyle</t>
  </si>
  <si>
    <t>WatchingTroyBurn</t>
  </si>
  <si>
    <t>WeightWoe</t>
  </si>
  <si>
    <t>WhatHaveIDone</t>
  </si>
  <si>
    <t>WhatYearIsThis</t>
  </si>
  <si>
    <t>WhiteSheep</t>
  </si>
  <si>
    <t>WifeBasherBasher</t>
  </si>
  <si>
    <t>WindmillCrusader</t>
  </si>
  <si>
    <t>WolfWhistle</t>
  </si>
  <si>
    <t>WorkingOnTheChainGang</t>
  </si>
  <si>
    <t>WouldYouLikeToHearHowTheyDied</t>
  </si>
  <si>
    <t>Xenafication</t>
  </si>
  <si>
    <t>YoungerAndHipper</t>
  </si>
  <si>
    <t>AChildShallLeadThem</t>
  </si>
  <si>
    <t>AcmeProducts</t>
  </si>
  <si>
    <t>AcousticLicense</t>
  </si>
  <si>
    <t>AdaptationalJobChange</t>
  </si>
  <si>
    <t>AdrenalineTime</t>
  </si>
  <si>
    <t>AffectionateGestureToTheHead</t>
  </si>
  <si>
    <t>AGlassInTheHand</t>
  </si>
  <si>
    <t>AllStarCast</t>
  </si>
  <si>
    <t>AllYourPowersCombined</t>
  </si>
  <si>
    <t>AmazonianBeauty</t>
  </si>
  <si>
    <t>AmericanTitle</t>
  </si>
  <si>
    <t>AngstySurvivingTwin</t>
  </si>
  <si>
    <t>AnnoyingLaugh</t>
  </si>
  <si>
    <t>AntagonistInMourning</t>
  </si>
  <si>
    <t>ArmedBlag</t>
  </si>
  <si>
    <t>ArmedFarces</t>
  </si>
  <si>
    <t>AssKickingPose</t>
  </si>
  <si>
    <t>AstonishinglyAppropriateInterruption</t>
  </si>
  <si>
    <t>AudibleGleam</t>
  </si>
  <si>
    <t>BadassMoustache</t>
  </si>
  <si>
    <t>BarefootPoverty</t>
  </si>
  <si>
    <t>BarredFromTheAfterlife</t>
  </si>
  <si>
    <t>BatDeduction</t>
  </si>
  <si>
    <t>BeneathNotice</t>
  </si>
  <si>
    <t>BetterManhandleTheMurderWeapon</t>
  </si>
  <si>
    <t>BeyondTheImpossible</t>
  </si>
  <si>
    <t>BigBadassRig</t>
  </si>
  <si>
    <t>BlackHumor</t>
  </si>
  <si>
    <t>BlackKnight</t>
  </si>
  <si>
    <t>BoardingSchool</t>
  </si>
  <si>
    <t>BodyguardBetrayal</t>
  </si>
  <si>
    <t>BrainInAJar</t>
  </si>
  <si>
    <t>BrotherSisterTeam</t>
  </si>
  <si>
    <t>BuddyPicture</t>
  </si>
  <si>
    <t>CannibalLarder</t>
  </si>
  <si>
    <t>CanonWelding</t>
  </si>
  <si>
    <t>CatGirl</t>
  </si>
  <si>
    <t>CluckingFunny</t>
  </si>
  <si>
    <t>CollapsibleHelmet</t>
  </si>
  <si>
    <t>ComeWithMeIfYouWantToLive</t>
  </si>
  <si>
    <t>CommieLand</t>
  </si>
  <si>
    <t>ConditionedToAcceptHorror</t>
  </si>
  <si>
    <t>ContrivedClumsiness</t>
  </si>
  <si>
    <t>CoolPet</t>
  </si>
  <si>
    <t>CosmicRetcon</t>
  </si>
  <si>
    <t>CoveredInMud</t>
  </si>
  <si>
    <t>CoverInnocentEyesAndEars</t>
  </si>
  <si>
    <t>CreateYourOwnHero</t>
  </si>
  <si>
    <t>CrimeAfterCrime</t>
  </si>
  <si>
    <t>CrowbarCombatant</t>
  </si>
  <si>
    <t>CueTheRain</t>
  </si>
  <si>
    <t>DateRape</t>
  </si>
  <si>
    <t>DeadArtistsAreBetter</t>
  </si>
  <si>
    <t>DeadToBeginWith</t>
  </si>
  <si>
    <t>DefensiveFeintTrap</t>
  </si>
  <si>
    <t>Defied</t>
  </si>
  <si>
    <t>DemotedToDragon</t>
  </si>
  <si>
    <t>DesperateObjectCatch</t>
  </si>
  <si>
    <t>DevilButNoGod</t>
  </si>
  <si>
    <t>DontTellMama</t>
  </si>
  <si>
    <t>DoubleReverseQuadrupleAgent</t>
  </si>
  <si>
    <t>DramaticWind</t>
  </si>
  <si>
    <t>DudeLooksLikeALady</t>
  </si>
  <si>
    <t>DumbStruck</t>
  </si>
  <si>
    <t>DyeingForYourArt</t>
  </si>
  <si>
    <t>DyingClue</t>
  </si>
  <si>
    <t>EndOfAnEra</t>
  </si>
  <si>
    <t>EnemyEatsYourLunch</t>
  </si>
  <si>
    <t>EtherealChoir</t>
  </si>
  <si>
    <t>EveryHelicopterIsAHuey</t>
  </si>
  <si>
    <t>EverythingsDeaderWithZombies</t>
  </si>
  <si>
    <t>EvilPoacher</t>
  </si>
  <si>
    <t>FairyTaleMotifs</t>
  </si>
  <si>
    <t>FakePregnancy</t>
  </si>
  <si>
    <t>FakeStatic</t>
  </si>
  <si>
    <t>FallenAngel</t>
  </si>
  <si>
    <t>FallenPrincess</t>
  </si>
  <si>
    <t>FastestGunInTheWest</t>
  </si>
  <si>
    <t>FauxYay</t>
  </si>
  <si>
    <t>FeminineWomenCanCook</t>
  </si>
  <si>
    <t>FirstLawOfTragicomedies</t>
  </si>
  <si>
    <t>FootPopping</t>
  </si>
  <si>
    <t>FootsieUnderTheTable</t>
  </si>
  <si>
    <t>Forgiveness</t>
  </si>
  <si>
    <t>ForHalloweenIAmGoingAsMyself</t>
  </si>
  <si>
    <t>FreudianExcuseIsNoExcuse</t>
  </si>
  <si>
    <t>FunWithForeignLanguages</t>
  </si>
  <si>
    <t>FusionDance</t>
  </si>
  <si>
    <t>GlassShatteringSound</t>
  </si>
  <si>
    <t>GoIntoTheLight</t>
  </si>
  <si>
    <t>GoodAngelBadAngel</t>
  </si>
  <si>
    <t>GoodWithNumbers</t>
  </si>
  <si>
    <t>GravityScrew</t>
  </si>
  <si>
    <t>HairContrastDuo</t>
  </si>
  <si>
    <t>HandyCuffs</t>
  </si>
  <si>
    <t>HappyBirthdayToYou</t>
  </si>
  <si>
    <t>HardToLightFire</t>
  </si>
  <si>
    <t>HatDamage</t>
  </si>
  <si>
    <t>HeavySleeper</t>
  </si>
  <si>
    <t>HeCleansUpNicely</t>
  </si>
  <si>
    <t>HellYesMoment</t>
  </si>
  <si>
    <t>HiddenVillain</t>
  </si>
  <si>
    <t>HighDiveEscape</t>
  </si>
  <si>
    <t>Hipster</t>
  </si>
  <si>
    <t>HomePornMovie</t>
  </si>
  <si>
    <t>HornyVikings</t>
  </si>
  <si>
    <t>HorsebackHeroism</t>
  </si>
  <si>
    <t>HostileTerraforming</t>
  </si>
  <si>
    <t>HurricaneOfEuphemisms</t>
  </si>
  <si>
    <t>ICallHimMisterHappy</t>
  </si>
  <si>
    <t>IHatePastMe</t>
  </si>
  <si>
    <t>IncrediblyObviousBomb</t>
  </si>
  <si>
    <t>INeedToGoIronMyDog</t>
  </si>
  <si>
    <t>InnocentInaccurate</t>
  </si>
  <si>
    <t>IWasNeverHere</t>
  </si>
  <si>
    <t>IWillShowYouX</t>
  </si>
  <si>
    <t>KillTheOnesYouLove</t>
  </si>
  <si>
    <t>KnownOnlyByTheirNickname</t>
  </si>
  <si>
    <t>LampshadedTrope</t>
  </si>
  <si>
    <t>LazyBum</t>
  </si>
  <si>
    <t>LegionOfDoom</t>
  </si>
  <si>
    <t>LicensedGame</t>
  </si>
  <si>
    <t>LongHairedPrettyBoy</t>
  </si>
  <si>
    <t>LoveBeforeFirstSight</t>
  </si>
  <si>
    <t>LudicrousSpeed</t>
  </si>
  <si>
    <t>MajorlyAwesome</t>
  </si>
  <si>
    <t>MarriageOfConvenience</t>
  </si>
  <si>
    <t>MarshmallowHell</t>
  </si>
  <si>
    <t>MeadowRun</t>
  </si>
  <si>
    <t>MegatonPunch</t>
  </si>
  <si>
    <t>MightMakesRight</t>
  </si>
  <si>
    <t>MilitaryBrat</t>
  </si>
  <si>
    <t>MiseryBuildsCharacter</t>
  </si>
  <si>
    <t>MistakenForServant</t>
  </si>
  <si>
    <t>MistakenForTerrorist</t>
  </si>
  <si>
    <t>MobileShrubbery</t>
  </si>
  <si>
    <t>MoneyFetish</t>
  </si>
  <si>
    <t>MoodyTrailerCoverSong</t>
  </si>
  <si>
    <t>NebulousEvilOrganization</t>
  </si>
  <si>
    <t>NiceJewishBoy</t>
  </si>
  <si>
    <t>NoImmortalInertia</t>
  </si>
  <si>
    <t>NoRomanticResolution</t>
  </si>
  <si>
    <t>NoSuchThingAsBadPublicity</t>
  </si>
  <si>
    <t>NotWearingTights</t>
  </si>
  <si>
    <t>NoWomansLand</t>
  </si>
  <si>
    <t>NunsAreSpooky</t>
  </si>
  <si>
    <t>OfCorsetHurts</t>
  </si>
  <si>
    <t>OffModel</t>
  </si>
  <si>
    <t>OffscreenBreakup</t>
  </si>
  <si>
    <t>OffscreenInertia</t>
  </si>
  <si>
    <t>OldCopYoungCop</t>
  </si>
  <si>
    <t>OldSchoolDogfight</t>
  </si>
  <si>
    <t>OminousMultipleScreens</t>
  </si>
  <si>
    <t>OneCrazyNight</t>
  </si>
  <si>
    <t>OneHitKO</t>
  </si>
  <si>
    <t>OneLiner</t>
  </si>
  <si>
    <t>OntologicalMystery</t>
  </si>
  <si>
    <t>OurLawyersAdvisedThisTrope</t>
  </si>
  <si>
    <t>OurTimeTravelIsDifferent</t>
  </si>
  <si>
    <t>OutDamnedSpot</t>
  </si>
  <si>
    <t>OutOfGenreExperience</t>
  </si>
  <si>
    <t>ParkingGarage</t>
  </si>
  <si>
    <t>PatientZero</t>
  </si>
  <si>
    <t>PlanetOfHats</t>
  </si>
  <si>
    <t>PoliceState</t>
  </si>
  <si>
    <t>PoorMansPorn</t>
  </si>
  <si>
    <t>Posse</t>
  </si>
  <si>
    <t>PriceOnTheirHead</t>
  </si>
  <si>
    <t>ProfaneLastWords</t>
  </si>
  <si>
    <t>Qurac</t>
  </si>
  <si>
    <t>RapidFireNo</t>
  </si>
  <si>
    <t>ReadingsAreOffTheScale</t>
  </si>
  <si>
    <t>RealAwardFictionalCharacter</t>
  </si>
  <si>
    <t>RedheadInGreen</t>
  </si>
  <si>
    <t>RedShirts</t>
  </si>
  <si>
    <t>RelationshipSabotage</t>
  </si>
  <si>
    <t>RetCanon</t>
  </si>
  <si>
    <t>RetiredOutlaw</t>
  </si>
  <si>
    <t>RobbingTheMobBank</t>
  </si>
  <si>
    <t>RuleOfPerception</t>
  </si>
  <si>
    <t>RulesLawyer</t>
  </si>
  <si>
    <t>RussianReversal</t>
  </si>
  <si>
    <t>Samurai</t>
  </si>
  <si>
    <t>SeaMonster</t>
  </si>
  <si>
    <t>SelfParody</t>
  </si>
  <si>
    <t>SensualSlavs</t>
  </si>
  <si>
    <t>ShootTheFuelTank</t>
  </si>
  <si>
    <t>SickbedSlaying</t>
  </si>
  <si>
    <t>SmallGirlBigGun</t>
  </si>
  <si>
    <t>SmugSmiler</t>
  </si>
  <si>
    <t>SnowedIn</t>
  </si>
  <si>
    <t>SoWhatDoWeDoNow</t>
  </si>
  <si>
    <t>SpearCounterpart</t>
  </si>
  <si>
    <t>SpoofAesop</t>
  </si>
  <si>
    <t>StartsWithTheirFuneral</t>
  </si>
  <si>
    <t>StoodUp</t>
  </si>
  <si>
    <t>StopBeingStereotypical</t>
  </si>
  <si>
    <t>StoppedNumberingSequels</t>
  </si>
  <si>
    <t>StrawHypocrite</t>
  </si>
  <si>
    <t>SuckOutThePoison</t>
  </si>
  <si>
    <t>SuddenlySexuality</t>
  </si>
  <si>
    <t>SuperPrototype</t>
  </si>
  <si>
    <t>SuperReflexes</t>
  </si>
  <si>
    <t>Swashbuckler</t>
  </si>
  <si>
    <t>TakeThatCritics</t>
  </si>
  <si>
    <t>TalkingTheMonsterToDeath</t>
  </si>
  <si>
    <t>TallDarkAndSnarky</t>
  </si>
  <si>
    <t>Technopath</t>
  </si>
  <si>
    <t>TeethFlying</t>
  </si>
  <si>
    <t>TeleportSpam</t>
  </si>
  <si>
    <t>TerrifyingPetStoreRat</t>
  </si>
  <si>
    <t>ThanksForTheMammary</t>
  </si>
  <si>
    <t>TheDeadHaveNames</t>
  </si>
  <si>
    <t>TheExtremistWasRight</t>
  </si>
  <si>
    <t>TheFederation</t>
  </si>
  <si>
    <t>TheGreys</t>
  </si>
  <si>
    <t>TheNamesake</t>
  </si>
  <si>
    <t>TheOneWhoMadeItOut</t>
  </si>
  <si>
    <t>ThePerfectionist</t>
  </si>
  <si>
    <t>TheRevolutionWillNotBeVilified</t>
  </si>
  <si>
    <t>TheSecretOfLongPorkPies</t>
  </si>
  <si>
    <t>TheTropeKid</t>
  </si>
  <si>
    <t>TheWarRoom</t>
  </si>
  <si>
    <t>ThrillerOnTheExpress</t>
  </si>
  <si>
    <t>TimeForPlanB</t>
  </si>
  <si>
    <t>TorosYFlamenco</t>
  </si>
  <si>
    <t>TurbineBlender</t>
  </si>
  <si>
    <t>TwerpSweating</t>
  </si>
  <si>
    <t>Twincest</t>
  </si>
  <si>
    <t>TwistedChristmas</t>
  </si>
  <si>
    <t>Uberwald</t>
  </si>
  <si>
    <t>UnorthodoxReload</t>
  </si>
  <si>
    <t>VainSorceress</t>
  </si>
  <si>
    <t>VillainousGlutton</t>
  </si>
  <si>
    <t>WarriorPrince</t>
  </si>
  <si>
    <t>WasntThatFun</t>
  </si>
  <si>
    <t>WaterWakeup</t>
  </si>
  <si>
    <t>WeAllLiveInAmerica</t>
  </si>
  <si>
    <t>WhatHaveIBecome</t>
  </si>
  <si>
    <t>WhipPan</t>
  </si>
  <si>
    <t>WildCard</t>
  </si>
  <si>
    <t>YouCalledMeXItMustBeSerious</t>
  </si>
  <si>
    <t>YouOweMe</t>
  </si>
  <si>
    <t>AdamAndEvePlot</t>
  </si>
  <si>
    <t>AdaptationalDyeJob</t>
  </si>
  <si>
    <t>AdaptationAmalgamation</t>
  </si>
  <si>
    <t>AdiposeRex</t>
  </si>
  <si>
    <t>AdorablyPrecociousChild</t>
  </si>
  <si>
    <t>AdvancingWallOfDoom</t>
  </si>
  <si>
    <t>Aesop</t>
  </si>
  <si>
    <t>AffectionatePickpocket</t>
  </si>
  <si>
    <t>AliceAllusion</t>
  </si>
  <si>
    <t>Allegory</t>
  </si>
  <si>
    <t>AllOfThem</t>
  </si>
  <si>
    <t>AlwaysSecondBest</t>
  </si>
  <si>
    <t>AndThatLittleGirlWasMe</t>
  </si>
  <si>
    <t>AnimalNemesis</t>
  </si>
  <si>
    <t>AnimalWrongsGroup</t>
  </si>
  <si>
    <t>AnotherDimension</t>
  </si>
  <si>
    <t>AnswersToTheNameOfGod</t>
  </si>
  <si>
    <t>ArgentinaIsNaziland</t>
  </si>
  <si>
    <t>ArmedLegs</t>
  </si>
  <si>
    <t>ArtisticLicenseAnimalCare</t>
  </si>
  <si>
    <t>AsianHookerStereotype</t>
  </si>
  <si>
    <t>AspectRatioSwitch</t>
  </si>
  <si>
    <t>AttendingYourOwnFuneral</t>
  </si>
  <si>
    <t>Auction</t>
  </si>
  <si>
    <t>BagOfHolding</t>
  </si>
  <si>
    <t>BawdySong</t>
  </si>
  <si>
    <t>BeamSpam</t>
  </si>
  <si>
    <t>BeastlyBloodsports</t>
  </si>
  <si>
    <t>BetaOutfit</t>
  </si>
  <si>
    <t>BewareTheSuperman</t>
  </si>
  <si>
    <t>BigOlEyeBrows</t>
  </si>
  <si>
    <t>BillionsOfButtons</t>
  </si>
  <si>
    <t>BlackBraAndPanties</t>
  </si>
  <si>
    <t>BladeLock</t>
  </si>
  <si>
    <t>BloodSplatteredWeddingDress</t>
  </si>
  <si>
    <t>BondGunBarrel</t>
  </si>
  <si>
    <t>BornUnlucky</t>
  </si>
  <si>
    <t>BoyMeetsGhoul</t>
  </si>
  <si>
    <t>BroodingBoyGentleGirl</t>
  </si>
  <si>
    <t>CallingParentsByTheirName</t>
  </si>
  <si>
    <t>CameraSpoofing</t>
  </si>
  <si>
    <t>CannotTellAJoke</t>
  </si>
  <si>
    <t>CantHaveSexEver</t>
  </si>
  <si>
    <t>CaperRationalization</t>
  </si>
  <si>
    <t>CarSkiing</t>
  </si>
  <si>
    <t>CastAsAMask</t>
  </si>
  <si>
    <t>CaughtInASnare</t>
  </si>
  <si>
    <t>CelestialBureaucracy</t>
  </si>
  <si>
    <t>ChekhovsGift</t>
  </si>
  <si>
    <t>ChristmasEpisode</t>
  </si>
  <si>
    <t>ChronicVillainy</t>
  </si>
  <si>
    <t>Claustrophobia</t>
  </si>
  <si>
    <t>ClicheStorm</t>
  </si>
  <si>
    <t>CluelessDeputy</t>
  </si>
  <si>
    <t>CombatMedic</t>
  </si>
  <si>
    <t>ComfortingTheWidow</t>
  </si>
  <si>
    <t>ComicBookTime</t>
  </si>
  <si>
    <t>CommitmentIssues</t>
  </si>
  <si>
    <t>ConspicuousTrenchcoat</t>
  </si>
  <si>
    <t>ContentWarnings</t>
  </si>
  <si>
    <t>CreepyCemetery</t>
  </si>
  <si>
    <t>Crossdresser</t>
  </si>
  <si>
    <t>CrossingTheDesert</t>
  </si>
  <si>
    <t>CulturedWarrior</t>
  </si>
  <si>
    <t>CurseEscapeClause</t>
  </si>
  <si>
    <t>DaddyIssues</t>
  </si>
  <si>
    <t>DancingIsSeriousBusiness</t>
  </si>
  <si>
    <t>DarkMistress</t>
  </si>
  <si>
    <t>DeadlyDisc</t>
  </si>
  <si>
    <t>DeadlyDustStorm</t>
  </si>
  <si>
    <t>DepravedDentist</t>
  </si>
  <si>
    <t>DeskJockey</t>
  </si>
  <si>
    <t>DetectiveMole</t>
  </si>
  <si>
    <t>DigitalHeadSwap</t>
  </si>
  <si>
    <t>DisguisedHostageGambit</t>
  </si>
  <si>
    <t>DramaQueen</t>
  </si>
  <si>
    <t>DramaticPause</t>
  </si>
  <si>
    <t>DreamBallet</t>
  </si>
  <si>
    <t>DroolHello</t>
  </si>
  <si>
    <t>EatTheDog</t>
  </si>
  <si>
    <t>EmptyPilesOfClothing</t>
  </si>
  <si>
    <t>EpicRace</t>
  </si>
  <si>
    <t>EroticFilm</t>
  </si>
  <si>
    <t>EverybodyKnewAlready</t>
  </si>
  <si>
    <t>EveryScarHasAStory</t>
  </si>
  <si>
    <t>EverythingsSparklyWithJewelry</t>
  </si>
  <si>
    <t>EvilDebtCollector</t>
  </si>
  <si>
    <t>EvilParentsWantGoodKids</t>
  </si>
  <si>
    <t>ExpositoryThemeTune</t>
  </si>
  <si>
    <t>FacialMarkings</t>
  </si>
  <si>
    <t>FamilyUnfriendlyAesop</t>
  </si>
  <si>
    <t>FBIAgent</t>
  </si>
  <si>
    <t>FeatheredFiend</t>
  </si>
  <si>
    <t>FieldPromotion</t>
  </si>
  <si>
    <t>FightingFromTheInside</t>
  </si>
  <si>
    <t>FiringOneHanded</t>
  </si>
  <si>
    <t>FiveRoundsRapid</t>
  </si>
  <si>
    <t>FlamingSword</t>
  </si>
  <si>
    <t>FlyAtTheCameraEnding</t>
  </si>
  <si>
    <t>FoeRomanceSubtext</t>
  </si>
  <si>
    <t>FunTShirt</t>
  </si>
  <si>
    <t>GardeningVarietyWeapon</t>
  </si>
  <si>
    <t>GeniusCripple</t>
  </si>
  <si>
    <t>GlassSmackAndSlide</t>
  </si>
  <si>
    <t>GracefulLadiesLikePurple</t>
  </si>
  <si>
    <t>GrapplingHookPistol</t>
  </si>
  <si>
    <t>HaHaHaNo</t>
  </si>
  <si>
    <t>HairpinLockpick</t>
  </si>
  <si>
    <t>HandsOffParenting</t>
  </si>
  <si>
    <t>HarmlessElectrocution</t>
  </si>
  <si>
    <t>HazardousWater</t>
  </si>
  <si>
    <t>HealItWithBooze</t>
  </si>
  <si>
    <t>HelpingHands</t>
  </si>
  <si>
    <t>HeroicSelfDeprecation</t>
  </si>
  <si>
    <t>HiredToHuntYourself</t>
  </si>
  <si>
    <t>HollywoodNuns</t>
  </si>
  <si>
    <t>HollywoodTourettes</t>
  </si>
  <si>
    <t>HolographicTerminal</t>
  </si>
  <si>
    <t>HomemadeInventions</t>
  </si>
  <si>
    <t>HonorAmongThieves</t>
  </si>
  <si>
    <t>HorseOfADifferentColor</t>
  </si>
  <si>
    <t>HowDareYouDieOnMe</t>
  </si>
  <si>
    <t>HowManyFingers</t>
  </si>
  <si>
    <t>HumanAlien</t>
  </si>
  <si>
    <t>Hunk</t>
  </si>
  <si>
    <t>HuntingAccident</t>
  </si>
  <si>
    <t>IAlwaysWantedToSayThat</t>
  </si>
  <si>
    <t>IdenticalLookingAsians</t>
  </si>
  <si>
    <t>IdiotSavant</t>
  </si>
  <si>
    <t>IgnoredEnamoredUnderling</t>
  </si>
  <si>
    <t>ImNotAfraidOfYou</t>
  </si>
  <si>
    <t>InferioritySuperiorityComplex</t>
  </si>
  <si>
    <t>InsertCameo</t>
  </si>
  <si>
    <t>InsultOfEndearment</t>
  </si>
  <si>
    <t>Interquel</t>
  </si>
  <si>
    <t>InUniverseCamera</t>
  </si>
  <si>
    <t>ISOStandardUrbanGroceries</t>
  </si>
  <si>
    <t>ItsTheJourneyThatCounts</t>
  </si>
  <si>
    <t>ItsTheOnlyWayToBeSure</t>
  </si>
  <si>
    <t>KillingInSelfDefense</t>
  </si>
  <si>
    <t>KnightTemplarBigBrother</t>
  </si>
  <si>
    <t>LaserBlade</t>
  </si>
  <si>
    <t>LockedIntoStrangeness</t>
  </si>
  <si>
    <t>LostInACrowd</t>
  </si>
  <si>
    <t>LouisCypher</t>
  </si>
  <si>
    <t>LysistrataGambit</t>
  </si>
  <si>
    <t>MacGuffinTitle</t>
  </si>
  <si>
    <t>MagicalLand</t>
  </si>
  <si>
    <t>MaskOfSanity</t>
  </si>
  <si>
    <t>MineralMacGuffin</t>
  </si>
  <si>
    <t>MissingReflection</t>
  </si>
  <si>
    <t>MoneyIsNotPower</t>
  </si>
  <si>
    <t>MoodLighting</t>
  </si>
  <si>
    <t>MosesInTheBulrushes</t>
  </si>
  <si>
    <t>MuseAbuse</t>
  </si>
  <si>
    <t>MutilationInterrogation</t>
  </si>
  <si>
    <t>MyBrainIsBig</t>
  </si>
  <si>
    <t>MyGreatestSecondChance</t>
  </si>
  <si>
    <t>NaziHunter</t>
  </si>
  <si>
    <t>NeverGiveTheCaptainAStraightAnswer</t>
  </si>
  <si>
    <t>NewTransferStudent</t>
  </si>
  <si>
    <t>NinetyPercentOfYourBrain</t>
  </si>
  <si>
    <t>NonSequiturThud</t>
  </si>
  <si>
    <t>NotAllowedToGrowUp</t>
  </si>
  <si>
    <t>NotEvilJustMisunderstood</t>
  </si>
  <si>
    <t>NoTrueScotsman</t>
  </si>
  <si>
    <t>OrganTheft</t>
  </si>
  <si>
    <t>ParrotExposition</t>
  </si>
  <si>
    <t>PeepingTom</t>
  </si>
  <si>
    <t>PersonalArcade</t>
  </si>
  <si>
    <t>PhonyPsychic</t>
  </si>
  <si>
    <t>PlanetLooters</t>
  </si>
  <si>
    <t>PleaseIWillDoAnything</t>
  </si>
  <si>
    <t>PoesLaw</t>
  </si>
  <si>
    <t>PopulationControl</t>
  </si>
  <si>
    <t>PreemptiveDeclaration</t>
  </si>
  <si>
    <t>PricelessMingVase</t>
  </si>
  <si>
    <t>PrinciplesZealot</t>
  </si>
  <si>
    <t>PurpleIsPowerful</t>
  </si>
  <si>
    <t>QueerRomance</t>
  </si>
  <si>
    <t>QuirkyTown</t>
  </si>
  <si>
    <t>RankUp</t>
  </si>
  <si>
    <t>RaptorAttack</t>
  </si>
  <si>
    <t>RayGunGothic</t>
  </si>
  <si>
    <t>RazorFloss</t>
  </si>
  <si>
    <t>RealSongThemeTune</t>
  </si>
  <si>
    <t>RedemptionInTheRain</t>
  </si>
  <si>
    <t>ReducedToRatburgers</t>
  </si>
  <si>
    <t>RelationshipSalvagingDisaster</t>
  </si>
  <si>
    <t>ReluctantMadScientist</t>
  </si>
  <si>
    <t>RingOfPower</t>
  </si>
  <si>
    <t>RiverOfInsanity</t>
  </si>
  <si>
    <t>RuleOfSexy</t>
  </si>
  <si>
    <t>RussianGuySuffersMost</t>
  </si>
  <si>
    <t>SadTimesMontage</t>
  </si>
  <si>
    <t>ScrewYourself</t>
  </si>
  <si>
    <t>SearchingTheStalls</t>
  </si>
  <si>
    <t>SecretCircleOfSecrets</t>
  </si>
  <si>
    <t>SensoryOverload</t>
  </si>
  <si>
    <t>ShrineToTheFallen</t>
  </si>
  <si>
    <t>SignatureItemClue</t>
  </si>
  <si>
    <t>SignatureScene</t>
  </si>
  <si>
    <t>SignificantBirthDate</t>
  </si>
  <si>
    <t>SparedByAdaptation</t>
  </si>
  <si>
    <t>StairwellChase</t>
  </si>
  <si>
    <t>StepfordSnarker</t>
  </si>
  <si>
    <t>StrikeMeDownWithAllOfYourHatred</t>
  </si>
  <si>
    <t>StripPoker</t>
  </si>
  <si>
    <t>StrollingThroughTheChaos</t>
  </si>
  <si>
    <t>StukaScream</t>
  </si>
  <si>
    <t>SufficientlyAdvancedAliens</t>
  </si>
  <si>
    <t>SwingLowSweetHarriet</t>
  </si>
  <si>
    <t>SwissBankAccount</t>
  </si>
  <si>
    <t>TeachersPet</t>
  </si>
  <si>
    <t>ThatsAnOrder</t>
  </si>
  <si>
    <t>TheBartender</t>
  </si>
  <si>
    <t>TheComplainerIsAlwaysWrong</t>
  </si>
  <si>
    <t>TheHighQueen</t>
  </si>
  <si>
    <t>TheMiddleAges</t>
  </si>
  <si>
    <t>TheScrounger</t>
  </si>
  <si>
    <t>TheseAreThingsManWasNotMeantToKnow</t>
  </si>
  <si>
    <t>TheThreeFacesOfEve</t>
  </si>
  <si>
    <t>TheUnmasquedWorld</t>
  </si>
  <si>
    <t>TheVillainKnowsWhereYouLive</t>
  </si>
  <si>
    <t>ThisIsThePartWhere</t>
  </si>
  <si>
    <t>ThisIsWhatTheBuildingWillLookLike</t>
  </si>
  <si>
    <t>ThrownFromTheZeppelin</t>
  </si>
  <si>
    <t>TimeMachine</t>
  </si>
  <si>
    <t>TimTaylorTechnology</t>
  </si>
  <si>
    <t>TomatoSurprise</t>
  </si>
  <si>
    <t>TomboyWithAGirlyStreak</t>
  </si>
  <si>
    <t>TouchOfDeath</t>
  </si>
  <si>
    <t>TransformationTrinket</t>
  </si>
  <si>
    <t>TruceZone</t>
  </si>
  <si>
    <t>TwoDSpace</t>
  </si>
  <si>
    <t>UnnamedParent</t>
  </si>
  <si>
    <t>UnratedEdition</t>
  </si>
  <si>
    <t>VanillaEdition</t>
  </si>
  <si>
    <t>VaporTrail</t>
  </si>
  <si>
    <t>VegetarianVampire</t>
  </si>
  <si>
    <t>VehicularAssault</t>
  </si>
  <si>
    <t>WartsAndAll</t>
  </si>
  <si>
    <t>WeddingRingRemoval</t>
  </si>
  <si>
    <t>WhatAreYouInFor</t>
  </si>
  <si>
    <t>WhenThingsSpinScienceHappens</t>
  </si>
  <si>
    <t>WhiteAngloSaxonProtestant</t>
  </si>
  <si>
    <t>WhiteStallion</t>
  </si>
  <si>
    <t>WidowedAtTheWedding</t>
  </si>
  <si>
    <t>WingedHumanoid</t>
  </si>
  <si>
    <t>WrongGuyFirst</t>
  </si>
  <si>
    <t>YearOutsideHourInside</t>
  </si>
  <si>
    <t>YouAreAlreadyDead</t>
  </si>
  <si>
    <t>YouDoNOTWantToKnow</t>
  </si>
  <si>
    <t>ZeppelinsFromAnotherWorld</t>
  </si>
  <si>
    <t>AboveTheInfluence</t>
  </si>
  <si>
    <t>AbusiveDad</t>
  </si>
  <si>
    <t>AccidentalMarriage</t>
  </si>
  <si>
    <t>ActorISTheTitleCharacter</t>
  </si>
  <si>
    <t>AdaptationalDumbass</t>
  </si>
  <si>
    <t>AFoolAndHisNewMoneyAreSoonParted</t>
  </si>
  <si>
    <t>AgentsDating</t>
  </si>
  <si>
    <t>AlienAmongUs</t>
  </si>
  <si>
    <t>AllWomenArePrudes</t>
  </si>
  <si>
    <t>AlmostOutOfOxygen</t>
  </si>
  <si>
    <t>AloofBigBrother</t>
  </si>
  <si>
    <t>AlterKocker</t>
  </si>
  <si>
    <t>AlwaysNight</t>
  </si>
  <si>
    <t>AnimalTalk</t>
  </si>
  <si>
    <t>Animesque</t>
  </si>
  <si>
    <t>AnthologyFilm</t>
  </si>
  <si>
    <t>ANuclearError</t>
  </si>
  <si>
    <t>ApocalypseCult</t>
  </si>
  <si>
    <t>ArchnemesisDad</t>
  </si>
  <si>
    <t>AscendedFridgeHorror</t>
  </si>
  <si>
    <t>ATeamMontage</t>
  </si>
  <si>
    <t>AutomatonHorses</t>
  </si>
  <si>
    <t>BambooTechnology</t>
  </si>
  <si>
    <t>BastardBastard</t>
  </si>
  <si>
    <t>BattleTrophy</t>
  </si>
  <si>
    <t>BayonetYa</t>
  </si>
  <si>
    <t>BigElectricSwitch</t>
  </si>
  <si>
    <t>BigfootSasquatchAndYeti</t>
  </si>
  <si>
    <t>BlackBlood</t>
  </si>
  <si>
    <t>BlackHelicopter</t>
  </si>
  <si>
    <t>BondGirl</t>
  </si>
  <si>
    <t>BreastExpansion</t>
  </si>
  <si>
    <t>CantStopTheSignal</t>
  </si>
  <si>
    <t>CaperCrew</t>
  </si>
  <si>
    <t>CaptivityHarmonica</t>
  </si>
  <si>
    <t>CattleBaron</t>
  </si>
  <si>
    <t>CausticCritic</t>
  </si>
  <si>
    <t>CelebrityIsOverrated</t>
  </si>
  <si>
    <t>CentrifugalGravity</t>
  </si>
  <si>
    <t>ChosenOne</t>
  </si>
  <si>
    <t>ClothingCombat</t>
  </si>
  <si>
    <t>CloudcuckoolandersMinder</t>
  </si>
  <si>
    <t>CobwebJungle</t>
  </si>
  <si>
    <t>CoitusInterruptus</t>
  </si>
  <si>
    <t>ComeOutComeOutWhereverYouAre</t>
  </si>
  <si>
    <t>CommunicationsOfficer</t>
  </si>
  <si>
    <t>CompletelyDifferentTitle</t>
  </si>
  <si>
    <t>ComputerVoice</t>
  </si>
  <si>
    <t>Conscription</t>
  </si>
  <si>
    <t>ConvenientComa</t>
  </si>
  <si>
    <t>ConvenientlyClosePlanet</t>
  </si>
  <si>
    <t>ConvenientMiscarriage</t>
  </si>
  <si>
    <t>CoolPeopleRebelAgainstAuthority</t>
  </si>
  <si>
    <t>CoordinatedClothes</t>
  </si>
  <si>
    <t>CreepyChildrenSinging</t>
  </si>
  <si>
    <t>DaddyDidntShow</t>
  </si>
  <si>
    <t>DawnOfAnEra</t>
  </si>
  <si>
    <t>DeadlyDecadentCourt</t>
  </si>
  <si>
    <t>DeathAsComedy</t>
  </si>
  <si>
    <t>DeliveryGuyInfiltration</t>
  </si>
  <si>
    <t>DepopulationBomb</t>
  </si>
  <si>
    <t>DesignerBabies</t>
  </si>
  <si>
    <t>DeterminedHomesteadersWife</t>
  </si>
  <si>
    <t>DidIJustSayThatOutLoud</t>
  </si>
  <si>
    <t>DisapprovingLook</t>
  </si>
  <si>
    <t>DisastrousDemonstration</t>
  </si>
  <si>
    <t>DisqualificationInducedVictory</t>
  </si>
  <si>
    <t>DistractedFromDeath</t>
  </si>
  <si>
    <t>DividedWeFall</t>
  </si>
  <si>
    <t>DriverFacesPassenger</t>
  </si>
  <si>
    <t>DyeOrDie</t>
  </si>
  <si>
    <t>EarthAllAlong</t>
  </si>
  <si>
    <t>EjectionSeat</t>
  </si>
  <si>
    <t>EmoTeen</t>
  </si>
  <si>
    <t>EmptyQuiver</t>
  </si>
  <si>
    <t>EnemyWithin</t>
  </si>
  <si>
    <t>EnemyWithout</t>
  </si>
  <si>
    <t>EveryoneChasingYou</t>
  </si>
  <si>
    <t>EvilElevator</t>
  </si>
  <si>
    <t>EvilIsSexy</t>
  </si>
  <si>
    <t>EvilMakeover</t>
  </si>
  <si>
    <t>ExitPursuedByABear</t>
  </si>
  <si>
    <t>ExposedToTheElements</t>
  </si>
  <si>
    <t>EyesDoNotBelongThere</t>
  </si>
  <si>
    <t>FaceYourFears</t>
  </si>
  <si>
    <t>FairyTale</t>
  </si>
  <si>
    <t>FakeAristocrat</t>
  </si>
  <si>
    <t>FantasyCounterpartCulture</t>
  </si>
  <si>
    <t>Fauxshadow</t>
  </si>
  <si>
    <t>FeigningIntelligence</t>
  </si>
  <si>
    <t>FemmeFatalons</t>
  </si>
  <si>
    <t>FishPeople</t>
  </si>
  <si>
    <t>Flight</t>
  </si>
  <si>
    <t>ForbiddenFruit</t>
  </si>
  <si>
    <t>FormerlyFat</t>
  </si>
  <si>
    <t>FrothyMugsOfWater</t>
  </si>
  <si>
    <t>GhostButler</t>
  </si>
  <si>
    <t>Giallo</t>
  </si>
  <si>
    <t>GiantSpaceFleaFromNowhere</t>
  </si>
  <si>
    <t>GirlsWithGuns</t>
  </si>
  <si>
    <t>GlamorousSingleMother</t>
  </si>
  <si>
    <t>GlorifiedSpermDonor</t>
  </si>
  <si>
    <t>GoAmongMadPeople</t>
  </si>
  <si>
    <t>GoingInCircles</t>
  </si>
  <si>
    <t>GottaKillThemAll</t>
  </si>
  <si>
    <t>GutFeeling</t>
  </si>
  <si>
    <t>HalloweenEpisode</t>
  </si>
  <si>
    <t>HallwayFight</t>
  </si>
  <si>
    <t>HauntedHeroine</t>
  </si>
  <si>
    <t>HeatWave</t>
  </si>
  <si>
    <t>HerHeartWillGoOn</t>
  </si>
  <si>
    <t>HighSpeedHijack</t>
  </si>
  <si>
    <t>Hobos</t>
  </si>
  <si>
    <t>HoldingTheFloor</t>
  </si>
  <si>
    <t>HollywoodPsych</t>
  </si>
  <si>
    <t>HotForStudent</t>
  </si>
  <si>
    <t>HotGypsyWoman</t>
  </si>
  <si>
    <t>HyperAwareness</t>
  </si>
  <si>
    <t>IdiosyncraticWipes</t>
  </si>
  <si>
    <t>IKnowYourTrueName</t>
  </si>
  <si>
    <t>IllBoy</t>
  </si>
  <si>
    <t>ImpossibleTask</t>
  </si>
  <si>
    <t>ImpossiblyCoolClothes</t>
  </si>
  <si>
    <t>IncessantMusicMadness</t>
  </si>
  <si>
    <t>IncrediblyObviousBug</t>
  </si>
  <si>
    <t>InferredHolocaust</t>
  </si>
  <si>
    <t>InherentInTheSystem</t>
  </si>
  <si>
    <t>InkSuitActor</t>
  </si>
  <si>
    <t>InstantSeduction</t>
  </si>
  <si>
    <t>IntercontinuityCrossover</t>
  </si>
  <si>
    <t>IntercourseWithYou</t>
  </si>
  <si>
    <t>IntimateHealing</t>
  </si>
  <si>
    <t>InvisibleStreaker</t>
  </si>
  <si>
    <t>IsThatWhatTheyreCallingItNow</t>
  </si>
  <si>
    <t>ItWasWithYouAllAlong</t>
  </si>
  <si>
    <t>JerkassFacade</t>
  </si>
  <si>
    <t>KillThemAll</t>
  </si>
  <si>
    <t>KneelBeforeFrodo</t>
  </si>
  <si>
    <t>LanternJawOfJustice</t>
  </si>
  <si>
    <t>LastDisrespects</t>
  </si>
  <si>
    <t>LastNoteNightmare</t>
  </si>
  <si>
    <t>LaxativePrank</t>
  </si>
  <si>
    <t>LeaveHimToMe</t>
  </si>
  <si>
    <t>LethallyStupid</t>
  </si>
  <si>
    <t>Letters2Numbers</t>
  </si>
  <si>
    <t>LiarRevealed</t>
  </si>
  <si>
    <t>LifetimeMovieOfTheWeek</t>
  </si>
  <si>
    <t>LivingToys</t>
  </si>
  <si>
    <t>LoadsAndLoadsOfRoles</t>
  </si>
  <si>
    <t>Loincloth</t>
  </si>
  <si>
    <t>LovecraftCountry</t>
  </si>
  <si>
    <t>LovecraftLite</t>
  </si>
  <si>
    <t>LovesTheSoundOfScreaming</t>
  </si>
  <si>
    <t>LuckilyMyShieldWillProtectMe</t>
  </si>
  <si>
    <t>LuckyCharmsTitle</t>
  </si>
  <si>
    <t>MakeMyMonsterGrow</t>
  </si>
  <si>
    <t>MayorPain</t>
  </si>
  <si>
    <t>MechanicalLifeforms</t>
  </si>
  <si>
    <t>MetaGuy</t>
  </si>
  <si>
    <t>MisappliedPhlebotinum</t>
  </si>
  <si>
    <t>MistakenForProstitute</t>
  </si>
  <si>
    <t>MistakenNationality</t>
  </si>
  <si>
    <t>Mummy</t>
  </si>
  <si>
    <t>MyGodYouAreSerious</t>
  </si>
  <si>
    <t>NarratingTheObvious</t>
  </si>
  <si>
    <t>Nephewism</t>
  </si>
  <si>
    <t>NestedStory</t>
  </si>
  <si>
    <t>NGOSuperpower</t>
  </si>
  <si>
    <t>NoDeadBodyPoops</t>
  </si>
  <si>
    <t>NoMacGuffinNoWinner</t>
  </si>
  <si>
    <t>NonIronicClown</t>
  </si>
  <si>
    <t>OpeningNarration</t>
  </si>
  <si>
    <t>OpiumDen</t>
  </si>
  <si>
    <t>PanAndScan</t>
  </si>
  <si>
    <t>ParentalHypocrisy</t>
  </si>
  <si>
    <t>PassionPlay</t>
  </si>
  <si>
    <t>PerfectlyArrangedMarriage</t>
  </si>
  <si>
    <t>PersonaNonGrata</t>
  </si>
  <si>
    <t>PhoneBooth</t>
  </si>
  <si>
    <t>PinkMist</t>
  </si>
  <si>
    <t>PlotDevice</t>
  </si>
  <si>
    <t>PortalCut</t>
  </si>
  <si>
    <t>PostRapeTaunt</t>
  </si>
  <si>
    <t>PowderKegCrowd</t>
  </si>
  <si>
    <t>PreciousPuppy</t>
  </si>
  <si>
    <t>PteroSoarer</t>
  </si>
  <si>
    <t>QuintessentialBritishGentleman</t>
  </si>
  <si>
    <t>QuizzicalTilt</t>
  </si>
  <si>
    <t>QuoteMine</t>
  </si>
  <si>
    <t>RaisingTheSteaks</t>
  </si>
  <si>
    <t>RecruitingTheCriminal</t>
  </si>
  <si>
    <t>RedemptionEarnsLife</t>
  </si>
  <si>
    <t>RegionalRiff</t>
  </si>
  <si>
    <t>ReleasedToElsewhere</t>
  </si>
  <si>
    <t>RetroRocket</t>
  </si>
  <si>
    <t>ReversePolarity</t>
  </si>
  <si>
    <t>RightManInTheWrongPlace</t>
  </si>
  <si>
    <t>RoadsideWave</t>
  </si>
  <si>
    <t>RoadSignReversal</t>
  </si>
  <si>
    <t>SafeZoneHopeSpot</t>
  </si>
  <si>
    <t>SamaritanSyndrome</t>
  </si>
  <si>
    <t>SandInMyEyes</t>
  </si>
  <si>
    <t>SatchelSwitcheroo</t>
  </si>
  <si>
    <t>SelfInflictedHell</t>
  </si>
  <si>
    <t>SendInTheSearchTeam</t>
  </si>
  <si>
    <t>SerialKillingsSpecificTarget</t>
  </si>
  <si>
    <t>SexEqualsLove</t>
  </si>
  <si>
    <t>SexGod</t>
  </si>
  <si>
    <t>SexualKarma</t>
  </si>
  <si>
    <t>ShockingSwerve</t>
  </si>
  <si>
    <t>ShowerOfAwkward</t>
  </si>
  <si>
    <t>ShrugOfGod</t>
  </si>
  <si>
    <t>SimpleYetOpulent</t>
  </si>
  <si>
    <t>SingleIssuePsychology</t>
  </si>
  <si>
    <t>SlidingScaleOfShinyVersusGritty</t>
  </si>
  <si>
    <t>SorryImGay</t>
  </si>
  <si>
    <t>SortingAlgorithmOfEvil</t>
  </si>
  <si>
    <t>SoulBrotha</t>
  </si>
  <si>
    <t>SovietSuperScience</t>
  </si>
  <si>
    <t>SpaceDoesNotWorkThatWay</t>
  </si>
  <si>
    <t>StevenUlyssesPerhero</t>
  </si>
  <si>
    <t>StrayShotsStrikeNothing</t>
  </si>
  <si>
    <t>StupidSexyFlanders</t>
  </si>
  <si>
    <t>SubvertedRhymeEveryOccasion</t>
  </si>
  <si>
    <t>SuitWithVestedInterests</t>
  </si>
  <si>
    <t>SummationGathering</t>
  </si>
  <si>
    <t>SurpriseCarCrash</t>
  </si>
  <si>
    <t>Surrealism</t>
  </si>
  <si>
    <t>SurveillanceAsThePlotDemands</t>
  </si>
  <si>
    <t>SuspiciouslySimilarSong</t>
  </si>
  <si>
    <t>SympatheticPOV</t>
  </si>
  <si>
    <t>TakesOneToKillOne</t>
  </si>
  <si>
    <t>TalkingInYourSleep</t>
  </si>
  <si>
    <t>TaxidermyIsCreepy</t>
  </si>
  <si>
    <t>TeleportersAndTransporters</t>
  </si>
  <si>
    <t>TellMeAboutMyFather</t>
  </si>
  <si>
    <t>TerminatorTwosome</t>
  </si>
  <si>
    <t>ThatsNoMoon</t>
  </si>
  <si>
    <t>TheAntiNihilist</t>
  </si>
  <si>
    <t>TheBlacksmith</t>
  </si>
  <si>
    <t>TheDriver</t>
  </si>
  <si>
    <t>TheGenericGuy</t>
  </si>
  <si>
    <t>TheInsomniac</t>
  </si>
  <si>
    <t>TheJeeves</t>
  </si>
  <si>
    <t>TheJudge</t>
  </si>
  <si>
    <t>ThemeTune</t>
  </si>
  <si>
    <t>TheMultiverse</t>
  </si>
  <si>
    <t>TheMuse</t>
  </si>
  <si>
    <t>ThePornomancer</t>
  </si>
  <si>
    <t>ThePowerOfBlood</t>
  </si>
  <si>
    <t>TheQuest</t>
  </si>
  <si>
    <t>TheScrappy</t>
  </si>
  <si>
    <t>TheSixthRanger</t>
  </si>
  <si>
    <t>TitleSequence</t>
  </si>
  <si>
    <t>TokenMinorityCouple</t>
  </si>
  <si>
    <t>TokenTrio</t>
  </si>
  <si>
    <t>TooSpicyForYogSothoth</t>
  </si>
  <si>
    <t>TranslationYes</t>
  </si>
  <si>
    <t>TrappedInAnotherWorld</t>
  </si>
  <si>
    <t>TruthSerums</t>
  </si>
  <si>
    <t>TryNotToDie</t>
  </si>
  <si>
    <t>TwoKeyedLock</t>
  </si>
  <si>
    <t>TwoScenesOneDialogue</t>
  </si>
  <si>
    <t>TykeBomb</t>
  </si>
  <si>
    <t>UnclePennybags</t>
  </si>
  <si>
    <t>VanityPlate</t>
  </si>
  <si>
    <t>VillainTeleportation</t>
  </si>
  <si>
    <t>ViolenceIsTheOnlyOption</t>
  </si>
  <si>
    <t>WakeUpMakeUp</t>
  </si>
  <si>
    <t>WealthyEverAfter</t>
  </si>
  <si>
    <t>WearingAFlagOnYourHead</t>
  </si>
  <si>
    <t>WeirdWest</t>
  </si>
  <si>
    <t>WhatTheFuAreYouDoing</t>
  </si>
  <si>
    <t>WhyAmITicking</t>
  </si>
  <si>
    <t>WidescreenShot</t>
  </si>
  <si>
    <t>WithDueRespect</t>
  </si>
  <si>
    <t>Wormsign</t>
  </si>
  <si>
    <t>WronglyAccused</t>
  </si>
  <si>
    <t>WrongNameOutburst</t>
  </si>
  <si>
    <t>YouAreGrounded</t>
  </si>
  <si>
    <t>YouHaveNoIdeaWhoYoureDealingWith</t>
  </si>
  <si>
    <t>YourMakeupIsRunning</t>
  </si>
  <si>
    <t>AccidentalAthlete</t>
  </si>
  <si>
    <t>AccidentalPublicConfession</t>
  </si>
  <si>
    <t>ActingUnnatural</t>
  </si>
  <si>
    <t>ActuallyThatsMyAssistant</t>
  </si>
  <si>
    <t>AdaptationDecay</t>
  </si>
  <si>
    <t>AmazonChaser</t>
  </si>
  <si>
    <t>AmbulanceChaser</t>
  </si>
  <si>
    <t>AndMissionControlRejoiced</t>
  </si>
  <si>
    <t>AnIcePerson</t>
  </si>
  <si>
    <t>AnthropicPrinciple</t>
  </si>
  <si>
    <t>AnythingButThat</t>
  </si>
  <si>
    <t>ArmyOfThievesAndWhores</t>
  </si>
  <si>
    <t>Asexuality</t>
  </si>
  <si>
    <t>AsHerself</t>
  </si>
  <si>
    <t>AttackOfTheTownFestival</t>
  </si>
  <si>
    <t>AwkwardSilenceEntrance</t>
  </si>
  <si>
    <t>BalloonBelly</t>
  </si>
  <si>
    <t>BanisterSlide</t>
  </si>
  <si>
    <t>BarSlide</t>
  </si>
  <si>
    <t>BeliefMakesYouStupid</t>
  </si>
  <si>
    <t>BeneathSuspicion</t>
  </si>
  <si>
    <t>BibleTimes</t>
  </si>
  <si>
    <t>BodybagTrick</t>
  </si>
  <si>
    <t>Bowdlerized</t>
  </si>
  <si>
    <t>BreakHerHeartToSaveHer</t>
  </si>
  <si>
    <t>BritainIsOnlyLondon</t>
  </si>
  <si>
    <t>BrosBeforeHoes</t>
  </si>
  <si>
    <t>BruiserWithASoftCenter</t>
  </si>
  <si>
    <t>CantYouReadTheSign</t>
  </si>
  <si>
    <t>CargoShip</t>
  </si>
  <si>
    <t>CelebCrush</t>
  </si>
  <si>
    <t>ChangingClothesIsAFreeAction</t>
  </si>
  <si>
    <t>ChekhovsVolcano</t>
  </si>
  <si>
    <t>ChessMaster</t>
  </si>
  <si>
    <t>ChocolateBaby</t>
  </si>
  <si>
    <t>ChorusGirls</t>
  </si>
  <si>
    <t>ChristmasCake</t>
  </si>
  <si>
    <t>ClingyMacGuffin</t>
  </si>
  <si>
    <t>ColdWar</t>
  </si>
  <si>
    <t>ConspicuouslyPublicAssassination</t>
  </si>
  <si>
    <t>ContrastingSequelMainCharacter</t>
  </si>
  <si>
    <t>CostumeTestMontage</t>
  </si>
  <si>
    <t>CoverDrop</t>
  </si>
  <si>
    <t>CreepyGood</t>
  </si>
  <si>
    <t>CreepyHousekeeper</t>
  </si>
  <si>
    <t>CrisisCrossover</t>
  </si>
  <si>
    <t>CrypticConversation</t>
  </si>
  <si>
    <t>CutTheJuice</t>
  </si>
  <si>
    <t>DamnYouMuscleMemory</t>
  </si>
  <si>
    <t>DavidVsGoliath</t>
  </si>
  <si>
    <t>DeadManSwitch</t>
  </si>
  <si>
    <t>DeathbedConfession</t>
  </si>
  <si>
    <t>DeathMontage</t>
  </si>
  <si>
    <t>DeathNotification</t>
  </si>
  <si>
    <t>DefeatEqualsExplosion</t>
  </si>
  <si>
    <t>DefiantCaptive</t>
  </si>
  <si>
    <t>DeliberateInjuryGambit</t>
  </si>
  <si>
    <t>DenOfIniquity</t>
  </si>
  <si>
    <t>DeusExitMachina</t>
  </si>
  <si>
    <t>DiagonalBilling</t>
  </si>
  <si>
    <t>DirtyCommunist</t>
  </si>
  <si>
    <t>DistantDuet</t>
  </si>
  <si>
    <t>DogFoodDiet</t>
  </si>
  <si>
    <t>DoorHandleScare</t>
  </si>
  <si>
    <t>DoubleStandardRapeMaleOnMale</t>
  </si>
  <si>
    <t>DownTheRabbitHole</t>
  </si>
  <si>
    <t>DrivingIntoATruck</t>
  </si>
  <si>
    <t>DVDBonusContent</t>
  </si>
  <si>
    <t>EasilyThwartedAlienInvasion</t>
  </si>
  <si>
    <t>EccentricMentor</t>
  </si>
  <si>
    <t>EccentricMillionaire</t>
  </si>
  <si>
    <t>Egopolis</t>
  </si>
  <si>
    <t>ElementalPowers</t>
  </si>
  <si>
    <t>ElephantInTheLivingRoom</t>
  </si>
  <si>
    <t>ElevatorEscape</t>
  </si>
  <si>
    <t>EnsembleDarkhorse</t>
  </si>
  <si>
    <t>EpilogueLetter</t>
  </si>
  <si>
    <t>EverybodyHatesHades</t>
  </si>
  <si>
    <t>EveryoneIsJesusInPurgatory</t>
  </si>
  <si>
    <t>EvilVirtues</t>
  </si>
  <si>
    <t>EvolutionaryLevels</t>
  </si>
  <si>
    <t>FakeKillScare</t>
  </si>
  <si>
    <t>Fartillery</t>
  </si>
  <si>
    <t>FatSweatySouthernerInAWhiteSuit</t>
  </si>
  <si>
    <t>FeministFantasy</t>
  </si>
  <si>
    <t>FictionalCountry</t>
  </si>
  <si>
    <t>FingerWag</t>
  </si>
  <si>
    <t>FirstFatherWins</t>
  </si>
  <si>
    <t>FiveStagesOfGrief</t>
  </si>
  <si>
    <t>FormerChildStar</t>
  </si>
  <si>
    <t>FullNameUltimatum</t>
  </si>
  <si>
    <t>FunnyBruceLeeNoises</t>
  </si>
  <si>
    <t>FurAndLoathing</t>
  </si>
  <si>
    <t>GayAesop</t>
  </si>
  <si>
    <t>GayngstInducedSuicide</t>
  </si>
  <si>
    <t>GenderFlipped</t>
  </si>
  <si>
    <t>GermanExpressionism</t>
  </si>
  <si>
    <t>GhostlyGlide</t>
  </si>
  <si>
    <t>GivenNameReveal</t>
  </si>
  <si>
    <t>GlobalIgnorance</t>
  </si>
  <si>
    <t>GlorySeeker</t>
  </si>
  <si>
    <t>GoodbyeCruelWorld</t>
  </si>
  <si>
    <t>GratuitousItalian</t>
  </si>
  <si>
    <t>GuyInBack</t>
  </si>
  <si>
    <t>HandInTheHole</t>
  </si>
  <si>
    <t>HeavenAbove</t>
  </si>
  <si>
    <t>HeyWait</t>
  </si>
  <si>
    <t>HighlyConspicuousUniform</t>
  </si>
  <si>
    <t>HighSchoolSweethearts</t>
  </si>
  <si>
    <t>HisNameReallyIsBarkeep</t>
  </si>
  <si>
    <t>HollywoodOld</t>
  </si>
  <si>
    <t>HomeEarlySurprise</t>
  </si>
  <si>
    <t>HypnotizeThePrincess</t>
  </si>
  <si>
    <t>ICanExplain</t>
  </si>
  <si>
    <t>IJustWantToBeBadass</t>
  </si>
  <si>
    <t>IKnowYoureWatchingMe</t>
  </si>
  <si>
    <t>Immortality</t>
  </si>
  <si>
    <t>InASingleBound</t>
  </si>
  <si>
    <t>IncredibleShrinkingMan</t>
  </si>
  <si>
    <t>IndianBurialGround</t>
  </si>
  <si>
    <t>IndustrializedEvil</t>
  </si>
  <si>
    <t>InfernalRetaliation</t>
  </si>
  <si>
    <t>InsignificantLittleBluePlanet</t>
  </si>
  <si>
    <t>InteractiveNarrator</t>
  </si>
  <si>
    <t>InTouchWithHisFeminineSide</t>
  </si>
  <si>
    <t>InWithTheInCrowd</t>
  </si>
  <si>
    <t>JadeColoredGlasses</t>
  </si>
  <si>
    <t>JesusWasWayCool</t>
  </si>
  <si>
    <t>JustHitHim</t>
  </si>
  <si>
    <t>Kayfabe</t>
  </si>
  <si>
    <t>KeepTheReward</t>
  </si>
  <si>
    <t>KensingtonGore</t>
  </si>
  <si>
    <t>KindaBusyHere</t>
  </si>
  <si>
    <t>KindHeartedSimpleton</t>
  </si>
  <si>
    <t>KosherNostra</t>
  </si>
  <si>
    <t>LandMineGoesClick</t>
  </si>
  <si>
    <t>LateToTheTragedy</t>
  </si>
  <si>
    <t>LieDetector</t>
  </si>
  <si>
    <t>LiquidCourage</t>
  </si>
  <si>
    <t>LivingLieDetector</t>
  </si>
  <si>
    <t>LockedInAFreezer</t>
  </si>
  <si>
    <t>LookingForLoveInAllTheWrongPlaces</t>
  </si>
  <si>
    <t>LostLoveMontage</t>
  </si>
  <si>
    <t>LoveCannotOvercome</t>
  </si>
  <si>
    <t>LoyalAnimalCompanion</t>
  </si>
  <si>
    <t>LudicrousPrecision</t>
  </si>
  <si>
    <t>MagicVersusScience</t>
  </si>
  <si>
    <t>MagneticHero</t>
  </si>
  <si>
    <t>MakeAWish</t>
  </si>
  <si>
    <t>MakeSureHesDead</t>
  </si>
  <si>
    <t>MarkOfShame</t>
  </si>
  <si>
    <t>MethodActing</t>
  </si>
  <si>
    <t>MindProbe</t>
  </si>
  <si>
    <t>MirrorMonologue</t>
  </si>
  <si>
    <t>MistakenFromBehind</t>
  </si>
  <si>
    <t>MonsterOfTheWeek</t>
  </si>
  <si>
    <t>MoodMotif</t>
  </si>
  <si>
    <t>Mordor</t>
  </si>
  <si>
    <t>MorningRoutine</t>
  </si>
  <si>
    <t>MurderInc</t>
  </si>
  <si>
    <t>MusicalWorldHypothesis</t>
  </si>
  <si>
    <t>Mutants</t>
  </si>
  <si>
    <t>MyEyesAreUpHere</t>
  </si>
  <si>
    <t>MysteriousAntarctica</t>
  </si>
  <si>
    <t>NatureIsNotNice</t>
  </si>
  <si>
    <t>NaziProtagonist</t>
  </si>
  <si>
    <t>NegativeSpaceWedgie</t>
  </si>
  <si>
    <t>NeutralNoLonger</t>
  </si>
  <si>
    <t>NeverGoingBackToPrison</t>
  </si>
  <si>
    <t>NinetiesAntiHero</t>
  </si>
  <si>
    <t>NoDoubtTheYearsHaveChangedMe</t>
  </si>
  <si>
    <t>NonIdleRich</t>
  </si>
  <si>
    <t>NoseArt</t>
  </si>
  <si>
    <t>NotSoImaginaryFriend</t>
  </si>
  <si>
    <t>OrderliesAreCreeps</t>
  </si>
  <si>
    <t>OurGraphicsWillSuckInTheFuture</t>
  </si>
  <si>
    <t>OutOfTheFryingPan</t>
  </si>
  <si>
    <t>ParasolOfPain</t>
  </si>
  <si>
    <t>ParasolOfPrettiness</t>
  </si>
  <si>
    <t>Pastiche</t>
  </si>
  <si>
    <t>PenalColony</t>
  </si>
  <si>
    <t>PeopleJars</t>
  </si>
  <si>
    <t>PerformanceAnxiety</t>
  </si>
  <si>
    <t>PersonWithTheClothing</t>
  </si>
  <si>
    <t>PervertedSniffing</t>
  </si>
  <si>
    <t>PlagiarismInFiction</t>
  </si>
  <si>
    <t>PlayingDrunk</t>
  </si>
  <si>
    <t>PlotBasedVoiceCancellation</t>
  </si>
  <si>
    <t>PlotRelevantAgeUp</t>
  </si>
  <si>
    <t>PoirotSpeak</t>
  </si>
  <si>
    <t>PowerFist</t>
  </si>
  <si>
    <t>PowerfulPick</t>
  </si>
  <si>
    <t>PresentDay</t>
  </si>
  <si>
    <t>Prospector</t>
  </si>
  <si>
    <t>ProtectThisHouse</t>
  </si>
  <si>
    <t>Qipao</t>
  </si>
  <si>
    <t>ReadTheFinePrint</t>
  </si>
  <si>
    <t>RealWomenDontWearDresses</t>
  </si>
  <si>
    <t>RearrangeTheSong</t>
  </si>
  <si>
    <t>RebuiltPedestal</t>
  </si>
  <si>
    <t>RecoveredAddict</t>
  </si>
  <si>
    <t>RejectedApology</t>
  </si>
  <si>
    <t>RelativeButton</t>
  </si>
  <si>
    <t>RidiculousFutureInflation</t>
  </si>
  <si>
    <t>Robosexual</t>
  </si>
  <si>
    <t>RockMonster</t>
  </si>
  <si>
    <t>RomanticismVersusEnlightenment</t>
  </si>
  <si>
    <t>Satire</t>
  </si>
  <si>
    <t>SavingChristmas</t>
  </si>
  <si>
    <t>SavvyGuyEnergeticGirl</t>
  </si>
  <si>
    <t>ScaryScorpions</t>
  </si>
  <si>
    <t>SchrodingersButterfly</t>
  </si>
  <si>
    <t>SecretSecretKeeper</t>
  </si>
  <si>
    <t>SeparatedAtBirth</t>
  </si>
  <si>
    <t>SerialKillerKiller</t>
  </si>
  <si>
    <t>Sideboob</t>
  </si>
  <si>
    <t>SlaveryIsASpecialKindOfEvil</t>
  </si>
  <si>
    <t>SnowballLie</t>
  </si>
  <si>
    <t>SomethingWeForgot</t>
  </si>
  <si>
    <t>SpecialGuest</t>
  </si>
  <si>
    <t>SquirrelsInMyPants</t>
  </si>
  <si>
    <t>StoryBreakerPower</t>
  </si>
  <si>
    <t>StrangeSalute</t>
  </si>
  <si>
    <t>Subversion</t>
  </si>
  <si>
    <t>SupportingLeader</t>
  </si>
  <si>
    <t>SuspiciousSpending</t>
  </si>
  <si>
    <t>SwappedRoles</t>
  </si>
  <si>
    <t>SwordDrag</t>
  </si>
  <si>
    <t>TakingTheKids</t>
  </si>
  <si>
    <t>TechnicolorDeath</t>
  </si>
  <si>
    <t>TheChase</t>
  </si>
  <si>
    <t>TheCoup</t>
  </si>
  <si>
    <t>TheDarkSide</t>
  </si>
  <si>
    <t>TheDrunkenSailor</t>
  </si>
  <si>
    <t>TheGayNineties</t>
  </si>
  <si>
    <t>TheGeneralsDaughter</t>
  </si>
  <si>
    <t>TheGrinch</t>
  </si>
  <si>
    <t>TheInternetIsForPorn</t>
  </si>
  <si>
    <t>TheKillerBecomesTheKilled</t>
  </si>
  <si>
    <t>TheMagnificentSevenSamurai</t>
  </si>
  <si>
    <t>TheMissionary</t>
  </si>
  <si>
    <t>TheNounWhoVerbed</t>
  </si>
  <si>
    <t>TheOldConvict</t>
  </si>
  <si>
    <t>TheOmniscientCouncilOfVagueness</t>
  </si>
  <si>
    <t>TheParagon</t>
  </si>
  <si>
    <t>ThePianoPlayer</t>
  </si>
  <si>
    <t>ThePrankster</t>
  </si>
  <si>
    <t>TheRainman</t>
  </si>
  <si>
    <t>ThereAreNoCoincidences</t>
  </si>
  <si>
    <t>TheReasonYouSuck</t>
  </si>
  <si>
    <t>TheSouthpaw</t>
  </si>
  <si>
    <t>TheTriple</t>
  </si>
  <si>
    <t>TheVicar</t>
  </si>
  <si>
    <t>TimeMarchesOn</t>
  </si>
  <si>
    <t>ToneShift</t>
  </si>
  <si>
    <t>TooCleverByHalf</t>
  </si>
  <si>
    <t>TorsoWithAView</t>
  </si>
  <si>
    <t>TotemPoleTrench</t>
  </si>
  <si>
    <t>TouchedByVorlons</t>
  </si>
  <si>
    <t>TrailOfBreadCrumbs</t>
  </si>
  <si>
    <t>TransformingMecha</t>
  </si>
  <si>
    <t>TreacheryCoverUp</t>
  </si>
  <si>
    <t>TrilogyCreep</t>
  </si>
  <si>
    <t>TrouserSpace</t>
  </si>
  <si>
    <t>TurnTheOtherCheek</t>
  </si>
  <si>
    <t>UncannyValleyMakeup</t>
  </si>
  <si>
    <t>UselessProtagonist</t>
  </si>
  <si>
    <t>VerbalIrony</t>
  </si>
  <si>
    <t>VictoryIsBoring</t>
  </si>
  <si>
    <t>VideoWill</t>
  </si>
  <si>
    <t>ViolenceReallyIsTheAnswer</t>
  </si>
  <si>
    <t>VisibleInvisibility</t>
  </si>
  <si>
    <t>WellExcuseMePrincess</t>
  </si>
  <si>
    <t>WheresTheKaboom</t>
  </si>
  <si>
    <t>WhileYouWereInDiapers</t>
  </si>
  <si>
    <t>WhosYourDaddy</t>
  </si>
  <si>
    <t>WidgetSeries</t>
  </si>
  <si>
    <t>WidowWoman</t>
  </si>
  <si>
    <t>WifeHusbandry</t>
  </si>
  <si>
    <t>WorthlessTreasureTwist</t>
  </si>
  <si>
    <t>WriteWhatYouKnow</t>
  </si>
  <si>
    <t>WriteWhoYouKnow</t>
  </si>
  <si>
    <t>XRayVision</t>
  </si>
  <si>
    <t>YouCannotGraspTheTrueForm</t>
  </si>
  <si>
    <t>YouDontLookLikeYou</t>
  </si>
  <si>
    <t>YouShouldHaveDiedInstead</t>
  </si>
  <si>
    <t>YouTasteDelicious</t>
  </si>
  <si>
    <t>Yubitsume</t>
  </si>
  <si>
    <t>AbductionIsLove</t>
  </si>
  <si>
    <t>AboveGoodAndEvil</t>
  </si>
  <si>
    <t>AbsurdlyPowerfulStudentCouncil</t>
  </si>
  <si>
    <t>AbsurdlyYouthfulMother</t>
  </si>
  <si>
    <t>AccentRelapse</t>
  </si>
  <si>
    <t>AcquittedTooLate</t>
  </si>
  <si>
    <t>ActionBomb</t>
  </si>
  <si>
    <t>ActOfTrueLove</t>
  </si>
  <si>
    <t>AdaptationalSuperpowerChange</t>
  </si>
  <si>
    <t>AgeInappropriateDress</t>
  </si>
  <si>
    <t>AgeWithoutYouth</t>
  </si>
  <si>
    <t>AGoodWayToDie</t>
  </si>
  <si>
    <t>AlasPoorYorick</t>
  </si>
  <si>
    <t>AliensStealCable</t>
  </si>
  <si>
    <t>AllAsiansKnowMartialArts</t>
  </si>
  <si>
    <t>AmnesiacLover</t>
  </si>
  <si>
    <t>AndYouThoughtItWasAGame</t>
  </si>
  <si>
    <t>AnimateInanimateObject</t>
  </si>
  <si>
    <t>AntiquatedLinguistics</t>
  </si>
  <si>
    <t>ArchangelMichael</t>
  </si>
  <si>
    <t>ArcWelding</t>
  </si>
  <si>
    <t>ArsonMurderAndLifeSaving</t>
  </si>
  <si>
    <t>AssassinationAttempt</t>
  </si>
  <si>
    <t>AssPull</t>
  </si>
  <si>
    <t>AsteroidThicket</t>
  </si>
  <si>
    <t>Atlantis</t>
  </si>
  <si>
    <t>BadDate</t>
  </si>
  <si>
    <t>BadToTheBone</t>
  </si>
  <si>
    <t>BathtubBonding</t>
  </si>
  <si>
    <t>BatScare</t>
  </si>
  <si>
    <t>BecomeARealBoy</t>
  </si>
  <si>
    <t>BeneathTheEarth</t>
  </si>
  <si>
    <t>BestFriend</t>
  </si>
  <si>
    <t>BewareOfHitchhikingGhosts</t>
  </si>
  <si>
    <t>BigBrotherWorship</t>
  </si>
  <si>
    <t>BigBudgetBeefUp</t>
  </si>
  <si>
    <t>BigDamnReunion</t>
  </si>
  <si>
    <t>BiggerIsBetter</t>
  </si>
  <si>
    <t>BlahBlahBlah</t>
  </si>
  <si>
    <t>BlindMistake</t>
  </si>
  <si>
    <t>BlowYouAway</t>
  </si>
  <si>
    <t>BluffingTheMurderer</t>
  </si>
  <si>
    <t>BodyguardBabes</t>
  </si>
  <si>
    <t>BombThrowingAnarchists</t>
  </si>
  <si>
    <t>BottomlessPit</t>
  </si>
  <si>
    <t>BreakingAndBloodsucking</t>
  </si>
  <si>
    <t>BrokenTears</t>
  </si>
  <si>
    <t>BurialAtSea</t>
  </si>
  <si>
    <t>ButterFace</t>
  </si>
  <si>
    <t>CharacterExaggeration</t>
  </si>
  <si>
    <t>CharacterShilling</t>
  </si>
  <si>
    <t>CheapCostume</t>
  </si>
  <si>
    <t>ChewbaccaDefense</t>
  </si>
  <si>
    <t>CityInABottle</t>
  </si>
  <si>
    <t>CivilWar</t>
  </si>
  <si>
    <t>ClassyCatBurglar</t>
  </si>
  <si>
    <t>CobwebOfDisuse</t>
  </si>
  <si>
    <t>CombiningMecha</t>
  </si>
  <si>
    <t>ContinuousDecompression</t>
  </si>
  <si>
    <t>ContrastingSequelAntagonist</t>
  </si>
  <si>
    <t>CoolButInefficient</t>
  </si>
  <si>
    <t>CoolHelmet</t>
  </si>
  <si>
    <t>CorporalPunishment</t>
  </si>
  <si>
    <t>CoverIdentityAnomaly</t>
  </si>
  <si>
    <t>CrankyLandlord</t>
  </si>
  <si>
    <t>CrappyHolidays</t>
  </si>
  <si>
    <t>CreatorInJoke</t>
  </si>
  <si>
    <t>CreepyUncle</t>
  </si>
  <si>
    <t>CrimeOfSelfDefense</t>
  </si>
  <si>
    <t>CulturePolice</t>
  </si>
  <si>
    <t>Curse</t>
  </si>
  <si>
    <t>DangerousDeserter</t>
  </si>
  <si>
    <t>DangerouslyShortSkirt</t>
  </si>
  <si>
    <t>DarthVaderClone</t>
  </si>
  <si>
    <t>DaywalkingVampire</t>
  </si>
  <si>
    <t>DeathByMocking</t>
  </si>
  <si>
    <t>DeathWail</t>
  </si>
  <si>
    <t>DepletedPhlebotinumShells</t>
  </si>
  <si>
    <t>DeterminedWidow</t>
  </si>
  <si>
    <t>DiabolusExNihilo</t>
  </si>
  <si>
    <t>DinnerAndAShow</t>
  </si>
  <si>
    <t>DisappointedByTheMotive</t>
  </si>
  <si>
    <t>DoAndroidsDream</t>
  </si>
  <si>
    <t>DoomMagnet</t>
  </si>
  <si>
    <t>DrivenByEnvy</t>
  </si>
  <si>
    <t>DyingCurse</t>
  </si>
  <si>
    <t>ElmuhFuddSyndwome</t>
  </si>
  <si>
    <t>Elopement</t>
  </si>
  <si>
    <t>EmergencyCargoDump</t>
  </si>
  <si>
    <t>EternalEnglish</t>
  </si>
  <si>
    <t>EverybodyDidIt</t>
  </si>
  <si>
    <t>EvilMakesYouUgly</t>
  </si>
  <si>
    <t>EvilTeacher</t>
  </si>
  <si>
    <t>ExcuseMeWhileIMultitask</t>
  </si>
  <si>
    <t>ExtyYearsFromNow</t>
  </si>
  <si>
    <t>FairyGodmother</t>
  </si>
  <si>
    <t>FakinMacGuffin</t>
  </si>
  <si>
    <t>FalseConfession</t>
  </si>
  <si>
    <t>FamilyValuesVillain</t>
  </si>
  <si>
    <t>FastballSpecial</t>
  </si>
  <si>
    <t>FatGirl</t>
  </si>
  <si>
    <t>FeedItABomb</t>
  </si>
  <si>
    <t>FightingWithChucks</t>
  </si>
  <si>
    <t>FingerPokeOfDoom</t>
  </si>
  <si>
    <t>FloweryInsults</t>
  </si>
  <si>
    <t>FlyoverCountry</t>
  </si>
  <si>
    <t>FoodPills</t>
  </si>
  <si>
    <t>ForeignCultureFetish</t>
  </si>
  <si>
    <t>FromASingleCell</t>
  </si>
  <si>
    <t>FurBikini</t>
  </si>
  <si>
    <t>GasLeakCoverup</t>
  </si>
  <si>
    <t>Geek</t>
  </si>
  <si>
    <t>GeekPhysiques</t>
  </si>
  <si>
    <t>GirlyRun</t>
  </si>
  <si>
    <t>GothicHorror</t>
  </si>
  <si>
    <t>GRatedSex</t>
  </si>
  <si>
    <t>GratuitousRussian</t>
  </si>
  <si>
    <t>GrenadeHotPotato</t>
  </si>
  <si>
    <t>GrenadeLauncher</t>
  </si>
  <si>
    <t>GrumpyBear</t>
  </si>
  <si>
    <t>HairFlip</t>
  </si>
  <si>
    <t>HamAndCheese</t>
  </si>
  <si>
    <t>HeadDesk</t>
  </si>
  <si>
    <t>HowlOfSorrow</t>
  </si>
  <si>
    <t>HumanLadder</t>
  </si>
  <si>
    <t>HyperspaceIsAScaryPlace</t>
  </si>
  <si>
    <t>IgnoredVitalNewsReports</t>
  </si>
  <si>
    <t>ImplausibleFencingPowers</t>
  </si>
  <si>
    <t>ImprovisedWeaponUser</t>
  </si>
  <si>
    <t>InkblotTest</t>
  </si>
  <si>
    <t>InMysteriousWays</t>
  </si>
  <si>
    <t>InnerCitySchool</t>
  </si>
  <si>
    <t>InnocenceLost</t>
  </si>
  <si>
    <t>InsecureLoveInterest</t>
  </si>
  <si>
    <t>InsideJob</t>
  </si>
  <si>
    <t>InstantHumiliationJustAddYouTube</t>
  </si>
  <si>
    <t>InstantSoprano</t>
  </si>
  <si>
    <t>InterrogationByVandalism</t>
  </si>
  <si>
    <t>IronLady</t>
  </si>
  <si>
    <t>IrrevocableOrder</t>
  </si>
  <si>
    <t>ItsBeenDone</t>
  </si>
  <si>
    <t>ItsWhatIDo</t>
  </si>
  <si>
    <t>ItWontTurnOff</t>
  </si>
  <si>
    <t>IWantYouToMeetAnOldFriendOfMine</t>
  </si>
  <si>
    <t>JawDrop</t>
  </si>
  <si>
    <t>JerkassGods</t>
  </si>
  <si>
    <t>JustJokingJustification</t>
  </si>
  <si>
    <t>KeepItForeign</t>
  </si>
  <si>
    <t>KeyUnderTheDoormat</t>
  </si>
  <si>
    <t>KnuckleCracking</t>
  </si>
  <si>
    <t>LameExcuse</t>
  </si>
  <si>
    <t>LatinoIsBrown</t>
  </si>
  <si>
    <t>LickingTheBlade</t>
  </si>
  <si>
    <t>LightningReveal</t>
  </si>
  <si>
    <t>LondonEnglandSyndrome</t>
  </si>
  <si>
    <t>LonelyTogether</t>
  </si>
  <si>
    <t>LooksLikeJesus</t>
  </si>
  <si>
    <t>LostAesop</t>
  </si>
  <si>
    <t>LovesMyAlterEgo</t>
  </si>
  <si>
    <t>LoveTheme</t>
  </si>
  <si>
    <t>MaddenIntoMisanthropy</t>
  </si>
  <si>
    <t>MadeOfIndestructium</t>
  </si>
  <si>
    <t>MadLove</t>
  </si>
  <si>
    <t>MaidenAunt</t>
  </si>
  <si>
    <t>MallSanta</t>
  </si>
  <si>
    <t>MarsAndVenusGenderContrast</t>
  </si>
  <si>
    <t>MassHypnosis</t>
  </si>
  <si>
    <t>MeanCharacterNiceActor</t>
  </si>
  <si>
    <t>MeetTheNewBoss</t>
  </si>
  <si>
    <t>MetafictionalTitle</t>
  </si>
  <si>
    <t>MetallicarSyndrome</t>
  </si>
  <si>
    <t>MiddleChildSyndrome</t>
  </si>
  <si>
    <t>MightyRoar</t>
  </si>
  <si>
    <t>MillionToOneChance</t>
  </si>
  <si>
    <t>MistakenForAnImposter</t>
  </si>
  <si>
    <t>MusicalSpoiler</t>
  </si>
  <si>
    <t>MustBeInvited</t>
  </si>
  <si>
    <t>NarmCharm</t>
  </si>
  <si>
    <t>NaughtyNuns</t>
  </si>
  <si>
    <t>NoBiochemicalBarriers</t>
  </si>
  <si>
    <t>NomDeGuerre</t>
  </si>
  <si>
    <t>NonSequitur</t>
  </si>
  <si>
    <t>NoSwastikas</t>
  </si>
  <si>
    <t>NotInFrontOfTheKid</t>
  </si>
  <si>
    <t>NuclearNasty</t>
  </si>
  <si>
    <t>NunTooHoly</t>
  </si>
  <si>
    <t>ObliviousAdoption</t>
  </si>
  <si>
    <t>ObscuredSpecialEffects</t>
  </si>
  <si>
    <t>OffingTheAnnoyance</t>
  </si>
  <si>
    <t>OminousVisualGlitch</t>
  </si>
  <si>
    <t>OneHitWonder</t>
  </si>
  <si>
    <t>OneLinerNameOneLiner</t>
  </si>
  <si>
    <t>OneWorldOrder</t>
  </si>
  <si>
    <t>OpenHeartDentistry</t>
  </si>
  <si>
    <t>OrganGrinder</t>
  </si>
  <si>
    <t>OrphanageOfLove</t>
  </si>
  <si>
    <t>OurFounder</t>
  </si>
  <si>
    <t>PassedOverInheritance</t>
  </si>
  <si>
    <t>PeerPressureMakesYouEvil</t>
  </si>
  <si>
    <t>PerfectlyCromulentWord</t>
  </si>
  <si>
    <t>PimpedOutCape</t>
  </si>
  <si>
    <t>PinnedToTheWall</t>
  </si>
  <si>
    <t>PokemonSpeak</t>
  </si>
  <si>
    <t>PortraitPaintingPeephole</t>
  </si>
  <si>
    <t>PowderTrail</t>
  </si>
  <si>
    <t>PowerFloats</t>
  </si>
  <si>
    <t>PrisonerExchange</t>
  </si>
  <si>
    <t>PurelyAestheticGlasses</t>
  </si>
  <si>
    <t>RapidFireTyping</t>
  </si>
  <si>
    <t>RealLifeRelative</t>
  </si>
  <si>
    <t>RealTrailerFakeMovie</t>
  </si>
  <si>
    <t>RedChina</t>
  </si>
  <si>
    <t>RedHerringMole</t>
  </si>
  <si>
    <t>RightHandVersusLeftHand</t>
  </si>
  <si>
    <t>RoyallyScrewedUp</t>
  </si>
  <si>
    <t>RuthlessModernPirates</t>
  </si>
  <si>
    <t>Schoolmarm</t>
  </si>
  <si>
    <t>SecretUndergroundPassage</t>
  </si>
  <si>
    <t>SentientVehicle</t>
  </si>
  <si>
    <t>SexyScandinavian</t>
  </si>
  <si>
    <t>ShakingHerHairLoose</t>
  </si>
  <si>
    <t>ShellGame</t>
  </si>
  <si>
    <t>ShootEverythingThatMoves</t>
  </si>
  <si>
    <t>ShotForShotRemake</t>
  </si>
  <si>
    <t>SinisterGeometry</t>
  </si>
  <si>
    <t>SinisterScrapingSound</t>
  </si>
  <si>
    <t>SleepingTheirWayToTheTop</t>
  </si>
  <si>
    <t>SleptThroughTheApocalypse</t>
  </si>
  <si>
    <t>SmallSecludedWorld</t>
  </si>
  <si>
    <t>SnakesAreSinister</t>
  </si>
  <si>
    <t>Socialite</t>
  </si>
  <si>
    <t>SociallyAwkwardHero</t>
  </si>
  <si>
    <t>SpaceOpera</t>
  </si>
  <si>
    <t>SpinOffspring</t>
  </si>
  <si>
    <t>SplitScreenPhoneCall</t>
  </si>
  <si>
    <t>SpurnedIntoSuicide</t>
  </si>
  <si>
    <t>StreetPerformer</t>
  </si>
  <si>
    <t>StrongAsTheyNeedToBe</t>
  </si>
  <si>
    <t>SuicidalOverconfidence</t>
  </si>
  <si>
    <t>SummerCampy</t>
  </si>
  <si>
    <t>SuperDrowningSkills</t>
  </si>
  <si>
    <t>SuperheroMovieVillainsDie</t>
  </si>
  <si>
    <t>Symbolism</t>
  </si>
  <si>
    <t>SympathyForTheHero</t>
  </si>
  <si>
    <t>TableSpace</t>
  </si>
  <si>
    <t>TakingTheVeil</t>
  </si>
  <si>
    <t>TastesLikeDiabetes</t>
  </si>
  <si>
    <t>TattooAsCharacterType</t>
  </si>
  <si>
    <t>TaxidermyTerror</t>
  </si>
  <si>
    <t>TearsOfFear</t>
  </si>
  <si>
    <t>TechnicallyASmile</t>
  </si>
  <si>
    <t>TermsOfEndangerment</t>
  </si>
  <si>
    <t>TheCorruption</t>
  </si>
  <si>
    <t>TheDeadCanDance</t>
  </si>
  <si>
    <t>TheFagin</t>
  </si>
  <si>
    <t>TheFilmOfThePlay</t>
  </si>
  <si>
    <t>TheGeneralissimo</t>
  </si>
  <si>
    <t>TheGoodKing</t>
  </si>
  <si>
    <t>TheGunfighterWannabe</t>
  </si>
  <si>
    <t>TheHandler</t>
  </si>
  <si>
    <t>TheKirk</t>
  </si>
  <si>
    <t>TheLegendOfX</t>
  </si>
  <si>
    <t>TheManInTheMirrorTalksBack</t>
  </si>
  <si>
    <t>TheMcCoy</t>
  </si>
  <si>
    <t>TheMeanBrit</t>
  </si>
  <si>
    <t>TheMissusAndTheEx</t>
  </si>
  <si>
    <t>ThePerryMasonMethod</t>
  </si>
  <si>
    <t>ThePlotReaper</t>
  </si>
  <si>
    <t>TheQuincyPunk</t>
  </si>
  <si>
    <t>TheSnarkKnight</t>
  </si>
  <si>
    <t>TheUndead</t>
  </si>
  <si>
    <t>TheyCalledMeMad</t>
  </si>
  <si>
    <t>ThrowTheBookAtThem</t>
  </si>
  <si>
    <t>TiredOfRunning</t>
  </si>
  <si>
    <t>TraumaticCSection</t>
  </si>
  <si>
    <t>TroubledSympatheticBigot</t>
  </si>
  <si>
    <t>TrueArtIsAngsty</t>
  </si>
  <si>
    <t>Turncoat</t>
  </si>
  <si>
    <t>TwinSwitch</t>
  </si>
  <si>
    <t>UnderwaterKiss</t>
  </si>
  <si>
    <t>VampireRefugee</t>
  </si>
  <si>
    <t>VictorianNovelDisease</t>
  </si>
  <si>
    <t>ViewersAreGoldfish</t>
  </si>
  <si>
    <t>WackyCravings</t>
  </si>
  <si>
    <t>WatchingTheReflectionUndress</t>
  </si>
  <si>
    <t>WeAreExperiencingTechnicalDifficulties</t>
  </si>
  <si>
    <t>WeDoNotKnowEachOther</t>
  </si>
  <si>
    <t>WhatTheHellAreYou</t>
  </si>
  <si>
    <t>WhiteVoidRoom</t>
  </si>
  <si>
    <t>WildChild</t>
  </si>
  <si>
    <t>WordSaladLyrics</t>
  </si>
  <si>
    <t>WorkOffTheDebt</t>
  </si>
  <si>
    <t>WouldHarmAChild</t>
  </si>
  <si>
    <t>WronskiFeint</t>
  </si>
  <si>
    <t>YouAndWhatArmy</t>
  </si>
  <si>
    <t>YouAreACreditToYourRace</t>
  </si>
  <si>
    <t>YouDirtyRat</t>
  </si>
  <si>
    <t>YouWouldntLikeMeWhenImAngry</t>
  </si>
  <si>
    <t>AbuseMistake</t>
  </si>
  <si>
    <t>AdaptationDisplacement</t>
  </si>
  <si>
    <t>AfraidOfBlood</t>
  </si>
  <si>
    <t>AfraidOfNeedles</t>
  </si>
  <si>
    <t>AGlassOfChianti</t>
  </si>
  <si>
    <t>AGoodNameForARockBand</t>
  </si>
  <si>
    <t>AirstrikeImpossible</t>
  </si>
  <si>
    <t>AllIsWellThatEndsWell</t>
  </si>
  <si>
    <t>AllLowercaseLetters</t>
  </si>
  <si>
    <t>AllTrollsAreDifferent</t>
  </si>
  <si>
    <t>AndKnowingIsHalfTheBattle</t>
  </si>
  <si>
    <t>Angst</t>
  </si>
  <si>
    <t>AnimalsHateHim</t>
  </si>
  <si>
    <t>ApronMatron</t>
  </si>
  <si>
    <t>AssassinsAreAlwaysBetrayed</t>
  </si>
  <si>
    <t>AstronomicZoom</t>
  </si>
  <si>
    <t>Autodoc</t>
  </si>
  <si>
    <t>AwesomeAussie</t>
  </si>
  <si>
    <t>AWorldHalfFull</t>
  </si>
  <si>
    <t>BadGuysPlayPool</t>
  </si>
  <si>
    <t>BeachEpisode</t>
  </si>
  <si>
    <t>Beatnik</t>
  </si>
  <si>
    <t>BedroomAdulteryScene</t>
  </si>
  <si>
    <t>BellyScrapingFlight</t>
  </si>
  <si>
    <t>BigHeroicRun</t>
  </si>
  <si>
    <t>BioAugmentation</t>
  </si>
  <si>
    <t>BirthmarkOfDestiny</t>
  </si>
  <si>
    <t>BizarreAlienSenses</t>
  </si>
  <si>
    <t>BlowingARaspberry</t>
  </si>
  <si>
    <t>BluffTheImposter</t>
  </si>
  <si>
    <t>BodyInABreadbox</t>
  </si>
  <si>
    <t>BoldlyComing</t>
  </si>
  <si>
    <t>BrainsAndBondage</t>
  </si>
  <si>
    <t>BrokeYourArmPunchingOutCthulhu</t>
  </si>
  <si>
    <t>BromanticComedy</t>
  </si>
  <si>
    <t>CallARabbitASmeerp</t>
  </si>
  <si>
    <t>CameFromTheSky</t>
  </si>
  <si>
    <t>CannibalismSuperpower</t>
  </si>
  <si>
    <t>ChainedToARailway</t>
  </si>
  <si>
    <t>CharactersDroppingLikeFlies</t>
  </si>
  <si>
    <t>CherryTapping</t>
  </si>
  <si>
    <t>ChewOutFakeOut</t>
  </si>
  <si>
    <t>ChildEater</t>
  </si>
  <si>
    <t>ChunkySalsaRule</t>
  </si>
  <si>
    <t>CivvieSpandex</t>
  </si>
  <si>
    <t>CleavageWindow</t>
  </si>
  <si>
    <t>CliqueTour</t>
  </si>
  <si>
    <t>Cloudcuckooland</t>
  </si>
  <si>
    <t>CoffinContraband</t>
  </si>
  <si>
    <t>ConcertFilm</t>
  </si>
  <si>
    <t>ConfusionFu</t>
  </si>
  <si>
    <t>CopKillerManhunt</t>
  </si>
  <si>
    <t>CourtlyLove</t>
  </si>
  <si>
    <t>CranialProcessingUnit</t>
  </si>
  <si>
    <t>CreatorBacklash</t>
  </si>
  <si>
    <t>CrusadingLawyer</t>
  </si>
  <si>
    <t>CrushingHandshake</t>
  </si>
  <si>
    <t>CrystalBall</t>
  </si>
  <si>
    <t>CutenessProximity</t>
  </si>
  <si>
    <t>CyberCyclops</t>
  </si>
  <si>
    <t>DeadAnimalWarning</t>
  </si>
  <si>
    <t>DeceptiveDisciple</t>
  </si>
  <si>
    <t>DescentIntoAddiction</t>
  </si>
  <si>
    <t>DesertedIsland</t>
  </si>
  <si>
    <t>DespairSpeech</t>
  </si>
  <si>
    <t>DirtyBusiness</t>
  </si>
  <si>
    <t>DiscretionShot</t>
  </si>
  <si>
    <t>DismantledMacGuffin</t>
  </si>
  <si>
    <t>DistressBall</t>
  </si>
  <si>
    <t>DontAsk</t>
  </si>
  <si>
    <t>DoubleVision</t>
  </si>
  <si>
    <t>DramaticSlip</t>
  </si>
  <si>
    <t>DugTooDeep</t>
  </si>
  <si>
    <t>EccentricTownsfolk</t>
  </si>
  <si>
    <t>ElvisImpersonator</t>
  </si>
  <si>
    <t>EnergyBeings</t>
  </si>
  <si>
    <t>EpicRocking</t>
  </si>
  <si>
    <t>EpilepticFlashingLights</t>
  </si>
  <si>
    <t>EroticAsphyxiation</t>
  </si>
  <si>
    <t>EverybodyHasStandards</t>
  </si>
  <si>
    <t>EveryoneOwnsAMac</t>
  </si>
  <si>
    <t>EvidenceDungeon</t>
  </si>
  <si>
    <t>EvilColonialist</t>
  </si>
  <si>
    <t>ExcuseMeComingThrough</t>
  </si>
  <si>
    <t>ExpendableClone</t>
  </si>
  <si>
    <t>ExpositionOfImmortality</t>
  </si>
  <si>
    <t>ExpressiveMask</t>
  </si>
  <si>
    <t>ExtremityExtremist</t>
  </si>
  <si>
    <t>FagHag</t>
  </si>
  <si>
    <t>FairForItsDay</t>
  </si>
  <si>
    <t>FamilyThemeNaming</t>
  </si>
  <si>
    <t>FantasticCasteSystem</t>
  </si>
  <si>
    <t>FatalMethodActing</t>
  </si>
  <si>
    <t>FearlessFool</t>
  </si>
  <si>
    <t>FearsomeFoot</t>
  </si>
  <si>
    <t>FlirtyStepsiblings</t>
  </si>
  <si>
    <t>FlowersOfRomance</t>
  </si>
  <si>
    <t>FoldSpindleMutilation</t>
  </si>
  <si>
    <t>ForgedMessage</t>
  </si>
  <si>
    <t>ForInconveniencePressOne</t>
  </si>
  <si>
    <t>ForkliftFu</t>
  </si>
  <si>
    <t>FourthWallPsych</t>
  </si>
  <si>
    <t>FriendlyAddressPrivileges</t>
  </si>
  <si>
    <t>FunPersonified</t>
  </si>
  <si>
    <t>FutureFoodIsArtificial</t>
  </si>
  <si>
    <t>GanglandDriveby</t>
  </si>
  <si>
    <t>GenteelInterbellumSetting</t>
  </si>
  <si>
    <t>GetOutOfJailFreeCard</t>
  </si>
  <si>
    <t>GirlOfMyDreams</t>
  </si>
  <si>
    <t>GiveMeASign</t>
  </si>
  <si>
    <t>GodTest</t>
  </si>
  <si>
    <t>GogglesDoSomethingUnusual</t>
  </si>
  <si>
    <t>GoingCritical</t>
  </si>
  <si>
    <t>GoodFeelsGood</t>
  </si>
  <si>
    <t>GoodVersusGood</t>
  </si>
  <si>
    <t>GreaserDelinquents</t>
  </si>
  <si>
    <t>HairRaisingHare</t>
  </si>
  <si>
    <t>HappilyFailedSuicide</t>
  </si>
  <si>
    <t>HastilyHiddenMacGuffin</t>
  </si>
  <si>
    <t>HazmatSuit</t>
  </si>
  <si>
    <t>Hellevator</t>
  </si>
  <si>
    <t>HerCodeNameWasMarySue</t>
  </si>
  <si>
    <t>HeroesPreferSwords</t>
  </si>
  <si>
    <t>HiddenSupplies</t>
  </si>
  <si>
    <t>HijackedByJesus</t>
  </si>
  <si>
    <t>HippieTeacher</t>
  </si>
  <si>
    <t>HistoricalRapSheet</t>
  </si>
  <si>
    <t>HitlerAteSugar</t>
  </si>
  <si>
    <t>HollywoodExorcism</t>
  </si>
  <si>
    <t>HollywoodFire</t>
  </si>
  <si>
    <t>HomeGuard</t>
  </si>
  <si>
    <t>HomemadeSweaterFromHell</t>
  </si>
  <si>
    <t>HopeBringer</t>
  </si>
  <si>
    <t>HorribleCampingTrip</t>
  </si>
  <si>
    <t>HumanNotepad</t>
  </si>
  <si>
    <t>HumanoidAliens</t>
  </si>
  <si>
    <t>HumanPincushion</t>
  </si>
  <si>
    <t>HypocriticalHeartwarming</t>
  </si>
  <si>
    <t>IAmXSonOfY</t>
  </si>
  <si>
    <t>ICantDance</t>
  </si>
  <si>
    <t>IgnoredConfession</t>
  </si>
  <si>
    <t>IJustWantToBeFree</t>
  </si>
  <si>
    <t>ImpossiblyLowNeckline</t>
  </si>
  <si>
    <t>IncrediblyLongNote</t>
  </si>
  <si>
    <t>IndyHatRoll</t>
  </si>
  <si>
    <t>InnocentCohabitation</t>
  </si>
  <si>
    <t>InSPACE</t>
  </si>
  <si>
    <t>ItsForABook</t>
  </si>
  <si>
    <t>ItsNotYouItsMe</t>
  </si>
  <si>
    <t>JailBake</t>
  </si>
  <si>
    <t>JewsLoveToArgue</t>
  </si>
  <si>
    <t>JobStealingRobot</t>
  </si>
  <si>
    <t>JoinTheArmyTheySaid</t>
  </si>
  <si>
    <t>KentBrockmanNews</t>
  </si>
  <si>
    <t>Kiai</t>
  </si>
  <si>
    <t>KitschyLocalCommercial</t>
  </si>
  <si>
    <t>KnuckleTattoos</t>
  </si>
  <si>
    <t>LapPillow</t>
  </si>
  <si>
    <t>LatexSpaceSuit</t>
  </si>
  <si>
    <t>LawOfConservationOfDetail</t>
  </si>
  <si>
    <t>LegCling</t>
  </si>
  <si>
    <t>LetMeAtHim</t>
  </si>
  <si>
    <t>LickedByTheDog</t>
  </si>
  <si>
    <t>LittleStowaway</t>
  </si>
  <si>
    <t>LockedRoomMystery</t>
  </si>
  <si>
    <t>LongDistanceRelationship</t>
  </si>
  <si>
    <t>LongHairIsFeminine</t>
  </si>
  <si>
    <t>LostInTransmission</t>
  </si>
  <si>
    <t>LoveInterests</t>
  </si>
  <si>
    <t>LovelyAssistant</t>
  </si>
  <si>
    <t>LuddWasRight</t>
  </si>
  <si>
    <t>MadOracle</t>
  </si>
  <si>
    <t>ManiacMonkeys</t>
  </si>
  <si>
    <t>MealTicket</t>
  </si>
  <si>
    <t>MeaninglessVillainVictory</t>
  </si>
  <si>
    <t>MetalHead</t>
  </si>
  <si>
    <t>MilkmanConspiracy</t>
  </si>
  <si>
    <t>MindScrewdriver</t>
  </si>
  <si>
    <t>MonsterProgenitor</t>
  </si>
  <si>
    <t>MotivationalLie</t>
  </si>
  <si>
    <t>MountainMan</t>
  </si>
  <si>
    <t>MurderDotCom</t>
  </si>
  <si>
    <t>MusicalNod</t>
  </si>
  <si>
    <t>MyLittlePanzer</t>
  </si>
  <si>
    <t>MySignificanceSenseIsTingling</t>
  </si>
  <si>
    <t>NakedInMink</t>
  </si>
  <si>
    <t>NarrativeProfanityFilter</t>
  </si>
  <si>
    <t>NasalTrauma</t>
  </si>
  <si>
    <t>NeighbourhoodFriendlyGangsters</t>
  </si>
  <si>
    <t>NeverOneMurder</t>
  </si>
  <si>
    <t>NeverRecycleABuilding</t>
  </si>
  <si>
    <t>NewspaperThinDisguise</t>
  </si>
  <si>
    <t>NiceJobBreakingItHerod</t>
  </si>
  <si>
    <t>NightmareDreams</t>
  </si>
  <si>
    <t>NobodyHereButUsBirds</t>
  </si>
  <si>
    <t>NoMereWindmill</t>
  </si>
  <si>
    <t>NominalImportance</t>
  </si>
  <si>
    <t>NonchalantDodge</t>
  </si>
  <si>
    <t>NostalgicNarrator</t>
  </si>
  <si>
    <t>NowWhat</t>
  </si>
  <si>
    <t>OfficeGolf</t>
  </si>
  <si>
    <t>OffToBoardingSchool</t>
  </si>
  <si>
    <t>OilSlick</t>
  </si>
  <si>
    <t>OldSchoolChivalry</t>
  </si>
  <si>
    <t>OneWomanArmy</t>
  </si>
  <si>
    <t>OnlyInFlorida</t>
  </si>
  <si>
    <t>OrAreYouJustHappyToSeeMe</t>
  </si>
  <si>
    <t>OrdinaryHighSchoolStudent</t>
  </si>
  <si>
    <t>OurSoulsAreDifferent</t>
  </si>
  <si>
    <t>OverlyNervousFlopSweat</t>
  </si>
  <si>
    <t>ParentService</t>
  </si>
  <si>
    <t>PassionateSportsGirl</t>
  </si>
  <si>
    <t>PetGetsTheKeys</t>
  </si>
  <si>
    <t>PetHomosexual</t>
  </si>
  <si>
    <t>PlanetOfSteves</t>
  </si>
  <si>
    <t>PlatonicDeclarationOfLove</t>
  </si>
  <si>
    <t>PlayAlongPrisoner</t>
  </si>
  <si>
    <t>PlayboyBunny</t>
  </si>
  <si>
    <t>PopUpTexting</t>
  </si>
  <si>
    <t>PortalDoor</t>
  </si>
  <si>
    <t>PostNineElevenTerrorismMovie</t>
  </si>
  <si>
    <t>PowerOfLove</t>
  </si>
  <si>
    <t>PreciousPhoto</t>
  </si>
  <si>
    <t>PreppyName</t>
  </si>
  <si>
    <t>PressurePoint</t>
  </si>
  <si>
    <t>Psychopomp</t>
  </si>
  <si>
    <t>PublicDomainCharacter</t>
  </si>
  <si>
    <t>PublicSecretMessage</t>
  </si>
  <si>
    <t>PutTheirHeadsTogether</t>
  </si>
  <si>
    <t>QueerPeopleAreFunny</t>
  </si>
  <si>
    <t>RaceAgainstTime</t>
  </si>
  <si>
    <t>RealMenCook</t>
  </si>
  <si>
    <t>ReducedToDust</t>
  </si>
  <si>
    <t>RelativeError</t>
  </si>
  <si>
    <t>RenaissanceMan</t>
  </si>
  <si>
    <t>RequisiteRoyalRegalia</t>
  </si>
  <si>
    <t>RetroactiveRecognition</t>
  </si>
  <si>
    <t>ReturningWarVet</t>
  </si>
  <si>
    <t>RevealingInjury</t>
  </si>
  <si>
    <t>ReverseCerebusSyndrome</t>
  </si>
  <si>
    <t>RhetoricalRequestBlunder</t>
  </si>
  <si>
    <t>RightHandAttackDog</t>
  </si>
  <si>
    <t>RockMeAsmodeus</t>
  </si>
  <si>
    <t>RollerbladeGood</t>
  </si>
  <si>
    <t>RoyalBlood</t>
  </si>
  <si>
    <t>RuleOfFun</t>
  </si>
  <si>
    <t>SaltTheEarth</t>
  </si>
  <si>
    <t>SassySecretary</t>
  </si>
  <si>
    <t>SaveScumming</t>
  </si>
  <si>
    <t>ScarSurvey</t>
  </si>
  <si>
    <t>SecurityBlanket</t>
  </si>
  <si>
    <t>SequelReset</t>
  </si>
  <si>
    <t>SettlingTheFrontier</t>
  </si>
  <si>
    <t>SevenMinuteLull</t>
  </si>
  <si>
    <t>SexyPriest</t>
  </si>
  <si>
    <t>ShockCollar</t>
  </si>
  <si>
    <t>ShootingGallery</t>
  </si>
  <si>
    <t>SignatureShot</t>
  </si>
  <si>
    <t>SinisterShiv</t>
  </si>
  <si>
    <t>SixthRangerTraitor</t>
  </si>
  <si>
    <t>SlowlySlippingIntoEvil</t>
  </si>
  <si>
    <t>SmallReferencePools</t>
  </si>
  <si>
    <t>SocialServicesDoesNotExist</t>
  </si>
  <si>
    <t>SoldiersAtTheRear</t>
  </si>
  <si>
    <t>SomeKindOfForceField</t>
  </si>
  <si>
    <t>SourOutsideSadInside</t>
  </si>
  <si>
    <t>SpaceMadness</t>
  </si>
  <si>
    <t>SpaceMarine</t>
  </si>
  <si>
    <t>SpacePirates</t>
  </si>
  <si>
    <t>SpaceStation</t>
  </si>
  <si>
    <t>SpandexLatexOrLeather</t>
  </si>
  <si>
    <t>StageName</t>
  </si>
  <si>
    <t>StandardHollywoodStrafingProcedure</t>
  </si>
  <si>
    <t>StereotypeFlip</t>
  </si>
  <si>
    <t>SuddenSoundtrackStop</t>
  </si>
  <si>
    <t>SuggestiveCollision</t>
  </si>
  <si>
    <t>SuicidalGotcha</t>
  </si>
  <si>
    <t>SuicideBySunlight</t>
  </si>
  <si>
    <t>SupernaturalMartialArts</t>
  </si>
  <si>
    <t>SwitchingPOV</t>
  </si>
  <si>
    <t>SwordOverHead</t>
  </si>
  <si>
    <t>TheBackwardsR</t>
  </si>
  <si>
    <t>TheBlackDeath</t>
  </si>
  <si>
    <t>TheCityNarrows</t>
  </si>
  <si>
    <t>TheCoconutEffect</t>
  </si>
  <si>
    <t>TheConsigliere</t>
  </si>
  <si>
    <t>TheCracker</t>
  </si>
  <si>
    <t>TheFettered</t>
  </si>
  <si>
    <t>TheHermit</t>
  </si>
  <si>
    <t>TheJailBaitWait</t>
  </si>
  <si>
    <t>TheLadysFavour</t>
  </si>
  <si>
    <t>TheLastStraw</t>
  </si>
  <si>
    <t>TheMark</t>
  </si>
  <si>
    <t>TheMindIsAPlaythingOfTheBody</t>
  </si>
  <si>
    <t>ThereIsAnother</t>
  </si>
  <si>
    <t>TheVietnamVet</t>
  </si>
  <si>
    <t>TheWhiteHouse</t>
  </si>
  <si>
    <t>TheWomanWearingTheQueenlyMask</t>
  </si>
  <si>
    <t>TheyWastedAPerfectlyGoodPlot</t>
  </si>
  <si>
    <t>ThreeLawsCompliant</t>
  </si>
  <si>
    <t>TimeDilation</t>
  </si>
  <si>
    <t>TimeLoopTrap</t>
  </si>
  <si>
    <t>TookALevelInDumbass</t>
  </si>
  <si>
    <t>TortureIsIneffective</t>
  </si>
  <si>
    <t>TragicBromance</t>
  </si>
  <si>
    <t>TwangHello</t>
  </si>
  <si>
    <t>TwinTelepathy</t>
  </si>
  <si>
    <t>TwoTeacherSchool</t>
  </si>
  <si>
    <t>UltimateShowdownOfUltimateDestiny</t>
  </si>
  <si>
    <t>UndercoverAsLovers</t>
  </si>
  <si>
    <t>UnderTheTruck</t>
  </si>
  <si>
    <t>UnfinishedUntestedUsedAnyway</t>
  </si>
  <si>
    <t>UniversalDriversLicense</t>
  </si>
  <si>
    <t>UnusualUserInterface</t>
  </si>
  <si>
    <t>UrbanSegregation</t>
  </si>
  <si>
    <t>VanInBlack</t>
  </si>
  <si>
    <t>VictorianLondon</t>
  </si>
  <si>
    <t>VoluntaryShapeshifter</t>
  </si>
  <si>
    <t>WaitingForABreak</t>
  </si>
  <si>
    <t>WakingNonSequitur</t>
  </si>
  <si>
    <t>WakingUpElsewhere</t>
  </si>
  <si>
    <t>WalkingDisasterArea</t>
  </si>
  <si>
    <t>WalkThePlank</t>
  </si>
  <si>
    <t>WarriorMonk</t>
  </si>
  <si>
    <t>WeaponizedExhaust</t>
  </si>
  <si>
    <t>WeAreEverywhere</t>
  </si>
  <si>
    <t>WeComeInPeaceShootToKill</t>
  </si>
  <si>
    <t>WetBlanketWife</t>
  </si>
  <si>
    <t>WhatASenselessWasteOfHumanLife</t>
  </si>
  <si>
    <t>WhiteCollarCrime</t>
  </si>
  <si>
    <t>WhoNeedsTheirWholeBody</t>
  </si>
  <si>
    <t>WhyCouldntYouBeDifferent</t>
  </si>
  <si>
    <t>WitchWithACapitalB</t>
  </si>
  <si>
    <t>WorldOfPun</t>
  </si>
  <si>
    <t>XRaySparks</t>
  </si>
  <si>
    <t>YouFool</t>
  </si>
  <si>
    <t>YouMustBeCold</t>
  </si>
  <si>
    <t>ABloodyMess</t>
  </si>
  <si>
    <t>AbnormalLimbRotationRange</t>
  </si>
  <si>
    <t>AcquiredPoisonImmunity</t>
  </si>
  <si>
    <t>ADeadlyAffair</t>
  </si>
  <si>
    <t>AFoolForAClient</t>
  </si>
  <si>
    <t>AirVentEscape</t>
  </si>
  <si>
    <t>ALadyOnEachArm</t>
  </si>
  <si>
    <t>AlternateRealityGame</t>
  </si>
  <si>
    <t>AmateurCast</t>
  </si>
  <si>
    <t>AMFMCharacterization</t>
  </si>
  <si>
    <t>AncestralWeapon</t>
  </si>
  <si>
    <t>AngerMontage</t>
  </si>
  <si>
    <t>AnimalStampede</t>
  </si>
  <si>
    <t>AnimatedArmor</t>
  </si>
  <si>
    <t>AnimeHair</t>
  </si>
  <si>
    <t>Animorphism</t>
  </si>
  <si>
    <t>ArabOilSheikh</t>
  </si>
  <si>
    <t>ArgumentOfContradictions</t>
  </si>
  <si>
    <t>ArousedByTheirVoice</t>
  </si>
  <si>
    <t>ArtificialZombie</t>
  </si>
  <si>
    <t>AsianAirhead</t>
  </si>
  <si>
    <t>AssInAmbassador</t>
  </si>
  <si>
    <t>AwesomeAnachronisticApparel</t>
  </si>
  <si>
    <t>AwkwardFatherSonBondingActivity</t>
  </si>
  <si>
    <t>BackstabBackfire</t>
  </si>
  <si>
    <t>BadassBandolier</t>
  </si>
  <si>
    <t>BadassDecay</t>
  </si>
  <si>
    <t>BadassNative</t>
  </si>
  <si>
    <t>BandagedFace</t>
  </si>
  <si>
    <t>BatmanInMyBasement</t>
  </si>
  <si>
    <t>BattleOfWits</t>
  </si>
  <si>
    <t>BettyAndVeronicaSwitch</t>
  </si>
  <si>
    <t>BigBraToFill</t>
  </si>
  <si>
    <t>BigDamnHero</t>
  </si>
  <si>
    <t>BigOlUnibrow</t>
  </si>
  <si>
    <t>BigStupidDoodooHead</t>
  </si>
  <si>
    <t>BitsOfMeKeepPassingOut</t>
  </si>
  <si>
    <t>BleakAbyssRetirementHome</t>
  </si>
  <si>
    <t>BlindDate</t>
  </si>
  <si>
    <t>Blipvert</t>
  </si>
  <si>
    <t>BodyguardingABadass</t>
  </si>
  <si>
    <t>BoisterousWeakling</t>
  </si>
  <si>
    <t>BoldExplorer</t>
  </si>
  <si>
    <t>BookEnd</t>
  </si>
  <si>
    <t>BoringReturnJourney</t>
  </si>
  <si>
    <t>BraidsOfAction</t>
  </si>
  <si>
    <t>BreakTheBadass</t>
  </si>
  <si>
    <t>BuildingOfAdventure</t>
  </si>
  <si>
    <t>BulletDancing</t>
  </si>
  <si>
    <t>BuzzingTheDeck</t>
  </si>
  <si>
    <t>CallingMeALogarithm</t>
  </si>
  <si>
    <t>CampbellCountry</t>
  </si>
  <si>
    <t>CassetteFuturism</t>
  </si>
  <si>
    <t>CastTheExpert</t>
  </si>
  <si>
    <t>CensoredChildDeath</t>
  </si>
  <si>
    <t>ChalkOutline</t>
  </si>
  <si>
    <t>ChandelierSwing</t>
  </si>
  <si>
    <t>ChangeTheUncomfortableSubject</t>
  </si>
  <si>
    <t>CharacterAgedWithTheActor</t>
  </si>
  <si>
    <t>ChekhovMIA</t>
  </si>
  <si>
    <t>CherubicChoir</t>
  </si>
  <si>
    <t>ChildrenRaiseYou</t>
  </si>
  <si>
    <t>ChurchOfSaintGenericus</t>
  </si>
  <si>
    <t>ClassicalMovieVampire</t>
  </si>
  <si>
    <t>ClockTower</t>
  </si>
  <si>
    <t>CloneDegeneration</t>
  </si>
  <si>
    <t>ComicalOverreacting</t>
  </si>
  <si>
    <t>ComicTrio</t>
  </si>
  <si>
    <t>CompartmentShot</t>
  </si>
  <si>
    <t>ConfrontingYourImposter</t>
  </si>
  <si>
    <t>ConvictedByPublicOpinion</t>
  </si>
  <si>
    <t>CoolHat</t>
  </si>
  <si>
    <t>CoolHouse</t>
  </si>
  <si>
    <t>CosmicKeystone</t>
  </si>
  <si>
    <t>CosmopolitanCouncil</t>
  </si>
  <si>
    <t>CoughSnarkCough</t>
  </si>
  <si>
    <t>CoveredWithScars</t>
  </si>
  <si>
    <t>CripplingCastration</t>
  </si>
  <si>
    <t>CuteBookworm</t>
  </si>
  <si>
    <t>CynicalMentor</t>
  </si>
  <si>
    <t>DangerRoomColdOpen</t>
  </si>
  <si>
    <t>DarkWorld</t>
  </si>
  <si>
    <t>DeadManHonking</t>
  </si>
  <si>
    <t>DefectorFromCommieLand</t>
  </si>
  <si>
    <t>DeliberatelyCuteChild</t>
  </si>
  <si>
    <t>DemonicDummy</t>
  </si>
  <si>
    <t>DerailingLoveInterests</t>
  </si>
  <si>
    <t>DerelictGraveyard</t>
  </si>
  <si>
    <t>DescendingCeiling</t>
  </si>
  <si>
    <t>DesecratingTheDead</t>
  </si>
  <si>
    <t>DestructiveSaviour</t>
  </si>
  <si>
    <t>Dhampyr</t>
  </si>
  <si>
    <t>DidYouThinkICantFeel</t>
  </si>
  <si>
    <t>DirectToVideo</t>
  </si>
  <si>
    <t>DodgeTheBullet</t>
  </si>
  <si>
    <t>DoomedHurtGuy</t>
  </si>
  <si>
    <t>DownInTheDumps</t>
  </si>
  <si>
    <t>DroppedGlasses</t>
  </si>
  <si>
    <t>DumbDinos</t>
  </si>
  <si>
    <t>DyingSmirk</t>
  </si>
  <si>
    <t>EatTheCamera</t>
  </si>
  <si>
    <t>ElectiveMute</t>
  </si>
  <si>
    <t>EleventhHourRanger</t>
  </si>
  <si>
    <t>EmergencyBroadcast</t>
  </si>
  <si>
    <t>EmergencyRefuelling</t>
  </si>
  <si>
    <t>EnigmaticMinion</t>
  </si>
  <si>
    <t>EscortMission</t>
  </si>
  <si>
    <t>EvilChef</t>
  </si>
  <si>
    <t>EvilIsDeathlyCold</t>
  </si>
  <si>
    <t>EvilSoundsRaspy</t>
  </si>
  <si>
    <t>EvilStoleMyFaith</t>
  </si>
  <si>
    <t>ExcessiveEvilEyeshadow</t>
  </si>
  <si>
    <t>Exploited</t>
  </si>
  <si>
    <t>ExplosiveBreeder</t>
  </si>
  <si>
    <t>Expospeak</t>
  </si>
  <si>
    <t>EyeLightsOut</t>
  </si>
  <si>
    <t>EyePoke</t>
  </si>
  <si>
    <t>FairWeatherFriend</t>
  </si>
  <si>
    <t>FalseRoulette</t>
  </si>
  <si>
    <t>FamilyFriendlyStripper</t>
  </si>
  <si>
    <t>FantasyKitchenSink</t>
  </si>
  <si>
    <t>FiredTeacher</t>
  </si>
  <si>
    <t>FireWaterJuxtaposition</t>
  </si>
  <si>
    <t>FisheyeLens</t>
  </si>
  <si>
    <t>FliesEqualsEvil</t>
  </si>
  <si>
    <t>ForcedIntoEvil</t>
  </si>
  <si>
    <t>ForcedOutOfTheCloset</t>
  </si>
  <si>
    <t>ForeverWar</t>
  </si>
  <si>
    <t>FormerRegimePersonnel</t>
  </si>
  <si>
    <t>FreakLabAccident</t>
  </si>
  <si>
    <t>FriendlyNeighborhoodVampire</t>
  </si>
  <si>
    <t>FunnyAneurysmMoment</t>
  </si>
  <si>
    <t>FutureSpandex</t>
  </si>
  <si>
    <t>GayBravado</t>
  </si>
  <si>
    <t>GentlemanAdventurer</t>
  </si>
  <si>
    <t>GentlemanAndAScholar</t>
  </si>
  <si>
    <t>GenuineHumanHide</t>
  </si>
  <si>
    <t>GetIntoJailFree</t>
  </si>
  <si>
    <t>GhostlyChill</t>
  </si>
  <si>
    <t>GivingSomeoneThePointerFinger</t>
  </si>
  <si>
    <t>GlobalWarming</t>
  </si>
  <si>
    <t>GlowingEyes</t>
  </si>
  <si>
    <t>GoldTooth</t>
  </si>
  <si>
    <t>GonnaNeedMoreX</t>
  </si>
  <si>
    <t>GoodNewsBadNews</t>
  </si>
  <si>
    <t>GriefSong</t>
  </si>
  <si>
    <t>GrimUpNorth</t>
  </si>
  <si>
    <t>GuardianAngel</t>
  </si>
  <si>
    <t>HackerCave</t>
  </si>
  <si>
    <t>HanlonsRazor</t>
  </si>
  <si>
    <t>HappyRain</t>
  </si>
  <si>
    <t>HeartInTheWrongPlace</t>
  </si>
  <si>
    <t>HeelRealisation</t>
  </si>
  <si>
    <t>HeroicSeductress</t>
  </si>
  <si>
    <t>HeyLetsPutOnAShow</t>
  </si>
  <si>
    <t>HiddenBadass</t>
  </si>
  <si>
    <t>HighAltitudeBattle</t>
  </si>
  <si>
    <t>HollywoodAutism</t>
  </si>
  <si>
    <t>HologramProjectionImperfection</t>
  </si>
  <si>
    <t>HomeFieldAdvantage</t>
  </si>
  <si>
    <t>HorsemenOfTheApocalypse</t>
  </si>
  <si>
    <t>HotPursuit</t>
  </si>
  <si>
    <t>IAmNotMyFather</t>
  </si>
  <si>
    <t>ICanChangeMyBeloved</t>
  </si>
  <si>
    <t>IJustWantToBeYou</t>
  </si>
  <si>
    <t>ILikeThoseOdds</t>
  </si>
  <si>
    <t>ImminentDangerClue</t>
  </si>
  <si>
    <t>ImpersonationGambit</t>
  </si>
  <si>
    <t>ImprobableHairstyle</t>
  </si>
  <si>
    <t>InsectoidAliens</t>
  </si>
  <si>
    <t>InstantAIJustAddWater</t>
  </si>
  <si>
    <t>IntangibleMan</t>
  </si>
  <si>
    <t>InterrogationFlashback</t>
  </si>
  <si>
    <t>IntertwinedFingers</t>
  </si>
  <si>
    <t>InvadedStatesOfAmerica</t>
  </si>
  <si>
    <t>InvoluntaryShapeshifting</t>
  </si>
  <si>
    <t>IrishPriest</t>
  </si>
  <si>
    <t>IronicNurseryRhyme</t>
  </si>
  <si>
    <t>ItsALongStory</t>
  </si>
  <si>
    <t>ItWasAGift</t>
  </si>
  <si>
    <t>JustAKid</t>
  </si>
  <si>
    <t>KidsPlayMatchmaker</t>
  </si>
  <si>
    <t>KineticWeaponsAreJustBetter</t>
  </si>
  <si>
    <t>KirksRock</t>
  </si>
  <si>
    <t>KitchenChase</t>
  </si>
  <si>
    <t>KleptomaniacHero</t>
  </si>
  <si>
    <t>KnightInSourArmour</t>
  </si>
  <si>
    <t>KukrisAreKool</t>
  </si>
  <si>
    <t>LandInTheSaddle</t>
  </si>
  <si>
    <t>LarynxDissonance</t>
  </si>
  <si>
    <t>LawmanGoneBad</t>
  </si>
  <si>
    <t>LetsGetOutOfHere</t>
  </si>
  <si>
    <t>LikeFatherUnlikeSon</t>
  </si>
  <si>
    <t>LikeYouWereDying</t>
  </si>
  <si>
    <t>ListOfTransgressions</t>
  </si>
  <si>
    <t>LiveActionEscortMission</t>
  </si>
  <si>
    <t>LockedInARoom</t>
  </si>
  <si>
    <t>LohengrinAndMendelssohn</t>
  </si>
  <si>
    <t>MacGuffinEscortMission</t>
  </si>
  <si>
    <t>MarijuanaIsLSD</t>
  </si>
  <si>
    <t>MasterOfTheMixedMessage</t>
  </si>
  <si>
    <t>McNinja</t>
  </si>
  <si>
    <t>MeaninglessMeaningfulWords</t>
  </si>
  <si>
    <t>MeanwhileInTheFuture</t>
  </si>
  <si>
    <t>MeddlingParents</t>
  </si>
  <si>
    <t>MediaScrum</t>
  </si>
  <si>
    <t>MenActWomenAre</t>
  </si>
  <si>
    <t>MetalDetectorCheckpoint</t>
  </si>
  <si>
    <t>MetronomicManMashing</t>
  </si>
  <si>
    <t>MirrorMonster</t>
  </si>
  <si>
    <t>MirrorRoutine</t>
  </si>
  <si>
    <t>MisplacedAccent</t>
  </si>
  <si>
    <t>MixAndMatchMan</t>
  </si>
  <si>
    <t>MoneyToBurn</t>
  </si>
  <si>
    <t>MoneyToThrowAway</t>
  </si>
  <si>
    <t>MrFixIt</t>
  </si>
  <si>
    <t>MrViceGuy</t>
  </si>
  <si>
    <t>MudWrestling</t>
  </si>
  <si>
    <t>MultiArmedAndDangerous</t>
  </si>
  <si>
    <t>MurphysBed</t>
  </si>
  <si>
    <t>MusicForCourage</t>
  </si>
  <si>
    <t>MyLifeFlashedBeforeMyEyes</t>
  </si>
  <si>
    <t>NaughtyNurseOutfit</t>
  </si>
  <si>
    <t>NaziNobleman</t>
  </si>
  <si>
    <t>NeverendingTerror</t>
  </si>
  <si>
    <t>NiceShoes</t>
  </si>
  <si>
    <t>NightVisionGoggles</t>
  </si>
  <si>
    <t>NitroBoost</t>
  </si>
  <si>
    <t>NitroExpress</t>
  </si>
  <si>
    <t>NobodyTouchesTheHair</t>
  </si>
  <si>
    <t>NonAnswer</t>
  </si>
  <si>
    <t>NonNudeBathing</t>
  </si>
  <si>
    <t>NoNonsenseNemesis</t>
  </si>
  <si>
    <t>NonverbalMiscommunication</t>
  </si>
  <si>
    <t>NoSenseOfHumor</t>
  </si>
  <si>
    <t>NotAGame</t>
  </si>
  <si>
    <t>NotAZombie</t>
  </si>
  <si>
    <t>NotGoodWithPeople</t>
  </si>
  <si>
    <t>NoTimeToExplain</t>
  </si>
  <si>
    <t>NotListeningToMeAreYou</t>
  </si>
  <si>
    <t>NowYouTellMe</t>
  </si>
  <si>
    <t>NuclearOption</t>
  </si>
  <si>
    <t>ObliviousJanitorCut</t>
  </si>
  <si>
    <t>OccupiersOutOfOurCountry</t>
  </si>
  <si>
    <t>OlderSidekick</t>
  </si>
  <si>
    <t>OneOfTheKids</t>
  </si>
  <si>
    <t>OuijaBoard</t>
  </si>
  <si>
    <t>OverlyLongScream</t>
  </si>
  <si>
    <t>ParallelPornTitles</t>
  </si>
  <si>
    <t>ParentsInDistress</t>
  </si>
  <si>
    <t>ParkingPayback</t>
  </si>
  <si>
    <t>ParodySue</t>
  </si>
  <si>
    <t>PeacefulInDeath</t>
  </si>
  <si>
    <t>PeoplesRepublicOfTyranny</t>
  </si>
  <si>
    <t>PerpetualSmiler</t>
  </si>
  <si>
    <t>PlotTailoredToTheParty</t>
  </si>
  <si>
    <t>PointDefenseless</t>
  </si>
  <si>
    <t>PoisonIsCorrosive</t>
  </si>
  <si>
    <t>PopularIsDumb</t>
  </si>
  <si>
    <t>PortalNetwork</t>
  </si>
  <si>
    <t>PosterGalleryBedroom</t>
  </si>
  <si>
    <t>PovertyFood</t>
  </si>
  <si>
    <t>PreClimaxClimax</t>
  </si>
  <si>
    <t>ProductionPosse</t>
  </si>
  <si>
    <t>PsychoElectro</t>
  </si>
  <si>
    <t>PublicDomainArtifact</t>
  </si>
  <si>
    <t>PullingThemselvesTogether</t>
  </si>
  <si>
    <t>PutTheLaughterInSlaughter</t>
  </si>
  <si>
    <t>QuestForSex</t>
  </si>
  <si>
    <t>QuestioningTitle</t>
  </si>
  <si>
    <t>QuieterThanSilence</t>
  </si>
  <si>
    <t>QuittingToGetMarried</t>
  </si>
  <si>
    <t>RaisedByWolves</t>
  </si>
  <si>
    <t>ReactiveContinuousScream</t>
  </si>
  <si>
    <t>ReligionIsMagic</t>
  </si>
  <si>
    <t>RentAZilla</t>
  </si>
  <si>
    <t>Retool</t>
  </si>
  <si>
    <t>RibbonCuttingCeremony</t>
  </si>
  <si>
    <t>RiteOfPassage</t>
  </si>
  <si>
    <t>Robinsonade</t>
  </si>
  <si>
    <t>Ronin</t>
  </si>
  <si>
    <t>SaharanShipwreck</t>
  </si>
  <si>
    <t>SanDimasTime</t>
  </si>
  <si>
    <t>SatanicArchetype</t>
  </si>
  <si>
    <t>ScaramangaSpecial</t>
  </si>
  <si>
    <t>ScaryTeeth</t>
  </si>
  <si>
    <t>ScoobyDoobyDoors</t>
  </si>
  <si>
    <t>ScoutOut</t>
  </si>
  <si>
    <t>SealedGoodInACan</t>
  </si>
  <si>
    <t>SelectiveMagnetism</t>
  </si>
  <si>
    <t>SelfDestructiveCharge</t>
  </si>
  <si>
    <t>SenselessViolins</t>
  </si>
  <si>
    <t>SetBehindTheScenes</t>
  </si>
  <si>
    <t>SexMontage</t>
  </si>
  <si>
    <t>Shapeshifting</t>
  </si>
  <si>
    <t>ShapeshiftingExcludesClothing</t>
  </si>
  <si>
    <t>ShrineToSelf</t>
  </si>
  <si>
    <t>ShutUpGunshot</t>
  </si>
  <si>
    <t>SickAndWrong</t>
  </si>
  <si>
    <t>SilenceYouFool</t>
  </si>
  <si>
    <t>SittingDuck</t>
  </si>
  <si>
    <t>SizeShifter</t>
  </si>
  <si>
    <t>SkeletonKeyCard</t>
  </si>
  <si>
    <t>SlidingScaleOfGenderInequality</t>
  </si>
  <si>
    <t>SlipperySkid</t>
  </si>
  <si>
    <t>SlobsVsSnobs</t>
  </si>
  <si>
    <t>SlouchOfVillainy</t>
  </si>
  <si>
    <t>SmartPeopleKnowLatin</t>
  </si>
  <si>
    <t>SmellySkunk</t>
  </si>
  <si>
    <t>SneezeOfDoom</t>
  </si>
  <si>
    <t>SnipeHunt</t>
  </si>
  <si>
    <t>SnowyScreenOfDeath</t>
  </si>
  <si>
    <t>SouthernFriedPrivate</t>
  </si>
  <si>
    <t>SpaceX</t>
  </si>
  <si>
    <t>SpeakIllOfTheDead</t>
  </si>
  <si>
    <t>SpeaksInShoutOuts</t>
  </si>
  <si>
    <t>SpiesInAVan</t>
  </si>
  <si>
    <t>StarMakingRole</t>
  </si>
  <si>
    <t>StillWearingTheOldColors</t>
  </si>
  <si>
    <t>StopOrIShootMyself</t>
  </si>
  <si>
    <t>StoryboardingTheApocalypse</t>
  </si>
  <si>
    <t>StreetSmart</t>
  </si>
  <si>
    <t>StunGuns</t>
  </si>
  <si>
    <t>SubliminalSeduction</t>
  </si>
  <si>
    <t>SubStory</t>
  </si>
  <si>
    <t>SunshineNoir</t>
  </si>
  <si>
    <t>SuperpowerLottery</t>
  </si>
  <si>
    <t>SuperVillain</t>
  </si>
  <si>
    <t>SwampsAreEvil</t>
  </si>
  <si>
    <t>SwissArmyAppendage</t>
  </si>
  <si>
    <t>SwordSparks</t>
  </si>
  <si>
    <t>TaeKwonDoor</t>
  </si>
  <si>
    <t>TeamHandStack</t>
  </si>
  <si>
    <t>TechMarchesOn</t>
  </si>
  <si>
    <t>TeensAreShort</t>
  </si>
  <si>
    <t>TheAllegedHouse</t>
  </si>
  <si>
    <t>TheAnticipator</t>
  </si>
  <si>
    <t>TheApunkalypse</t>
  </si>
  <si>
    <t>TheBeastmaster</t>
  </si>
  <si>
    <t>TheBermudaTriangle</t>
  </si>
  <si>
    <t>TheChosenZero</t>
  </si>
  <si>
    <t>TheCoroner</t>
  </si>
  <si>
    <t>TheGruntingOrgasm</t>
  </si>
  <si>
    <t>TheHeist</t>
  </si>
  <si>
    <t>TheMobBossIsScarier</t>
  </si>
  <si>
    <t>TheNewRockAndRoll</t>
  </si>
  <si>
    <t>TheOneGuy</t>
  </si>
  <si>
    <t>ThePoliticalOfficer</t>
  </si>
  <si>
    <t>TheRez</t>
  </si>
  <si>
    <t>TheRuntAtTheEnd</t>
  </si>
  <si>
    <t>TheShangriLa</t>
  </si>
  <si>
    <t>TheSpartanWay</t>
  </si>
  <si>
    <t>TheWorldIsNotReady</t>
  </si>
  <si>
    <t>TheWormThatWalks</t>
  </si>
  <si>
    <t>ThisIsNotADrill</t>
  </si>
  <si>
    <t>ThreeActStructure</t>
  </si>
  <si>
    <t>ThreeAmigos</t>
  </si>
  <si>
    <t>TimeTravelTenseTrouble</t>
  </si>
  <si>
    <t>TokenReligiousTeammate</t>
  </si>
  <si>
    <t>TokyoRose</t>
  </si>
  <si>
    <t>TomTheDarkLord</t>
  </si>
  <si>
    <t>TrailOfBlood</t>
  </si>
  <si>
    <t>Transhuman</t>
  </si>
  <si>
    <t>TranslationByVolume</t>
  </si>
  <si>
    <t>TrashOfTheTitans</t>
  </si>
  <si>
    <t>TribalFacePaint</t>
  </si>
  <si>
    <t>TwistedAnkle</t>
  </si>
  <si>
    <t>UltimateLifeForm</t>
  </si>
  <si>
    <t>UndeathlyPallor</t>
  </si>
  <si>
    <t>UnhandThemVillain</t>
  </si>
  <si>
    <t>Unobtanium</t>
  </si>
  <si>
    <t>UnreliableVoiceover</t>
  </si>
  <si>
    <t>VaguenessIsComing</t>
  </si>
  <si>
    <t>VampireVannabe</t>
  </si>
  <si>
    <t>VanHelsingHateCrimes</t>
  </si>
  <si>
    <t>ViceCity</t>
  </si>
  <si>
    <t>VillainousFaceHold</t>
  </si>
  <si>
    <t>ViralMarketing</t>
  </si>
  <si>
    <t>ViralTransformation</t>
  </si>
  <si>
    <t>VirginShaming</t>
  </si>
  <si>
    <t>VisionQuest</t>
  </si>
  <si>
    <t>VisitByDivorcedDad</t>
  </si>
  <si>
    <t>VulnerableConvoy</t>
  </si>
  <si>
    <t>WackySoundEffect</t>
  </si>
  <si>
    <t>WatchingTheSunset</t>
  </si>
  <si>
    <t>WaterSourceTampering</t>
  </si>
  <si>
    <t>WeakButSkilled</t>
  </si>
  <si>
    <t>WeaponizedLandmark</t>
  </si>
  <si>
    <t>WeAreAsMayflies</t>
  </si>
  <si>
    <t>WeHaveWaysOfMakingYouTalk</t>
  </si>
  <si>
    <t>WeirdnessMagnet</t>
  </si>
  <si>
    <t>WelcomeToHell</t>
  </si>
  <si>
    <t>WeWillUseManualLaborInTheFuture</t>
  </si>
  <si>
    <t>WhatDoesThisButtonDo</t>
  </si>
  <si>
    <t>WhatIf</t>
  </si>
  <si>
    <t>WhiteGangBangers</t>
  </si>
  <si>
    <t>WhiteHairBlackHeart</t>
  </si>
  <si>
    <t>WhoAreYou</t>
  </si>
  <si>
    <t>WhoYouGonnaCall</t>
  </si>
  <si>
    <t>WillReturnCaption</t>
  </si>
  <si>
    <t>WineIsClassy</t>
  </si>
  <si>
    <t>WithCatlikeTread</t>
  </si>
  <si>
    <t>WorkingTheSameCase</t>
  </si>
  <si>
    <t>WorldGoneMad</t>
  </si>
  <si>
    <t>WorldHalfEmpty</t>
  </si>
  <si>
    <t>WorldOfJerkass</t>
  </si>
  <si>
    <t>YeahShot</t>
  </si>
  <si>
    <t>YouAlreadyChangedThePast</t>
  </si>
  <si>
    <t>AbandonedPlayground</t>
  </si>
  <si>
    <t>AbdicateTheThrone</t>
  </si>
  <si>
    <t>AccidentalKidnapping</t>
  </si>
  <si>
    <t>AceCustom</t>
  </si>
  <si>
    <t>AdvertOverloadedFuture</t>
  </si>
  <si>
    <t>AggressiveNegotiations</t>
  </si>
  <si>
    <t>AlienNonInterferenceClause</t>
  </si>
  <si>
    <t>AllGirlsLikePonies</t>
  </si>
  <si>
    <t>AncientGrome</t>
  </si>
  <si>
    <t>AndADietCoke</t>
  </si>
  <si>
    <t>AntiLoveSong</t>
  </si>
  <si>
    <t>AppealToForce</t>
  </si>
  <si>
    <t>ArchangelGabriel</t>
  </si>
  <si>
    <t>ArcherArchetype</t>
  </si>
  <si>
    <t>AssholeVictims</t>
  </si>
  <si>
    <t>AstroTurf</t>
  </si>
  <si>
    <t>AtTheCrossroads</t>
  </si>
  <si>
    <t>BackstabbingTheAlphaBitch</t>
  </si>
  <si>
    <t>BadassBureaucrat</t>
  </si>
  <si>
    <t>BadBlackBarf</t>
  </si>
  <si>
    <t>BadButt</t>
  </si>
  <si>
    <t>BandOfBrothels</t>
  </si>
  <si>
    <t>BarrierMaiden</t>
  </si>
  <si>
    <t>BatmanGrabsAGun</t>
  </si>
  <si>
    <t>BeautyContest</t>
  </si>
  <si>
    <t>BeleagueredBureaucrat</t>
  </si>
  <si>
    <t>BerserkerTears</t>
  </si>
  <si>
    <t>BigWhy</t>
  </si>
  <si>
    <t>BillingDisplacement</t>
  </si>
  <si>
    <t>BleedEmAndWeep</t>
  </si>
  <si>
    <t>BlowGun</t>
  </si>
  <si>
    <t>BombDisposal</t>
  </si>
  <si>
    <t>BratsWithSlingshots</t>
  </si>
  <si>
    <t>BreakingOutTheBoss</t>
  </si>
  <si>
    <t>BribeBackfire</t>
  </si>
  <si>
    <t>BulletHoleDoor</t>
  </si>
  <si>
    <t>BulletHolesAndRevelations</t>
  </si>
  <si>
    <t>BullyingTheDragon</t>
  </si>
  <si>
    <t>ButICantBePregnant</t>
  </si>
  <si>
    <t>CapturedOnPurpose</t>
  </si>
  <si>
    <t>CardboardBoxOfUnemployment</t>
  </si>
  <si>
    <t>CargoCult</t>
  </si>
  <si>
    <t>CarloadOfCoolKids</t>
  </si>
  <si>
    <t>CeilingSmash</t>
  </si>
  <si>
    <t>CensoredForComedy</t>
  </si>
  <si>
    <t>ChainedToARock</t>
  </si>
  <si>
    <t>CharacterActionTitle</t>
  </si>
  <si>
    <t>CharacterNameAndTheNounPhrase</t>
  </si>
  <si>
    <t>CheckPlease</t>
  </si>
  <si>
    <t>ChefOfIron</t>
  </si>
  <si>
    <t>ChurchgoingVillain</t>
  </si>
  <si>
    <t>CigarFuseLighting</t>
  </si>
  <si>
    <t>ClipShow</t>
  </si>
  <si>
    <t>ClockPunk</t>
  </si>
  <si>
    <t>ClockworkCreature</t>
  </si>
  <si>
    <t>CluelessChickMagnet</t>
  </si>
  <si>
    <t>ComfortFood</t>
  </si>
  <si>
    <t>CompanyTown</t>
  </si>
  <si>
    <t>CompleteImmortality</t>
  </si>
  <si>
    <t>ComputerEqualsMonitor</t>
  </si>
  <si>
    <t>ComputerEqualsTapedrive</t>
  </si>
  <si>
    <t>ConjoinedTwins</t>
  </si>
  <si>
    <t>CoolChair</t>
  </si>
  <si>
    <t>CordonBleughChef</t>
  </si>
  <si>
    <t>CowboysAndIndians</t>
  </si>
  <si>
    <t>CrankyNeighbor</t>
  </si>
  <si>
    <t>CrashingThroughTheHarem</t>
  </si>
  <si>
    <t>CreepyMortician</t>
  </si>
  <si>
    <t>CriminalProcedural</t>
  </si>
  <si>
    <t>CrowdPanic</t>
  </si>
  <si>
    <t>CruellaToAnimals</t>
  </si>
  <si>
    <t>CryCute</t>
  </si>
  <si>
    <t>CultClassic</t>
  </si>
  <si>
    <t>CustomUniform</t>
  </si>
  <si>
    <t>CutShort</t>
  </si>
  <si>
    <t>CutTheSafetyRope</t>
  </si>
  <si>
    <t>CyberpunkWithAChanceOfRain</t>
  </si>
  <si>
    <t>Cyclops</t>
  </si>
  <si>
    <t>CymbalBangingMonkey</t>
  </si>
  <si>
    <t>DanBrowned</t>
  </si>
  <si>
    <t>DarkhorseVictory</t>
  </si>
  <si>
    <t>DayHurtsDarkAdjustedEyes</t>
  </si>
  <si>
    <t>DeadlyNosebleed</t>
  </si>
  <si>
    <t>DeathByDisfigurement</t>
  </si>
  <si>
    <t>DefeatEqualsFriendship</t>
  </si>
  <si>
    <t>DiplomaticImpunity</t>
  </si>
  <si>
    <t>DirtyCops</t>
  </si>
  <si>
    <t>DirtyHarriet</t>
  </si>
  <si>
    <t>DisposableFiancee</t>
  </si>
  <si>
    <t>DivineIntervention</t>
  </si>
  <si>
    <t>DivineRaceLift</t>
  </si>
  <si>
    <t>DivorceAssetsConflict</t>
  </si>
  <si>
    <t>DodgeByBraking</t>
  </si>
  <si>
    <t>DramaticCurtainToss</t>
  </si>
  <si>
    <t>DramaticSitDown</t>
  </si>
  <si>
    <t>DrawingStraws</t>
  </si>
  <si>
    <t>DressingToDie</t>
  </si>
  <si>
    <t>DudleyDoRightStopsToHelp</t>
  </si>
  <si>
    <t>EEqualsMCHammer</t>
  </si>
  <si>
    <t>ElevatorGoingDown</t>
  </si>
  <si>
    <t>ElSpanishO</t>
  </si>
  <si>
    <t>EmergencyImpersonation</t>
  </si>
  <si>
    <t>EnclosedSpace</t>
  </si>
  <si>
    <t>EnhancedInterrogationTechniques</t>
  </si>
  <si>
    <t>EquivalentExchange</t>
  </si>
  <si>
    <t>EstablishingSeriesMoment</t>
  </si>
  <si>
    <t>EternallyPearlyWhiteTeeth</t>
  </si>
  <si>
    <t>Euroshlock</t>
  </si>
  <si>
    <t>EverybodyMustGetStoned</t>
  </si>
  <si>
    <t>ExcessiveSteamSyndrome</t>
  </si>
  <si>
    <t>ExplodingCalendar</t>
  </si>
  <si>
    <t>EyePop</t>
  </si>
  <si>
    <t>FamilyRelationshipSwitcheroo</t>
  </si>
  <si>
    <t>FamousNamedForeigner</t>
  </si>
  <si>
    <t>FanOfThePast</t>
  </si>
  <si>
    <t>FantasticAesop</t>
  </si>
  <si>
    <t>FatComicRelief</t>
  </si>
  <si>
    <t>FatSuit</t>
  </si>
  <si>
    <t>FauxSymbolism</t>
  </si>
  <si>
    <t>FeedbackRule</t>
  </si>
  <si>
    <t>FinishingEachOthersSentences</t>
  </si>
  <si>
    <t>FirstPersonSmartass</t>
  </si>
  <si>
    <t>FixFic</t>
  </si>
  <si>
    <t>FlashbackWithTheOtherDarrin</t>
  </si>
  <si>
    <t>FootballHooligans</t>
  </si>
  <si>
    <t>ForbiddenZone</t>
  </si>
  <si>
    <t>FormerTeenRebel</t>
  </si>
  <si>
    <t>FrenchMaid</t>
  </si>
  <si>
    <t>FrightDeathtrap</t>
  </si>
  <si>
    <t>FrontierDoctor</t>
  </si>
  <si>
    <t>FutureMeScaresMe</t>
  </si>
  <si>
    <t>GamerChick</t>
  </si>
  <si>
    <t>GASP</t>
  </si>
  <si>
    <t>GenderEqualEnsemble</t>
  </si>
  <si>
    <t>GenericEthnicCrimeGang</t>
  </si>
  <si>
    <t>GiantSquid</t>
  </si>
  <si>
    <t>GirlInABox</t>
  </si>
  <si>
    <t>GirlsLoveStuffedAnimals</t>
  </si>
  <si>
    <t>GrandStaircaseEntrance</t>
  </si>
  <si>
    <t>GreetingGestureConfusion</t>
  </si>
  <si>
    <t>GreyGoo</t>
  </si>
  <si>
    <t>GuessWhoImMarrying</t>
  </si>
  <si>
    <t>GuiltComplex</t>
  </si>
  <si>
    <t>HaveIMentionedIAmGay</t>
  </si>
  <si>
    <t>HealthcareMotivation</t>
  </si>
  <si>
    <t>HeroTrackingFailure</t>
  </si>
  <si>
    <t>HeWentThatWay</t>
  </si>
  <si>
    <t>HeyYou</t>
  </si>
  <si>
    <t>HiroshimaAsAUnitOfMeasure</t>
  </si>
  <si>
    <t>HollywoodKiss</t>
  </si>
  <si>
    <t>HollywoodSkydiving</t>
  </si>
  <si>
    <t>HowDidYouKnowIDidnt</t>
  </si>
  <si>
    <t>HuddleShot</t>
  </si>
  <si>
    <t>IAmAMonster</t>
  </si>
  <si>
    <t>IdiosyncraticWipe</t>
  </si>
  <si>
    <t>IKnowMaddenKombat</t>
  </si>
  <si>
    <t>InHarmsWay</t>
  </si>
  <si>
    <t>InnocentSwearing</t>
  </si>
  <si>
    <t>InsertGrenadeHere</t>
  </si>
  <si>
    <t>InstantWinCondition</t>
  </si>
  <si>
    <t>IntelligibleUnintelligible</t>
  </si>
  <si>
    <t>InternalizedCategorism</t>
  </si>
  <si>
    <t>IntimidatingRevenueService</t>
  </si>
  <si>
    <t>InventedIndividual</t>
  </si>
  <si>
    <t>InvincibleVillain</t>
  </si>
  <si>
    <t>InvisibleBackupBand</t>
  </si>
  <si>
    <t>InvoluntaryCharityDonation</t>
  </si>
  <si>
    <t>IRejectYourReality</t>
  </si>
  <si>
    <t>IslandOfMystery</t>
  </si>
  <si>
    <t>IsntItIronic</t>
  </si>
  <si>
    <t>IWasJustJoking</t>
  </si>
  <si>
    <t>JapaneseDelinquents</t>
  </si>
  <si>
    <t>JerkToNiceGuyPlot</t>
  </si>
  <si>
    <t>JourneyToTheCenterOfTheMind</t>
  </si>
  <si>
    <t>JudgeJuryAndExecutioner</t>
  </si>
  <si>
    <t>JustAGangster</t>
  </si>
  <si>
    <t>KarmicThief</t>
  </si>
  <si>
    <t>KickTheMoralityPet</t>
  </si>
  <si>
    <t>KidAppealCharacter</t>
  </si>
  <si>
    <t>KidsDrivingCars</t>
  </si>
  <si>
    <t>KillTheLights</t>
  </si>
  <si>
    <t>KingArthur</t>
  </si>
  <si>
    <t>KnifeOutline</t>
  </si>
  <si>
    <t>KungFoley</t>
  </si>
  <si>
    <t>LadyLooksLikeADude</t>
  </si>
  <si>
    <t>LampreyMouth</t>
  </si>
  <si>
    <t>LandmarkOfLore</t>
  </si>
  <si>
    <t>LastChanceToQuit</t>
  </si>
  <si>
    <t>LastGirlWins</t>
  </si>
  <si>
    <t>LaughOfLove</t>
  </si>
  <si>
    <t>LeaveTheTwoLovebirdsAlone</t>
  </si>
  <si>
    <t>LetNoCrisisGoToWaste</t>
  </si>
  <si>
    <t>LineInTheSand</t>
  </si>
  <si>
    <t>LivingProp</t>
  </si>
  <si>
    <t>LostTechnology</t>
  </si>
  <si>
    <t>LoudGulp</t>
  </si>
  <si>
    <t>LoungeLizard</t>
  </si>
  <si>
    <t>LullDestruction</t>
  </si>
  <si>
    <t>MachineMonotone</t>
  </si>
  <si>
    <t>MagicMusic</t>
  </si>
  <si>
    <t>MagicWand</t>
  </si>
  <si>
    <t>MainCharacters</t>
  </si>
  <si>
    <t>MakeTheBearAngryAgain</t>
  </si>
  <si>
    <t>MakingASplash</t>
  </si>
  <si>
    <t>MaltShop</t>
  </si>
  <si>
    <t>MasochistsMeal</t>
  </si>
  <si>
    <t>MetaTwist</t>
  </si>
  <si>
    <t>MindControlEyes</t>
  </si>
  <si>
    <t>MiracleRally</t>
  </si>
  <si>
    <t>MissionImpossibleCableDrop</t>
  </si>
  <si>
    <t>MistakenConfession</t>
  </si>
  <si>
    <t>MonsterSobStory</t>
  </si>
  <si>
    <t>MotiveMisidentification</t>
  </si>
  <si>
    <t>MouthingTheProfanity</t>
  </si>
  <si>
    <t>MysteriousWaif</t>
  </si>
  <si>
    <t>NaiveEverygirl</t>
  </si>
  <si>
    <t>NatureAbhorsAVirgin</t>
  </si>
  <si>
    <t>NaughtyUnderTheTable</t>
  </si>
  <si>
    <t>NeighborhoodFriendlyGangsters</t>
  </si>
  <si>
    <t>NeverSpeakIllOfTheDead</t>
  </si>
  <si>
    <t>NewhartPhoneCall</t>
  </si>
  <si>
    <t>NewOldFlame</t>
  </si>
  <si>
    <t>NicknamingTheEnemy</t>
  </si>
  <si>
    <t>NonProtagonistResolver</t>
  </si>
  <si>
    <t>NonSerialMovie</t>
  </si>
  <si>
    <t>NonStandardCharacterDesign</t>
  </si>
  <si>
    <t>NoPlaceForMeThere</t>
  </si>
  <si>
    <t>NunsAreFunny</t>
  </si>
  <si>
    <t>ObligatoryJoke</t>
  </si>
  <si>
    <t>OneDoseFitsAll</t>
  </si>
  <si>
    <t>OneGenderRace</t>
  </si>
  <si>
    <t>OnlySixFaces</t>
  </si>
  <si>
    <t>OrganicTechnology</t>
  </si>
  <si>
    <t>OrphansOrdeal</t>
  </si>
  <si>
    <t>OurMonstersAreWeird</t>
  </si>
  <si>
    <t>OvercomplicatedMenuOrder</t>
  </si>
  <si>
    <t>OverTheShoulderCarry</t>
  </si>
  <si>
    <t>Padding</t>
  </si>
  <si>
    <t>PardonMyKlingon</t>
  </si>
  <si>
    <t>ParentsWalkInAtTheWorstTime</t>
  </si>
  <si>
    <t>ParlorGames</t>
  </si>
  <si>
    <t>PayPhone</t>
  </si>
  <si>
    <t>PedalToTheMetalShot</t>
  </si>
  <si>
    <t>PerfectPacifistPeople</t>
  </si>
  <si>
    <t>PersonalEffectsReveal</t>
  </si>
  <si>
    <t>PhonyNewscast</t>
  </si>
  <si>
    <t>PhysicalFitnessPunishment</t>
  </si>
  <si>
    <t>PinkGirlBlueBoy</t>
  </si>
  <si>
    <t>PinocchioSyndrome</t>
  </si>
  <si>
    <t>PipePain</t>
  </si>
  <si>
    <t>PirateParrot</t>
  </si>
  <si>
    <t>PlatonicCave</t>
  </si>
  <si>
    <t>PlotInducedStupidity</t>
  </si>
  <si>
    <t>PopGoesTheHuman</t>
  </si>
  <si>
    <t>PorkyPigPronunciation</t>
  </si>
  <si>
    <t>PowerLimiter</t>
  </si>
  <si>
    <t>PreventTheWar</t>
  </si>
  <si>
    <t>PrinceAndPauper</t>
  </si>
  <si>
    <t>ProtectiveCharm</t>
  </si>
  <si>
    <t>PublicServiceAnnouncement</t>
  </si>
  <si>
    <t>PursuedProtagonist</t>
  </si>
  <si>
    <t>PutMeInCoach</t>
  </si>
  <si>
    <t>RaceFetish</t>
  </si>
  <si>
    <t>RaisedHandOfSurvival</t>
  </si>
  <si>
    <t>RapeLeadsToInsanity</t>
  </si>
  <si>
    <t>ReadingTheStageDirectionsOutLoud</t>
  </si>
  <si>
    <t>ReallyDeadMontage</t>
  </si>
  <si>
    <t>RearWindowWitness</t>
  </si>
  <si>
    <t>RebelPrince</t>
  </si>
  <si>
    <t>RecurringCameraShot</t>
  </si>
  <si>
    <t>RedSkyTakeWarning</t>
  </si>
  <si>
    <t>ReformedButRejected</t>
  </si>
  <si>
    <t>ReligiousAndMythologicalThemeNaming</t>
  </si>
  <si>
    <t>RevengeMyopia</t>
  </si>
  <si>
    <t>RisingWaterRisingTension</t>
  </si>
  <si>
    <t>RobinHood</t>
  </si>
  <si>
    <t>RocketPunch</t>
  </si>
  <si>
    <t>SackheadSlasher</t>
  </si>
  <si>
    <t>SafeSaneAndConsensual</t>
  </si>
  <si>
    <t>SafetyInMuggles</t>
  </si>
  <si>
    <t>SavedByThePlatformBelow</t>
  </si>
  <si>
    <t>ScaredOfWhatsBehindYou</t>
  </si>
  <si>
    <t>SecretHandshake</t>
  </si>
  <si>
    <t>SedgwickSpeech</t>
  </si>
  <si>
    <t>SeeminglyWholesomeFiftiesGirl</t>
  </si>
  <si>
    <t>Sequelitis</t>
  </si>
  <si>
    <t>SerialSpouse</t>
  </si>
  <si>
    <t>SettleForSibling</t>
  </si>
  <si>
    <t>SexySantaDress</t>
  </si>
  <si>
    <t>SexyStewardess</t>
  </si>
  <si>
    <t>ShackleSeatTrap</t>
  </si>
  <si>
    <t>ShapeShifterGuiltTrip</t>
  </si>
  <si>
    <t>ShapeShifterSwanSong</t>
  </si>
  <si>
    <t>ShiningCity</t>
  </si>
  <si>
    <t>ShortLivedAerialEscape</t>
  </si>
  <si>
    <t>SiblingsInCrime</t>
  </si>
  <si>
    <t>SidelongGlanceBiopic</t>
  </si>
  <si>
    <t>SingleGirlSeeksMostPopularGuy</t>
  </si>
  <si>
    <t>SinisterSilhouettes</t>
  </si>
  <si>
    <t>SinkingShipScenario</t>
  </si>
  <si>
    <t>SlaveLiberation</t>
  </si>
  <si>
    <t>Sleepwalking</t>
  </si>
  <si>
    <t>SlowElectricity</t>
  </si>
  <si>
    <t>SmugSuper</t>
  </si>
  <si>
    <t>SniperRifle</t>
  </si>
  <si>
    <t>SoulSuckingRetailJob</t>
  </si>
  <si>
    <t>SpeakInUnison</t>
  </si>
  <si>
    <t>SpiritedYoungLady</t>
  </si>
  <si>
    <t>StarfishLanguage</t>
  </si>
  <si>
    <t>Stinger</t>
  </si>
  <si>
    <t>StockSoundEffect</t>
  </si>
  <si>
    <t>StolenMacGuffinReveal</t>
  </si>
  <si>
    <t>Subtext</t>
  </si>
  <si>
    <t>SugarBowl</t>
  </si>
  <si>
    <t>SuicideIsShameful</t>
  </si>
  <si>
    <t>SupermanStaysOutOfGotham</t>
  </si>
  <si>
    <t>SuppressedMammaries</t>
  </si>
  <si>
    <t>SymbolicBaptism</t>
  </si>
  <si>
    <t>TangledFamilyTree</t>
  </si>
  <si>
    <t>TearfulSmile</t>
  </si>
  <si>
    <t>ThatWasNotADream</t>
  </si>
  <si>
    <t>TheAmazon</t>
  </si>
  <si>
    <t>TheBigBad</t>
  </si>
  <si>
    <t>TheBore</t>
  </si>
  <si>
    <t>TheBridge</t>
  </si>
  <si>
    <t>TheConfidant</t>
  </si>
  <si>
    <t>TheEmpath</t>
  </si>
  <si>
    <t>TheFatalist</t>
  </si>
  <si>
    <t>TheFreakshow</t>
  </si>
  <si>
    <t>TheGlomp</t>
  </si>
  <si>
    <t>TheIdealist</t>
  </si>
  <si>
    <t>TheIllegal</t>
  </si>
  <si>
    <t>TheLopsidedArmOfTheLaw</t>
  </si>
  <si>
    <t>ThematicThemeTune</t>
  </si>
  <si>
    <t>ThemeTuneRap</t>
  </si>
  <si>
    <t>TheMoralSubstitute</t>
  </si>
  <si>
    <t>TheMunchausen</t>
  </si>
  <si>
    <t>TheOldestProfession</t>
  </si>
  <si>
    <t>TheProphecy</t>
  </si>
  <si>
    <t>ThePublicDomainChannel</t>
  </si>
  <si>
    <t>TheRockSTar</t>
  </si>
  <si>
    <t>TheTramp</t>
  </si>
  <si>
    <t>TheyLookLikeUsNow</t>
  </si>
  <si>
    <t>ThinkingOutLoud</t>
  </si>
  <si>
    <t>ThinkNothingOfIt</t>
  </si>
  <si>
    <t>ThouShallNotKill</t>
  </si>
  <si>
    <t>ThreesomeSubtext</t>
  </si>
  <si>
    <t>ThrowingDownTheGauntlet</t>
  </si>
  <si>
    <t>TinCanRobot</t>
  </si>
  <si>
    <t>Touche</t>
  </si>
  <si>
    <t>TranslatorBuddy</t>
  </si>
  <si>
    <t>TrickAndFollowPloy</t>
  </si>
  <si>
    <t>TrickedIntoEscaping</t>
  </si>
  <si>
    <t>TwiceShy</t>
  </si>
  <si>
    <t>TwoTimerDate</t>
  </si>
  <si>
    <t>UltimateJobSecurity</t>
  </si>
  <si>
    <t>UnableToSupportAWife</t>
  </si>
  <si>
    <t>Undertaker</t>
  </si>
  <si>
    <t>UnfazedEveryman</t>
  </si>
  <si>
    <t>UnrequitedLoveSwitcheroo</t>
  </si>
  <si>
    <t>VampireMonarch</t>
  </si>
  <si>
    <t>VampiresAreRich</t>
  </si>
  <si>
    <t>VillainessesWantHeroes</t>
  </si>
  <si>
    <t>VillainsBlendInBetter</t>
  </si>
  <si>
    <t>VineSwing</t>
  </si>
  <si>
    <t>WackyParentSeriousChild</t>
  </si>
  <si>
    <t>WallSlump</t>
  </si>
  <si>
    <t>WartimeWedding</t>
  </si>
  <si>
    <t>WavingSignsAround</t>
  </si>
  <si>
    <t>WeaponOfMassDestruction</t>
  </si>
  <si>
    <t>WeCanRebuildHim</t>
  </si>
  <si>
    <t>WeNamedTheMonkeyJack</t>
  </si>
  <si>
    <t>Wendigo</t>
  </si>
  <si>
    <t>WhatExactlyIsHisJob</t>
  </si>
  <si>
    <t>WhipSword</t>
  </si>
  <si>
    <t>WizardDuel</t>
  </si>
  <si>
    <t>WrittenInAbsence</t>
  </si>
  <si>
    <t>WTHCastingAgency</t>
  </si>
  <si>
    <t>YouLookLikeYouveSeenAGhost</t>
  </si>
  <si>
    <t>YoungestChildWins</t>
  </si>
  <si>
    <t>YouthIsWastedOnTheDumb</t>
  </si>
  <si>
    <t>YouWatchTooMuchX</t>
  </si>
  <si>
    <t>YouWontFeelAThing</t>
  </si>
  <si>
    <t>ZorroMark</t>
  </si>
  <si>
    <t>AccidentalPun</t>
  </si>
  <si>
    <t>AdaptationalComicRelief</t>
  </si>
  <si>
    <t>AdaptationalCurves</t>
  </si>
  <si>
    <t>ADegreeInUseless</t>
  </si>
  <si>
    <t>AffirmativeActionGirl</t>
  </si>
  <si>
    <t>AfterlifeExpress</t>
  </si>
  <si>
    <t>AlienAutopsy</t>
  </si>
  <si>
    <t>ALittleSomethingWeCallRockAndRoll</t>
  </si>
  <si>
    <t>AllWomenLoveShoes</t>
  </si>
  <si>
    <t>ALoveToDismember</t>
  </si>
  <si>
    <t>AntiChrist</t>
  </si>
  <si>
    <t>AnvilOnHead</t>
  </si>
  <si>
    <t>ArbitrarilyLargeBankAccount</t>
  </si>
  <si>
    <t>ArtisticLicenseFilmProduction</t>
  </si>
  <si>
    <t>AsLongAsThereIsEvil</t>
  </si>
  <si>
    <t>AttackReflector</t>
  </si>
  <si>
    <t>AutopsySnackTime</t>
  </si>
  <si>
    <t>BackwardsFiringGun</t>
  </si>
  <si>
    <t>BadGirlSong</t>
  </si>
  <si>
    <t>BadToTheLastDrop</t>
  </si>
  <si>
    <t>BaitAndSwitchAccusation</t>
  </si>
  <si>
    <t>BalconySpeech</t>
  </si>
  <si>
    <t>BaldWomen</t>
  </si>
  <si>
    <t>BANGFlagGun</t>
  </si>
  <si>
    <t>BathKick</t>
  </si>
  <si>
    <t>BattleStrip</t>
  </si>
  <si>
    <t>BearerOfBadNews</t>
  </si>
  <si>
    <t>BecauseISaidSo</t>
  </si>
  <si>
    <t>BeQuietNudge</t>
  </si>
  <si>
    <t>BigNever</t>
  </si>
  <si>
    <t>BlackLikeMe</t>
  </si>
  <si>
    <t>BlindBlackGuy</t>
  </si>
  <si>
    <t>BlindDriving</t>
  </si>
  <si>
    <t>BlindfoldedTrip</t>
  </si>
  <si>
    <t>BlindMusician</t>
  </si>
  <si>
    <t>BluntMetaphorsTrauma</t>
  </si>
  <si>
    <t>BodyPaint</t>
  </si>
  <si>
    <t>BollywoodNerd</t>
  </si>
  <si>
    <t>BoringInvincibleHero</t>
  </si>
  <si>
    <t>BracesOfOrthodonticOverkill</t>
  </si>
  <si>
    <t>BrakeAngrily</t>
  </si>
  <si>
    <t>BrassBalls</t>
  </si>
  <si>
    <t>BrokenGlassPenalty</t>
  </si>
  <si>
    <t>BugWar</t>
  </si>
  <si>
    <t>BunglingInventor</t>
  </si>
  <si>
    <t>BuyThemOff</t>
  </si>
  <si>
    <t>CabinFever</t>
  </si>
  <si>
    <t>CaptainCrash</t>
  </si>
  <si>
    <t>Catch22Dilemma</t>
  </si>
  <si>
    <t>CelebritySurvivor</t>
  </si>
  <si>
    <t>CheckpointCharlie</t>
  </si>
  <si>
    <t>ChildhoodMarriagePromise</t>
  </si>
  <si>
    <t>ChinaTakesOverTheWorld</t>
  </si>
  <si>
    <t>ChineseLaborer</t>
  </si>
  <si>
    <t>ChronicallyCrashedCar</t>
  </si>
  <si>
    <t>CigaretteBurns</t>
  </si>
  <si>
    <t>CityOfWeirdos</t>
  </si>
  <si>
    <t>ClassifiedInformation</t>
  </si>
  <si>
    <t>ClimbingTheCliffsOfInsanity</t>
  </si>
  <si>
    <t>ClintSquint</t>
  </si>
  <si>
    <t>ClownCar</t>
  </si>
  <si>
    <t>CluelessBoss</t>
  </si>
  <si>
    <t>ColorblindCasting</t>
  </si>
  <si>
    <t>ComicallySerious</t>
  </si>
  <si>
    <t>ComicRelief</t>
  </si>
  <si>
    <t>ComingOfAge</t>
  </si>
  <si>
    <t>ConArtist</t>
  </si>
  <si>
    <t>ConcertKiss</t>
  </si>
  <si>
    <t>CondensationClue</t>
  </si>
  <si>
    <t>ConspiracyThriller</t>
  </si>
  <si>
    <t>ConstantlyCurious</t>
  </si>
  <si>
    <t>ConverseWithTheUnconscious</t>
  </si>
  <si>
    <t>CoveredInScars</t>
  </si>
  <si>
    <t>CrazyCulturalComparison</t>
  </si>
  <si>
    <t>CreativeSterility</t>
  </si>
  <si>
    <t>CreatorKiller</t>
  </si>
  <si>
    <t>CriminalDoppelganger</t>
  </si>
  <si>
    <t>CriticalPsychoanalysisFailure</t>
  </si>
  <si>
    <t>CryonicsFailure</t>
  </si>
  <si>
    <t>CrystalDragonJesus</t>
  </si>
  <si>
    <t>CueTheFallingObject</t>
  </si>
  <si>
    <t>CultOfPersonality</t>
  </si>
  <si>
    <t>CureForCancer</t>
  </si>
  <si>
    <t>CutAndPasteNote</t>
  </si>
  <si>
    <t>CutApart</t>
  </si>
  <si>
    <t>CyberpunkIsTechno</t>
  </si>
  <si>
    <t>DangerouslyCloseShave</t>
  </si>
  <si>
    <t>DashingHispanic</t>
  </si>
  <si>
    <t>DeadGuyPuppet</t>
  </si>
  <si>
    <t>DeadHorseTrope</t>
  </si>
  <si>
    <t>DecoyDamsel</t>
  </si>
  <si>
    <t>DecoyLeader</t>
  </si>
  <si>
    <t>Denouement</t>
  </si>
  <si>
    <t>DependingOnTheWriter</t>
  </si>
  <si>
    <t>DigYourOwnGrave</t>
  </si>
  <si>
    <t>DisgustingPublicToilet</t>
  </si>
  <si>
    <t>DisposableLoveInterest</t>
  </si>
  <si>
    <t>Dominatrix</t>
  </si>
  <si>
    <t>DontSplitUsUp</t>
  </si>
  <si>
    <t>Dragon</t>
  </si>
  <si>
    <t>DreamingOfAWhiteChristmas</t>
  </si>
  <si>
    <t>DropShip</t>
  </si>
  <si>
    <t>DuckSeasonRabbitSeason</t>
  </si>
  <si>
    <t>DudeMagnet</t>
  </si>
  <si>
    <t>EgocentricallyReligious</t>
  </si>
  <si>
    <t>EinsteinHair</t>
  </si>
  <si>
    <t>ElectionDayEpisode</t>
  </si>
  <si>
    <t>EpunymousTitle</t>
  </si>
  <si>
    <t>ErmineCapeEffect</t>
  </si>
  <si>
    <t>EunuchsAreEvil</t>
  </si>
  <si>
    <t>EveryoneHatesMimes</t>
  </si>
  <si>
    <t>EverythingsBetterWithRainbows</t>
  </si>
  <si>
    <t>Exaggerated</t>
  </si>
  <si>
    <t>ExperimentedInCollege</t>
  </si>
  <si>
    <t>FakeInTheHole</t>
  </si>
  <si>
    <t>FalseUtopia</t>
  </si>
  <si>
    <t>FantasticNuke</t>
  </si>
  <si>
    <t>FartsOnFire</t>
  </si>
  <si>
    <t>FauxDocumentary</t>
  </si>
  <si>
    <t>FauxHorrific</t>
  </si>
  <si>
    <t>Fauxshadowing</t>
  </si>
  <si>
    <t>FifteenMinutesOfFame</t>
  </si>
  <si>
    <t>FightingForAHomeland</t>
  </si>
  <si>
    <t>FinancialAbuse</t>
  </si>
  <si>
    <t>FiveFingerFillet</t>
  </si>
  <si>
    <t>FootFocus</t>
  </si>
  <si>
    <t>ForeignLanguageTitle</t>
  </si>
  <si>
    <t>ForgivenButNotForgotten</t>
  </si>
  <si>
    <t>ForgottenBirthday</t>
  </si>
  <si>
    <t>FormFittingWardrobe</t>
  </si>
  <si>
    <t>FourGirlEnsemble</t>
  </si>
  <si>
    <t>FriendlyRivalry</t>
  </si>
  <si>
    <t>FromDressToDressing</t>
  </si>
  <si>
    <t>FutureLoser</t>
  </si>
  <si>
    <t>GalacticConqueror</t>
  </si>
  <si>
    <t>GallowsHumour</t>
  </si>
  <si>
    <t>Geisha</t>
  </si>
  <si>
    <t>GenderIsNoObject</t>
  </si>
  <si>
    <t>GeneticMemory</t>
  </si>
  <si>
    <t>GiantFootOfStomping</t>
  </si>
  <si>
    <t>GirlinessUpgrade</t>
  </si>
  <si>
    <t>GirlWithPsychoWeapon</t>
  </si>
  <si>
    <t>GodAndSatanAreBothJerks</t>
  </si>
  <si>
    <t>GodEmperor</t>
  </si>
  <si>
    <t>GodsNeedPrayerBadly</t>
  </si>
  <si>
    <t>GoForTheEye</t>
  </si>
  <si>
    <t>GogglesDoNothing</t>
  </si>
  <si>
    <t>GoldMakesEverythingShiny</t>
  </si>
  <si>
    <t>GollumMadeMeDoIt</t>
  </si>
  <si>
    <t>GoodLuckCharm</t>
  </si>
  <si>
    <t>GratuitousRape</t>
  </si>
  <si>
    <t>GreenRocks</t>
  </si>
  <si>
    <t>GrewBeyondTheirProgramming</t>
  </si>
  <si>
    <t>Grimmification</t>
  </si>
  <si>
    <t>GuiltFreeExterminationWar</t>
  </si>
  <si>
    <t>GuyOnGuyIsHot</t>
  </si>
  <si>
    <t>HadTheSillyThingInReverse</t>
  </si>
  <si>
    <t>HammerAndSickleRemovedForYourProtection</t>
  </si>
  <si>
    <t>HandcuffedBriefcase</t>
  </si>
  <si>
    <t>HappyEndingMassage</t>
  </si>
  <si>
    <t>HaveWeMet</t>
  </si>
  <si>
    <t>HeadInTheSandManagement</t>
  </si>
  <si>
    <t>HeadlessHorseman</t>
  </si>
  <si>
    <t>HeartbreakAndIceCream</t>
  </si>
  <si>
    <t>HideousHangoverCure</t>
  </si>
  <si>
    <t>HollowWorld</t>
  </si>
  <si>
    <t>HollywoodTorches</t>
  </si>
  <si>
    <t>HomeSweetHome</t>
  </si>
  <si>
    <t>HomophobicHateCrime</t>
  </si>
  <si>
    <t>HonourBeforeReason</t>
  </si>
  <si>
    <t>Horror</t>
  </si>
  <si>
    <t>HorsingAround</t>
  </si>
  <si>
    <t>HospitalGurneyScene</t>
  </si>
  <si>
    <t>HotSubOnSubAction</t>
  </si>
  <si>
    <t>HumanityIsInfectious</t>
  </si>
  <si>
    <t>HurtingHero</t>
  </si>
  <si>
    <t>IAmBecomingSong</t>
  </si>
  <si>
    <t>IAmWhatIAm</t>
  </si>
  <si>
    <t>ICanSeeYou</t>
  </si>
  <si>
    <t>ICanStillFight</t>
  </si>
  <si>
    <t>ICantBelieveItsNotHeroin</t>
  </si>
  <si>
    <t>IdenticalTwinIDTag</t>
  </si>
  <si>
    <t>IDieFree</t>
  </si>
  <si>
    <t>IfWeGetThroughThis</t>
  </si>
  <si>
    <t>ImmigrantPatriotism</t>
  </si>
  <si>
    <t>ImpressivePyrotechnics</t>
  </si>
  <si>
    <t>ImprobablePilotingSkills</t>
  </si>
  <si>
    <t>ImprovisedCross</t>
  </si>
  <si>
    <t>INeverGotAnyLetters</t>
  </si>
  <si>
    <t>InexplicablyAwesome</t>
  </si>
  <si>
    <t>InspirationNod</t>
  </si>
  <si>
    <t>InstantConvertible</t>
  </si>
  <si>
    <t>InterspeciesFriendship</t>
  </si>
  <si>
    <t>InvisibleParents</t>
  </si>
  <si>
    <t>ItsACostumePartyISwear</t>
  </si>
  <si>
    <t>ItWasADarkAndStormyNight</t>
  </si>
  <si>
    <t>IveComeTooFar</t>
  </si>
  <si>
    <t>JewishAndNerdy</t>
  </si>
  <si>
    <t>JoinOrDie</t>
  </si>
  <si>
    <t>JustHereForGodzilla</t>
  </si>
  <si>
    <t>KissMeImVirtual</t>
  </si>
  <si>
    <t>KissOfTheVampire</t>
  </si>
  <si>
    <t>LateToThePunchline</t>
  </si>
  <si>
    <t>LesserOfTwoEvils</t>
  </si>
  <si>
    <t>LifeImitatesArt</t>
  </si>
  <si>
    <t>LightFeminineDarkFeminine</t>
  </si>
  <si>
    <t>LipLock</t>
  </si>
  <si>
    <t>LiteralAssKissing</t>
  </si>
  <si>
    <t>LivingForeverIsAwesome</t>
  </si>
  <si>
    <t>LizardFolk</t>
  </si>
  <si>
    <t>LostHimInACardGame</t>
  </si>
  <si>
    <t>LoveAtFirstPunch</t>
  </si>
  <si>
    <t>LoverAndBeloved</t>
  </si>
  <si>
    <t>MagicalQueer</t>
  </si>
  <si>
    <t>MagicBullets</t>
  </si>
  <si>
    <t>MailOrderBride</t>
  </si>
  <si>
    <t>Mangst</t>
  </si>
  <si>
    <t>MarionetteMotion</t>
  </si>
  <si>
    <t>MartialArtsMovie</t>
  </si>
  <si>
    <t>MaskedLuchador</t>
  </si>
  <si>
    <t>MasochismTango</t>
  </si>
  <si>
    <t>MatchlightDangerRevelation</t>
  </si>
  <si>
    <t>MatzoFever</t>
  </si>
  <si>
    <t>MedicationTampering</t>
  </si>
  <si>
    <t>MedievalMorons</t>
  </si>
  <si>
    <t>MileLongShip</t>
  </si>
  <si>
    <t>MilitarySchool</t>
  </si>
  <si>
    <t>MillionMookMarch</t>
  </si>
  <si>
    <t>MinnesotaNice</t>
  </si>
  <si>
    <t>MisBlamed</t>
  </si>
  <si>
    <t>MisguidedMissile</t>
  </si>
  <si>
    <t>MissingStepsPlan</t>
  </si>
  <si>
    <t>MisterSeahorse</t>
  </si>
  <si>
    <t>MovieBonusSong</t>
  </si>
  <si>
    <t>MugglesDoItBetter</t>
  </si>
  <si>
    <t>MurderSimulators</t>
  </si>
  <si>
    <t>MusicalTrigger</t>
  </si>
  <si>
    <t>MusicSoothesTheSavageBeast</t>
  </si>
  <si>
    <t>MyGirlBackHome</t>
  </si>
  <si>
    <t>MySensorsIndicateYouWantToTapThat</t>
  </si>
  <si>
    <t>MysteriousMiddleInitial</t>
  </si>
  <si>
    <t>MysteryCult</t>
  </si>
  <si>
    <t>NationalAnthem</t>
  </si>
  <si>
    <t>NatureAdoresAVirgin</t>
  </si>
  <si>
    <t>NatureHero</t>
  </si>
  <si>
    <t>NatureSpirit</t>
  </si>
  <si>
    <t>NebulousCriminalConspiracy</t>
  </si>
  <si>
    <t>NeverSplitTheParty</t>
  </si>
  <si>
    <t>NiceGuysFinishLast</t>
  </si>
  <si>
    <t>NightOfTheLivingMooks</t>
  </si>
  <si>
    <t>NoAccountingForTaste</t>
  </si>
  <si>
    <t>NoManShouldHaveThisPower</t>
  </si>
  <si>
    <t>NonUniformUniform</t>
  </si>
  <si>
    <t>NoSeatBelts</t>
  </si>
  <si>
    <t>NoSmoking</t>
  </si>
  <si>
    <t>NostalgicMusicbox</t>
  </si>
  <si>
    <t>NotQuiteTheRightThing</t>
  </si>
  <si>
    <t>NotSoOmniscientCouncilOfBickering</t>
  </si>
  <si>
    <t>NowItsMyTurn</t>
  </si>
  <si>
    <t>NowOrNeverKiss</t>
  </si>
  <si>
    <t>OffscreenVillainy</t>
  </si>
  <si>
    <t>OpposedMentors</t>
  </si>
  <si>
    <t>OrbitalBombardment</t>
  </si>
  <si>
    <t>OrificeEvacuation</t>
  </si>
  <si>
    <t>OurFairiesAreDifferent</t>
  </si>
  <si>
    <t>OurWormholesAreDifferent</t>
  </si>
  <si>
    <t>PaintedOnPants</t>
  </si>
  <si>
    <t>PantsFree</t>
  </si>
  <si>
    <t>PartialTransformation</t>
  </si>
  <si>
    <t>PendulumOfDeath</t>
  </si>
  <si>
    <t>PersonAsVerb</t>
  </si>
  <si>
    <t>PhoneaholicTeenager</t>
  </si>
  <si>
    <t>PhoneyCall</t>
  </si>
  <si>
    <t>PigLatin</t>
  </si>
  <si>
    <t>PillowPistol</t>
  </si>
  <si>
    <t>PivotalWakeup</t>
  </si>
  <si>
    <t>PoorlyDisguisedPilot</t>
  </si>
  <si>
    <t>PopCultureOsmosis</t>
  </si>
  <si>
    <t>PornWithPlot</t>
  </si>
  <si>
    <t>Portmanteau</t>
  </si>
  <si>
    <t>PostCyberPunk</t>
  </si>
  <si>
    <t>PostVictoryCollapse</t>
  </si>
  <si>
    <t>PowerAtAPrice</t>
  </si>
  <si>
    <t>PowerOfTrust</t>
  </si>
  <si>
    <t>PracticeKiss</t>
  </si>
  <si>
    <t>PrayerIsALastResort</t>
  </si>
  <si>
    <t>PreachersKid</t>
  </si>
  <si>
    <t>PrehistoricMonster</t>
  </si>
  <si>
    <t>PretenderDiss</t>
  </si>
  <si>
    <t>PretentiousLatinMotto</t>
  </si>
  <si>
    <t>ProfessionalWrestling</t>
  </si>
  <si>
    <t>ProgressivelyPrettier</t>
  </si>
  <si>
    <t>ProudBeauty</t>
  </si>
  <si>
    <t>ProveIAmNotBluffing</t>
  </si>
  <si>
    <t>PunkRock</t>
  </si>
  <si>
    <t>QuarantineWithExtremePrejudice</t>
  </si>
  <si>
    <t>QuestForIdentity</t>
  </si>
  <si>
    <t>RageHelm</t>
  </si>
  <si>
    <t>RagsToRoyalty</t>
  </si>
  <si>
    <t>RareMaleExample</t>
  </si>
  <si>
    <t>ReadingLips</t>
  </si>
  <si>
    <t>RealEventFictionalCause</t>
  </si>
  <si>
    <t>ReassignmentBackfire</t>
  </si>
  <si>
    <t>ReflexiveResponse</t>
  </si>
  <si>
    <t>RefrainFromAssuming</t>
  </si>
  <si>
    <t>ReverseGrip</t>
  </si>
  <si>
    <t>RewindGag</t>
  </si>
  <si>
    <t>RollInTheHay</t>
  </si>
  <si>
    <t>RoyalRapier</t>
  </si>
  <si>
    <t>SandWorm</t>
  </si>
  <si>
    <t>ScaryScarecrow</t>
  </si>
  <si>
    <t>SciFi</t>
  </si>
  <si>
    <t>ScopeSnipe</t>
  </si>
  <si>
    <t>ScrewTheRulesImBeautiful</t>
  </si>
  <si>
    <t>SecondComing</t>
  </si>
  <si>
    <t>SecondhandStorytelling</t>
  </si>
  <si>
    <t>SellOut</t>
  </si>
  <si>
    <t>ShiksaGoddess</t>
  </si>
  <si>
    <t>ShockinglyExpensiveBill</t>
  </si>
  <si>
    <t>ShootTheMoney</t>
  </si>
  <si>
    <t>SignificantDoubleCasting</t>
  </si>
  <si>
    <t>SilentMovie</t>
  </si>
  <si>
    <t>SilentRunningMode</t>
  </si>
  <si>
    <t>SinisterSwitchblade</t>
  </si>
  <si>
    <t>SlaveBrand</t>
  </si>
  <si>
    <t>SlidingScaleOfSillinessVersusSeriousness</t>
  </si>
  <si>
    <t>SloMoBigAir</t>
  </si>
  <si>
    <t>SmartBall</t>
  </si>
  <si>
    <t>SmokingGun</t>
  </si>
  <si>
    <t>SoapOpera</t>
  </si>
  <si>
    <t>SoleSurvivingScientist</t>
  </si>
  <si>
    <t>SourSupporter</t>
  </si>
  <si>
    <t>SouthernFriedGenius</t>
  </si>
  <si>
    <t>SpaceSuitsAreSCUBAGear</t>
  </si>
  <si>
    <t>SpearCarrier</t>
  </si>
  <si>
    <t>SpikedWheels</t>
  </si>
  <si>
    <t>SpinningNewspaper</t>
  </si>
  <si>
    <t>SpiritualPredecessor</t>
  </si>
  <si>
    <t>StockPhrase</t>
  </si>
  <si>
    <t>StorybookOpening</t>
  </si>
  <si>
    <t>StrangeSyntaxSpeaker</t>
  </si>
  <si>
    <t>StuntDouble</t>
  </si>
  <si>
    <t>SummoningRitual</t>
  </si>
  <si>
    <t>SuperEmpowering</t>
  </si>
  <si>
    <t>SuperpowerMeltdown</t>
  </si>
  <si>
    <t>SuperTeam</t>
  </si>
  <si>
    <t>SuperWheelChair</t>
  </si>
  <si>
    <t>SurpriseCreepy</t>
  </si>
  <si>
    <t>Swirlie</t>
  </si>
  <si>
    <t>TakingOverTheTown</t>
  </si>
  <si>
    <t>TarotTroubles</t>
  </si>
  <si>
    <t>TeleFrag</t>
  </si>
  <si>
    <t>TemporaryBlindness</t>
  </si>
  <si>
    <t>TenderTears</t>
  </si>
  <si>
    <t>ThatsAllFolks</t>
  </si>
  <si>
    <t>TheAlibi</t>
  </si>
  <si>
    <t>TheAlliance</t>
  </si>
  <si>
    <t>TheAssimilator</t>
  </si>
  <si>
    <t>TheClimax</t>
  </si>
  <si>
    <t>TheCoverChangesTheMeaning</t>
  </si>
  <si>
    <t>TheFace</t>
  </si>
  <si>
    <t>TheFamilyForTheWholeFamily</t>
  </si>
  <si>
    <t>TheFellowshipHasEnded</t>
  </si>
  <si>
    <t>TheFirstCutIsTheDeepest</t>
  </si>
  <si>
    <t>TheGenerationGap</t>
  </si>
  <si>
    <t>TheGirlWhoFitsThisSlipper</t>
  </si>
  <si>
    <t>TheGrovel</t>
  </si>
  <si>
    <t>TheJoyOfX</t>
  </si>
  <si>
    <t>TheKindnapper</t>
  </si>
  <si>
    <t>TheMagicGoesAway</t>
  </si>
  <si>
    <t>TheMall</t>
  </si>
  <si>
    <t>TheMenFirst</t>
  </si>
  <si>
    <t>TheNightThatNeverEnds</t>
  </si>
  <si>
    <t>TheNothingAfterDeath</t>
  </si>
  <si>
    <t>ThereAreNoPolice</t>
  </si>
  <si>
    <t>TheTaxi</t>
  </si>
  <si>
    <t>TheTopicOfCancer</t>
  </si>
  <si>
    <t>ThirdWheel</t>
  </si>
  <si>
    <t>ThisLooksLikeAJobForAquaman</t>
  </si>
  <si>
    <t>ThroughHisStomach</t>
  </si>
  <si>
    <t>ThwartedCoupDeGrace</t>
  </si>
  <si>
    <t>TilMurderDoUsPart</t>
  </si>
  <si>
    <t>TimeIsDangerous</t>
  </si>
  <si>
    <t>TimeLapse</t>
  </si>
  <si>
    <t>TimeTravelRomance</t>
  </si>
  <si>
    <t>TitleByNumber</t>
  </si>
  <si>
    <t>Toon</t>
  </si>
  <si>
    <t>TropicalEpilogue</t>
  </si>
  <si>
    <t>TwoFistedTales</t>
  </si>
  <si>
    <t>UnableToCry</t>
  </si>
  <si>
    <t>UnexpectedSuccessor</t>
  </si>
  <si>
    <t>UnwantedHarem</t>
  </si>
  <si>
    <t>UnwantedSpouse</t>
  </si>
  <si>
    <t>UnwillingRoboticisation</t>
  </si>
  <si>
    <t>UrbanLegendLoveLife</t>
  </si>
  <si>
    <t>VacationEpisode</t>
  </si>
  <si>
    <t>VanityProject</t>
  </si>
  <si>
    <t>Ventriloquism</t>
  </si>
  <si>
    <t>VerbingNouny</t>
  </si>
  <si>
    <t>VillainousCheekbones</t>
  </si>
  <si>
    <t>VirtueIsWeakness</t>
  </si>
  <si>
    <t>VocalEvolution</t>
  </si>
  <si>
    <t>VolcanicVeins</t>
  </si>
  <si>
    <t>WaterfallShower</t>
  </si>
  <si>
    <t>WealthyYachtOwner</t>
  </si>
  <si>
    <t>Western</t>
  </si>
  <si>
    <t>WhatDoYouMeanItWasntMadeOnDrugs</t>
  </si>
  <si>
    <t>WhenYouSnatchThePebble</t>
  </si>
  <si>
    <t>WhereDoYouThinkYouAre</t>
  </si>
  <si>
    <t>WhyWasteAWedding</t>
  </si>
  <si>
    <t>WildWest</t>
  </si>
  <si>
    <t>WithAllDueRespect</t>
  </si>
  <si>
    <t>WithThisRing</t>
  </si>
  <si>
    <t>WorldWarThree</t>
  </si>
  <si>
    <t>WouldNotShootACivilian</t>
  </si>
  <si>
    <t>WoundThatWillNotHeal</t>
  </si>
  <si>
    <t>WriteBackToTheFuture</t>
  </si>
  <si>
    <t>WroteTheBook</t>
  </si>
  <si>
    <t>YeGoodeOldeDays</t>
  </si>
  <si>
    <t>YouAllMeetInAnInn</t>
  </si>
  <si>
    <t>YouMakeMeSic</t>
  </si>
  <si>
    <t>YouNeedABreathMint</t>
  </si>
  <si>
    <t>YouRebelScum</t>
  </si>
  <si>
    <t>AcidTripDimension</t>
  </si>
  <si>
    <t>AcrophobicBird</t>
  </si>
  <si>
    <t>AdaptationalKarma</t>
  </si>
  <si>
    <t>AFoggyDayInLondonTown</t>
  </si>
  <si>
    <t>AGlitchInTheMatrix</t>
  </si>
  <si>
    <t>AllAccordingToPlan</t>
  </si>
  <si>
    <t>AllAmazonsWantHercules</t>
  </si>
  <si>
    <t>AlternateSelf</t>
  </si>
  <si>
    <t>AlwaysCamp</t>
  </si>
  <si>
    <t>AmericansAreCowboys</t>
  </si>
  <si>
    <t>AmnesiacHero</t>
  </si>
  <si>
    <t>AmoralAfrikaner</t>
  </si>
  <si>
    <t>AnarchyIsChaos</t>
  </si>
  <si>
    <t>AncientTomb</t>
  </si>
  <si>
    <t>AngstWhatAngst</t>
  </si>
  <si>
    <t>AnInsert</t>
  </si>
  <si>
    <t>ApeShallNeverKillApe</t>
  </si>
  <si>
    <t>AreWeThereYet</t>
  </si>
  <si>
    <t>ARoundOfDrinksForTheHouse</t>
  </si>
  <si>
    <t>ArtificialOutdoorsDisplay</t>
  </si>
  <si>
    <t>ArtisticLicenceBiology</t>
  </si>
  <si>
    <t>ArtMajorBiology</t>
  </si>
  <si>
    <t>AtopAMountainOfCorpses</t>
  </si>
  <si>
    <t>AuthorityInNameOnly</t>
  </si>
  <si>
    <t>AwakeningTheSleepingGiant</t>
  </si>
  <si>
    <t>AxesAtSchool</t>
  </si>
  <si>
    <t>BackgroundHalo</t>
  </si>
  <si>
    <t>BackhandedCompliment</t>
  </si>
  <si>
    <t>BalanceBetweenGoodAndEvil</t>
  </si>
  <si>
    <t>Balloonacy</t>
  </si>
  <si>
    <t>BaseOnWheels</t>
  </si>
  <si>
    <t>BattleEpic</t>
  </si>
  <si>
    <t>BBCQuarry</t>
  </si>
  <si>
    <t>BeardnessProtectionProgram</t>
  </si>
  <si>
    <t>BecameTheirOwnAntithesis</t>
  </si>
  <si>
    <t>BecauseImGoodAtIt</t>
  </si>
  <si>
    <t>BenchBreaker</t>
  </si>
  <si>
    <t>BizarreAndImprobableBallistics</t>
  </si>
  <si>
    <t>BizarreTasteInFood</t>
  </si>
  <si>
    <t>BlackComedyBurst</t>
  </si>
  <si>
    <t>BladeBrake</t>
  </si>
  <si>
    <t>BlindAndTheBeast</t>
  </si>
  <si>
    <t>BloodIsTheNewBlack</t>
  </si>
  <si>
    <t>BluffingTheAuthorities</t>
  </si>
  <si>
    <t>BouquetToss</t>
  </si>
  <si>
    <t>BoxOfficeBomb</t>
  </si>
  <si>
    <t>BreakInThreat</t>
  </si>
  <si>
    <t>BreakupSong</t>
  </si>
  <si>
    <t>BriefcaseBlaster</t>
  </si>
  <si>
    <t>BrotherChuck</t>
  </si>
  <si>
    <t>BroughtDownToBadass</t>
  </si>
  <si>
    <t>ButWeUsedACondom</t>
  </si>
  <si>
    <t>ByTheLightsOfTheirEyes</t>
  </si>
  <si>
    <t>ByWallThatIsHoley</t>
  </si>
  <si>
    <t>CameraTricks</t>
  </si>
  <si>
    <t>CannedOrdersOverLoudspeaker</t>
  </si>
  <si>
    <t>CareerResurrection</t>
  </si>
  <si>
    <t>CarnivoreConfusion</t>
  </si>
  <si>
    <t>CasualHighDrop</t>
  </si>
  <si>
    <t>CaveBehindTheFalls</t>
  </si>
  <si>
    <t>ChangelingFantasy</t>
  </si>
  <si>
    <t>CharacterNameAlias</t>
  </si>
  <si>
    <t>CharacterWitness</t>
  </si>
  <si>
    <t>ChaseFight</t>
  </si>
  <si>
    <t>ChestOfMedals</t>
  </si>
  <si>
    <t>ChildhoodBrainDamage</t>
  </si>
  <si>
    <t>ChineseLaunderer</t>
  </si>
  <si>
    <t>ChronicallyKilledActor</t>
  </si>
  <si>
    <t>CitySlicker</t>
  </si>
  <si>
    <t>CliffhangerCopout</t>
  </si>
  <si>
    <t>CluelessDetective</t>
  </si>
  <si>
    <t>ClusterBleepBomb</t>
  </si>
  <si>
    <t>CoconutSuperpowers</t>
  </si>
  <si>
    <t>CoincidentalAccidentalDisguise</t>
  </si>
  <si>
    <t>ColdIron</t>
  </si>
  <si>
    <t>ColdOpening</t>
  </si>
  <si>
    <t>CombinationAttack</t>
  </si>
  <si>
    <t>ComeToGawk</t>
  </si>
  <si>
    <t>CommieNazis</t>
  </si>
  <si>
    <t>CompilationMovie</t>
  </si>
  <si>
    <t>ComplimentBackfire</t>
  </si>
  <si>
    <t>ConfessToALesserCrime</t>
  </si>
  <si>
    <t>ConMenHateGuns</t>
  </si>
  <si>
    <t>ConspicuousGloves</t>
  </si>
  <si>
    <t>ContemplativeBoss</t>
  </si>
  <si>
    <t>ConvenientMisfire</t>
  </si>
  <si>
    <t>ConvenientSlowDance</t>
  </si>
  <si>
    <t>CrashCourseLanding</t>
  </si>
  <si>
    <t>CrashingDreams</t>
  </si>
  <si>
    <t>CreatingLifeIsBad</t>
  </si>
  <si>
    <t>CreepyCockroach</t>
  </si>
  <si>
    <t>CriticalStaffingShortage</t>
  </si>
  <si>
    <t>CultureChopSuey</t>
  </si>
  <si>
    <t>CuteBruiser</t>
  </si>
  <si>
    <t>CuteGhostGirl</t>
  </si>
  <si>
    <t>DamageControl</t>
  </si>
  <si>
    <t>DeathBySecretIdentity</t>
  </si>
  <si>
    <t>DeathByWomanScorned</t>
  </si>
  <si>
    <t>DecapitationStrike</t>
  </si>
  <si>
    <t>DecoyAntagonist</t>
  </si>
  <si>
    <t>DefensiveFailure</t>
  </si>
  <si>
    <t>DelegationRelay</t>
  </si>
  <si>
    <t>DePower</t>
  </si>
  <si>
    <t>DesertPunk</t>
  </si>
  <si>
    <t>DeskSweepOfRage</t>
  </si>
  <si>
    <t>DevilInDisguise</t>
  </si>
  <si>
    <t>DirtyKid</t>
  </si>
  <si>
    <t>DissonantLaughter</t>
  </si>
  <si>
    <t>DontCelebrateJustYet</t>
  </si>
  <si>
    <t>DontCreateAMartyr</t>
  </si>
  <si>
    <t>DoomyDoomsOfDoom</t>
  </si>
  <si>
    <t>DoWithHimAsYouWill</t>
  </si>
  <si>
    <t>DraftDodging</t>
  </si>
  <si>
    <t>DramaticAmmoDepletion</t>
  </si>
  <si>
    <t>DramaticSpaceDrifting</t>
  </si>
  <si>
    <t>DrivenToVillainy</t>
  </si>
  <si>
    <t>DroitDuSeigneur</t>
  </si>
  <si>
    <t>DrunkenSong</t>
  </si>
  <si>
    <t>DumbassDJ</t>
  </si>
  <si>
    <t>DyingRace</t>
  </si>
  <si>
    <t>EarthThatWas</t>
  </si>
  <si>
    <t>ElderAbuse</t>
  </si>
  <si>
    <t>EngagementChallenge</t>
  </si>
  <si>
    <t>EnthrallingSiren</t>
  </si>
  <si>
    <t>EverybodyDies</t>
  </si>
  <si>
    <t>EveryoneIsBi</t>
  </si>
  <si>
    <t>EverythingIsAnInstrument</t>
  </si>
  <si>
    <t>EverythingsBetterWithCows</t>
  </si>
  <si>
    <t>EverythingsBetterWithSamurai</t>
  </si>
  <si>
    <t>EvilIsCool</t>
  </si>
  <si>
    <t>ExperiencedProtagonist</t>
  </si>
  <si>
    <t>ExpositionDiagram</t>
  </si>
  <si>
    <t>ExpressDelivery</t>
  </si>
  <si>
    <t>ExtremeSportExcusePlot</t>
  </si>
  <si>
    <t>FairestOfThemAll</t>
  </si>
  <si>
    <t>FarmersDaughter</t>
  </si>
  <si>
    <t>FastForwardGag</t>
  </si>
  <si>
    <t>FatherToHisMen</t>
  </si>
  <si>
    <t>FaustianRebellion</t>
  </si>
  <si>
    <t>FeeFiFauxPas</t>
  </si>
  <si>
    <t>FeelingOppressedByTheirExistence</t>
  </si>
  <si>
    <t>FemalesAreMoreInnocent</t>
  </si>
  <si>
    <t>FetishRetardant</t>
  </si>
  <si>
    <t>Filler</t>
  </si>
  <si>
    <t>FirstPersonShooter</t>
  </si>
  <si>
    <t>FisherKingdom</t>
  </si>
  <si>
    <t>FlyingBroomstick</t>
  </si>
  <si>
    <t>ForeignExchangeStudent</t>
  </si>
  <si>
    <t>FourManBand</t>
  </si>
  <si>
    <t>FrazettaMan</t>
  </si>
  <si>
    <t>FreestateAmsterdam</t>
  </si>
  <si>
    <t>FriendInTheBlackMarket</t>
  </si>
  <si>
    <t>FullMoonSilhouette</t>
  </si>
  <si>
    <t>FullyClothedNudity</t>
  </si>
  <si>
    <t>FunnyAnimal</t>
  </si>
  <si>
    <t>FurAgainstFang</t>
  </si>
  <si>
    <t>FurryConfusion</t>
  </si>
  <si>
    <t>FutureImperfect</t>
  </si>
  <si>
    <t>GagEcho</t>
  </si>
  <si>
    <t>GaveUpTooSoon</t>
  </si>
  <si>
    <t>GettingSmiliesPaintedOnYourSoul</t>
  </si>
  <si>
    <t>GiantEnemyCrab</t>
  </si>
  <si>
    <t>GiantPoofySleeves</t>
  </si>
  <si>
    <t>GIFT</t>
  </si>
  <si>
    <t>GirlsWithMoustaches</t>
  </si>
  <si>
    <t>GloriousMotherRussia</t>
  </si>
  <si>
    <t>GoldfishPoopGang</t>
  </si>
  <si>
    <t>GoodCostumeSwitch</t>
  </si>
  <si>
    <t>GoodIsNotDumb</t>
  </si>
  <si>
    <t>GoodLookingPrivates</t>
  </si>
  <si>
    <t>GoSeduceMyArchnemesis</t>
  </si>
  <si>
    <t>GotMeDoingIt</t>
  </si>
  <si>
    <t>GravityIsAHarshmistress</t>
  </si>
  <si>
    <t>HandyRemoteControl</t>
  </si>
  <si>
    <t>HangingByTheFingers</t>
  </si>
  <si>
    <t>HatesEveryoneEqually</t>
  </si>
  <si>
    <t>HaveYouTriedNotBeingAMonster</t>
  </si>
  <si>
    <t>HawaiianShirtedTourist</t>
  </si>
  <si>
    <t>HeadsOrTails</t>
  </si>
  <si>
    <t>Heavyworlder</t>
  </si>
  <si>
    <t>HighFantasy</t>
  </si>
  <si>
    <t>HiredForTheirLooks</t>
  </si>
  <si>
    <t>HitlersTimeTravelExemptionAct</t>
  </si>
  <si>
    <t>HobbesWasRight</t>
  </si>
  <si>
    <t>HoistHeroOverHead</t>
  </si>
  <si>
    <t>HoldYourHippogriffs</t>
  </si>
  <si>
    <t>HolidayInCambodia</t>
  </si>
  <si>
    <t>HorrorHost</t>
  </si>
  <si>
    <t>HostileHitchhiker</t>
  </si>
  <si>
    <t>HowMuchMoreCanHeTake</t>
  </si>
  <si>
    <t>HumansAreWarriors</t>
  </si>
  <si>
    <t>HunterOfMonsters</t>
  </si>
  <si>
    <t>HurricaneOfExcuses</t>
  </si>
  <si>
    <t>HurtFootHop</t>
  </si>
  <si>
    <t>Hypochondria</t>
  </si>
  <si>
    <t>IAmNotShazam</t>
  </si>
  <si>
    <t>IAmNotSpock</t>
  </si>
  <si>
    <t>ICantBelieveAGuyLikeYouWouldNoticeMe</t>
  </si>
  <si>
    <t>ICantLookGesture</t>
  </si>
  <si>
    <t>IdealHero</t>
  </si>
  <si>
    <t>IDoNotDrinkWine</t>
  </si>
  <si>
    <t>IDontWantToRuinOurFriendship</t>
  </si>
  <si>
    <t>IKnowWhatWeCanDoCut</t>
  </si>
  <si>
    <t>IllTakeTwoBeersToo</t>
  </si>
  <si>
    <t>ImNotHungry</t>
  </si>
  <si>
    <t>ImprobablyCoolCar</t>
  </si>
  <si>
    <t>ImprovisedArmour</t>
  </si>
  <si>
    <t>InAWorld</t>
  </si>
  <si>
    <t>InformedDeformity</t>
  </si>
  <si>
    <t>InMemoriam</t>
  </si>
  <si>
    <t>InnocentAliens</t>
  </si>
  <si>
    <t>InstantAwesomeJustAddDragons</t>
  </si>
  <si>
    <t>InsultToRocks</t>
  </si>
  <si>
    <t>InterfaceSpoiler</t>
  </si>
  <si>
    <t>IronWoobie</t>
  </si>
  <si>
    <t>IrrevocableMessage</t>
  </si>
  <si>
    <t>IsThatTheBestYouCanDo</t>
  </si>
  <si>
    <t>ItIsBeyondSaving</t>
  </si>
  <si>
    <t>ItsAWonderfulPlot</t>
  </si>
  <si>
    <t>ItSeemedLikeAGoodIdeaAtTheTime</t>
  </si>
  <si>
    <t>ItsGoingDown</t>
  </si>
  <si>
    <t>IWantMyJetpack</t>
  </si>
  <si>
    <t>JapanesePoliteness</t>
  </si>
  <si>
    <t>JapaneseRanguage</t>
  </si>
  <si>
    <t>JaywalkingWillRuinYourLife</t>
  </si>
  <si>
    <t>JerkassBall</t>
  </si>
  <si>
    <t>KeepingSecretsSucks</t>
  </si>
  <si>
    <t>KickChick</t>
  </si>
  <si>
    <t>KidDetective</t>
  </si>
  <si>
    <t>KillingYourAlternateSelf</t>
  </si>
  <si>
    <t>Knighting</t>
  </si>
  <si>
    <t>KnockingOnHeathensDoor</t>
  </si>
  <si>
    <t>KnowledgeBroker</t>
  </si>
  <si>
    <t>KnowsAGuyWhoKnowsAGuy</t>
  </si>
  <si>
    <t>LandPoor</t>
  </si>
  <si>
    <t>LanguageFluencyDenial</t>
  </si>
  <si>
    <t>LARP</t>
  </si>
  <si>
    <t>LastMinuteReprieve</t>
  </si>
  <si>
    <t>LastSupperSteal</t>
  </si>
  <si>
    <t>LennonSpecs</t>
  </si>
  <si>
    <t>LibationForTheDead</t>
  </si>
  <si>
    <t>LifesavingMisfortune</t>
  </si>
  <si>
    <t>LikeGoesWithLike</t>
  </si>
  <si>
    <t>LimitedSpecialCollectorsUltimateEdition</t>
  </si>
  <si>
    <t>LinkedListClueMethodology</t>
  </si>
  <si>
    <t>LivingMemory</t>
  </si>
  <si>
    <t>LodgedBladeRecycling</t>
  </si>
  <si>
    <t>LogicalFallacies</t>
  </si>
  <si>
    <t>LuckyTranslation</t>
  </si>
  <si>
    <t>LustObject</t>
  </si>
  <si>
    <t>MachoMasochism</t>
  </si>
  <si>
    <t>MadeOfEvil</t>
  </si>
  <si>
    <t>MagicFromTechnology</t>
  </si>
  <si>
    <t>MagiciansAreWizards</t>
  </si>
  <si>
    <t>MakeItLookLikeAStruggle</t>
  </si>
  <si>
    <t>MakeWrongWhatOnceWentRight</t>
  </si>
  <si>
    <t>MemoryGambit</t>
  </si>
  <si>
    <t>MenOfSherwood</t>
  </si>
  <si>
    <t>MillionairePlayboy</t>
  </si>
  <si>
    <t>MindlinkMates</t>
  </si>
  <si>
    <t>MinorMajorCharacter</t>
  </si>
  <si>
    <t>MistakenForPregnant</t>
  </si>
  <si>
    <t>MobySchtick</t>
  </si>
  <si>
    <t>ModelPlanning</t>
  </si>
  <si>
    <t>MommyIssues</t>
  </si>
  <si>
    <t>MoreExpendableThanYou</t>
  </si>
  <si>
    <t>MotorcycleJousting</t>
  </si>
  <si>
    <t>MST</t>
  </si>
  <si>
    <t>MultigenerationalHousehold</t>
  </si>
  <si>
    <t>MutuallyAssuredDestruction</t>
  </si>
  <si>
    <t>MyBiologicalClockIsTicking</t>
  </si>
  <si>
    <t>NastyParty</t>
  </si>
  <si>
    <t>NationsOfTheWorldMontage</t>
  </si>
  <si>
    <t>NatureVersusNurture</t>
  </si>
  <si>
    <t>Necromantic</t>
  </si>
  <si>
    <t>NeverSayThatAgain</t>
  </si>
  <si>
    <t>NewJobAsThePlotDemands</t>
  </si>
  <si>
    <t>Newsreel</t>
  </si>
  <si>
    <t>NoGuyWantsAnAmazon</t>
  </si>
  <si>
    <t>NoMedicationForMe</t>
  </si>
  <si>
    <t>NoteToSelf</t>
  </si>
  <si>
    <t>NothingLeftToDoButDie</t>
  </si>
  <si>
    <t>NotInTheFace</t>
  </si>
  <si>
    <t>NotWhatISignedUpFor</t>
  </si>
  <si>
    <t>NuclearFamily</t>
  </si>
  <si>
    <t>NumerologicalMotif</t>
  </si>
  <si>
    <t>Oktoberfest</t>
  </si>
  <si>
    <t>OminousOwl</t>
  </si>
  <si>
    <t>OneRiotOneRanger</t>
  </si>
  <si>
    <t>OnlyBadGuysCallTheirLawyers</t>
  </si>
  <si>
    <t>OnlyICanKillHim</t>
  </si>
  <si>
    <t>OnlyKnownByInitials</t>
  </si>
  <si>
    <t>OnlyTheLeadsGetAHappyEnding</t>
  </si>
  <si>
    <t>OopsIForgotIWasMarried</t>
  </si>
  <si>
    <t>OpportunisticBastard</t>
  </si>
  <si>
    <t>OrderedToCheat</t>
  </si>
  <si>
    <t>OrgyOfEvidence</t>
  </si>
  <si>
    <t>OurElvesAreBetter</t>
  </si>
  <si>
    <t>OurWerebeastsAreDifferent</t>
  </si>
  <si>
    <t>PaddleballShot</t>
  </si>
  <si>
    <t>ParodyCommercial</t>
  </si>
  <si>
    <t>PedestrianCrushesCar</t>
  </si>
  <si>
    <t>PeekABangs</t>
  </si>
  <si>
    <t>PissTakeRap</t>
  </si>
  <si>
    <t>PistolWhip</t>
  </si>
  <si>
    <t>PitTrap</t>
  </si>
  <si>
    <t>Pixellation</t>
  </si>
  <si>
    <t>PlayingTheHeartStrings</t>
  </si>
  <si>
    <t>PlotAllergy</t>
  </si>
  <si>
    <t>PolitenessJudo</t>
  </si>
  <si>
    <t>Poltergeist</t>
  </si>
  <si>
    <t>PossessingADeadBody</t>
  </si>
  <si>
    <t>PowerHair</t>
  </si>
  <si>
    <t>Precursors</t>
  </si>
  <si>
    <t>PrehensileHair</t>
  </si>
  <si>
    <t>PretextForWar</t>
  </si>
  <si>
    <t>PrimAndProperBun</t>
  </si>
  <si>
    <t>Prison</t>
  </si>
  <si>
    <t>PromotionNotPunishment</t>
  </si>
  <si>
    <t>Psychometry</t>
  </si>
  <si>
    <t>PunchAWall</t>
  </si>
  <si>
    <t>Rancher</t>
  </si>
  <si>
    <t>RansomDrop</t>
  </si>
  <si>
    <t>ReallySeventeenYearsOld</t>
  </si>
  <si>
    <t>RealPlaceBackground</t>
  </si>
  <si>
    <t>RebelliousSpirit</t>
  </si>
  <si>
    <t>RecurringDreams</t>
  </si>
  <si>
    <t>RecurringExtra</t>
  </si>
  <si>
    <t>RedPillBluePill</t>
  </si>
  <si>
    <t>ReflectiveEyes</t>
  </si>
  <si>
    <t>ReligiousBruiser</t>
  </si>
  <si>
    <t>ReminiscingAboutYourVictims</t>
  </si>
  <si>
    <t>ResistanceIsFutile</t>
  </si>
  <si>
    <t>RidiculouslyAverageGuy</t>
  </si>
  <si>
    <t>RightOnTheTick</t>
  </si>
  <si>
    <t>Rockumentary</t>
  </si>
  <si>
    <t>Room101</t>
  </si>
  <si>
    <t>RoomDisservice</t>
  </si>
  <si>
    <t>RoseTintedNarrative</t>
  </si>
  <si>
    <t>RubeGoldbergHatesYourGuts</t>
  </si>
  <si>
    <t>SailorFuku</t>
  </si>
  <si>
    <t>SalemIsWitchCountry</t>
  </si>
  <si>
    <t>SameStoryDifferentNames</t>
  </si>
  <si>
    <t>SamuraiPonytail</t>
  </si>
  <si>
    <t>SaunaOfDeath</t>
  </si>
  <si>
    <t>SavedForTheSequel</t>
  </si>
  <si>
    <t>ScaryDogmaticAliens</t>
  </si>
  <si>
    <t>ScholarshipStudent</t>
  </si>
  <si>
    <t>SciFiHorror</t>
  </si>
  <si>
    <t>ScrewedByTheNetwork</t>
  </si>
  <si>
    <t>SecretPath</t>
  </si>
  <si>
    <t>Seers</t>
  </si>
  <si>
    <t>SeparatedByTheWall</t>
  </si>
  <si>
    <t>SequelSnark</t>
  </si>
  <si>
    <t>ShakyPOVCam</t>
  </si>
  <si>
    <t>SheatheYourSword</t>
  </si>
  <si>
    <t>ShoeShineMister</t>
  </si>
  <si>
    <t>ShoutingShooter</t>
  </si>
  <si>
    <t>ShowingOffTheNewBody</t>
  </si>
  <si>
    <t>SignificantMonogram</t>
  </si>
  <si>
    <t>SingleMindedTwins</t>
  </si>
  <si>
    <t>SinkTheLifeboats</t>
  </si>
  <si>
    <t>SittingSexyOnAPiano</t>
  </si>
  <si>
    <t>SmiteMeOMightySmiter</t>
  </si>
  <si>
    <t>SmurfettePrinciple</t>
  </si>
  <si>
    <t>SnakePit</t>
  </si>
  <si>
    <t>SoulCrushingDeskJob</t>
  </si>
  <si>
    <t>SpacePolice</t>
  </si>
  <si>
    <t>SpareAMessenger</t>
  </si>
  <si>
    <t>SpheroidDropship</t>
  </si>
  <si>
    <t>SpockSpeak</t>
  </si>
  <si>
    <t>Spoonerism</t>
  </si>
  <si>
    <t>SpotTheThread</t>
  </si>
  <si>
    <t>SpySchool</t>
  </si>
  <si>
    <t>StackedCharactersPoster</t>
  </si>
  <si>
    <t>StaringDownCthulhu</t>
  </si>
  <si>
    <t>StayWithMeUntilIDie</t>
  </si>
  <si>
    <t>StealingTheCredit</t>
  </si>
  <si>
    <t>SteppingOutForAQuickCupOfCoffee</t>
  </si>
  <si>
    <t>StockNessMonster</t>
  </si>
  <si>
    <t>StraightManAndWiseGuy</t>
  </si>
  <si>
    <t>StrawCritic</t>
  </si>
  <si>
    <t>StrawVulcan</t>
  </si>
  <si>
    <t>SubspaceAnsible</t>
  </si>
  <si>
    <t>SubvertedKidsShow</t>
  </si>
  <si>
    <t>SuddenlyAlwaysKnewThat</t>
  </si>
  <si>
    <t>SurpriseCheckmate</t>
  </si>
  <si>
    <t>SurpriseWitness</t>
  </si>
  <si>
    <t>SwallowTheKey</t>
  </si>
  <si>
    <t>SweetHomeAlabama</t>
  </si>
  <si>
    <t>SwirlyEnergyThingy</t>
  </si>
  <si>
    <t>TabloidMelodrama</t>
  </si>
  <si>
    <t>TakeItToTheBridge</t>
  </si>
  <si>
    <t>TarAndFeathers</t>
  </si>
  <si>
    <t>TarotMotifs</t>
  </si>
  <si>
    <t>TeachHimAnger</t>
  </si>
  <si>
    <t>TechnicianVsPerformer</t>
  </si>
  <si>
    <t>Terraform</t>
  </si>
  <si>
    <t>ThatNostalgiaShow</t>
  </si>
  <si>
    <t>ThatPoorCar</t>
  </si>
  <si>
    <t>TheCallsAreComingFromInsideTheHouse</t>
  </si>
  <si>
    <t>TheEndIsNigh</t>
  </si>
  <si>
    <t>TheEngineer</t>
  </si>
  <si>
    <t>TheGreatRepair</t>
  </si>
  <si>
    <t>TheJaywalkingDead</t>
  </si>
  <si>
    <t>TheMagnificent</t>
  </si>
  <si>
    <t>TheMerch</t>
  </si>
  <si>
    <t>ThemeSerialKiller</t>
  </si>
  <si>
    <t>TheNudifier</t>
  </si>
  <si>
    <t>TheParalyzer</t>
  </si>
  <si>
    <t>TheParanoiac</t>
  </si>
  <si>
    <t>ThePeterPrinciple</t>
  </si>
  <si>
    <t>TheRedBaron</t>
  </si>
  <si>
    <t>TheWalrusWasPaul</t>
  </si>
  <si>
    <t>TheyKilledKennyAgain</t>
  </si>
  <si>
    <t>ThoseMagnificentFlyingMachines</t>
  </si>
  <si>
    <t>TimmyInAWell</t>
  </si>
  <si>
    <t>TongueOnTheFlagpole</t>
  </si>
  <si>
    <t>TonightSomeoneDies</t>
  </si>
  <si>
    <t>TradingBarsForStripes</t>
  </si>
  <si>
    <t>TrappedInVillainy</t>
  </si>
  <si>
    <t>TrippyFinaleSyndrome</t>
  </si>
  <si>
    <t>TroubleEntendre</t>
  </si>
  <si>
    <t>TryingNotToCry</t>
  </si>
  <si>
    <t>TwinkleSmile</t>
  </si>
  <si>
    <t>TwistedEchoCut</t>
  </si>
  <si>
    <t>TwoDunIt</t>
  </si>
  <si>
    <t>UndeathAlwaysEnds</t>
  </si>
  <si>
    <t>UnderdressedForTheOccasion</t>
  </si>
  <si>
    <t>UnfamiliarCeiling</t>
  </si>
  <si>
    <t>UntrustingCommunity</t>
  </si>
  <si>
    <t>UnusualPetsForUnusualPeople</t>
  </si>
  <si>
    <t>VictoryByEndurance</t>
  </si>
  <si>
    <t>VillainOfAnotherStory</t>
  </si>
  <si>
    <t>VillainyDiscretionShot</t>
  </si>
  <si>
    <t>VirginInAWhiteDress</t>
  </si>
  <si>
    <t>WarWasBeginning</t>
  </si>
  <si>
    <t>WatchItStoned</t>
  </si>
  <si>
    <t>WaxOnWaxOff</t>
  </si>
  <si>
    <t>WeddingsForEveryone</t>
  </si>
  <si>
    <t>WeInterruptThisProgram</t>
  </si>
  <si>
    <t>WeirdTradeUnion</t>
  </si>
  <si>
    <t>WhereDidWeGoWrong</t>
  </si>
  <si>
    <t>WholeCostumeReference</t>
  </si>
  <si>
    <t>WhoWouldWantToWatchUs</t>
  </si>
  <si>
    <t>WildGooseChase</t>
  </si>
  <si>
    <t>WingedSoulFliesOffAtDeath</t>
  </si>
  <si>
    <t>WiperStart</t>
  </si>
  <si>
    <t>WiseBeyondHerYears</t>
  </si>
  <si>
    <t>WitchDoctor</t>
  </si>
  <si>
    <t>WoodenShipsAndIronMen</t>
  </si>
  <si>
    <t>WordOfSaintPaul</t>
  </si>
  <si>
    <t>WorldOfSymbolism</t>
  </si>
  <si>
    <t>WorstNewsJudgementEver</t>
  </si>
  <si>
    <t>WouldBeRudeToSayGenocide</t>
  </si>
  <si>
    <t>WouldNotHitAGirl</t>
  </si>
  <si>
    <t>YetAnotherChristmasCarol</t>
  </si>
  <si>
    <t>YouCanBarelyStand</t>
  </si>
  <si>
    <t>YouCanTalk</t>
  </si>
  <si>
    <t>YouHaveToHaveJews</t>
  </si>
  <si>
    <t>YouMeddlingKids</t>
  </si>
  <si>
    <t>YoureJustJealous</t>
  </si>
  <si>
    <t>YourTelevisionHatesYou</t>
  </si>
  <si>
    <t>YouTalkTooMuch</t>
  </si>
  <si>
    <t>YouWereTryingTooHard</t>
  </si>
  <si>
    <t>ZeroGSpot</t>
  </si>
  <si>
    <t>AbsurdlyLongStairway</t>
  </si>
  <si>
    <t>AcademicAlphaBitch</t>
  </si>
  <si>
    <t>AcademicAthlete</t>
  </si>
  <si>
    <t>ADeathInTheLimelight</t>
  </si>
  <si>
    <t>AdventuresInComaland</t>
  </si>
  <si>
    <t>AesopCollateralDamage</t>
  </si>
  <si>
    <t>AFeteWorseThanDeath</t>
  </si>
  <si>
    <t>AFistfulOfRehashes</t>
  </si>
  <si>
    <t>AllAreEqualInDeath</t>
  </si>
  <si>
    <t>AllJewsAreAshkenazi</t>
  </si>
  <si>
    <t>AllPlanetsAreEarthLike</t>
  </si>
  <si>
    <t>AMindIsATerribleThingToRead</t>
  </si>
  <si>
    <t>AnatomicallyImpossibleSex</t>
  </si>
  <si>
    <t>AncientEvil</t>
  </si>
  <si>
    <t>AngryWhiteMan</t>
  </si>
  <si>
    <t>AnonymousBenefactor</t>
  </si>
  <si>
    <t>AntiAntichrist</t>
  </si>
  <si>
    <t>ApatheticTeacher</t>
  </si>
  <si>
    <t>ApologisesALot</t>
  </si>
  <si>
    <t>ArabianNightsDays</t>
  </si>
  <si>
    <t>ARareSentence</t>
  </si>
  <si>
    <t>AreYouPonderingWhatImPondering</t>
  </si>
  <si>
    <t>AttackBackfire</t>
  </si>
  <si>
    <t>AuteurLicense</t>
  </si>
  <si>
    <t>AWolfInSheepsClothing</t>
  </si>
  <si>
    <t>BabyFactory</t>
  </si>
  <si>
    <t>BackhandedApology</t>
  </si>
  <si>
    <t>BadJobWorseUniform</t>
  </si>
  <si>
    <t>BaitAndSwitchCredits</t>
  </si>
  <si>
    <t>BaitAndSwitchTyrant</t>
  </si>
  <si>
    <t>BathroomStallGraffiti</t>
  </si>
  <si>
    <t>BattleChant</t>
  </si>
  <si>
    <t>BeastMan</t>
  </si>
  <si>
    <t>BeAsUnhelpfulAsPossible</t>
  </si>
  <si>
    <t>BeehiveHairdo</t>
  </si>
  <si>
    <t>BigGuyFatalitySyndrome</t>
  </si>
  <si>
    <t>BigRottenApple</t>
  </si>
  <si>
    <t>BillyElliotPlot</t>
  </si>
  <si>
    <t>BindleStick</t>
  </si>
  <si>
    <t>BioluminescenceIsCool</t>
  </si>
  <si>
    <t>BitchSlap</t>
  </si>
  <si>
    <t>BlackShirt</t>
  </si>
  <si>
    <t>BlameGame</t>
  </si>
  <si>
    <t>BlankBook</t>
  </si>
  <si>
    <t>BleepDammit</t>
  </si>
  <si>
    <t>BlindWeaponmaster</t>
  </si>
  <si>
    <t>BloodyMurder</t>
  </si>
  <si>
    <t>BluffTheEavesdropper</t>
  </si>
  <si>
    <t>BoozeFlamethrower</t>
  </si>
  <si>
    <t>BorschtBelt</t>
  </si>
  <si>
    <t>BossSubtitles</t>
  </si>
  <si>
    <t>BraggingThemeTune</t>
  </si>
  <si>
    <t>BrainTransplant</t>
  </si>
  <si>
    <t>BritishTeeth</t>
  </si>
  <si>
    <t>BroughtToYouByTheLetterS</t>
  </si>
  <si>
    <t>BullyBrutality</t>
  </si>
  <si>
    <t>Burlesque</t>
  </si>
  <si>
    <t>BurningTheShips</t>
  </si>
  <si>
    <t>BuryMeNotOnTheLonePrairie</t>
  </si>
  <si>
    <t>ButIReadABookAboutIt</t>
  </si>
  <si>
    <t>ButterflyKnife</t>
  </si>
  <si>
    <t>ByTheHair</t>
  </si>
  <si>
    <t>CallASmeerpARabbit</t>
  </si>
  <si>
    <t>CallingYourBathroomBreaks</t>
  </si>
  <si>
    <t>Calvinball</t>
  </si>
  <si>
    <t>CannotKeepASecret</t>
  </si>
  <si>
    <t>CannotTellFictionFromReality</t>
  </si>
  <si>
    <t>CantSpitItOut</t>
  </si>
  <si>
    <t>CantTakeCriticism</t>
  </si>
  <si>
    <t>CartoonBomb</t>
  </si>
  <si>
    <t>CattleDrive</t>
  </si>
  <si>
    <t>CatUpATree</t>
  </si>
  <si>
    <t>CaughtUpInTheRapture</t>
  </si>
  <si>
    <t>CentrifugalFarce</t>
  </si>
  <si>
    <t>ChaoticEvil</t>
  </si>
  <si>
    <t>CharacterBlog</t>
  </si>
  <si>
    <t>CharacterNarrator</t>
  </si>
  <si>
    <t>CharmPerson</t>
  </si>
  <si>
    <t>ChessWithDeath</t>
  </si>
  <si>
    <t>ChestBlaster</t>
  </si>
  <si>
    <t>ChestInsignia</t>
  </si>
  <si>
    <t>ChristmasCarolers</t>
  </si>
  <si>
    <t>CityOfCanals</t>
  </si>
  <si>
    <t>ClassyCane</t>
  </si>
  <si>
    <t>ClingyCostume</t>
  </si>
  <si>
    <t>ClockDiscrepancy</t>
  </si>
  <si>
    <t>CloseUpOnHead</t>
  </si>
  <si>
    <t>ColdTurkeysAreEverywhere</t>
  </si>
  <si>
    <t>ColorMeBlack</t>
  </si>
  <si>
    <t>CombatSadomasochist</t>
  </si>
  <si>
    <t>ComeBackToBedHoney</t>
  </si>
  <si>
    <t>ComicallyCrossEyed</t>
  </si>
  <si>
    <t>ComicallySmallDemand</t>
  </si>
  <si>
    <t>Commune</t>
  </si>
  <si>
    <t>CompromisingCall</t>
  </si>
  <si>
    <t>ConcealingCanvas</t>
  </si>
  <si>
    <t>ContinuityCavalcade</t>
  </si>
  <si>
    <t>ConvenientlyEmptyBuilding</t>
  </si>
  <si>
    <t>ConvenientlyPlacedSharpThing</t>
  </si>
  <si>
    <t>ConvulsiveSeizures</t>
  </si>
  <si>
    <t>CorporateWarfare</t>
  </si>
  <si>
    <t>CutAndPasteTranslation</t>
  </si>
  <si>
    <t>CutawayGag</t>
  </si>
  <si>
    <t>CutlassBetweenTheTeeth</t>
  </si>
  <si>
    <t>CutSong</t>
  </si>
  <si>
    <t>CuttingTheElectronicLeash</t>
  </si>
  <si>
    <t>DayInTheLife</t>
  </si>
  <si>
    <t>DebateAndSwitch</t>
  </si>
  <si>
    <t>DeclarationOfProtection</t>
  </si>
  <si>
    <t>DelayedRippleEffect</t>
  </si>
  <si>
    <t>Demythtification</t>
  </si>
  <si>
    <t>DeusAngstMachina</t>
  </si>
  <si>
    <t>DidNotGetTheGuy</t>
  </si>
  <si>
    <t>DieOrFly</t>
  </si>
  <si>
    <t>DigitalBikini</t>
  </si>
  <si>
    <t>DiningInTheBuff</t>
  </si>
  <si>
    <t>DisabledSnarker</t>
  </si>
  <si>
    <t>Disco</t>
  </si>
  <si>
    <t>DoABarrelRoll</t>
  </si>
  <si>
    <t>DoesNotLikeSpam</t>
  </si>
  <si>
    <t>DominoMask</t>
  </si>
  <si>
    <t>DontGoIntoTheWoods</t>
  </si>
  <si>
    <t>DoYouWantToHaggle</t>
  </si>
  <si>
    <t>DramaticAlienVTOL</t>
  </si>
  <si>
    <t>DreamCrushingHandicap</t>
  </si>
  <si>
    <t>DreamTeam</t>
  </si>
  <si>
    <t>DrFeelgood</t>
  </si>
  <si>
    <t>DrivingStick</t>
  </si>
  <si>
    <t>EdgyBackwardsChairSitting</t>
  </si>
  <si>
    <t>EitherOrTitle</t>
  </si>
  <si>
    <t>EmbarrassingLastName</t>
  </si>
  <si>
    <t>EnormousEngagementRing</t>
  </si>
  <si>
    <t>ETGaveUsWiFi</t>
  </si>
  <si>
    <t>EverythingIsTryingToKillYou</t>
  </si>
  <si>
    <t>ExposedExtraterrestrials</t>
  </si>
  <si>
    <t>FaceOnAMilkCarton</t>
  </si>
  <si>
    <t>FailedDramaticExit</t>
  </si>
  <si>
    <t>FalseDichotomy</t>
  </si>
  <si>
    <t>Familiar</t>
  </si>
  <si>
    <t>FamilyFriendlyFirearms</t>
  </si>
  <si>
    <t>FamilyMan</t>
  </si>
  <si>
    <t>FanserviceWithASmile</t>
  </si>
  <si>
    <t>FashionDissonance</t>
  </si>
  <si>
    <t>FawltyTowersPlot</t>
  </si>
  <si>
    <t>FemaleMisogynist</t>
  </si>
  <si>
    <t>FetalPositionRebirth</t>
  </si>
  <si>
    <t>FightSceneFailure</t>
  </si>
  <si>
    <t>FilmTheHand</t>
  </si>
  <si>
    <t>FlamethrowerBackfire</t>
  </si>
  <si>
    <t>FlashbackWithinAFlashback</t>
  </si>
  <si>
    <t>FleshEatingZombie</t>
  </si>
  <si>
    <t>FlingALightIntoTheFuture</t>
  </si>
  <si>
    <t>FolkHorror</t>
  </si>
  <si>
    <t>ForcedPrizeFight</t>
  </si>
  <si>
    <t>ForgetfulJones</t>
  </si>
  <si>
    <t>ForgottenFirstMeeting</t>
  </si>
  <si>
    <t>ForgotToMindTheirHead</t>
  </si>
  <si>
    <t>FreeWheel</t>
  </si>
  <si>
    <t>FriendlyFire</t>
  </si>
  <si>
    <t>FugitiveArc</t>
  </si>
  <si>
    <t>FunctionalMagic</t>
  </si>
  <si>
    <t>FutileHandReach</t>
  </si>
  <si>
    <t>FutureCopter</t>
  </si>
  <si>
    <t>FutureMusic</t>
  </si>
  <si>
    <t>GamblingBrawl</t>
  </si>
  <si>
    <t>Gangsterland</t>
  </si>
  <si>
    <t>GentlemenRankers</t>
  </si>
  <si>
    <t>GhibliHills</t>
  </si>
  <si>
    <t>GiantFood</t>
  </si>
  <si>
    <t>GiveMeAReason</t>
  </si>
  <si>
    <t>GiveMyRegardsInTheNextWorld</t>
  </si>
  <si>
    <t>Glamour</t>
  </si>
  <si>
    <t>GodInHumanForm</t>
  </si>
  <si>
    <t>GoodCounterpart</t>
  </si>
  <si>
    <t>GottaCatchThemAll</t>
  </si>
  <si>
    <t>GovernmentDrugEnforcement</t>
  </si>
  <si>
    <t>GravitySucks</t>
  </si>
  <si>
    <t>GreaterScopeParagon</t>
  </si>
  <si>
    <t>GrowBeyondTheirProgramming</t>
  </si>
  <si>
    <t>GuiltRiddenAccomplice</t>
  </si>
  <si>
    <t>GunpointBanter</t>
  </si>
  <si>
    <t>GunStripping</t>
  </si>
  <si>
    <t>HairDecorations</t>
  </si>
  <si>
    <t>HairTriggerSoundEffect</t>
  </si>
  <si>
    <t>HateAtFirstSight</t>
  </si>
  <si>
    <t>HazyFeelTurn</t>
  </si>
  <si>
    <t>HeDidntMakeIt</t>
  </si>
  <si>
    <t>HelicopterFlyswatter</t>
  </si>
  <si>
    <t>Hermaphrodite</t>
  </si>
  <si>
    <t>HeroesFightBarehanded</t>
  </si>
  <si>
    <t>HeroicFireRescue</t>
  </si>
  <si>
    <t>HeroicWannabe</t>
  </si>
  <si>
    <t>HeroWorshipper</t>
  </si>
  <si>
    <t>HeyCatch</t>
  </si>
  <si>
    <t>HideYourOtherness</t>
  </si>
  <si>
    <t>HighCollarOfDoom</t>
  </si>
  <si>
    <t>HistoricalFiction</t>
  </si>
  <si>
    <t>HoistByHerOwnPetard</t>
  </si>
  <si>
    <t>HoldingOutForAHero</t>
  </si>
  <si>
    <t>HollywoodCyborg</t>
  </si>
  <si>
    <t>HolyBacklight</t>
  </si>
  <si>
    <t>HomeAloneAntics</t>
  </si>
  <si>
    <t>HomicideMachines</t>
  </si>
  <si>
    <t>HornedHumanoid</t>
  </si>
  <si>
    <t>HorrifyingTheHorror</t>
  </si>
  <si>
    <t>HotConsort</t>
  </si>
  <si>
    <t>HotForPreacher</t>
  </si>
  <si>
    <t>HunterOfHisOwnKind</t>
  </si>
  <si>
    <t>IAmNotPretty</t>
  </si>
  <si>
    <t>IComeInPeace</t>
  </si>
  <si>
    <t>IdiosyncraticEpisodeNaming</t>
  </si>
  <si>
    <t>IDontPayYouToThink</t>
  </si>
  <si>
    <t>IfMyCalculationsAreCorrect</t>
  </si>
  <si>
    <t>IfYouDieICallYourStuff</t>
  </si>
  <si>
    <t>IJustWantToBeBeautiful</t>
  </si>
  <si>
    <t>IKnewIt</t>
  </si>
  <si>
    <t>ImposterForgotOneDetail</t>
  </si>
  <si>
    <t>ImpostorExposingTest</t>
  </si>
  <si>
    <t>ImpracticallyFancyOutfit</t>
  </si>
  <si>
    <t>IncrediblyConspicuousDrag</t>
  </si>
  <si>
    <t>IneffectualLoner</t>
  </si>
  <si>
    <t>InfraredXRayCamera</t>
  </si>
  <si>
    <t>InheritanceMurder</t>
  </si>
  <si>
    <t>InstantWebHit</t>
  </si>
  <si>
    <t>Intangibility</t>
  </si>
  <si>
    <t>IntimateArtistry</t>
  </si>
  <si>
    <t>IntimateMarks</t>
  </si>
  <si>
    <t>IsThatAThreat</t>
  </si>
  <si>
    <t>ItBeganWithATwistOfFate</t>
  </si>
  <si>
    <t>IWishedYouWereDead</t>
  </si>
  <si>
    <t>JustifiedTitle</t>
  </si>
  <si>
    <t>JuxtaposedHalvesShot</t>
  </si>
  <si>
    <t>KarmicTrickster</t>
  </si>
  <si>
    <t>KillHimAlready</t>
  </si>
  <si>
    <t>KnowWhenToFoldThem</t>
  </si>
  <si>
    <t>KudzuPlot</t>
  </si>
  <si>
    <t>LamarckWasRight</t>
  </si>
  <si>
    <t>LanguageOfLove</t>
  </si>
  <si>
    <t>LaserCutter</t>
  </si>
  <si>
    <t>LastVillainStand</t>
  </si>
  <si>
    <t>LeftStuckAfterAttack</t>
  </si>
  <si>
    <t>LegendaryInTheSequel</t>
  </si>
  <si>
    <t>LesbianJock</t>
  </si>
  <si>
    <t>LifeDrinker</t>
  </si>
  <si>
    <t>LikeADuckTakesToWater</t>
  </si>
  <si>
    <t>LikeParentLikeSpouse</t>
  </si>
  <si>
    <t>LikeRealityUnlessNoted</t>
  </si>
  <si>
    <t>LiteralDisarming</t>
  </si>
  <si>
    <t>LivingDinosaurs</t>
  </si>
  <si>
    <t>LongerThanLifeSentence</t>
  </si>
  <si>
    <t>LongSongShortScene</t>
  </si>
  <si>
    <t>LostInCharacter</t>
  </si>
  <si>
    <t>LoveableSexManiac</t>
  </si>
  <si>
    <t>LuckBasedSearchTechnique</t>
  </si>
  <si>
    <t>Lzherusskie</t>
  </si>
  <si>
    <t>MacGuffinSuperPerson</t>
  </si>
  <si>
    <t>MaintainTheLie</t>
  </si>
  <si>
    <t>MajoredInWesternHypocrisy</t>
  </si>
  <si>
    <t>MakeOutKids</t>
  </si>
  <si>
    <t>ManIFeelLikeAWoman</t>
  </si>
  <si>
    <t>MarySue</t>
  </si>
  <si>
    <t>MasqueradingAsTheUnseen</t>
  </si>
  <si>
    <t>MassiveMultiplayerCrossover</t>
  </si>
  <si>
    <t>MasterOfYourDomain</t>
  </si>
  <si>
    <t>MayContainEvil</t>
  </si>
  <si>
    <t>MeanBrit</t>
  </si>
  <si>
    <t>MeatgrinderSurgery</t>
  </si>
  <si>
    <t>MegaCity</t>
  </si>
  <si>
    <t>MentalWorld</t>
  </si>
  <si>
    <t>MetaFiction</t>
  </si>
  <si>
    <t>MickeyMouse</t>
  </si>
  <si>
    <t>MilestoneCelebration</t>
  </si>
  <si>
    <t>MixedMetaphor</t>
  </si>
  <si>
    <t>MockBuster</t>
  </si>
  <si>
    <t>MonochromaticEyes</t>
  </si>
  <si>
    <t>MoralDilemma</t>
  </si>
  <si>
    <t>MoveAlongNothingToSeeHere</t>
  </si>
  <si>
    <t>MundaneHorror</t>
  </si>
  <si>
    <t>MusicalAssassin</t>
  </si>
  <si>
    <t>MusicalWorldHypotheses</t>
  </si>
  <si>
    <t>NaziGrandpa</t>
  </si>
  <si>
    <t>NebulousEvilOrganisation</t>
  </si>
  <si>
    <t>NeoclassicalPunkZydecoRockabilly</t>
  </si>
  <si>
    <t>NeverBringAGunToAKnifeFight</t>
  </si>
  <si>
    <t>NeverTheObviousSuspect</t>
  </si>
  <si>
    <t>NewHouseNewProblems</t>
  </si>
  <si>
    <t>NewTechnologyIsEvil</t>
  </si>
  <si>
    <t>NoBloodForPhlebotinum</t>
  </si>
  <si>
    <t>NoHeroToHisValet</t>
  </si>
  <si>
    <t>NoisyGuns</t>
  </si>
  <si>
    <t>NoManOfWomanBorn</t>
  </si>
  <si>
    <t>NoSenseOfDirection</t>
  </si>
  <si>
    <t>NostalgiaAintLikeItUsedToBe</t>
  </si>
  <si>
    <t>NotActuallyTheUltimateQuestion</t>
  </si>
  <si>
    <t>NotQuiteSavedEnough</t>
  </si>
  <si>
    <t>NotSoInnocentWhistle</t>
  </si>
  <si>
    <t>NotThisOneThatOne</t>
  </si>
  <si>
    <t>NumberOneDime</t>
  </si>
  <si>
    <t>OfCorsetsFunny</t>
  </si>
  <si>
    <t>OffBridgeOntoVehicle</t>
  </si>
  <si>
    <t>OldFriend</t>
  </si>
  <si>
    <t>OminousCrack</t>
  </si>
  <si>
    <t>OminousFloatingSpaceship</t>
  </si>
  <si>
    <t>OneHandedShotgunPump</t>
  </si>
  <si>
    <t>OnPatrolMontage</t>
  </si>
  <si>
    <t>OrganAutonomy</t>
  </si>
  <si>
    <t>OutOfContextEavesdropping</t>
  </si>
  <si>
    <t>OwMyBodyPart</t>
  </si>
  <si>
    <t>ParalyzingFearOfSexuality</t>
  </si>
  <si>
    <t>PecFlex</t>
  </si>
  <si>
    <t>PensieveFlashback</t>
  </si>
  <si>
    <t>PeopleFarms</t>
  </si>
  <si>
    <t>PerpetualMotionMonster</t>
  </si>
  <si>
    <t>PervertDad</t>
  </si>
  <si>
    <t>PickACard</t>
  </si>
  <si>
    <t>PilotMovie</t>
  </si>
  <si>
    <t>PinballProjectile</t>
  </si>
  <si>
    <t>PinkertonDetective</t>
  </si>
  <si>
    <t>PiranhaProblem</t>
  </si>
  <si>
    <t>Pirate</t>
  </si>
  <si>
    <t>PityTheKidnapper</t>
  </si>
  <si>
    <t>PlaceboEffect</t>
  </si>
  <si>
    <t>PlagueZombie</t>
  </si>
  <si>
    <t>Plan</t>
  </si>
  <si>
    <t>PlanarShockwave</t>
  </si>
  <si>
    <t>PlankGag</t>
  </si>
  <si>
    <t>PleaseSpareHimMyLiege</t>
  </si>
  <si>
    <t>PlotIncitingInfidelity</t>
  </si>
  <si>
    <t>PlotPoint</t>
  </si>
  <si>
    <t>Plunder</t>
  </si>
  <si>
    <t>PomPomGirl</t>
  </si>
  <si>
    <t>PossessionImpliesMastery</t>
  </si>
  <si>
    <t>PostersAlwaysLie</t>
  </si>
  <si>
    <t>PrankDate</t>
  </si>
  <si>
    <t>PrecisionGuidedBoomerang</t>
  </si>
  <si>
    <t>PrinceCharmless</t>
  </si>
  <si>
    <t>PrincessClassic</t>
  </si>
  <si>
    <t>ProductionForeshadowing</t>
  </si>
  <si>
    <t>PropheticName</t>
  </si>
  <si>
    <t>Protectorate</t>
  </si>
  <si>
    <t>PursueTheDreamJob</t>
  </si>
  <si>
    <t>QuipToBlack</t>
  </si>
  <si>
    <t>RageAgainstTheAuthor</t>
  </si>
  <si>
    <t>RailEnthusiast</t>
  </si>
  <si>
    <t>RapidFireFisticuffs</t>
  </si>
  <si>
    <t>RealEstateScam</t>
  </si>
  <si>
    <t>ReallyRoyaltyReveal</t>
  </si>
  <si>
    <t>ReclusiveArtist</t>
  </si>
  <si>
    <t>RecoiledAcrossTheRoom</t>
  </si>
  <si>
    <t>RecursiveCrossdressing</t>
  </si>
  <si>
    <t>ReignOfTerror</t>
  </si>
  <si>
    <t>ReimaginingTheArtifact</t>
  </si>
  <si>
    <t>ReluctantPsycho</t>
  </si>
  <si>
    <t>ReluctantWarrior</t>
  </si>
  <si>
    <t>RemovedFromThePicture</t>
  </si>
  <si>
    <t>RemovingTheRival</t>
  </si>
  <si>
    <t>ResetButtonEnding</t>
  </si>
  <si>
    <t>RidiculouslyDifficultRoute</t>
  </si>
  <si>
    <t>RingRingCRUNCH</t>
  </si>
  <si>
    <t>RipTailoring</t>
  </si>
  <si>
    <t>RoadBlock</t>
  </si>
  <si>
    <t>RoadTripAcrossTheStreet</t>
  </si>
  <si>
    <t>RobotMaid</t>
  </si>
  <si>
    <t>RuinsOfTheModernAge</t>
  </si>
  <si>
    <t>RuleNumberOne</t>
  </si>
  <si>
    <t>SawStarWarsTwentySevenTimes</t>
  </si>
  <si>
    <t>ScarfOfAsskicking</t>
  </si>
  <si>
    <t>ScoobyStack</t>
  </si>
  <si>
    <t>ScottyTime</t>
  </si>
  <si>
    <t>ScreenShake</t>
  </si>
  <si>
    <t>SeaMine</t>
  </si>
  <si>
    <t>SecondPersonAttack</t>
  </si>
  <si>
    <t>SecondPlaceIsForWinners</t>
  </si>
  <si>
    <t>SelfDemonstratingArticle</t>
  </si>
  <si>
    <t>SenseFreak</t>
  </si>
  <si>
    <t>SensoryAbuse</t>
  </si>
  <si>
    <t>SentryGun</t>
  </si>
  <si>
    <t>SeparateSceneStorytelling</t>
  </si>
  <si>
    <t>SeveredHeadSports</t>
  </si>
  <si>
    <t>SexyWhateverOutfit</t>
  </si>
  <si>
    <t>ShakyCam</t>
  </si>
  <si>
    <t>SheetOfGlass</t>
  </si>
  <si>
    <t>ShootTheBullet</t>
  </si>
  <si>
    <t>SicEm</t>
  </si>
  <si>
    <t>SidetrackedByTheAnalogy</t>
  </si>
  <si>
    <t>SignificantName</t>
  </si>
  <si>
    <t>SilentWhisper</t>
  </si>
  <si>
    <t>SimilarlyNamedWorks</t>
  </si>
  <si>
    <t>SingingInTheShower</t>
  </si>
  <si>
    <t>SitcomArchNemesis</t>
  </si>
  <si>
    <t>SleeperStarship</t>
  </si>
  <si>
    <t>SlidingScaleOfAntiVillains</t>
  </si>
  <si>
    <t>SmittenTeenageGirl</t>
  </si>
  <si>
    <t>SmokingBarrelBlowout</t>
  </si>
  <si>
    <t>SnakePeople</t>
  </si>
  <si>
    <t>SniperDuel</t>
  </si>
  <si>
    <t>SnoopingLittleKid</t>
  </si>
  <si>
    <t>SomedayThisWillComeInHandy</t>
  </si>
  <si>
    <t>SomeOfMyBestFriendsAreX</t>
  </si>
  <si>
    <t>SomeoneHasToDie</t>
  </si>
  <si>
    <t>SongsInTheKeyOfLock</t>
  </si>
  <si>
    <t>SorcerousOverlord</t>
  </si>
  <si>
    <t>SoundOff</t>
  </si>
  <si>
    <t>SoUnfunnyItsFunny</t>
  </si>
  <si>
    <t>SplatterHorror</t>
  </si>
  <si>
    <t>SpontaneousHumanCombustion</t>
  </si>
  <si>
    <t>SssssnakeTalk</t>
  </si>
  <si>
    <t>StandardFiftiesFather</t>
  </si>
  <si>
    <t>StatOVision</t>
  </si>
  <si>
    <t>StealTheSurroundings</t>
  </si>
  <si>
    <t>SteppingStoneSword</t>
  </si>
  <si>
    <t>StockUnsolvedMysteries</t>
  </si>
  <si>
    <t>StrangerBehindTheMask</t>
  </si>
  <si>
    <t>StupidestThingIveEverHeard</t>
  </si>
  <si>
    <t>StupidGood</t>
  </si>
  <si>
    <t>StyrofoamRocks</t>
  </si>
  <si>
    <t>SuperWristGadget</t>
  </si>
  <si>
    <t>SurveillanceStationSlacker</t>
  </si>
  <si>
    <t>SweetOnPollyOliver</t>
  </si>
  <si>
    <t>SwordAndGun</t>
  </si>
  <si>
    <t>SwordOfPlotAdvancement</t>
  </si>
  <si>
    <t>SwordPlant</t>
  </si>
  <si>
    <t>TakeThatMe</t>
  </si>
  <si>
    <t>TallPoppySyndrome</t>
  </si>
  <si>
    <t>TaughtByTelevision</t>
  </si>
  <si>
    <t>TenPacesAndTurn</t>
  </si>
  <si>
    <t>ThanksgivingDayStory</t>
  </si>
  <si>
    <t>ThatThingIsNotMyChild</t>
  </si>
  <si>
    <t>ThatWasObjectionable</t>
  </si>
  <si>
    <t>TheArk</t>
  </si>
  <si>
    <t>TheCatCameBack</t>
  </si>
  <si>
    <t>TheCowl</t>
  </si>
  <si>
    <t>TheEmperor</t>
  </si>
  <si>
    <t>TheFreelanceShameSquad</t>
  </si>
  <si>
    <t>TheGlovesComeOff</t>
  </si>
  <si>
    <t>TheLittleShopThatWasntThereYesterday</t>
  </si>
  <si>
    <t>TheManBehindTheCurtain</t>
  </si>
  <si>
    <t>ThemeTwinNaming</t>
  </si>
  <si>
    <t>TheMonolith</t>
  </si>
  <si>
    <t>ThePatientHasLeftTheBuilding</t>
  </si>
  <si>
    <t>ThePratfall</t>
  </si>
  <si>
    <t>ThereIsAGod</t>
  </si>
  <si>
    <t>TheReptilians</t>
  </si>
  <si>
    <t>TheSingularity</t>
  </si>
  <si>
    <t>TheSlowWalk</t>
  </si>
  <si>
    <t>TheSpymaster</t>
  </si>
  <si>
    <t>TheUnapologetic</t>
  </si>
  <si>
    <t>TheWormGuy</t>
  </si>
  <si>
    <t>ThisIsYourBrainOnEvil</t>
  </si>
  <si>
    <t>ThrillSeeker</t>
  </si>
  <si>
    <t>ThroatLight</t>
  </si>
  <si>
    <t>TimeTravelForFunAndProfit</t>
  </si>
  <si>
    <t>TisOnlyABulletInTheBrain</t>
  </si>
  <si>
    <t>TitleTheAdaptation</t>
  </si>
  <si>
    <t>TokenEnemyMinority</t>
  </si>
  <si>
    <t>TooDumbToFool</t>
  </si>
  <si>
    <t>TooGoodToBeTrue</t>
  </si>
  <si>
    <t>TooHappyToLive</t>
  </si>
  <si>
    <t>TotalPartyKill</t>
  </si>
  <si>
    <t>ToughRoom</t>
  </si>
  <si>
    <t>TragicBigot</t>
  </si>
  <si>
    <t>TrampledUnderfoot</t>
  </si>
  <si>
    <t>TransformationHorror</t>
  </si>
  <si>
    <t>TransformationIsAFreeAction</t>
  </si>
  <si>
    <t>TreasureRoom</t>
  </si>
  <si>
    <t>TrollingTranslator</t>
  </si>
  <si>
    <t>TrueBeautyIsOnTheInside</t>
  </si>
  <si>
    <t>TurtlePower</t>
  </si>
  <si>
    <t>TwoFacedAside</t>
  </si>
  <si>
    <t>TwoWordsICantCount</t>
  </si>
  <si>
    <t>UndergroundCity</t>
  </si>
  <si>
    <t>UnexpectedlyRealMagic</t>
  </si>
  <si>
    <t>UnlikelyHero</t>
  </si>
  <si>
    <t>UnrelatedInTheAdaptation</t>
  </si>
  <si>
    <t>UnspecifiedApocalypse</t>
  </si>
  <si>
    <t>Utopia</t>
  </si>
  <si>
    <t>VengefulVendingMachine</t>
  </si>
  <si>
    <t>WalkDontSwim</t>
  </si>
  <si>
    <t>WalkingWasteland</t>
  </si>
  <si>
    <t>WaterTorture</t>
  </si>
  <si>
    <t>WaxMuseumMorgue</t>
  </si>
  <si>
    <t>WealthyPhilanthropist</t>
  </si>
  <si>
    <t>WeaponStomp</t>
  </si>
  <si>
    <t>WeddingDeadline</t>
  </si>
  <si>
    <t>WeHaveBecomeComplacent</t>
  </si>
  <si>
    <t>WelcomeToTheBigCity</t>
  </si>
  <si>
    <t>WeWillHavePerfectHealthInTheFuture</t>
  </si>
  <si>
    <t>WhatsAHenway</t>
  </si>
  <si>
    <t>WhatWouldXDo</t>
  </si>
  <si>
    <t>WhenItRainsItPours</t>
  </si>
  <si>
    <t>WildHair</t>
  </si>
  <si>
    <t>WildTake</t>
  </si>
  <si>
    <t>Wipe</t>
  </si>
  <si>
    <t>WorkoutFanservice</t>
  </si>
  <si>
    <t>WorkplaceAcquiredAbilities</t>
  </si>
  <si>
    <t>WorldHealingWave</t>
  </si>
  <si>
    <t>WorthLivingFor</t>
  </si>
  <si>
    <t>WreathedInFlames</t>
  </si>
  <si>
    <t>WrongInsultOffence</t>
  </si>
  <si>
    <t>YesNoAnswerInterpretation</t>
  </si>
  <si>
    <t>YouCanKeepHer</t>
  </si>
  <si>
    <t>YouCannotKillAnIdea</t>
  </si>
  <si>
    <t>YouCanSeeThatRight</t>
  </si>
  <si>
    <t>YouJustRuinedTheShot</t>
  </si>
  <si>
    <t>YouKnowTooMuch</t>
  </si>
  <si>
    <t>YourNormalIsOurTaboo</t>
  </si>
  <si>
    <t>YourTomcatIsPregnant</t>
  </si>
  <si>
    <t>YouWakeUpInARoom</t>
  </si>
  <si>
    <t>AbandonedMine</t>
  </si>
  <si>
    <t>ABNegative</t>
  </si>
  <si>
    <t>AbusivePrecursors</t>
  </si>
  <si>
    <t>AccentuateTheNegative</t>
  </si>
  <si>
    <t>AccidentalAdultery</t>
  </si>
  <si>
    <t>AcidRefluxNightmare</t>
  </si>
  <si>
    <t>ActivistFundamentalistAntics</t>
  </si>
  <si>
    <t>AdaptationalBackstoryChange</t>
  </si>
  <si>
    <t>AddictionDisplacement</t>
  </si>
  <si>
    <t>AdultsDressedAsChildren</t>
  </si>
  <si>
    <t>AfroAsskicker</t>
  </si>
  <si>
    <t>AfterlifeAntechamber</t>
  </si>
  <si>
    <t>AgainstMyReligion</t>
  </si>
  <si>
    <t>AgonyBeam</t>
  </si>
  <si>
    <t>AintNoRule</t>
  </si>
  <si>
    <t>AirborneAircraftCarrier</t>
  </si>
  <si>
    <t>AllAbusersAreMale</t>
  </si>
  <si>
    <t>AllCavemenWereNeanderthals</t>
  </si>
  <si>
    <t>AlliterativeFamily</t>
  </si>
  <si>
    <t>AllMonksKnowKungFu</t>
  </si>
  <si>
    <t>AllThatGlitters</t>
  </si>
  <si>
    <t>AllThereIsToKnowAboutTheCryingGame</t>
  </si>
  <si>
    <t>AllWebbedUp</t>
  </si>
  <si>
    <t>AlohaHawaii</t>
  </si>
  <si>
    <t>AloneAmongTheCouples</t>
  </si>
  <si>
    <t>AmazingTechnicolorPopulation</t>
  </si>
  <si>
    <t>AmbiguousCloneEnding</t>
  </si>
  <si>
    <t>AmbiguousGenderIdentity</t>
  </si>
  <si>
    <t>AndAnotherThing</t>
  </si>
  <si>
    <t>AngryDance</t>
  </si>
  <si>
    <t>AngryMob</t>
  </si>
  <si>
    <t>AnimalMetaphor</t>
  </si>
  <si>
    <t>AnimalThemedSuperbeing</t>
  </si>
  <si>
    <t>AntiIntellectualism</t>
  </si>
  <si>
    <t>ApologizesALot</t>
  </si>
  <si>
    <t>ArmsFair</t>
  </si>
  <si>
    <t>ArtisticLicenseAwards</t>
  </si>
  <si>
    <t>AsleepForDays</t>
  </si>
  <si>
    <t>AspectRatio</t>
  </si>
  <si>
    <t>AttackPatternAlpha</t>
  </si>
  <si>
    <t>AttractiveZombie</t>
  </si>
  <si>
    <t>Autocannibalism</t>
  </si>
  <si>
    <t>AutomaticCrossbows</t>
  </si>
  <si>
    <t>BabyTalk</t>
  </si>
  <si>
    <t>BackedByThePentagon</t>
  </si>
  <si>
    <t>BackInTheSaddle</t>
  </si>
  <si>
    <t>BackToFront</t>
  </si>
  <si>
    <t>BadassUnintentional</t>
  </si>
  <si>
    <t>BadPresent</t>
  </si>
  <si>
    <t>BagOfKidnapping</t>
  </si>
  <si>
    <t>BalancingDeathsBooks</t>
  </si>
  <si>
    <t>BandageMummy</t>
  </si>
  <si>
    <t>BedouinRescueService</t>
  </si>
  <si>
    <t>BellisariosMaxim</t>
  </si>
  <si>
    <t>BenevolentAI</t>
  </si>
  <si>
    <t>BenevolentAlienInvasion</t>
  </si>
  <si>
    <t>BestFriendsInLaw</t>
  </si>
  <si>
    <t>BestKnownForTheFanservice</t>
  </si>
  <si>
    <t>BetterLivingThroughEvil</t>
  </si>
  <si>
    <t>BetterThanSex</t>
  </si>
  <si>
    <t>BigBreastPride</t>
  </si>
  <si>
    <t>BigBrotherIsWatchingYou</t>
  </si>
  <si>
    <t>BigFancyCastle</t>
  </si>
  <si>
    <t>BiggerStick</t>
  </si>
  <si>
    <t>BigGuyRodeo</t>
  </si>
  <si>
    <t>BigLittleMan</t>
  </si>
  <si>
    <t>BillBillJunkBill</t>
  </si>
  <si>
    <t>BlackAndBlackMorality</t>
  </si>
  <si>
    <t>BlackComedyAnimalCruelty</t>
  </si>
  <si>
    <t>BlueAndOrangeContrast</t>
  </si>
  <si>
    <t>BodyCountCompetition</t>
  </si>
  <si>
    <t>BondingOverMissingParents</t>
  </si>
  <si>
    <t>BotheringByTheBook</t>
  </si>
  <si>
    <t>BoyfriendBluff</t>
  </si>
  <si>
    <t>BrainFever</t>
  </si>
  <si>
    <t>BraveScot</t>
  </si>
  <si>
    <t>BreakingTheFellowship</t>
  </si>
  <si>
    <t>BrickBreak</t>
  </si>
  <si>
    <t>BringHimToMe</t>
  </si>
  <si>
    <t>BringNewsBack</t>
  </si>
  <si>
    <t>BruceLeeClone</t>
  </si>
  <si>
    <t>ButNotTooWhite</t>
  </si>
  <si>
    <t>CameraSniper</t>
  </si>
  <si>
    <t>CanisLatinicus</t>
  </si>
  <si>
    <t>CantBelieveISaidThat</t>
  </si>
  <si>
    <t>CarpetRolledCorpse</t>
  </si>
  <si>
    <t>CarryingACake</t>
  </si>
  <si>
    <t>CastFromLifespan</t>
  </si>
  <si>
    <t>CatharsisFactor</t>
  </si>
  <si>
    <t>CatharticScream</t>
  </si>
  <si>
    <t>CensorDecoy</t>
  </si>
  <si>
    <t>CensorshipBySpelling</t>
  </si>
  <si>
    <t>ChainsawGripBFG</t>
  </si>
  <si>
    <t>ChandlersLaw</t>
  </si>
  <si>
    <t>ChangingOfTheGuard</t>
  </si>
  <si>
    <t>ChekhovsArmy</t>
  </si>
  <si>
    <t>ChekhovsExhibit</t>
  </si>
  <si>
    <t>ChristmasElves</t>
  </si>
  <si>
    <t>ChurchOfHappyology</t>
  </si>
  <si>
    <t>CircusBrat</t>
  </si>
  <si>
    <t>ClippedWingAngel</t>
  </si>
  <si>
    <t>CloseCallHaircut</t>
  </si>
  <si>
    <t>CloseKnitCommunity</t>
  </si>
  <si>
    <t>CoatHatMask</t>
  </si>
  <si>
    <t>ColonelBogeyMarch</t>
  </si>
  <si>
    <t>CommunityThreateningConstruction</t>
  </si>
  <si>
    <t>CompensatedDating</t>
  </si>
  <si>
    <t>CompressedHair</t>
  </si>
  <si>
    <t>ComputerVirus</t>
  </si>
  <si>
    <t>ConflictKiller</t>
  </si>
  <si>
    <t>ConversationCasualty</t>
  </si>
  <si>
    <t>ConvertingForLove</t>
  </si>
  <si>
    <t>ConveyorBeltOfDoom</t>
  </si>
  <si>
    <t>CoolAunt</t>
  </si>
  <si>
    <t>CoolGate</t>
  </si>
  <si>
    <t>CorruptionOfAMinor</t>
  </si>
  <si>
    <t>CountryMusic</t>
  </si>
  <si>
    <t>CourtMartialed</t>
  </si>
  <si>
    <t>CowTools</t>
  </si>
  <si>
    <t>CreditsMontage</t>
  </si>
  <si>
    <t>CreepyCircusMusic</t>
  </si>
  <si>
    <t>CreepyGasStationAttendant</t>
  </si>
  <si>
    <t>CrossoverCosmology</t>
  </si>
  <si>
    <t>CryLaughing</t>
  </si>
  <si>
    <t>CuteMachines</t>
  </si>
  <si>
    <t>DatingServiceDisaster</t>
  </si>
  <si>
    <t>DeadlyDelivery</t>
  </si>
  <si>
    <t>DeadManWalking</t>
  </si>
  <si>
    <t>DeathByGenreSavviness</t>
  </si>
  <si>
    <t>DeathIsTheOnlyOption</t>
  </si>
  <si>
    <t>DeathsHourglass</t>
  </si>
  <si>
    <t>DecoyConvoy</t>
  </si>
  <si>
    <t>DEFCONFive</t>
  </si>
  <si>
    <t>DefeatByModesty</t>
  </si>
  <si>
    <t>DefiantStoneThrow</t>
  </si>
  <si>
    <t>DemonSlaying</t>
  </si>
  <si>
    <t>DepravedKidsShowHost</t>
  </si>
  <si>
    <t>DevelopmentGag</t>
  </si>
  <si>
    <t>DialogueReversal</t>
  </si>
  <si>
    <t>DiamondsInTheBuff</t>
  </si>
  <si>
    <t>DidNotDieThatWay</t>
  </si>
  <si>
    <t>DidNotDoTheBloodyResearch</t>
  </si>
  <si>
    <t>DigitalDeAging</t>
  </si>
  <si>
    <t>DigitalPiracyIsEvil</t>
  </si>
  <si>
    <t>DirtForcefield</t>
  </si>
  <si>
    <t>DisasterScavengers</t>
  </si>
  <si>
    <t>DistantSequel</t>
  </si>
  <si>
    <t>DistractedByMyOwnSexy</t>
  </si>
  <si>
    <t>DistractedByTheLuxury</t>
  </si>
  <si>
    <t>DoAnythingRobot</t>
  </si>
  <si>
    <t>DogsAreDumb</t>
  </si>
  <si>
    <t>DoNotTouchTheFunnelCloud</t>
  </si>
  <si>
    <t>DoubleStandardRapeFemaleOnFemale</t>
  </si>
  <si>
    <t>DrawAggro</t>
  </si>
  <si>
    <t>EarthquakesCauseFissures</t>
  </si>
  <si>
    <t>EasyLogistics</t>
  </si>
  <si>
    <t>EatTheRich</t>
  </si>
  <si>
    <t>EccentricExterminator</t>
  </si>
  <si>
    <t>EconomyCast</t>
  </si>
  <si>
    <t>EdibleAmmunition</t>
  </si>
  <si>
    <t>ElectromagneticGhosts</t>
  </si>
  <si>
    <t>ElectronicSpeechImpediment</t>
  </si>
  <si>
    <t>EloquentInMyNativeTongue</t>
  </si>
  <si>
    <t>EmbarrassingCoverup</t>
  </si>
  <si>
    <t>EmbarrassingRingtone</t>
  </si>
  <si>
    <t>EmergencyPresidentialAddress</t>
  </si>
  <si>
    <t>EndOfTheWorldAsWeKnowIt</t>
  </si>
  <si>
    <t>EngineeredHeroics</t>
  </si>
  <si>
    <t>EscapeArtist</t>
  </si>
  <si>
    <t>EscapedFromTheLab</t>
  </si>
  <si>
    <t>EthnicScrappy</t>
  </si>
  <si>
    <t>EverythingSensor</t>
  </si>
  <si>
    <t>EvilArmy</t>
  </si>
  <si>
    <t>EvilIsNotWellLit</t>
  </si>
  <si>
    <t>EvilIsOneBigHappyFamily</t>
  </si>
  <si>
    <t>EvilMinions</t>
  </si>
  <si>
    <t>EvilSlinks</t>
  </si>
  <si>
    <t>EvilTastesGood</t>
  </si>
  <si>
    <t>Excalibur</t>
  </si>
  <si>
    <t>ExorcistHead</t>
  </si>
  <si>
    <t>ExplodingFishTanks</t>
  </si>
  <si>
    <t>ExploitedImmunity</t>
  </si>
  <si>
    <t>ExploringTheEvilLair</t>
  </si>
  <si>
    <t>ExplosiveCigar</t>
  </si>
  <si>
    <t>ExpositionBeam</t>
  </si>
  <si>
    <t>ExtracurricularEnthusiast</t>
  </si>
  <si>
    <t>ExtremeCloseUp</t>
  </si>
  <si>
    <t>ExtremeLibido</t>
  </si>
  <si>
    <t>FacepalmOfDoom</t>
  </si>
  <si>
    <t>FacialRecognitionSoftware</t>
  </si>
  <si>
    <t>FailingATaxi</t>
  </si>
  <si>
    <t>FaintingSeer</t>
  </si>
  <si>
    <t>FairPlayWhodunnit</t>
  </si>
  <si>
    <t>FaithHeelTurn</t>
  </si>
  <si>
    <t>FakeoutEscape</t>
  </si>
  <si>
    <t>FakingEngineTrouble</t>
  </si>
  <si>
    <t>FamilyExtermination</t>
  </si>
  <si>
    <t>FamilyHonor</t>
  </si>
  <si>
    <t>FamousAncestor</t>
  </si>
  <si>
    <t>FamousFamousFictional</t>
  </si>
  <si>
    <t>FangsAreEvil</t>
  </si>
  <si>
    <t>FantasticCatholicism</t>
  </si>
  <si>
    <t>FantasticSlur</t>
  </si>
  <si>
    <t>FantasyGunControl</t>
  </si>
  <si>
    <t>Farce</t>
  </si>
  <si>
    <t>FarEastAsianTerrorists</t>
  </si>
  <si>
    <t>FateDrivesUsTogether</t>
  </si>
  <si>
    <t>FatSlob</t>
  </si>
  <si>
    <t>FictionalSport</t>
  </si>
  <si>
    <t>Filth</t>
  </si>
  <si>
    <t>FinishingStomp</t>
  </si>
  <si>
    <t>FirstDayFromHell</t>
  </si>
  <si>
    <t>FirstPersonPerspective</t>
  </si>
  <si>
    <t>FlockOfWolves</t>
  </si>
  <si>
    <t>FlyingDutchman</t>
  </si>
  <si>
    <t>FlyingFirepower</t>
  </si>
  <si>
    <t>ForceAndFinesse</t>
  </si>
  <si>
    <t>ForgottenFramingDevice</t>
  </si>
  <si>
    <t>ForgottenPhlebotinum</t>
  </si>
  <si>
    <t>FourElementEnsemble</t>
  </si>
  <si>
    <t>FracturedFairyTale</t>
  </si>
  <si>
    <t>FreakyIsCool</t>
  </si>
  <si>
    <t>FreudianCouch</t>
  </si>
  <si>
    <t>FunWithHomophones</t>
  </si>
  <si>
    <t>FurryReminder</t>
  </si>
  <si>
    <t>GadgetWatches</t>
  </si>
  <si>
    <t>GasChamber</t>
  </si>
  <si>
    <t>GermanicEfficiency</t>
  </si>
  <si>
    <t>GloveSnap</t>
  </si>
  <si>
    <t>GoodIsOldFashioned</t>
  </si>
  <si>
    <t>GoodLuckGesture</t>
  </si>
  <si>
    <t>GovernmentProcedural</t>
  </si>
  <si>
    <t>GrandfatherParadox</t>
  </si>
  <si>
    <t>GrandTheftPrototype</t>
  </si>
  <si>
    <t>GrassIsGreener</t>
  </si>
  <si>
    <t>GratuitousDiscoSequence</t>
  </si>
  <si>
    <t>GreatBigBookOfEverything</t>
  </si>
  <si>
    <t>GreenEyedEpiphany</t>
  </si>
  <si>
    <t>GroundByGears</t>
  </si>
  <si>
    <t>GroupHug</t>
  </si>
  <si>
    <t>GuiltByAssociationGag</t>
  </si>
  <si>
    <t>HackedByAPirate</t>
  </si>
  <si>
    <t>HackTheTrafficLights</t>
  </si>
  <si>
    <t>HairTriggerAvalanche</t>
  </si>
  <si>
    <t>HandshakeSubstitute</t>
  </si>
  <si>
    <t>HaveIMentionedIAmSexuallyActiveToday</t>
  </si>
  <si>
    <t>HeadsUpDisplay</t>
  </si>
  <si>
    <t>HeHadAName</t>
  </si>
  <si>
    <t>HehHehYouSaidX</t>
  </si>
  <si>
    <t>HellishHorse</t>
  </si>
  <si>
    <t>HermitGuru</t>
  </si>
  <si>
    <t>HeroicFantasy</t>
  </si>
  <si>
    <t>HeroicNeutral</t>
  </si>
  <si>
    <t>HesGotAWeapon</t>
  </si>
  <si>
    <t>HiddenPurposeTest</t>
  </si>
  <si>
    <t>HidingBehindReligion</t>
  </si>
  <si>
    <t>HighTurnoverRate</t>
  </si>
  <si>
    <t>HippieParents</t>
  </si>
  <si>
    <t>HitchhikersLeg</t>
  </si>
  <si>
    <t>HiveQueen</t>
  </si>
  <si>
    <t>HollywoodAtlas</t>
  </si>
  <si>
    <t>HollywoodMidLifeCrisis</t>
  </si>
  <si>
    <t>HolyGround</t>
  </si>
  <si>
    <t>HordeOfAlienLocusts</t>
  </si>
  <si>
    <t>HorrorHatesARulebreaker</t>
  </si>
  <si>
    <t>HotGuyUglyWife</t>
  </si>
  <si>
    <t>HungryJungle</t>
  </si>
  <si>
    <t>IAmNotLeonardNimoy</t>
  </si>
  <si>
    <t>IBangedYourMom</t>
  </si>
  <si>
    <t>IcarusAllusion</t>
  </si>
  <si>
    <t>IDidntMeanToTurnYouOn</t>
  </si>
  <si>
    <t>IHaveTheHighGround</t>
  </si>
  <si>
    <t>IllTakeThatAsACompliment</t>
  </si>
  <si>
    <t>ImGoingToDisneyWorld</t>
  </si>
  <si>
    <t>ImportationExpansion</t>
  </si>
  <si>
    <t>ImproperlyParanoid</t>
  </si>
  <si>
    <t>ImprovisedTraining</t>
  </si>
  <si>
    <t>IndenturedServitude</t>
  </si>
  <si>
    <t>IndyEscape</t>
  </si>
  <si>
    <t>IneptMage</t>
  </si>
  <si>
    <t>InOneEarOutTheOther</t>
  </si>
  <si>
    <t>InsatiableNewlyweds</t>
  </si>
  <si>
    <t>InsecurityCamera</t>
  </si>
  <si>
    <t>InstantDramaJustAddTracheotomy</t>
  </si>
  <si>
    <t>InstantRunes</t>
  </si>
  <si>
    <t>InterfaceScrew</t>
  </si>
  <si>
    <t>InternalReformist</t>
  </si>
  <si>
    <t>IntersceneDiegetic</t>
  </si>
  <si>
    <t>IntimatePsychotherapy</t>
  </si>
  <si>
    <t>InventionalWisdom</t>
  </si>
  <si>
    <t>InventorOfTheMundane</t>
  </si>
  <si>
    <t>InvisibleHoles</t>
  </si>
  <si>
    <t>ItMakesJustAsMuchSenseInContext</t>
  </si>
  <si>
    <t>ItsUpToYou</t>
  </si>
  <si>
    <t>IUhYouToo</t>
  </si>
  <si>
    <t>JailBaitWait</t>
  </si>
  <si>
    <t>JawsFirstPersonPerspective</t>
  </si>
  <si>
    <t>JerkassWithAHeartOfGold</t>
  </si>
  <si>
    <t>JewishAmericanPrincess</t>
  </si>
  <si>
    <t>JokerJury</t>
  </si>
  <si>
    <t>JustKeepDriving</t>
  </si>
  <si>
    <t>KarmicRape</t>
  </si>
  <si>
    <t>KidAnova</t>
  </si>
  <si>
    <t>KidnappedByAnAlly</t>
  </si>
  <si>
    <t>KillMeNowOrForeverStayYourHand</t>
  </si>
  <si>
    <t>KingOnHisDeathbed</t>
  </si>
  <si>
    <t>KnightErrant</t>
  </si>
  <si>
    <t>LandmarkingTheHiddenBase</t>
  </si>
  <si>
    <t>LargeHamAnnouncer</t>
  </si>
  <si>
    <t>LastHetRomance</t>
  </si>
  <si>
    <t>LastOfTheirKind</t>
  </si>
  <si>
    <t>LaterInstallmentWeirdness</t>
  </si>
  <si>
    <t>LeapOfFaith</t>
  </si>
  <si>
    <t>LeaveNoManBehind</t>
  </si>
  <si>
    <t>LegendFadesToMyth</t>
  </si>
  <si>
    <t>LegionOfLostSouls</t>
  </si>
  <si>
    <t>LeotardOfPower</t>
  </si>
  <si>
    <t>LetsJustBeFriends</t>
  </si>
  <si>
    <t>LetsWaitAWhile</t>
  </si>
  <si>
    <t>LighthousePoint</t>
  </si>
  <si>
    <t>LightsOffSomebodyDies</t>
  </si>
  <si>
    <t>LivingADoubleLife</t>
  </si>
  <si>
    <t>LivingOnBorrowedTime</t>
  </si>
  <si>
    <t>LossOfIdentity</t>
  </si>
  <si>
    <t>LostWeddingRing</t>
  </si>
  <si>
    <t>LotteryOfDoom</t>
  </si>
  <si>
    <t>LotusPosition</t>
  </si>
  <si>
    <t>LoveFatherLoveSon</t>
  </si>
  <si>
    <t>LoveLetterLunacy</t>
  </si>
  <si>
    <t>MagicalNanny</t>
  </si>
  <si>
    <t>MagnificentMoustachesOfMexico</t>
  </si>
  <si>
    <t>MakeWayForThePrincess</t>
  </si>
  <si>
    <t>MamasBoy</t>
  </si>
  <si>
    <t>MarryThemAll</t>
  </si>
  <si>
    <t>MartialArtsAndCrafts</t>
  </si>
  <si>
    <t>MartialArtsHeadband</t>
  </si>
  <si>
    <t>MasterOfUnlocking</t>
  </si>
  <si>
    <t>MaternityCrisis</t>
  </si>
  <si>
    <t>MediumShiftGag</t>
  </si>
  <si>
    <t>MeetTheInLaws</t>
  </si>
  <si>
    <t>MenAreUncultured</t>
  </si>
  <si>
    <t>MentalStory</t>
  </si>
  <si>
    <t>MentorShip</t>
  </si>
  <si>
    <t>MetaphorIsMyMiddleName</t>
  </si>
  <si>
    <t>MI5</t>
  </si>
  <si>
    <t>MiddleEasternTerrorists</t>
  </si>
  <si>
    <t>MightAsWellNotBeInPrisonAtAll</t>
  </si>
  <si>
    <t>MilitaryAlphabet</t>
  </si>
  <si>
    <t>MilitaryMoonshiner</t>
  </si>
  <si>
    <t>MinorFlawMajorBreakup</t>
  </si>
  <si>
    <t>MistakenForRomance</t>
  </si>
  <si>
    <t>MonsterDelay</t>
  </si>
  <si>
    <t>MonsterShapedMountain</t>
  </si>
  <si>
    <t>MonstrousCannibalism</t>
  </si>
  <si>
    <t>MoralGuardian</t>
  </si>
  <si>
    <t>MorphicResonance</t>
  </si>
  <si>
    <t>MotherlyScientist</t>
  </si>
  <si>
    <t>MulticoloredHair</t>
  </si>
  <si>
    <t>MultipleHeadCase</t>
  </si>
  <si>
    <t>MultitaskedConversation</t>
  </si>
  <si>
    <t>Mundanger</t>
  </si>
  <si>
    <t>MustacheVandalism</t>
  </si>
  <si>
    <t>MustHaveNicotine</t>
  </si>
  <si>
    <t>MyLocal</t>
  </si>
  <si>
    <t>MyOwnPrivateIDo</t>
  </si>
  <si>
    <t>MythArc</t>
  </si>
  <si>
    <t>NailsOnABlackboard</t>
  </si>
  <si>
    <t>NaughtyBirdwatching</t>
  </si>
  <si>
    <t>NightSwimEqualsDeath</t>
  </si>
  <si>
    <t>NobilityMarriesMoney</t>
  </si>
  <si>
    <t>NobleBirdOfPrey</t>
  </si>
  <si>
    <t>NobleMaleRoguishMale</t>
  </si>
  <si>
    <t>NoFEMAResponse</t>
  </si>
  <si>
    <t>NonLethalWarfare</t>
  </si>
  <si>
    <t>NonViolentInitialConfrontation</t>
  </si>
  <si>
    <t>NoOneShouldSurviveThat</t>
  </si>
  <si>
    <t>NoRangeLikePointBlankRange</t>
  </si>
  <si>
    <t>NormalFishInATinyPond</t>
  </si>
  <si>
    <t>NorseByNorsewest</t>
  </si>
  <si>
    <t>NotCheatingUnlessYouGetCaught</t>
  </si>
  <si>
    <t>NotHimself</t>
  </si>
  <si>
    <t>NotNamedInOpeningCredits</t>
  </si>
  <si>
    <t>NotQuiteFlight</t>
  </si>
  <si>
    <t>NotSoFakePropWeapon</t>
  </si>
  <si>
    <t>NotTooDeadToSaveTheDay</t>
  </si>
  <si>
    <t>ObviousTrap</t>
  </si>
  <si>
    <t>OceanMadness</t>
  </si>
  <si>
    <t>OhMyGods</t>
  </si>
  <si>
    <t>OldMediaAreEvil</t>
  </si>
  <si>
    <t>OliveGarden</t>
  </si>
  <si>
    <t>OnceUponATime</t>
  </si>
  <si>
    <t>OnlyALighter</t>
  </si>
  <si>
    <t>OnSecondThought</t>
  </si>
  <si>
    <t>OptOut</t>
  </si>
  <si>
    <t>OrchestralBombing</t>
  </si>
  <si>
    <t>OurGhoulsAreCreepier</t>
  </si>
  <si>
    <t>OverrankedSoldier</t>
  </si>
  <si>
    <t>ParentingTheHusband</t>
  </si>
  <si>
    <t>ParodyNames</t>
  </si>
  <si>
    <t>PastLifeMemories</t>
  </si>
  <si>
    <t>PervyPatdown</t>
  </si>
  <si>
    <t>PickOnSomeoneYourOwnSize</t>
  </si>
  <si>
    <t>PigMan</t>
  </si>
  <si>
    <t>PinkElephants</t>
  </si>
  <si>
    <t>PirateBooty</t>
  </si>
  <si>
    <t>PirateGirl</t>
  </si>
  <si>
    <t>PlanetSpaceship</t>
  </si>
  <si>
    <t>PlanningWithProps</t>
  </si>
  <si>
    <t>PlayedForHorror</t>
  </si>
  <si>
    <t>PlayingHardToGet</t>
  </si>
  <si>
    <t>PlotTumor</t>
  </si>
  <si>
    <t>PointOfNoReturn</t>
  </si>
  <si>
    <t>PoisonAndCureGambit</t>
  </si>
  <si>
    <t>PokeInTheThirdEye</t>
  </si>
  <si>
    <t>PoliteVillainsRudeHeroes</t>
  </si>
  <si>
    <t>PollyWantsAMicrophone</t>
  </si>
  <si>
    <t>POVShot</t>
  </si>
  <si>
    <t>PowerCopying</t>
  </si>
  <si>
    <t>PrankCall</t>
  </si>
  <si>
    <t>PrideBeforeAFall</t>
  </si>
  <si>
    <t>PromiscuityAfterRape</t>
  </si>
  <si>
    <t>ProneToTears</t>
  </si>
  <si>
    <t>PropRecycling</t>
  </si>
  <si>
    <t>PsychicDreamsForEveryone</t>
  </si>
  <si>
    <t>PsychicStrangle</t>
  </si>
  <si>
    <t>PsychologicalTormentZone</t>
  </si>
  <si>
    <t>PsychopathicWomanchild</t>
  </si>
  <si>
    <t>PublicExposure</t>
  </si>
  <si>
    <t>QuitYourWhining</t>
  </si>
  <si>
    <t>QuoteToQuoteCombat</t>
  </si>
  <si>
    <t>RailroadPlot</t>
  </si>
  <si>
    <t>Ramprovisation</t>
  </si>
  <si>
    <t>RapeAsComedy</t>
  </si>
  <si>
    <t>RapePortrayedAsRedemption</t>
  </si>
  <si>
    <t>RecognitionFailure</t>
  </si>
  <si>
    <t>RecordedSplicedConversation</t>
  </si>
  <si>
    <t>RedHerringTwist</t>
  </si>
  <si>
    <t>RedIsViolent</t>
  </si>
  <si>
    <t>RedundantRescue</t>
  </si>
  <si>
    <t>RegalRinglets</t>
  </si>
  <si>
    <t>Remaster</t>
  </si>
  <si>
    <t>RepeatAfterMe</t>
  </si>
  <si>
    <t>ResignedToTheCall</t>
  </si>
  <si>
    <t>ResurrectionSickness</t>
  </si>
  <si>
    <t>RetargetedLust</t>
  </si>
  <si>
    <t>ReunionKiss</t>
  </si>
  <si>
    <t>RevealingReflection</t>
  </si>
  <si>
    <t>RevolversAreForAmateurs</t>
  </si>
  <si>
    <t>RippedFromThePhonebook</t>
  </si>
  <si>
    <t>RipVanWinkle</t>
  </si>
  <si>
    <t>RiskyBusinessDance</t>
  </si>
  <si>
    <t>RoadTripRomance</t>
  </si>
  <si>
    <t>RoboSpeak</t>
  </si>
  <si>
    <t>RogueJuror</t>
  </si>
  <si>
    <t>RomanceOnTheSet</t>
  </si>
  <si>
    <t>RomanticFakeRealTurn</t>
  </si>
  <si>
    <t>RomanticizedAbuse</t>
  </si>
  <si>
    <t>RomCom</t>
  </si>
  <si>
    <t>RoomFullOfZombies</t>
  </si>
  <si>
    <t>RoundTableShot</t>
  </si>
  <si>
    <t>RoyalHarem</t>
  </si>
  <si>
    <t>RuleAbidingRebel</t>
  </si>
  <si>
    <t>RuleOfThrees</t>
  </si>
  <si>
    <t>SarcasmFailure</t>
  </si>
  <si>
    <t>SarcasticTitle</t>
  </si>
  <si>
    <t>SaveTheDayTurnAway</t>
  </si>
  <si>
    <t>SayingSoundEffectsOutLoud</t>
  </si>
  <si>
    <t>SecretDiary</t>
  </si>
  <si>
    <t>SecretOtherFamily</t>
  </si>
  <si>
    <t>SenseiForScoundrels</t>
  </si>
  <si>
    <t>SequelGap</t>
  </si>
  <si>
    <t>ShamedByAMob</t>
  </si>
  <si>
    <t>ShapeshiftingSeducer</t>
  </si>
  <si>
    <t>ShelteredAristocrat</t>
  </si>
  <si>
    <t>ShinyLookingSpaceships</t>
  </si>
  <si>
    <t>ShortCutsMakeLongDelays</t>
  </si>
  <si>
    <t>ShortFilm</t>
  </si>
  <si>
    <t>ShortRangeShotgun</t>
  </si>
  <si>
    <t>ShowWithinTheShow</t>
  </si>
  <si>
    <t>ShrinkRay</t>
  </si>
  <si>
    <t>ShrugTake</t>
  </si>
  <si>
    <t>SiblingMurder</t>
  </si>
  <si>
    <t>SideEffectsInclude</t>
  </si>
  <si>
    <t>SignificantBackgroundEvent</t>
  </si>
  <si>
    <t>SilentBob</t>
  </si>
  <si>
    <t>SillyRabbitCynicismIsForLosers</t>
  </si>
  <si>
    <t>SimultaneousArcs</t>
  </si>
  <si>
    <t>SixIsNine</t>
  </si>
  <si>
    <t>SkirtsAndLadders</t>
  </si>
  <si>
    <t>SleepingWithTheBosssWife</t>
  </si>
  <si>
    <t>SloMo</t>
  </si>
  <si>
    <t>SmartGun</t>
  </si>
  <si>
    <t>SmellsSexy</t>
  </si>
  <si>
    <t>SmiteMeOhMightySmiter</t>
  </si>
  <si>
    <t>SmokeOut</t>
  </si>
  <si>
    <t>SnarkKnight</t>
  </si>
  <si>
    <t>SniffSniffNom</t>
  </si>
  <si>
    <t>SoapOperaRapidAgingSyndrome</t>
  </si>
  <si>
    <t>SocietyIsToBlame</t>
  </si>
  <si>
    <t>SoLongSuckers</t>
  </si>
  <si>
    <t>SpaceClouds</t>
  </si>
  <si>
    <t>SpaceWestern</t>
  </si>
  <si>
    <t>SpiderSwarm</t>
  </si>
  <si>
    <t>SpiritWorld</t>
  </si>
  <si>
    <t>SplitPersonalityMerge</t>
  </si>
  <si>
    <t>SpySatellites</t>
  </si>
  <si>
    <t>SquishyWizard</t>
  </si>
  <si>
    <t>StabTheSky</t>
  </si>
  <si>
    <t>StartXToStopX</t>
  </si>
  <si>
    <t>StayWithTheAliens</t>
  </si>
  <si>
    <t>SternNun</t>
  </si>
  <si>
    <t>StickySituation</t>
  </si>
  <si>
    <t>Sting</t>
  </si>
  <si>
    <t>StoppedClock</t>
  </si>
  <si>
    <t>StudioAudience</t>
  </si>
  <si>
    <t>Suburbia</t>
  </si>
  <si>
    <t>SuddenlySober</t>
  </si>
  <si>
    <t>SueDonym</t>
  </si>
  <si>
    <t>SummonBackupDancers</t>
  </si>
  <si>
    <t>SuperDickery</t>
  </si>
  <si>
    <t>SupernaturallyYoungParent</t>
  </si>
  <si>
    <t>SuperPoweredRobotMeterMaids</t>
  </si>
  <si>
    <t>SurpassedTheTeacher</t>
  </si>
  <si>
    <t>SurpriseParty</t>
  </si>
  <si>
    <t>SuspiciouslySpecificSermon</t>
  </si>
  <si>
    <t>SustainedMisunderstanding</t>
  </si>
  <si>
    <t>SwissArmyTears</t>
  </si>
  <si>
    <t>TakeALevelInBadass</t>
  </si>
  <si>
    <t>TakeThatUs</t>
  </si>
  <si>
    <t>TakingAThirdOption</t>
  </si>
  <si>
    <t>TalkingWithSigns</t>
  </si>
  <si>
    <t>TankTopTomboy</t>
  </si>
  <si>
    <t>TastesLikeChicken</t>
  </si>
  <si>
    <t>TechnicalVirgin</t>
  </si>
  <si>
    <t>TelepathicSprinklers</t>
  </si>
  <si>
    <t>Teleportation</t>
  </si>
  <si>
    <t>ThatLiarLies</t>
  </si>
  <si>
    <t>ThatsWhatIWouldDo</t>
  </si>
  <si>
    <t>TheApocalypseBringsOutTheBestInPeople</t>
  </si>
  <si>
    <t>TheBardOnBoard</t>
  </si>
  <si>
    <t>TheBigBadWolf</t>
  </si>
  <si>
    <t>TheConWithinACon</t>
  </si>
  <si>
    <t>TheDragAlong</t>
  </si>
  <si>
    <t>TheElevenOClockNumber</t>
  </si>
  <si>
    <t>TheFilmOfTheSong</t>
  </si>
  <si>
    <t>TheFuture</t>
  </si>
  <si>
    <t>TheFutureIsNoir</t>
  </si>
  <si>
    <t>TheGodsMustBeLazy</t>
  </si>
  <si>
    <t>TheImmune</t>
  </si>
  <si>
    <t>TheJinx</t>
  </si>
  <si>
    <t>TheLegionsOfHell</t>
  </si>
  <si>
    <t>ThemeAndVariationsSoundtrack</t>
  </si>
  <si>
    <t>ThemeMusicAbandonment</t>
  </si>
  <si>
    <t>TheMentallyDisturbed</t>
  </si>
  <si>
    <t>TheMothership</t>
  </si>
  <si>
    <t>TheParagonAlwaysRebels</t>
  </si>
  <si>
    <t>ThePowerOfActing</t>
  </si>
  <si>
    <t>ThePowerOfLegacy</t>
  </si>
  <si>
    <t>ThePresentDay</t>
  </si>
  <si>
    <t>TheRustler</t>
  </si>
  <si>
    <t>TheShutIn</t>
  </si>
  <si>
    <t>TheSleepless</t>
  </si>
  <si>
    <t>TheStraightAndArrowPath</t>
  </si>
  <si>
    <t>TheTheocracy</t>
  </si>
  <si>
    <t>TheTheTitleConfusion</t>
  </si>
  <si>
    <t>TheTwink</t>
  </si>
  <si>
    <t>TheUntwist</t>
  </si>
  <si>
    <t>TheWhitestBlackGuy</t>
  </si>
  <si>
    <t>TheWisePrince</t>
  </si>
  <si>
    <t>TheWomenAreSafeWithUs</t>
  </si>
  <si>
    <t>TheWorfBarrage</t>
  </si>
  <si>
    <t>ThirdIs3D</t>
  </si>
  <si>
    <t>ThoroughlyMistakenIdentity</t>
  </si>
  <si>
    <t>ThoseTwoGirls</t>
  </si>
  <si>
    <t>Thoughtcrime</t>
  </si>
  <si>
    <t>Thriller</t>
  </si>
  <si>
    <t>TickleTorture</t>
  </si>
  <si>
    <t>TimeCrash</t>
  </si>
  <si>
    <t>TitleConfusion</t>
  </si>
  <si>
    <t>ToBeContinued</t>
  </si>
  <si>
    <t>ToHellAndBack</t>
  </si>
  <si>
    <t>TomboyishPonytail</t>
  </si>
  <si>
    <t>TookTheBadFilmSeriously</t>
  </si>
  <si>
    <t>TouchTelepathy</t>
  </si>
  <si>
    <t>ToxicWasteCanDoAnything</t>
  </si>
  <si>
    <t>TragicAIDSStory</t>
  </si>
  <si>
    <t>TraumaticSuperpowerAwakening</t>
  </si>
  <si>
    <t>TravellingAtTheSpeedOfPlot</t>
  </si>
  <si>
    <t>TuckAndCover</t>
  </si>
  <si>
    <t>TunelessSongOfMadness</t>
  </si>
  <si>
    <t>TwentiesBobHaircut</t>
  </si>
  <si>
    <t>TwitchyEye</t>
  </si>
  <si>
    <t>TwoPersonLoveTriangle</t>
  </si>
  <si>
    <t>TypesetInTheFuture</t>
  </si>
  <si>
    <t>UglyCute</t>
  </si>
  <si>
    <t>UncommonTime</t>
  </si>
  <si>
    <t>UnderstandingBoyfriend</t>
  </si>
  <si>
    <t>UndisclosedFunds</t>
  </si>
  <si>
    <t>UnequalPairing</t>
  </si>
  <si>
    <t>UnexpectedVirgin</t>
  </si>
  <si>
    <t>UnholyGround</t>
  </si>
  <si>
    <t>UnsportsmanlikeGloating</t>
  </si>
  <si>
    <t>UpCloseWithTheMonster</t>
  </si>
  <si>
    <t>UranusIsShowing</t>
  </si>
  <si>
    <t>VampireDance</t>
  </si>
  <si>
    <t>VanityIsFeminine</t>
  </si>
  <si>
    <t>VastBureaucracy</t>
  </si>
  <si>
    <t>VerbalBusinessCard</t>
  </si>
  <si>
    <t>VerticalKidnapping</t>
  </si>
  <si>
    <t>VicariouslyAmbitious</t>
  </si>
  <si>
    <t>VicePresidentWho</t>
  </si>
  <si>
    <t>VideoFullOfFilmClips</t>
  </si>
  <si>
    <t>VillainsActHeroesReact</t>
  </si>
  <si>
    <t>VillainsDyingGrace</t>
  </si>
  <si>
    <t>VindicatedByHistory</t>
  </si>
  <si>
    <t>VirginityMakesYouStupid</t>
  </si>
  <si>
    <t>WalkThisWay</t>
  </si>
  <si>
    <t>WarriorHeaven</t>
  </si>
  <si>
    <t>WeAllDieSomeDay</t>
  </si>
  <si>
    <t>WereStillRelevantDammit</t>
  </si>
  <si>
    <t>WhatDidYouExpectWhenYouNamedIt</t>
  </si>
  <si>
    <t>WhatIsEvil</t>
  </si>
  <si>
    <t>WhatIsThisFeeling</t>
  </si>
  <si>
    <t>WhatWereYouThinking</t>
  </si>
  <si>
    <t>WhoWouldBeStupidEnough</t>
  </si>
  <si>
    <t>WinToExit</t>
  </si>
  <si>
    <t>WishFulfillment</t>
  </si>
  <si>
    <t>WithLyrics</t>
  </si>
  <si>
    <t>WithThisHerring</t>
  </si>
  <si>
    <t>WomanChild</t>
  </si>
  <si>
    <t>WomenDrivers</t>
  </si>
  <si>
    <t>Woobie</t>
  </si>
  <si>
    <t>WorkingTitle</t>
  </si>
  <si>
    <t>WorldLimitedToThePlot</t>
  </si>
  <si>
    <t>WorldsMostBeautifulWoman</t>
  </si>
  <si>
    <t>WorthyAdversary</t>
  </si>
  <si>
    <t>YouAreNotReady</t>
  </si>
  <si>
    <t>YouAreWorthHell</t>
  </si>
  <si>
    <t>YouCanPanicNow</t>
  </si>
  <si>
    <t>YouJustHadToSayIt</t>
  </si>
  <si>
    <t>YourVampiresSuck</t>
  </si>
  <si>
    <t>YouWouldMakeAGreatModel</t>
  </si>
  <si>
    <t>YouWouldntHitAGuyWithGlasses</t>
  </si>
  <si>
    <t>ZeerustCanon</t>
  </si>
  <si>
    <t>ZippingUpTheBodybag</t>
  </si>
  <si>
    <t>AbsentAliens</t>
  </si>
  <si>
    <t>AccentAdaptation</t>
  </si>
  <si>
    <t>AcidPool</t>
  </si>
  <si>
    <t>AdaptiveAbility</t>
  </si>
  <si>
    <t>AdvancedAncientAcropolis</t>
  </si>
  <si>
    <t>AdventurerOutfit</t>
  </si>
  <si>
    <t>AgitatedItemStomping</t>
  </si>
  <si>
    <t>AllDrummersAreAnimals</t>
  </si>
  <si>
    <t>AllGaysArePedophiles</t>
  </si>
  <si>
    <t>AllPeriodsArePMS</t>
  </si>
  <si>
    <t>AllTherapistsAreMuggles</t>
  </si>
  <si>
    <t>ALoadOfBull</t>
  </si>
  <si>
    <t>AlwaysWithYou</t>
  </si>
  <si>
    <t>AmbulanceCut</t>
  </si>
  <si>
    <t>AmericanGothicCouple</t>
  </si>
  <si>
    <t>AMistakeIsBorn</t>
  </si>
  <si>
    <t>AnachronisticSoundtrack</t>
  </si>
  <si>
    <t>AnalProbing</t>
  </si>
  <si>
    <t>AncientRome</t>
  </si>
  <si>
    <t>AnimalsLackAttributes</t>
  </si>
  <si>
    <t>AnimalStereotypes</t>
  </si>
  <si>
    <t>AnimalTesting</t>
  </si>
  <si>
    <t>AntiClimacticUnmasking</t>
  </si>
  <si>
    <t>Antimatter</t>
  </si>
  <si>
    <t>ApocalypseMaiden</t>
  </si>
  <si>
    <t>AppealToObscurity</t>
  </si>
  <si>
    <t>ArchaicWeaponForAnAdvancedAge</t>
  </si>
  <si>
    <t>ASinisterClue</t>
  </si>
  <si>
    <t>AssKicksYou</t>
  </si>
  <si>
    <t>AtomicHate</t>
  </si>
  <si>
    <t>AttackOfTheMonsterAppendage</t>
  </si>
  <si>
    <t>AttackOfThePoliticalAd</t>
  </si>
  <si>
    <t>AutomatedAutomobiles</t>
  </si>
  <si>
    <t>AwkwardKiss</t>
  </si>
  <si>
    <t>BadassFingersnap</t>
  </si>
  <si>
    <t>BadassSanta</t>
  </si>
  <si>
    <t>BadMoonRising</t>
  </si>
  <si>
    <t>BadNewsInAGoodWay</t>
  </si>
  <si>
    <t>BadWithTheBone</t>
  </si>
  <si>
    <t>BalconyWooingScene</t>
  </si>
  <si>
    <t>Ballet</t>
  </si>
  <si>
    <t>BareFistedMonk</t>
  </si>
  <si>
    <t>BarFullOfAliens</t>
  </si>
  <si>
    <t>BearHug</t>
  </si>
  <si>
    <t>BeautyBrainsAndBrawn</t>
  </si>
  <si>
    <t>BeeBeeGun</t>
  </si>
  <si>
    <t>BenevolentArchitecture</t>
  </si>
  <si>
    <t>BewitchedAmphibians</t>
  </si>
  <si>
    <t>BifurcatedWeapon</t>
  </si>
  <si>
    <t>BigBrotherIsEmployingYou</t>
  </si>
  <si>
    <t>BigDamPlot</t>
  </si>
  <si>
    <t>BigGuy</t>
  </si>
  <si>
    <t>BigThinShortTrio</t>
  </si>
  <si>
    <t>BikiniBar</t>
  </si>
  <si>
    <t>BileFascination</t>
  </si>
  <si>
    <t>BlackBox</t>
  </si>
  <si>
    <t>BlackComedyCannibalism</t>
  </si>
  <si>
    <t>BlankSlate</t>
  </si>
  <si>
    <t>BlindObedience</t>
  </si>
  <si>
    <t>BloodbathVillainOrigin</t>
  </si>
  <si>
    <t>BoardingParty</t>
  </si>
  <si>
    <t>BodySnatcher</t>
  </si>
  <si>
    <t>BoomTown</t>
  </si>
  <si>
    <t>BootstrappedTheme</t>
  </si>
  <si>
    <t>BoozeBasedBuff</t>
  </si>
  <si>
    <t>BoringInsult</t>
  </si>
  <si>
    <t>BornInTheTheater</t>
  </si>
  <si>
    <t>BotanicalAbomination</t>
  </si>
  <si>
    <t>BoyBand</t>
  </si>
  <si>
    <t>BreakoutVillain</t>
  </si>
  <si>
    <t>BreakUpToMakeUp</t>
  </si>
  <si>
    <t>BringingRunningShoesToACarChase</t>
  </si>
  <si>
    <t>BringMeMyBrownPants</t>
  </si>
  <si>
    <t>BringMyRedJacket</t>
  </si>
  <si>
    <t>BritishRockStar</t>
  </si>
  <si>
    <t>BroomStickQuarterstaff</t>
  </si>
  <si>
    <t>BrotherhoodOfFunnyHats</t>
  </si>
  <si>
    <t>BuildingIsWelding</t>
  </si>
  <si>
    <t>BulletProofFashionPlate</t>
  </si>
  <si>
    <t>BulletSparks</t>
  </si>
  <si>
    <t>BurialInSpace</t>
  </si>
  <si>
    <t>BurningTheFlag</t>
  </si>
  <si>
    <t>BurpingContest</t>
  </si>
  <si>
    <t>ButNotTooEvil</t>
  </si>
  <si>
    <t>ButterflyOfTransformation</t>
  </si>
  <si>
    <t>CampfireCharacterExploration</t>
  </si>
  <si>
    <t>CanadaDoesNotExist</t>
  </si>
  <si>
    <t>CantActPervertedTowardALoveInterest</t>
  </si>
  <si>
    <t>CantGetInTroubleForNuthin</t>
  </si>
  <si>
    <t>CaptainPatriotic</t>
  </si>
  <si>
    <t>CarPorn</t>
  </si>
  <si>
    <t>CartoonPhysics</t>
  </si>
  <si>
    <t>CassandraDidIt</t>
  </si>
  <si>
    <t>CasualCarGiveaway</t>
  </si>
  <si>
    <t>CataclysmClimax</t>
  </si>
  <si>
    <t>CatsAreMagic</t>
  </si>
  <si>
    <t>ChallengingTheChief</t>
  </si>
  <si>
    <t>ChameleonCamouflage</t>
  </si>
  <si>
    <t>CharacterDeath</t>
  </si>
  <si>
    <t>ChastityDagger</t>
  </si>
  <si>
    <t>ChromeChampion</t>
  </si>
  <si>
    <t>CircleOfShame</t>
  </si>
  <si>
    <t>CityOfAdventure</t>
  </si>
  <si>
    <t>ClassReunion</t>
  </si>
  <si>
    <t>CleanUpTheTown</t>
  </si>
  <si>
    <t>ClosetGeek</t>
  </si>
  <si>
    <t>ComeAlone</t>
  </si>
  <si>
    <t>CommissarCap</t>
  </si>
  <si>
    <t>ConfessionCam</t>
  </si>
  <si>
    <t>ConnectTheDeaths</t>
  </si>
  <si>
    <t>ConspiracyKitchenSink</t>
  </si>
  <si>
    <t>ConvenientEscapeBoat</t>
  </si>
  <si>
    <t>ConvenientlyUnverifiableCoverStory</t>
  </si>
  <si>
    <t>ConversedTrope</t>
  </si>
  <si>
    <t>ConvictionByContradiction</t>
  </si>
  <si>
    <t>CoolBigBro</t>
  </si>
  <si>
    <t>CooperationGambit</t>
  </si>
  <si>
    <t>CosmicDeadline</t>
  </si>
  <si>
    <t>CoveredInKisses</t>
  </si>
  <si>
    <t>CozyCatastrophe</t>
  </si>
  <si>
    <t>CreepyCathedral</t>
  </si>
  <si>
    <t>CreepyLongFingers</t>
  </si>
  <si>
    <t>CrossMeltingAura</t>
  </si>
  <si>
    <t>CueTheBilliardShot</t>
  </si>
  <si>
    <t>CurseOfTheAncients</t>
  </si>
  <si>
    <t>CurtainCall</t>
  </si>
  <si>
    <t>CuteWitch</t>
  </si>
  <si>
    <t>DangerousKeyFumble</t>
  </si>
  <si>
    <t>DangerousSixteenthBirthday</t>
  </si>
  <si>
    <t>DarkLordOnLifeSupport</t>
  </si>
  <si>
    <t>DeadlyDeferredConversation</t>
  </si>
  <si>
    <t>DeadlyGraduation</t>
  </si>
  <si>
    <t>DeadlyUpgrade</t>
  </si>
  <si>
    <t>DeadMansHand</t>
  </si>
  <si>
    <t>DeadSidekick</t>
  </si>
  <si>
    <t>DeathByTransceiver</t>
  </si>
  <si>
    <t>DebutQueue</t>
  </si>
  <si>
    <t>DecoyGetaway</t>
  </si>
  <si>
    <t>DefensiveWhat</t>
  </si>
  <si>
    <t>DeflectorShield</t>
  </si>
  <si>
    <t>DejaVu</t>
  </si>
  <si>
    <t>DelayedExplosion</t>
  </si>
  <si>
    <t>DemocracyIsBad</t>
  </si>
  <si>
    <t>DemonLordsAndArchDevils</t>
  </si>
  <si>
    <t>DesertSkull</t>
  </si>
  <si>
    <t>DesolationShot</t>
  </si>
  <si>
    <t>DeweyDefeatsTruman</t>
  </si>
  <si>
    <t>DictionaryOpening</t>
  </si>
  <si>
    <t>DidTheEarthMoveForYouToo</t>
  </si>
  <si>
    <t>DidYouJustScamCthulhu</t>
  </si>
  <si>
    <t>DigitalAvatar</t>
  </si>
  <si>
    <t>DirectToDVD</t>
  </si>
  <si>
    <t>DisabilityAsAnExcuseForJerkassery</t>
  </si>
  <si>
    <t>DisabilityImmunity</t>
  </si>
  <si>
    <t>DiscontinuityNod</t>
  </si>
  <si>
    <t>DiscriminateAndSwitch</t>
  </si>
  <si>
    <t>DishingOutDirt</t>
  </si>
  <si>
    <t>DisneyCreaturesOfTheFarce</t>
  </si>
  <si>
    <t>DivorceRequiresDeath</t>
  </si>
  <si>
    <t>DomesticAbuser</t>
  </si>
  <si>
    <t>DontFearTheReaper</t>
  </si>
  <si>
    <t>DoomedContrarian</t>
  </si>
  <si>
    <t>DraggedIntoDrag</t>
  </si>
  <si>
    <t>DramaticChaseOpening</t>
  </si>
  <si>
    <t>DramaticDeadpan</t>
  </si>
  <si>
    <t>DreadlockRasta</t>
  </si>
  <si>
    <t>DreamingTheTruth</t>
  </si>
  <si>
    <t>DreamWalker</t>
  </si>
  <si>
    <t>DrunkOnMilk</t>
  </si>
  <si>
    <t>DualWield</t>
  </si>
  <si>
    <t>DullEyesOfUnhappiness</t>
  </si>
  <si>
    <t>DumbAndDrummer</t>
  </si>
  <si>
    <t>EasySexChange</t>
  </si>
  <si>
    <t>ElaborateUniversityHigh</t>
  </si>
  <si>
    <t>ElegantClassicalMusician</t>
  </si>
  <si>
    <t>ElvisLives</t>
  </si>
  <si>
    <t>EmbarrassingSlide</t>
  </si>
  <si>
    <t>EmotionsVsStoicism</t>
  </si>
  <si>
    <t>EmpathicWeapon</t>
  </si>
  <si>
    <t>EmptyFridgeEmptyLife</t>
  </si>
  <si>
    <t>EndingFatigue</t>
  </si>
  <si>
    <t>EndlessCorridor</t>
  </si>
  <si>
    <t>EndlessWinter</t>
  </si>
  <si>
    <t>EnemyToAllLivingThings</t>
  </si>
  <si>
    <t>EnhancedOnDVD</t>
  </si>
  <si>
    <t>EpiphanicPrison</t>
  </si>
  <si>
    <t>EspeciallyZoidberg</t>
  </si>
  <si>
    <t>EternalRecurrence</t>
  </si>
  <si>
    <t>EvasiveFightThreadEpisode</t>
  </si>
  <si>
    <t>EvenEvilCanBeLoved</t>
  </si>
  <si>
    <t>EvenTheSubtitlerIsStumped</t>
  </si>
  <si>
    <t>EveryProperLadyShouldCurtsy</t>
  </si>
  <si>
    <t>EvilIsVisceral</t>
  </si>
  <si>
    <t>EvilOverlordList</t>
  </si>
  <si>
    <t>ExplosionPropulsion</t>
  </si>
  <si>
    <t>ExplosiveStupidity</t>
  </si>
  <si>
    <t>ExtraEyes</t>
  </si>
  <si>
    <t>FaceFault</t>
  </si>
  <si>
    <t>FaceStealer</t>
  </si>
  <si>
    <t>FailedAuditionPlot</t>
  </si>
  <si>
    <t>FailureGambit</t>
  </si>
  <si>
    <t>FakeOutFadeOut</t>
  </si>
  <si>
    <t>FallingIntoTheCockpit</t>
  </si>
  <si>
    <t>Fanon</t>
  </si>
  <si>
    <t>FantasticNoir</t>
  </si>
  <si>
    <t>FantasticRomance</t>
  </si>
  <si>
    <t>FascistButInefficient</t>
  </si>
  <si>
    <t>FashionHurts</t>
  </si>
  <si>
    <t>FashionVictimVillain</t>
  </si>
  <si>
    <t>FeatherBoaConstrictor</t>
  </si>
  <si>
    <t>FedToPigs</t>
  </si>
  <si>
    <t>FeedTheMole</t>
  </si>
  <si>
    <t>FeetOfClay</t>
  </si>
  <si>
    <t>Fembot</t>
  </si>
  <si>
    <t>FerrisWheelDateMoment</t>
  </si>
  <si>
    <t>FictionalVideoGame</t>
  </si>
  <si>
    <t>FightingYourFriend</t>
  </si>
  <si>
    <t>FilmSerial</t>
  </si>
  <si>
    <t>FinallyFoundTheBody</t>
  </si>
  <si>
    <t>FlechetteStorm</t>
  </si>
  <si>
    <t>FloatingContinent</t>
  </si>
  <si>
    <t>FogOfDoom</t>
  </si>
  <si>
    <t>FollowTheBouncingBall</t>
  </si>
  <si>
    <t>FoodChainOfEvil</t>
  </si>
  <si>
    <t>FootprintsOfMuck</t>
  </si>
  <si>
    <t>ForensicAccounting</t>
  </si>
  <si>
    <t>FormerFriendOfAlphaBitch</t>
  </si>
  <si>
    <t>ForYourOwnGood</t>
  </si>
  <si>
    <t>FourFingeredHands</t>
  </si>
  <si>
    <t>FreshClue</t>
  </si>
  <si>
    <t>FreudianSlipperySlope</t>
  </si>
  <si>
    <t>FrivolousLawsuit</t>
  </si>
  <si>
    <t>FunnyAnsweringMachine</t>
  </si>
  <si>
    <t>FutureBadass</t>
  </si>
  <si>
    <t>FuturisticSuperhighway</t>
  </si>
  <si>
    <t>GameChanger</t>
  </si>
  <si>
    <t>GameShow</t>
  </si>
  <si>
    <t>GameShowAppearance</t>
  </si>
  <si>
    <t>GasStationOfDoom</t>
  </si>
  <si>
    <t>GayBarReveal</t>
  </si>
  <si>
    <t>GenreRefugee</t>
  </si>
  <si>
    <t>GeometricMagic</t>
  </si>
  <si>
    <t>GetARoom</t>
  </si>
  <si>
    <t>GetTheeToANunnery</t>
  </si>
  <si>
    <t>GhostPirate</t>
  </si>
  <si>
    <t>GiantEyeOfDoom</t>
  </si>
  <si>
    <t>GiganticMoon</t>
  </si>
  <si>
    <t>GIRL</t>
  </si>
  <si>
    <t>GirlyGirl</t>
  </si>
  <si>
    <t>GirlySkirtTwirl</t>
  </si>
  <si>
    <t>GodIsDead</t>
  </si>
  <si>
    <t>GreenThumb</t>
  </si>
  <si>
    <t>GrinOfAudacity</t>
  </si>
  <si>
    <t>GrossoutShow</t>
  </si>
  <si>
    <t>GrowOldWithMe</t>
  </si>
  <si>
    <t>GungHolierThanThou</t>
  </si>
  <si>
    <t>GunmanWithThreeNames</t>
  </si>
  <si>
    <t>Guyliner</t>
  </si>
  <si>
    <t>HalfDressedCartoonAnimal</t>
  </si>
  <si>
    <t>HandbagOfHurt</t>
  </si>
  <si>
    <t>HandyFeet</t>
  </si>
  <si>
    <t>HavingAGayOldTime</t>
  </si>
  <si>
    <t>HavingAHeart</t>
  </si>
  <si>
    <t>HeartDrive</t>
  </si>
  <si>
    <t>HeavyMetal</t>
  </si>
  <si>
    <t>HellishPupils</t>
  </si>
  <si>
    <t>HelpfulHallucination</t>
  </si>
  <si>
    <t>HelpMistakenForAttack</t>
  </si>
  <si>
    <t>HeroismAddict</t>
  </si>
  <si>
    <t>HigherUnderstandingThroughDrugs</t>
  </si>
  <si>
    <t>HighHopesZeroTalent</t>
  </si>
  <si>
    <t>Hikikomori</t>
  </si>
  <si>
    <t>HindenburgIncendiaryPrinciple</t>
  </si>
  <si>
    <t>HipHop</t>
  </si>
  <si>
    <t>HollywoodGeography</t>
  </si>
  <si>
    <t>HollywoodPersonalityDisorders</t>
  </si>
  <si>
    <t>HollywoodPoliceDrivingAcademy</t>
  </si>
  <si>
    <t>HolyHandGrenade</t>
  </si>
  <si>
    <t>HomeschooledKids</t>
  </si>
  <si>
    <t>HopeSproutsEternal</t>
  </si>
  <si>
    <t>HorrorStruck</t>
  </si>
  <si>
    <t>HulaAndLuaus</t>
  </si>
  <si>
    <t>HumanityOnTrial</t>
  </si>
  <si>
    <t>HumanMail</t>
  </si>
  <si>
    <t>HumansAreUgly</t>
  </si>
  <si>
    <t>HumansAreWhite</t>
  </si>
  <si>
    <t>HummerDinger</t>
  </si>
  <si>
    <t>HundredPercentAdorationRating</t>
  </si>
  <si>
    <t>Hustler</t>
  </si>
  <si>
    <t>HypocrisyNod</t>
  </si>
  <si>
    <t>IDidntMeanToKillHim</t>
  </si>
  <si>
    <t>IdiotHoudini</t>
  </si>
  <si>
    <t>IfYouCanReadThis</t>
  </si>
  <si>
    <t>IgnoranceIsBliss</t>
  </si>
  <si>
    <t>IgnoreTheDisability</t>
  </si>
  <si>
    <t>IkeaErotica</t>
  </si>
  <si>
    <t>IKnowYouAreInThereSomewhereFight</t>
  </si>
  <si>
    <t>ILoveYouBecauseICantControlYou</t>
  </si>
  <si>
    <t>ImmortalityHurts</t>
  </si>
  <si>
    <t>ImmortalitySeeker</t>
  </si>
  <si>
    <t>ImmuneToDrugs</t>
  </si>
  <si>
    <t>ImNotAHeroIm</t>
  </si>
  <si>
    <t>ImplausibleBoardingSkills</t>
  </si>
  <si>
    <t>ImprobableUseOfAWeapon</t>
  </si>
  <si>
    <t>ImprovisedArmor</t>
  </si>
  <si>
    <t>InappropriateHunger</t>
  </si>
  <si>
    <t>IncompetenceInc</t>
  </si>
  <si>
    <t>IncompletelyTrained</t>
  </si>
  <si>
    <t>IncrediblyLameFun</t>
  </si>
  <si>
    <t>IncriminatingIndifference</t>
  </si>
  <si>
    <t>IndianMaiden</t>
  </si>
  <si>
    <t>InflatingBodyGag</t>
  </si>
  <si>
    <t>InformedSpecies</t>
  </si>
  <si>
    <t>InLoveWithLove</t>
  </si>
  <si>
    <t>InsaneAdmiral</t>
  </si>
  <si>
    <t>InscrutableAliens</t>
  </si>
  <si>
    <t>InstantBirthJustAddWater</t>
  </si>
  <si>
    <t>InstantThunder</t>
  </si>
  <si>
    <t>InterpolSpecialAgent</t>
  </si>
  <si>
    <t>InvisibleWriting</t>
  </si>
  <si>
    <t>InvoluntaryShapeshifter</t>
  </si>
  <si>
    <t>IrishExplosivesExpert</t>
  </si>
  <si>
    <t>IsleOfGiantHorrors</t>
  </si>
  <si>
    <t>ItNeverGetsAnyEasier</t>
  </si>
  <si>
    <t>ItRunsOnNonsensoleum</t>
  </si>
  <si>
    <t>ItsAlwaysSunnyAtFunerals</t>
  </si>
  <si>
    <t>ItsASmallNetAfterAll</t>
  </si>
  <si>
    <t>ItsTheOnlyWay</t>
  </si>
  <si>
    <t>JewishComplaining</t>
  </si>
  <si>
    <t>JiggleShow</t>
  </si>
  <si>
    <t>JustToyingWithThem</t>
  </si>
  <si>
    <t>KeepingTheEnemyClose</t>
  </si>
  <si>
    <t>KidnappedScientist</t>
  </si>
  <si>
    <t>KinkyCuffs</t>
  </si>
  <si>
    <t>KissDiss</t>
  </si>
  <si>
    <t>KlaatuBaradaNikto</t>
  </si>
  <si>
    <t>KrakenAndLeviathan</t>
  </si>
  <si>
    <t>Lampshading</t>
  </si>
  <si>
    <t>LatinLand</t>
  </si>
  <si>
    <t>LaughingAtYourOwnJokes</t>
  </si>
  <si>
    <t>LawProcedural</t>
  </si>
  <si>
    <t>LetsDuet</t>
  </si>
  <si>
    <t>LetsSeeYouDoBetter</t>
  </si>
  <si>
    <t>LifeWillKillYou</t>
  </si>
  <si>
    <t>LightningGun</t>
  </si>
  <si>
    <t>LikeCannotCutLike</t>
  </si>
  <si>
    <t>LikesOlderMen</t>
  </si>
  <si>
    <t>LimitedAnimation</t>
  </si>
  <si>
    <t>LipstickMark</t>
  </si>
  <si>
    <t>LiveEpisode</t>
  </si>
  <si>
    <t>LivingMotionDetector</t>
  </si>
  <si>
    <t>LoadBearingHero</t>
  </si>
  <si>
    <t>LogicalExtreme</t>
  </si>
  <si>
    <t>LovableNerd</t>
  </si>
  <si>
    <t>LoveInterestTraitor</t>
  </si>
  <si>
    <t>LovelyAngels</t>
  </si>
  <si>
    <t>LoveRuinsTheRealm</t>
  </si>
  <si>
    <t>LovesMeNot</t>
  </si>
  <si>
    <t>MacGuffinDeliveryService</t>
  </si>
  <si>
    <t>MacGuffinMelee</t>
  </si>
  <si>
    <t>MageInManhattan</t>
  </si>
  <si>
    <t>MagicalIncantation</t>
  </si>
  <si>
    <t>MagicBrakes</t>
  </si>
  <si>
    <t>MagicSkirt</t>
  </si>
  <si>
    <t>MarkedBullet</t>
  </si>
  <si>
    <t>MeatOVision</t>
  </si>
  <si>
    <t>MedalOfDishonor</t>
  </si>
  <si>
    <t>MeltingFilmEffect</t>
  </si>
  <si>
    <t>MessyPig</t>
  </si>
  <si>
    <t>Metamorphosis</t>
  </si>
  <si>
    <t>MiseryPoker</t>
  </si>
  <si>
    <t>MisplacedVegetation</t>
  </si>
  <si>
    <t>MissingFloor</t>
  </si>
  <si>
    <t>MissingMissionControl</t>
  </si>
  <si>
    <t>MistakenForDying</t>
  </si>
  <si>
    <t>MistakenForJunkie</t>
  </si>
  <si>
    <t>MistakenForQuake</t>
  </si>
  <si>
    <t>MobileMaze</t>
  </si>
  <si>
    <t>Mockspiracy</t>
  </si>
  <si>
    <t>MocksteryTale</t>
  </si>
  <si>
    <t>MonkeyMoralityPose</t>
  </si>
  <si>
    <t>MookPromotion</t>
  </si>
  <si>
    <t>MostCommonSuperpower</t>
  </si>
  <si>
    <t>Muggle</t>
  </si>
  <si>
    <t>MultiTrackDrifting</t>
  </si>
  <si>
    <t>MurderIntoMalevolence</t>
  </si>
  <si>
    <t>MyParentsAreDead</t>
  </si>
  <si>
    <t>MySkullRunnethOver</t>
  </si>
  <si>
    <t>MysteriousMercenaryPursuer</t>
  </si>
  <si>
    <t>MysticalPregnancy</t>
  </si>
  <si>
    <t>NamedWeapons</t>
  </si>
  <si>
    <t>NaughtyByNight</t>
  </si>
  <si>
    <t>NearDeathClairvoyance</t>
  </si>
  <si>
    <t>Nephilim</t>
  </si>
  <si>
    <t>NestedMouths</t>
  </si>
  <si>
    <t>NeuroVault</t>
  </si>
  <si>
    <t>NeverAcceptedInHisHometown</t>
  </si>
  <si>
    <t>NeverBareheaded</t>
  </si>
  <si>
    <t>NeverGetsDrunk</t>
  </si>
  <si>
    <t>NeverTellMeTheOdds</t>
  </si>
  <si>
    <t>NewAge</t>
  </si>
  <si>
    <t>NoBikesInTheApocalypse</t>
  </si>
  <si>
    <t>NobleFugitive</t>
  </si>
  <si>
    <t>NobleTopEnforcer</t>
  </si>
  <si>
    <t>NobodyLovesTheBassist</t>
  </si>
  <si>
    <t>NonMammalMammaries</t>
  </si>
  <si>
    <t>NoSexAllowed</t>
  </si>
  <si>
    <t>NoSparks</t>
  </si>
  <si>
    <t>NotableQuotables</t>
  </si>
  <si>
    <t>NoticeThis</t>
  </si>
  <si>
    <t>NotSoInvincibleAfterAll</t>
  </si>
  <si>
    <t>NuclearCandle</t>
  </si>
  <si>
    <t>NurseryRhyme</t>
  </si>
  <si>
    <t>ObjectTrackingShot</t>
  </si>
  <si>
    <t>OffscreenKarma</t>
  </si>
  <si>
    <t>OhAndXDies</t>
  </si>
  <si>
    <t>OmniscientMoralityLicense</t>
  </si>
  <si>
    <t>OnceForYesTwiceForNo</t>
  </si>
  <si>
    <t>OneEyedShot</t>
  </si>
  <si>
    <t>OneNationUnderCopyright</t>
  </si>
  <si>
    <t>OnlyChildSyndrome</t>
  </si>
  <si>
    <t>OnlySaneEmployee</t>
  </si>
  <si>
    <t>OnrushingArmy</t>
  </si>
  <si>
    <t>OnscreenChapterTitles</t>
  </si>
  <si>
    <t>OrganDodge</t>
  </si>
  <si>
    <t>Orgasmatron</t>
  </si>
  <si>
    <t>OrwellianRetcon</t>
  </si>
  <si>
    <t>Otaku</t>
  </si>
  <si>
    <t>OutsideGenreFoe</t>
  </si>
  <si>
    <t>OverlordJr</t>
  </si>
  <si>
    <t>PalatePropping</t>
  </si>
  <si>
    <t>PantsPullingPrank</t>
  </si>
  <si>
    <t>PantyThief</t>
  </si>
  <si>
    <t>PapaBear</t>
  </si>
  <si>
    <t>PaperDestructionOfAnger</t>
  </si>
  <si>
    <t>ParryingBullets</t>
  </si>
  <si>
    <t>PassedInTheirSleep</t>
  </si>
  <si>
    <t>PassFail</t>
  </si>
  <si>
    <t>PedoHunt</t>
  </si>
  <si>
    <t>PermissionToSpeakFreely</t>
  </si>
  <si>
    <t>Phlegmings</t>
  </si>
  <si>
    <t>PhoneCallFromTheDead</t>
  </si>
  <si>
    <t>PicturePerfectPresentation</t>
  </si>
  <si>
    <t>PistolPose</t>
  </si>
  <si>
    <t>PitySex</t>
  </si>
  <si>
    <t>PluckyOfficeGirl</t>
  </si>
  <si>
    <t>PoliceLineup</t>
  </si>
  <si>
    <t>PortalPicture</t>
  </si>
  <si>
    <t>PortalPool</t>
  </si>
  <si>
    <t>POVSequel</t>
  </si>
  <si>
    <t>PowersThatBe</t>
  </si>
  <si>
    <t>PracticalVoiceOver</t>
  </si>
  <si>
    <t>PrayerOfMalice</t>
  </si>
  <si>
    <t>PrecursorHero</t>
  </si>
  <si>
    <t>PressGanged</t>
  </si>
  <si>
    <t>PrincessForADay</t>
  </si>
  <si>
    <t>PrisonersWork</t>
  </si>
  <si>
    <t>ProductDisplacement</t>
  </si>
  <si>
    <t>Profiling</t>
  </si>
  <si>
    <t>PropheciesAreAlwaysRight</t>
  </si>
  <si>
    <t>ProphetEyes</t>
  </si>
  <si>
    <t>ProtectedByAChild</t>
  </si>
  <si>
    <t>ProWrestlingIsReal</t>
  </si>
  <si>
    <t>PstandardPsychicPstance</t>
  </si>
  <si>
    <t>PsychoSupporter</t>
  </si>
  <si>
    <t>PublicDomainFeatureFilms</t>
  </si>
  <si>
    <t>PullTheIV</t>
  </si>
  <si>
    <t>PunchParry</t>
  </si>
  <si>
    <t>RageAgainstTheLegalSystem</t>
  </si>
  <si>
    <t>RagtagBandOfMisfits</t>
  </si>
  <si>
    <t>RailroadBaron</t>
  </si>
  <si>
    <t>RailRoading</t>
  </si>
  <si>
    <t>RaisedByNatives</t>
  </si>
  <si>
    <t>RakeTake</t>
  </si>
  <si>
    <t>RareVehicles</t>
  </si>
  <si>
    <t>RasterVision</t>
  </si>
  <si>
    <t>ReadingYourRights</t>
  </si>
  <si>
    <t>RealMenEatMeat</t>
  </si>
  <si>
    <t>Realpolitik</t>
  </si>
  <si>
    <t>RearWindowInvestigation</t>
  </si>
  <si>
    <t>RecklessSidekick</t>
  </si>
  <si>
    <t>ReclaimedByNature</t>
  </si>
  <si>
    <t>RecoilBoost</t>
  </si>
  <si>
    <t>RecycledScript</t>
  </si>
  <si>
    <t>RecycledTitle</t>
  </si>
  <si>
    <t>ReedSnorkel</t>
  </si>
  <si>
    <t>RefusingParadise</t>
  </si>
  <si>
    <t>ReluctantHero</t>
  </si>
  <si>
    <t>RepurposedPopSong</t>
  </si>
  <si>
    <t>RevealingSkill</t>
  </si>
  <si>
    <t>ReverseWhodunnit</t>
  </si>
  <si>
    <t>RiddleMeThis</t>
  </si>
  <si>
    <t>RidingTheBomb</t>
  </si>
  <si>
    <t>RivalTurnedEvil</t>
  </si>
  <si>
    <t>RockersSmashGuitars</t>
  </si>
  <si>
    <t>RocksFallEveryoneDies</t>
  </si>
  <si>
    <t>RootingForTheEmpire</t>
  </si>
  <si>
    <t>RuleOfSeven</t>
  </si>
  <si>
    <t>RunawayFiance</t>
  </si>
  <si>
    <t>RushmoreRefacement</t>
  </si>
  <si>
    <t>Salaryman</t>
  </si>
  <si>
    <t>SaloonOwner</t>
  </si>
  <si>
    <t>SanctuaryOfSolitude</t>
  </si>
  <si>
    <t>SandNecktie</t>
  </si>
  <si>
    <t>SatanIsGood</t>
  </si>
  <si>
    <t>SaveOurTeam</t>
  </si>
  <si>
    <t>Scandalgate</t>
  </si>
  <si>
    <t>ScheherezadeGambit</t>
  </si>
  <si>
    <t>SchrodingersCanon</t>
  </si>
  <si>
    <t>ScientistVsSoldier</t>
  </si>
  <si>
    <t>Scotireland</t>
  </si>
  <si>
    <t>ScyllaAndCharybdis</t>
  </si>
  <si>
    <t>SecondaryAdaptation</t>
  </si>
  <si>
    <t>SecretLegacy</t>
  </si>
  <si>
    <t>SecretStabWound</t>
  </si>
  <si>
    <t>SeekingSanctuary</t>
  </si>
  <si>
    <t>SelfImmolation</t>
  </si>
  <si>
    <t>SelfMutilationDemonstration</t>
  </si>
  <si>
    <t>SelfStitching</t>
  </si>
  <si>
    <t>SenselessPhagia</t>
  </si>
  <si>
    <t>SequelTheOriginalTitle</t>
  </si>
  <si>
    <t>SerratedBladeOfPain</t>
  </si>
  <si>
    <t>SewerGator</t>
  </si>
  <si>
    <t>SexByProxy</t>
  </si>
  <si>
    <t>SexIsGood</t>
  </si>
  <si>
    <t>Sexposition</t>
  </si>
  <si>
    <t>ShapeShifter</t>
  </si>
  <si>
    <t>SharpenedToASingleAtom</t>
  </si>
  <si>
    <t>SheKnowsTooMuch</t>
  </si>
  <si>
    <t>ShippedInShackles</t>
  </si>
  <si>
    <t>ShootTheBuilder</t>
  </si>
  <si>
    <t>ShortCon</t>
  </si>
  <si>
    <t>ShortDistancePhoneCall</t>
  </si>
  <si>
    <t>ShoutOutThemeNaming</t>
  </si>
  <si>
    <t>SidekickSong</t>
  </si>
  <si>
    <t>SimilarSquad</t>
  </si>
  <si>
    <t>SimpleCountryLawyer</t>
  </si>
  <si>
    <t>SkyFace</t>
  </si>
  <si>
    <t>SlaveCollar</t>
  </si>
  <si>
    <t>SlipperySwimsuit</t>
  </si>
  <si>
    <t>SlowMotionDrop</t>
  </si>
  <si>
    <t>SlummingIt</t>
  </si>
  <si>
    <t>SmartGuy</t>
  </si>
  <si>
    <t>SmartHouse</t>
  </si>
  <si>
    <t>SmithicalMarriage</t>
  </si>
  <si>
    <t>SmokingIsNotCool</t>
  </si>
  <si>
    <t>SmokyGentlemensClub</t>
  </si>
  <si>
    <t>SniperPistol</t>
  </si>
  <si>
    <t>SoapWithinAShow</t>
  </si>
  <si>
    <t>SoftReboot</t>
  </si>
  <si>
    <t>SoHappyTogether</t>
  </si>
  <si>
    <t>SortingAlgorithmOfMortality</t>
  </si>
  <si>
    <t>SpaceFighter</t>
  </si>
  <si>
    <t>SpaceFriction</t>
  </si>
  <si>
    <t>SpaceIsolationHorror</t>
  </si>
  <si>
    <t>SpaceJews</t>
  </si>
  <si>
    <t>SpecsOfAwesome</t>
  </si>
  <si>
    <t>StaffOfAuthority</t>
  </si>
  <si>
    <t>StarshipLuxurious</t>
  </si>
  <si>
    <t>SteelMill</t>
  </si>
  <si>
    <t>StockBritishPhrases</t>
  </si>
  <si>
    <t>StoppedCaring</t>
  </si>
  <si>
    <t>StrugglingSingleMother</t>
  </si>
  <si>
    <t>StuffedIntoATrashcan</t>
  </si>
  <si>
    <t>StutterStop</t>
  </si>
  <si>
    <t>SugaryMalice</t>
  </si>
  <si>
    <t>SuicideDare</t>
  </si>
  <si>
    <t>SuicideForOthersHappiness</t>
  </si>
  <si>
    <t>SuperiorSpecies</t>
  </si>
  <si>
    <t>Superman</t>
  </si>
  <si>
    <t>SuperRegistrationAct</t>
  </si>
  <si>
    <t>SuperweaponSurprise</t>
  </si>
  <si>
    <t>SurprisePregnancy</t>
  </si>
  <si>
    <t>SurprisinglyGoodForeignLanguage</t>
  </si>
  <si>
    <t>SurveillanceDrone</t>
  </si>
  <si>
    <t>SymbolSwearing</t>
  </si>
  <si>
    <t>TakeOffYourClothes</t>
  </si>
  <si>
    <t>TalkAboutTheWeather</t>
  </si>
  <si>
    <t>TalkingToHimself</t>
  </si>
  <si>
    <t>TalkingYourWayOut</t>
  </si>
  <si>
    <t>TanksForNothing</t>
  </si>
  <si>
    <t>TatteredFlag</t>
  </si>
  <si>
    <t>TempleOfDoom</t>
  </si>
  <si>
    <t>TensionCuttingLaughter</t>
  </si>
  <si>
    <t>TentativeLight</t>
  </si>
  <si>
    <t>TerminallyDependentSociety</t>
  </si>
  <si>
    <t>TerrifiedOfGerms</t>
  </si>
  <si>
    <t>TerrorAtMakeOutPoint</t>
  </si>
  <si>
    <t>ThatOneCase</t>
  </si>
  <si>
    <t>TheArtfulDodger</t>
  </si>
  <si>
    <t>TheCasino</t>
  </si>
  <si>
    <t>TheCavalierYears</t>
  </si>
  <si>
    <t>TheCity</t>
  </si>
  <si>
    <t>TheCommissionerGordon</t>
  </si>
  <si>
    <t>TheCorpseStopsHere</t>
  </si>
  <si>
    <t>TheDarknessGazesBack</t>
  </si>
  <si>
    <t>TheEasyWayOrTheHardWay</t>
  </si>
  <si>
    <t>TheGambler</t>
  </si>
  <si>
    <t>TheIlluminati</t>
  </si>
  <si>
    <t>TheKingslayer</t>
  </si>
  <si>
    <t>TheMaidenNameDebate</t>
  </si>
  <si>
    <t>TheModestOrgasm</t>
  </si>
  <si>
    <t>TheOmniscient</t>
  </si>
  <si>
    <t>TheOneThingIDontHateAboutYou</t>
  </si>
  <si>
    <t>ThePardon</t>
  </si>
  <si>
    <t>ThePhilosopher</t>
  </si>
  <si>
    <t>ThePowerOfTheSun</t>
  </si>
  <si>
    <t>TheRealHeroes</t>
  </si>
  <si>
    <t>TheReliableOne</t>
  </si>
  <si>
    <t>TheSchizophreniaConspiracy</t>
  </si>
  <si>
    <t>TheScottishTrope</t>
  </si>
  <si>
    <t>TheShadowKnows</t>
  </si>
  <si>
    <t>TheSimpsons</t>
  </si>
  <si>
    <t>TheSvengali</t>
  </si>
  <si>
    <t>TheThreeWiseMen</t>
  </si>
  <si>
    <t>ThinkUnsexyThoughts</t>
  </si>
  <si>
    <t>ThisIsMyBoomstick</t>
  </si>
  <si>
    <t>ThrewMyBikeOnTheRoof</t>
  </si>
  <si>
    <t>ThroatSlittingGesture</t>
  </si>
  <si>
    <t>ThrowAwayCountry</t>
  </si>
  <si>
    <t>TimeDelayedDeath</t>
  </si>
  <si>
    <t>ToiletHorror</t>
  </si>
  <si>
    <t>TongueTwister</t>
  </si>
  <si>
    <t>TooAwesomeToUse</t>
  </si>
  <si>
    <t>TooFastToStop</t>
  </si>
  <si>
    <t>TorturedMonster</t>
  </si>
  <si>
    <t>TownGirls</t>
  </si>
  <si>
    <t>TransEqualsGay</t>
  </si>
  <si>
    <t>Transflormation</t>
  </si>
  <si>
    <t>TransformationTrauma</t>
  </si>
  <si>
    <t>TrapIsTheOnlyOption</t>
  </si>
  <si>
    <t>TrappedInThePast</t>
  </si>
  <si>
    <t>TravellingSalesmanMontage</t>
  </si>
  <si>
    <t>TrialByFriendlyFire</t>
  </si>
  <si>
    <t>TricksterArchetype</t>
  </si>
  <si>
    <t>TrojanGauntlet</t>
  </si>
  <si>
    <t>Trope2000</t>
  </si>
  <si>
    <t>TrumanShowPlot</t>
  </si>
  <si>
    <t>TurbulentPriest</t>
  </si>
  <si>
    <t>TVTelephoneEtiquette</t>
  </si>
  <si>
    <t>TwoRoadsBeforeYou</t>
  </si>
  <si>
    <t>UglyHeroGoodLookingVillain</t>
  </si>
  <si>
    <t>UhOhEyes</t>
  </si>
  <si>
    <t>UmbrellaDrink</t>
  </si>
  <si>
    <t>UncannyValleyGirl</t>
  </si>
  <si>
    <t>UnderwaterBase</t>
  </si>
  <si>
    <t>UnPaused</t>
  </si>
  <si>
    <t>UnreadablyFastText</t>
  </si>
  <si>
    <t>UnsatisfiableCustomer</t>
  </si>
  <si>
    <t>UnsuspectinglySoused</t>
  </si>
  <si>
    <t>UrbanRuins</t>
  </si>
  <si>
    <t>VampiresOwnNightClubs</t>
  </si>
  <si>
    <t>VampireVords</t>
  </si>
  <si>
    <t>VandalismBackfire</t>
  </si>
  <si>
    <t>VFormationTeamShot</t>
  </si>
  <si>
    <t>VideoWills</t>
  </si>
  <si>
    <t>ViolationOfCommonSense</t>
  </si>
  <si>
    <t>VoiceOfTheResistance</t>
  </si>
  <si>
    <t>WagTheDirector</t>
  </si>
  <si>
    <t>WaifProphet</t>
  </si>
  <si>
    <t>WalkingTank</t>
  </si>
  <si>
    <t>WantingIsBetterThanHaving</t>
  </si>
  <si>
    <t>WarHawk</t>
  </si>
  <si>
    <t>WarOnTerror</t>
  </si>
  <si>
    <t>WeakWilled</t>
  </si>
  <si>
    <t>WeaponizedHeadgear</t>
  </si>
  <si>
    <t>WeatherOfWar</t>
  </si>
  <si>
    <t>WeatherSavesTheDay</t>
  </si>
  <si>
    <t>WelcomeToTheCaribbeanMon</t>
  </si>
  <si>
    <t>WellDoneDadGuy</t>
  </si>
  <si>
    <t>WhatDoYouMeanItsNotForKids</t>
  </si>
  <si>
    <t>WhatsAnXLikeYouDoingInAYLikeThis</t>
  </si>
  <si>
    <t>WhenEldersAttack</t>
  </si>
  <si>
    <t>WhenIWasYourAge</t>
  </si>
  <si>
    <t>WhoDares</t>
  </si>
  <si>
    <t>WhoWatchesTheWatchmen</t>
  </si>
  <si>
    <t>WillTalkForAPrice</t>
  </si>
  <si>
    <t>WindowPain</t>
  </si>
  <si>
    <t>WingdingEyes</t>
  </si>
  <si>
    <t>WipeThatSmileOffYourFace</t>
  </si>
  <si>
    <t>WisdomFromTheGutter</t>
  </si>
  <si>
    <t>WoodenStake</t>
  </si>
  <si>
    <t>WorfEffect</t>
  </si>
  <si>
    <t>WorldsStrongestMan</t>
  </si>
  <si>
    <t>WouldNotHurtAChild</t>
  </si>
  <si>
    <t>WrongfullyAttributed</t>
  </si>
  <si>
    <t>YouCanRunButYouCantHide</t>
  </si>
  <si>
    <t>YouHaveNoChanceToSurvive</t>
  </si>
  <si>
    <t>YouKnowWhatYouDid</t>
  </si>
  <si>
    <t>ZeroApprovalGambit</t>
  </si>
  <si>
    <t>AbandonedHospitalAwakening</t>
  </si>
  <si>
    <t>AbsenceOfEvidence</t>
  </si>
  <si>
    <t>AccidentalKiss</t>
  </si>
  <si>
    <t>ActuallyADoombot</t>
  </si>
  <si>
    <t>AdaptationInspiration</t>
  </si>
  <si>
    <t>AdventureArchaeologist</t>
  </si>
  <si>
    <t>AgeAppropriateAngst</t>
  </si>
  <si>
    <t>AHeadAtEachEnd</t>
  </si>
  <si>
    <t>AKA47</t>
  </si>
  <si>
    <t>AliensStealCattle</t>
  </si>
  <si>
    <t>ALighterShadeOfGrey</t>
  </si>
  <si>
    <t>AllAnimalsAreDomesticated</t>
  </si>
  <si>
    <t>AllClothUnravels</t>
  </si>
  <si>
    <t>AllJewsAreCheapskates</t>
  </si>
  <si>
    <t>AllLesbiansWantKids</t>
  </si>
  <si>
    <t>AllWorkVsAllPlay</t>
  </si>
  <si>
    <t>AlwaysLawfulGood</t>
  </si>
  <si>
    <t>AManIsNotAVirgin</t>
  </si>
  <si>
    <t>AmbiguousInnocence</t>
  </si>
  <si>
    <t>AmmunitionBackpack</t>
  </si>
  <si>
    <t>AmphibiousAutomobile</t>
  </si>
  <si>
    <t>AndNowForSomeoneCompletelyDifferent</t>
  </si>
  <si>
    <t>AndNowForSomethingCompletelyDifferent</t>
  </si>
  <si>
    <t>AndSomeOtherStuff</t>
  </si>
  <si>
    <t>AngelicBeauty</t>
  </si>
  <si>
    <t>AngstComa</t>
  </si>
  <si>
    <t>AnimalEyes</t>
  </si>
  <si>
    <t>AnimalsNotToScale</t>
  </si>
  <si>
    <t>AnimateDead</t>
  </si>
  <si>
    <t>Anime</t>
  </si>
  <si>
    <t>AnotherStoryForAnotherTime</t>
  </si>
  <si>
    <t>ApocalypticLogistics</t>
  </si>
  <si>
    <t>AppealToFamilialWisdom</t>
  </si>
  <si>
    <t>AreYouSureYouCanDriveThisThing</t>
  </si>
  <si>
    <t>ArmourPiercingQuestion</t>
  </si>
  <si>
    <t>ArtDeco</t>
  </si>
  <si>
    <t>ArtisticLicensePharmacology</t>
  </si>
  <si>
    <t>AscendedToAHigherPlaneOfExistence</t>
  </si>
  <si>
    <t>AsianDrivers</t>
  </si>
  <si>
    <t>AudienceMurmurs</t>
  </si>
  <si>
    <t>AugmentedReality</t>
  </si>
  <si>
    <t>AwayInAManger</t>
  </si>
  <si>
    <t>BachelorAuction</t>
  </si>
  <si>
    <t>BadIsGoodAndGoodIsBad</t>
  </si>
  <si>
    <t>BaguetteBeatdown</t>
  </si>
  <si>
    <t>BaldWoman</t>
  </si>
  <si>
    <t>BalladOfX</t>
  </si>
  <si>
    <t>BarbarianTribe</t>
  </si>
  <si>
    <t>BarrierWarrior</t>
  </si>
  <si>
    <t>BastardGirlfriend</t>
  </si>
  <si>
    <t>BastardUnderstudy</t>
  </si>
  <si>
    <t>BeardOfBarbarism</t>
  </si>
  <si>
    <t>BewareMyStingerTail</t>
  </si>
  <si>
    <t>BewilderingPunishment</t>
  </si>
  <si>
    <t>BigLittleBrother</t>
  </si>
  <si>
    <t>BigSisterBully</t>
  </si>
  <si>
    <t>BigSleep</t>
  </si>
  <si>
    <t>BitCharacter</t>
  </si>
  <si>
    <t>BitterWeddingSpeech</t>
  </si>
  <si>
    <t>BizarreAlienLocomotion</t>
  </si>
  <si>
    <t>BizarreSexualDimorphism</t>
  </si>
  <si>
    <t>BlackBugRoom</t>
  </si>
  <si>
    <t>BlackSite</t>
  </si>
  <si>
    <t>BleachedUnderpants</t>
  </si>
  <si>
    <t>BlindAlley</t>
  </si>
  <si>
    <t>BlindingCameraFlash</t>
  </si>
  <si>
    <t>BlindShoulderToss</t>
  </si>
  <si>
    <t>BoastfulRap</t>
  </si>
  <si>
    <t>BodySushi</t>
  </si>
  <si>
    <t>BowAndSwordInAccord</t>
  </si>
  <si>
    <t>BreastPlate</t>
  </si>
  <si>
    <t>BreedingSlave</t>
  </si>
  <si>
    <t>Bridezilla</t>
  </si>
  <si>
    <t>BringItBackAlive</t>
  </si>
  <si>
    <t>BritishRoyalGuards</t>
  </si>
  <si>
    <t>BrokenAngel</t>
  </si>
  <si>
    <t>BrokenBase</t>
  </si>
  <si>
    <t>BullyingTheDisabled</t>
  </si>
  <si>
    <t>BunkerWoman</t>
  </si>
  <si>
    <t>ButNotTooBi</t>
  </si>
  <si>
    <t>ButterflyEffect</t>
  </si>
  <si>
    <t>ButWhatAboutTheAstronauts</t>
  </si>
  <si>
    <t>ButYouWereThereAndYouAndYou</t>
  </si>
  <si>
    <t>ByTheEyesOfTheBlind</t>
  </si>
  <si>
    <t>CaliforniaCollapse</t>
  </si>
  <si>
    <t>CallAndResponseSong</t>
  </si>
  <si>
    <t>CannotTalkToWomen</t>
  </si>
  <si>
    <t>CantLiveWithThemCantLiveWithoutThem</t>
  </si>
  <si>
    <t>CatapultToGlory</t>
  </si>
  <si>
    <t>CatchphraseInterruptus</t>
  </si>
  <si>
    <t>CavalierConsumption</t>
  </si>
  <si>
    <t>CelebrityCameo</t>
  </si>
  <si>
    <t>CensorShadow</t>
  </si>
  <si>
    <t>CerebusRollercoaster</t>
  </si>
  <si>
    <t>ChallengeSeeker</t>
  </si>
  <si>
    <t>ChanceMeetingBetweenAntagonists</t>
  </si>
  <si>
    <t>ChangelingTale</t>
  </si>
  <si>
    <t>ChastityCouple</t>
  </si>
  <si>
    <t>CheatingWithTheMilkman</t>
  </si>
  <si>
    <t>CherryBlossoms</t>
  </si>
  <si>
    <t>ChildrenAreCruel</t>
  </si>
  <si>
    <t>ChirpingCrickets</t>
  </si>
  <si>
    <t>CinderellaCircumstances</t>
  </si>
  <si>
    <t>CirclingMonologue</t>
  </si>
  <si>
    <t>CityOfGold</t>
  </si>
  <si>
    <t>ClarkKentOutfit</t>
  </si>
  <si>
    <t>ClassClown</t>
  </si>
  <si>
    <t>ClassicVillain</t>
  </si>
  <si>
    <t>Claymation</t>
  </si>
  <si>
    <t>ClifftopCaterwauling</t>
  </si>
  <si>
    <t>ClimbSlipHangClimb</t>
  </si>
  <si>
    <t>CloneArmy</t>
  </si>
  <si>
    <t>ClonesArePeopleToo</t>
  </si>
  <si>
    <t>ClothesMakeTheSuperman</t>
  </si>
  <si>
    <t>ClothingReflectsPersonality</t>
  </si>
  <si>
    <t>CollegeIsHighSchoolPart2</t>
  </si>
  <si>
    <t>CombatClairvoyance</t>
  </si>
  <si>
    <t>CombatPragmatism</t>
  </si>
  <si>
    <t>ComboPlatterPowers</t>
  </si>
  <si>
    <t>ComingAndGoing</t>
  </si>
  <si>
    <t>CommandingCoolness</t>
  </si>
  <si>
    <t>ConfiscatedPhone</t>
  </si>
  <si>
    <t>ConspicuousCGI</t>
  </si>
  <si>
    <t>ConstructionZoneCalamity</t>
  </si>
  <si>
    <t>ContinuityDrift</t>
  </si>
  <si>
    <t>ContinuityPorn</t>
  </si>
  <si>
    <t>ConvenientCranny</t>
  </si>
  <si>
    <t>ConvenientEclipse</t>
  </si>
  <si>
    <t>ConvenientlyCellmates</t>
  </si>
  <si>
    <t>ConvenientlyInterruptedDocument</t>
  </si>
  <si>
    <t>ConvergingStreamWeapon</t>
  </si>
  <si>
    <t>CoolClearWater</t>
  </si>
  <si>
    <t>CoolGarage</t>
  </si>
  <si>
    <t>CoolSpaceship</t>
  </si>
  <si>
    <t>CopsNeedTheVigilante</t>
  </si>
  <si>
    <t>CosmeticallyAdvancedPrequel</t>
  </si>
  <si>
    <t>CosmicHorror</t>
  </si>
  <si>
    <t>Cosplay</t>
  </si>
  <si>
    <t>CostumeDrama</t>
  </si>
  <si>
    <t>CrazyConsumption</t>
  </si>
  <si>
    <t>CrazyPeoplePlayChess</t>
  </si>
  <si>
    <t>CreepyBallet</t>
  </si>
  <si>
    <t>CrisisMakesPerfect</t>
  </si>
  <si>
    <t>CrowdChant</t>
  </si>
  <si>
    <t>CrowdHockey</t>
  </si>
  <si>
    <t>Cthulhumanoid</t>
  </si>
  <si>
    <t>CueCard</t>
  </si>
  <si>
    <t>CultColony</t>
  </si>
  <si>
    <t>CulturalRebel</t>
  </si>
  <si>
    <t>CultureEqualsCostume</t>
  </si>
  <si>
    <t>CurtainClothing</t>
  </si>
  <si>
    <t>CutleryEscapeAid</t>
  </si>
  <si>
    <t>DanceSensation</t>
  </si>
  <si>
    <t>DarkFantasy</t>
  </si>
  <si>
    <t>DarkSkinnedBlond</t>
  </si>
  <si>
    <t>DeadlyDistantFinale</t>
  </si>
  <si>
    <t>DeathByGluttony</t>
  </si>
  <si>
    <t>DeathByNewberyMedal</t>
  </si>
  <si>
    <t>DeathOfPersonality</t>
  </si>
  <si>
    <t>DeathRow</t>
  </si>
  <si>
    <t>DefrostingTheIceQueen</t>
  </si>
  <si>
    <t>DeletedScenes</t>
  </si>
  <si>
    <t>DeliberatelyJumpingTheGun</t>
  </si>
  <si>
    <t>DesperatelyCravesAffection</t>
  </si>
  <si>
    <t>DestroyTheAbusiveHome</t>
  </si>
  <si>
    <t>DetectEvil</t>
  </si>
  <si>
    <t>DirtyOldMonk</t>
  </si>
  <si>
    <t>DisappearsIntoLight</t>
  </si>
  <si>
    <t>DitzyGenius</t>
  </si>
  <si>
    <t>DividedStatesOfAmerica</t>
  </si>
  <si>
    <t>DoctorDoctorDoctor</t>
  </si>
  <si>
    <t>DomedHometown</t>
  </si>
  <si>
    <t>DontComeAKnockin</t>
  </si>
  <si>
    <t>DontLookAtMe</t>
  </si>
  <si>
    <t>DoorJudo</t>
  </si>
  <si>
    <t>DoubleSubvertedTrope</t>
  </si>
  <si>
    <t>DoubleWeapon</t>
  </si>
  <si>
    <t>DoUntoOthersBeforeTheyDoUntoUs</t>
  </si>
  <si>
    <t>DracoInLeatherPants</t>
  </si>
  <si>
    <t>DreamLand</t>
  </si>
  <si>
    <t>DrunkenMontage</t>
  </si>
  <si>
    <t>DubInducedPlotHole</t>
  </si>
  <si>
    <t>DyingTruce</t>
  </si>
  <si>
    <t>DystopianEdict</t>
  </si>
  <si>
    <t>EarthIsTheCenterOfTheUniverse</t>
  </si>
  <si>
    <t>EasilyOverheardConversation</t>
  </si>
  <si>
    <t>EasterBunny</t>
  </si>
  <si>
    <t>EenieMeenieMinyMoai</t>
  </si>
  <si>
    <t>EmbarrassingOldPhoto</t>
  </si>
  <si>
    <t>EndangeredSouffle</t>
  </si>
  <si>
    <t>EnemyMime</t>
  </si>
  <si>
    <t>EnglishRose</t>
  </si>
  <si>
    <t>EscalatingChase</t>
  </si>
  <si>
    <t>EskimosArentReal</t>
  </si>
  <si>
    <t>EveryBulletIsATracer</t>
  </si>
  <si>
    <t>EverythingsEvenWorseWithSharks</t>
  </si>
  <si>
    <t>EvilMakesYouMonstrous</t>
  </si>
  <si>
    <t>EvilPaysBetter</t>
  </si>
  <si>
    <t>Expositron9000</t>
  </si>
  <si>
    <t>ExpyCoexistence</t>
  </si>
  <si>
    <t>ExtinctInTheFuture</t>
  </si>
  <si>
    <t>ExtravertedNerd</t>
  </si>
  <si>
    <t>EyeOfNewt</t>
  </si>
  <si>
    <t>EyeRemember</t>
  </si>
  <si>
    <t>EyesNeverLie</t>
  </si>
  <si>
    <t>FaceHeelDoubleTurn</t>
  </si>
  <si>
    <t>FakeBoobs</t>
  </si>
  <si>
    <t>FalseSoulmate</t>
  </si>
  <si>
    <t>FalseTeethTomfoolery</t>
  </si>
  <si>
    <t>FamilyDisunion</t>
  </si>
  <si>
    <t>FancyDinner</t>
  </si>
  <si>
    <t>FanservicePack</t>
  </si>
  <si>
    <t>FantasticSlurs</t>
  </si>
  <si>
    <t>FarEast</t>
  </si>
  <si>
    <t>FarmBoy</t>
  </si>
  <si>
    <t>FashionableAsymmetry</t>
  </si>
  <si>
    <t>FatherNeptune</t>
  </si>
  <si>
    <t>FedoraOfAsskicking</t>
  </si>
  <si>
    <t>FeelingTheirAge</t>
  </si>
  <si>
    <t>FellOffTheBackOfATruck</t>
  </si>
  <si>
    <t>FigureItOutYourself</t>
  </si>
  <si>
    <t>FilmingForEasyDub</t>
  </si>
  <si>
    <t>FinishDialogueInUnison</t>
  </si>
  <si>
    <t>FirstContactMath</t>
  </si>
  <si>
    <t>FlamingEmblem</t>
  </si>
  <si>
    <t>FlatJoy</t>
  </si>
  <si>
    <t>FlatlinePlotline</t>
  </si>
  <si>
    <t>FlirtatiousSmackOnTheAss</t>
  </si>
  <si>
    <t>FlirtingUnderFire</t>
  </si>
  <si>
    <t>FlowerInHerHair</t>
  </si>
  <si>
    <t>FlyingSeafoodSpecial</t>
  </si>
  <si>
    <t>FolkHero</t>
  </si>
  <si>
    <t>Foreshadowed</t>
  </si>
  <si>
    <t>FormallyNamedPet</t>
  </si>
  <si>
    <t>Fratbro</t>
  </si>
  <si>
    <t>FreefallFight</t>
  </si>
  <si>
    <t>FrenchMaidOutfit</t>
  </si>
  <si>
    <t>FriendlyTarget</t>
  </si>
  <si>
    <t>GagNose</t>
  </si>
  <si>
    <t>GayCowboy</t>
  </si>
  <si>
    <t>Gendercide</t>
  </si>
  <si>
    <t>GeneHunting</t>
  </si>
  <si>
    <t>GenieInABottle</t>
  </si>
  <si>
    <t>GettingHotInHere</t>
  </si>
  <si>
    <t>GettingTheBoot</t>
  </si>
  <si>
    <t>GhostlyGape</t>
  </si>
  <si>
    <t>GiantWoman</t>
  </si>
  <si>
    <t>GirlsHaveCooties</t>
  </si>
  <si>
    <t>GiveMeBackMyWallet</t>
  </si>
  <si>
    <t>GloveSlap</t>
  </si>
  <si>
    <t>GoGetterGirl</t>
  </si>
  <si>
    <t>GoingFurASwim</t>
  </si>
  <si>
    <t>GoodIsBoring</t>
  </si>
  <si>
    <t>GoodIsImpotent</t>
  </si>
  <si>
    <t>GoodLawyersGoodClients</t>
  </si>
  <si>
    <t>GoodStepmother</t>
  </si>
  <si>
    <t>GoodVsGood</t>
  </si>
  <si>
    <t>GraffitiOfTheResistance</t>
  </si>
  <si>
    <t>GreaterNeedThanMine</t>
  </si>
  <si>
    <t>GretzkyHasTheBall</t>
  </si>
  <si>
    <t>GrimReaper</t>
  </si>
  <si>
    <t>GrotesqueGallery</t>
  </si>
  <si>
    <t>GroundedForever</t>
  </si>
  <si>
    <t>GuestFighter</t>
  </si>
  <si>
    <t>GunAccessories</t>
  </si>
  <si>
    <t>Gunslinger</t>
  </si>
  <si>
    <t>HairMetal</t>
  </si>
  <si>
    <t>HairTodayGoneTomorrow</t>
  </si>
  <si>
    <t>HairTriggerExplosive</t>
  </si>
  <si>
    <t>HandBlast</t>
  </si>
  <si>
    <t>HandStomp</t>
  </si>
  <si>
    <t>HappinessIsMandatory</t>
  </si>
  <si>
    <t>HardOnSoftScience</t>
  </si>
  <si>
    <t>HaventYouSeenXBefore</t>
  </si>
  <si>
    <t>Heel</t>
  </si>
  <si>
    <t>HerBoyfriendsJacket</t>
  </si>
  <si>
    <t>HeroicLineage</t>
  </si>
  <si>
    <t>HerosJourney</t>
  </si>
  <si>
    <t>HerrDoctor</t>
  </si>
  <si>
    <t>HesitationEqualsDishonesty</t>
  </si>
  <si>
    <t>HiddenAgendaVillain</t>
  </si>
  <si>
    <t>HiddenBackupPrince</t>
  </si>
  <si>
    <t>HiddenDisdainReveal</t>
  </si>
  <si>
    <t>HideYourPregnancy</t>
  </si>
  <si>
    <t>HighSchoolAU</t>
  </si>
  <si>
    <t>HighSpeedMissileDodge</t>
  </si>
  <si>
    <t>HollywoodBlanks</t>
  </si>
  <si>
    <t>HollywoodEvolution</t>
  </si>
  <si>
    <t>HomeByChristmas</t>
  </si>
  <si>
    <t>HoneyPot</t>
  </si>
  <si>
    <t>HonorableMarriageProposal</t>
  </si>
  <si>
    <t>HopeIsScary</t>
  </si>
  <si>
    <t>HopelessAuditionees</t>
  </si>
  <si>
    <t>HopeSpringsEternal</t>
  </si>
  <si>
    <t>HouseHusband</t>
  </si>
  <si>
    <t>HustlingTheMark</t>
  </si>
  <si>
    <t>HybridMonster</t>
  </si>
  <si>
    <t>IAmLegion</t>
  </si>
  <si>
    <t>ICallHerVera</t>
  </si>
  <si>
    <t>ICantFeelMyLegs</t>
  </si>
  <si>
    <t>ICantHearYou</t>
  </si>
  <si>
    <t>IdeaBulb</t>
  </si>
  <si>
    <t>IdentificationByDentalRecords</t>
  </si>
  <si>
    <t>IFellForHours</t>
  </si>
  <si>
    <t>IfJesusThenAliens</t>
  </si>
  <si>
    <t>IllPretendIDidntHearThat</t>
  </si>
  <si>
    <t>IMissMom</t>
  </si>
  <si>
    <t>ImmortalityBeginsAtTwenty</t>
  </si>
  <si>
    <t>ImmortalityInducer</t>
  </si>
  <si>
    <t>ImprovFu</t>
  </si>
  <si>
    <t>ImYourBiggestFan</t>
  </si>
  <si>
    <t>InsecuritySystem</t>
  </si>
  <si>
    <t>InsideAComputerSystem</t>
  </si>
  <si>
    <t>InspirationalInsult</t>
  </si>
  <si>
    <t>InstantIllness</t>
  </si>
  <si>
    <t>InstantMarksmanJustSqueezeTrigger</t>
  </si>
  <si>
    <t>InstantMessengerPigeon</t>
  </si>
  <si>
    <t>InstrumentalThemeTune</t>
  </si>
  <si>
    <t>InterspeciesAdoption</t>
  </si>
  <si>
    <t>IntimateHairBrushing</t>
  </si>
  <si>
    <t>InUniverseNickname</t>
  </si>
  <si>
    <t>InvisibleToAdults</t>
  </si>
  <si>
    <t>InvoluntaryBattleToTheDeath</t>
  </si>
  <si>
    <t>IRegretNothing</t>
  </si>
  <si>
    <t>IronicDeath</t>
  </si>
  <si>
    <t>IronMaiden</t>
  </si>
  <si>
    <t>IsThereADoctorInTheHouse</t>
  </si>
  <si>
    <t>ItCameFromBeverlyHills</t>
  </si>
  <si>
    <t>ItDoesntMeanAnything</t>
  </si>
  <si>
    <t>ItHasOnlyJustBegun</t>
  </si>
  <si>
    <t>ItSucksToBeTheChosenOne</t>
  </si>
  <si>
    <t>ItTastesLikeFeet</t>
  </si>
  <si>
    <t>IWasBeatenByAGirl</t>
  </si>
  <si>
    <t>IWasYoungAndNeededTheMoney</t>
  </si>
  <si>
    <t>JackieRobinsonStory</t>
  </si>
  <si>
    <t>JerkassGenie</t>
  </si>
  <si>
    <t>JunglePrincess</t>
  </si>
  <si>
    <t>JungleWarfare</t>
  </si>
  <si>
    <t>JustIgnoreIt</t>
  </si>
  <si>
    <t>KickMePrank</t>
  </si>
  <si>
    <t>KillerDoll</t>
  </si>
  <si>
    <t>KillSteal</t>
  </si>
  <si>
    <t>KingKongClimb</t>
  </si>
  <si>
    <t>KinkySpanking</t>
  </si>
  <si>
    <t>KissingDiscretionShot</t>
  </si>
  <si>
    <t>KnightKnaveAndSquire</t>
  </si>
  <si>
    <t>KnittingPregnancyAnnouncement</t>
  </si>
  <si>
    <t>KryptoniteProofSuit</t>
  </si>
  <si>
    <t>LabcoatOfScienceAndMedicine</t>
  </si>
  <si>
    <t>LadySwearsALot</t>
  </si>
  <si>
    <t>LameRhymeDodge</t>
  </si>
  <si>
    <t>LaughWithMe</t>
  </si>
  <si>
    <t>LegionsOfHell</t>
  </si>
  <si>
    <t>LessonsInSophistication</t>
  </si>
  <si>
    <t>LethalLavaLand</t>
  </si>
  <si>
    <t>LevitatingLotusPosition</t>
  </si>
  <si>
    <t>LifeIsntFair</t>
  </si>
  <si>
    <t>LifeOfTheParty</t>
  </si>
  <si>
    <t>LikeYouWouldReallyDoIt</t>
  </si>
  <si>
    <t>LiquidAssets</t>
  </si>
  <si>
    <t>ListingTheFormsOfDegenerates</t>
  </si>
  <si>
    <t>LiteralManEater</t>
  </si>
  <si>
    <t>LiteralSplitPersonality</t>
  </si>
  <si>
    <t>LittleDeadRidingHood</t>
  </si>
  <si>
    <t>LivingWithTheVillain</t>
  </si>
  <si>
    <t>LocationThemeNaming</t>
  </si>
  <si>
    <t>LockedInTheDungeon</t>
  </si>
  <si>
    <t>LonelyBachelorPad</t>
  </si>
  <si>
    <t>LongLastLook</t>
  </si>
  <si>
    <t>Longrunner</t>
  </si>
  <si>
    <t>LotsOfLuggage</t>
  </si>
  <si>
    <t>LoveAtFirstNote</t>
  </si>
  <si>
    <t>LovecraftianSuperpower</t>
  </si>
  <si>
    <t>LoveIsAWeakness</t>
  </si>
  <si>
    <t>LoveObstructingParents</t>
  </si>
  <si>
    <t>LowCultureHighTech</t>
  </si>
  <si>
    <t>LuminescentBlush</t>
  </si>
  <si>
    <t>MachiavelliWasWrong</t>
  </si>
  <si>
    <t>MadeInCountryX</t>
  </si>
  <si>
    <t>MadLibsCatchPhrase</t>
  </si>
  <si>
    <t>Magic8Ball</t>
  </si>
  <si>
    <t>MagicalComputer</t>
  </si>
  <si>
    <t>MagicalGirlfriend</t>
  </si>
  <si>
    <t>MagicBus</t>
  </si>
  <si>
    <t>MagicKnight</t>
  </si>
  <si>
    <t>MakesSenseInContext</t>
  </si>
  <si>
    <t>MakeWayForTheNewVillains</t>
  </si>
  <si>
    <t>MakingASpectacleOfYourself</t>
  </si>
  <si>
    <t>MandatoryMotherhood</t>
  </si>
  <si>
    <t>MarsNeedsWater</t>
  </si>
  <si>
    <t>MasterForger</t>
  </si>
  <si>
    <t>MasterPoisoner</t>
  </si>
  <si>
    <t>MatchmakerCrush</t>
  </si>
  <si>
    <t>MaternalDeathBlameTheChild</t>
  </si>
  <si>
    <t>MatteShot</t>
  </si>
  <si>
    <t>MechaMook</t>
  </si>
  <si>
    <t>MedicalHorror</t>
  </si>
  <si>
    <t>MembershipToken</t>
  </si>
  <si>
    <t>MessageInABottle</t>
  </si>
  <si>
    <t>MessOfWoe</t>
  </si>
  <si>
    <t>MetaOrigin</t>
  </si>
  <si>
    <t>MilesToGoBeforeISleep</t>
  </si>
  <si>
    <t>MilitaryCoup</t>
  </si>
  <si>
    <t>MinorCharacterMajorSong</t>
  </si>
  <si>
    <t>MisplacedADecimalPoint</t>
  </si>
  <si>
    <t>MissConception</t>
  </si>
  <si>
    <t>MisspellingOutLoud</t>
  </si>
  <si>
    <t>MistakenForPrankCall</t>
  </si>
  <si>
    <t>MisterBig</t>
  </si>
  <si>
    <t>Mjolnir</t>
  </si>
  <si>
    <t>MockingSingSong</t>
  </si>
  <si>
    <t>MomentOfWeakness</t>
  </si>
  <si>
    <t>MonsterFromBeyondTheVeil</t>
  </si>
  <si>
    <t>MoodyMount</t>
  </si>
  <si>
    <t>MoonLandingHoax</t>
  </si>
  <si>
    <t>MoonwalkDance</t>
  </si>
  <si>
    <t>MotherNatureFatherScience</t>
  </si>
  <si>
    <t>MouthCam</t>
  </si>
  <si>
    <t>MouthOfSauron</t>
  </si>
  <si>
    <t>MsExposition</t>
  </si>
  <si>
    <t>Multiboobage</t>
  </si>
  <si>
    <t>MultiCharacterTitle</t>
  </si>
  <si>
    <t>MundaneAfterlife</t>
  </si>
  <si>
    <t>MundaneObjectAmazement</t>
  </si>
  <si>
    <t>MustNotDieAVirgin</t>
  </si>
  <si>
    <t>MyFistForgivesYou</t>
  </si>
  <si>
    <t>MyFutureSelfAndMe</t>
  </si>
  <si>
    <t>MyKungFuIsStrongerThanYours</t>
  </si>
  <si>
    <t>MysteryMeat</t>
  </si>
  <si>
    <t>NailedToTheWagon</t>
  </si>
  <si>
    <t>NarrativeFiligree</t>
  </si>
  <si>
    <t>NativeGuide</t>
  </si>
  <si>
    <t>NaziZombies</t>
  </si>
  <si>
    <t>NecroCam</t>
  </si>
  <si>
    <t>NestedStoryReveal</t>
  </si>
  <si>
    <t>NoDelaysForTheWicked</t>
  </si>
  <si>
    <t>NoFairCheating</t>
  </si>
  <si>
    <t>NoMeansYes</t>
  </si>
  <si>
    <t>NonhumanLoverReveal</t>
  </si>
  <si>
    <t>NonhumansLackAttributes</t>
  </si>
  <si>
    <t>NonSingingVoice</t>
  </si>
  <si>
    <t>NonSpecificallyForeign</t>
  </si>
  <si>
    <t>NoSuchAgency</t>
  </si>
  <si>
    <t>NotAMorningPerson</t>
  </si>
  <si>
    <t>NotEnoughToBury</t>
  </si>
  <si>
    <t>NotGrowingUpSucks</t>
  </si>
  <si>
    <t>NotHisBlood</t>
  </si>
  <si>
    <t>NotSoRemote</t>
  </si>
  <si>
    <t>NotSoSmallRole</t>
  </si>
  <si>
    <t>NudeNatureDance</t>
  </si>
  <si>
    <t>NutritionalNightmare</t>
  </si>
  <si>
    <t>OccamsRazor</t>
  </si>
  <si>
    <t>OdessaSteps</t>
  </si>
  <si>
    <t>OfCourseImNotAVirgin</t>
  </si>
  <si>
    <t>OfficeRomance</t>
  </si>
  <si>
    <t>OffscreenVillainDarkMatter</t>
  </si>
  <si>
    <t>OffTheRecord</t>
  </si>
  <si>
    <t>OhCrapSmile</t>
  </si>
  <si>
    <t>OldManMarryingAChild</t>
  </si>
  <si>
    <t>OneDrinkWillKillTheBaby</t>
  </si>
  <si>
    <t>OneLastFieldTrip</t>
  </si>
  <si>
    <t>OneLetterName</t>
  </si>
  <si>
    <t>OneMillionBC</t>
  </si>
  <si>
    <t>OnePersonBirthdayParty</t>
  </si>
  <si>
    <t>OneSidedBattle</t>
  </si>
  <si>
    <t>OneWayTrip</t>
  </si>
  <si>
    <t>OnTheRebound</t>
  </si>
  <si>
    <t>Opera</t>
  </si>
  <si>
    <t>OpinionFlipflop</t>
  </si>
  <si>
    <t>OrgasmicCombat</t>
  </si>
  <si>
    <t>OurDwarvesAreAllTheSame</t>
  </si>
  <si>
    <t>OurGoblinsAreDifferent</t>
  </si>
  <si>
    <t>OurMonstersAreDifferent</t>
  </si>
  <si>
    <t>OutdatedOutfit</t>
  </si>
  <si>
    <t>OutfitDecoy</t>
  </si>
  <si>
    <t>OutnumberedSibling</t>
  </si>
  <si>
    <t>OutOfCharacter</t>
  </si>
  <si>
    <t>OverrideCommand</t>
  </si>
  <si>
    <t>PanickyExpectantFather</t>
  </si>
  <si>
    <t>ParasiteZombie</t>
  </si>
  <si>
    <t>ParodyRetcon</t>
  </si>
  <si>
    <t>PartlyCloudyWithAChanceOfDeath</t>
  </si>
  <si>
    <t>PassedOverPromotion</t>
  </si>
  <si>
    <t>PayingForTheActionScene</t>
  </si>
  <si>
    <t>PenName</t>
  </si>
  <si>
    <t>PersonalRaincloud</t>
  </si>
  <si>
    <t>PerversePuppet</t>
  </si>
  <si>
    <t>PerverseSexualLust</t>
  </si>
  <si>
    <t>PhotoOpWithTheDog</t>
  </si>
  <si>
    <t>PhysicalScarsPsychologicalScars</t>
  </si>
  <si>
    <t>PickyPeopleEater</t>
  </si>
  <si>
    <t>PizzaBoySpecialDelivery</t>
  </si>
  <si>
    <t>PlayingDoctor</t>
  </si>
  <si>
    <t>PlotIrrelevantVillain</t>
  </si>
  <si>
    <t>PlotSensitiveLatch</t>
  </si>
  <si>
    <t>PointThatSomewhereElse</t>
  </si>
  <si>
    <t>PoisonRing</t>
  </si>
  <si>
    <t>PoorMansSubstitute</t>
  </si>
  <si>
    <t>PornNames</t>
  </si>
  <si>
    <t>PortentOfDoom</t>
  </si>
  <si>
    <t>PostApocalypticDog</t>
  </si>
  <si>
    <t>PostPeakOil</t>
  </si>
  <si>
    <t>PoundsAreAnimalPrisons</t>
  </si>
  <si>
    <t>PowerCrystal</t>
  </si>
  <si>
    <t>PowerFantasy</t>
  </si>
  <si>
    <t>PowerOfFriendship</t>
  </si>
  <si>
    <t>PreciousPuppies</t>
  </si>
  <si>
    <t>PrecisionCrash</t>
  </si>
  <si>
    <t>PregnantHostage</t>
  </si>
  <si>
    <t>PrehensileTail</t>
  </si>
  <si>
    <t>PreserveYourGays</t>
  </si>
  <si>
    <t>PretendToBeBrainwashed</t>
  </si>
  <si>
    <t>PretendWereDead</t>
  </si>
  <si>
    <t>PrisonersDilemma</t>
  </si>
  <si>
    <t>PrisonShip</t>
  </si>
  <si>
    <t>PrivateMilitaryContractor</t>
  </si>
  <si>
    <t>ProductionThrowback</t>
  </si>
  <si>
    <t>PromotedToParent</t>
  </si>
  <si>
    <t>PronounTrouble</t>
  </si>
  <si>
    <t>PropagandaHero</t>
  </si>
  <si>
    <t>PropertyOfLove</t>
  </si>
  <si>
    <t>PropheciesRhymeAllTheTime</t>
  </si>
  <si>
    <t>PropheticFallacy</t>
  </si>
  <si>
    <t>PsychologicalProjection</t>
  </si>
  <si>
    <t>PsychoPrototype</t>
  </si>
  <si>
    <t>PublicBathhouseScene</t>
  </si>
  <si>
    <t>PullYourselfDownTheSpear</t>
  </si>
  <si>
    <t>PurelyAestheticEra</t>
  </si>
  <si>
    <t>RacingTheTrain</t>
  </si>
  <si>
    <t>RageAgainstTheMentor</t>
  </si>
  <si>
    <t>RaisedByHumans</t>
  </si>
  <si>
    <t>ReadingIsCoolAesop</t>
  </si>
  <si>
    <t>RealityIsOutToLunch</t>
  </si>
  <si>
    <t>RealityWarping</t>
  </si>
  <si>
    <t>RealNameAsAnAlias</t>
  </si>
  <si>
    <t>RearingHorse</t>
  </si>
  <si>
    <t>RecordProducer</t>
  </si>
  <si>
    <t>RecruitedFromTheGutter</t>
  </si>
  <si>
    <t>RedAndWhiteComedyPoster</t>
  </si>
  <si>
    <t>RedShirtReporter</t>
  </si>
  <si>
    <t>RedStringOfFate</t>
  </si>
  <si>
    <t>ReentryScare</t>
  </si>
  <si>
    <t>RefugeeFromTVLand</t>
  </si>
  <si>
    <t>RefuseToRescueTheDisliked</t>
  </si>
  <si>
    <t>RegularlyScheduledEvil</t>
  </si>
  <si>
    <t>RejectionAffection</t>
  </si>
  <si>
    <t>RelationshipRevolvingDoor</t>
  </si>
  <si>
    <t>RelocatingTheExplosion</t>
  </si>
  <si>
    <t>RemovableSteeringWheel</t>
  </si>
  <si>
    <t>RepeatToConfirm</t>
  </si>
  <si>
    <t>ResurrectiveImmortality</t>
  </si>
  <si>
    <t>ReturningTheWeddingRing</t>
  </si>
  <si>
    <t>Revival</t>
  </si>
  <si>
    <t>RhinoRampage</t>
  </si>
  <si>
    <t>RibcageRidge</t>
  </si>
  <si>
    <t>RippleEffectIndicator</t>
  </si>
  <si>
    <t>RoboticAssemblyLines</t>
  </si>
  <si>
    <t>RobotMe</t>
  </si>
  <si>
    <t>RuggedScar</t>
  </si>
  <si>
    <t>RuleThirtyFour</t>
  </si>
  <si>
    <t>RummageFail</t>
  </si>
  <si>
    <t>RunningGagStumbles</t>
  </si>
  <si>
    <t>SadistShow</t>
  </si>
  <si>
    <t>SaintlyChurch</t>
  </si>
  <si>
    <t>Sampling</t>
  </si>
  <si>
    <t>SapientShip</t>
  </si>
  <si>
    <t>SavingTheWorld</t>
  </si>
  <si>
    <t>ScaryImpracticalArmor</t>
  </si>
  <si>
    <t>SceneryDissonance</t>
  </si>
  <si>
    <t>SchrodingersCast</t>
  </si>
  <si>
    <t>ScienceFantasy</t>
  </si>
  <si>
    <t>SciFiBobHaircut</t>
  </si>
  <si>
    <t>ScrapbookStory</t>
  </si>
  <si>
    <t>ScrewYouElves</t>
  </si>
  <si>
    <t>SecondPersonNarration</t>
  </si>
  <si>
    <t>SecretChaser</t>
  </si>
  <si>
    <t>SecretRoom</t>
  </si>
  <si>
    <t>SeeingThroughAnothersEyes</t>
  </si>
  <si>
    <t>SeeminglyProfoundFool</t>
  </si>
  <si>
    <t>SelfDeprecatingHumor</t>
  </si>
  <si>
    <t>SelfInsertFic</t>
  </si>
  <si>
    <t>SelfPlagiarism</t>
  </si>
  <si>
    <t>SensibleHeroesSkimpyVillains</t>
  </si>
  <si>
    <t>SerialNumbersFiledOff</t>
  </si>
  <si>
    <t>SeverelySpecializedStore</t>
  </si>
  <si>
    <t>SexierAlterEgo</t>
  </si>
  <si>
    <t>Sexiled</t>
  </si>
  <si>
    <t>SexyFigureGesture</t>
  </si>
  <si>
    <t>SexyPackaging</t>
  </si>
  <si>
    <t>ShakingTheRump</t>
  </si>
  <si>
    <t>SharedFamilyQuirks</t>
  </si>
  <si>
    <t>ShaveAndAHaircut</t>
  </si>
  <si>
    <t>ShieldBash</t>
  </si>
  <si>
    <t>ShmuckBait</t>
  </si>
  <si>
    <t>ShoeSlap</t>
  </si>
  <si>
    <t>ShootTheMedicFirst</t>
  </si>
  <si>
    <t>ShopKeeper</t>
  </si>
  <si>
    <t>ShortRangeLongRangeWeapon</t>
  </si>
  <si>
    <t>ShouldntWeBeInSchoolRightNow</t>
  </si>
  <si>
    <t>ShowyInvincibleHero</t>
  </si>
  <si>
    <t>SignatureLaugh</t>
  </si>
  <si>
    <t>SignatureSong</t>
  </si>
  <si>
    <t>SillyRabbitRomanceIsForKids</t>
  </si>
  <si>
    <t>SillyReasonForWar</t>
  </si>
  <si>
    <t>SimpletonVoice</t>
  </si>
  <si>
    <t>SistineSteal</t>
  </si>
  <si>
    <t>SittingOnTheRoof</t>
  </si>
  <si>
    <t>SkeletonKey</t>
  </si>
  <si>
    <t>SkippingSchool</t>
  </si>
  <si>
    <t>SleepsWithEveryoneButYou</t>
  </si>
  <si>
    <t>SlidingScaleOfVisualsVersusDialogue</t>
  </si>
  <si>
    <t>SlipknotPonytail</t>
  </si>
  <si>
    <t>SlippedTheRopes</t>
  </si>
  <si>
    <t>SlowDoors</t>
  </si>
  <si>
    <t>SomebodySetUpUsTheBomb</t>
  </si>
  <si>
    <t>SomethingAboutARose</t>
  </si>
  <si>
    <t>SorryILeftTheBGMOn</t>
  </si>
  <si>
    <t>SorryThatImDying</t>
  </si>
  <si>
    <t>SpacePirate</t>
  </si>
  <si>
    <t>SpeakingSimlish</t>
  </si>
  <si>
    <t>SpellBook</t>
  </si>
  <si>
    <t>SpikingTheCamera</t>
  </si>
  <si>
    <t>SpinToDeflectStuff</t>
  </si>
  <si>
    <t>SportsStories</t>
  </si>
  <si>
    <t>SpotTheImpostor</t>
  </si>
  <si>
    <t>StagingAnIntervention</t>
  </si>
  <si>
    <t>StandardEstablishingSpaceshipShot</t>
  </si>
  <si>
    <t>StandardHeroReward</t>
  </si>
  <si>
    <t>StandInPortrait</t>
  </si>
  <si>
    <t>StarfishAlien</t>
  </si>
  <si>
    <t>StaringKid</t>
  </si>
  <si>
    <t>StartingANewLife</t>
  </si>
  <si>
    <t>StarvingStudent</t>
  </si>
  <si>
    <t>STDImmunity</t>
  </si>
  <si>
    <t>StealingFromTheHotel</t>
  </si>
  <si>
    <t>StoicSpectacles</t>
  </si>
  <si>
    <t>StoneWall</t>
  </si>
  <si>
    <t>StopSayingThat</t>
  </si>
  <si>
    <t>StopWorshippingMe</t>
  </si>
  <si>
    <t>StormingTheBeaches</t>
  </si>
  <si>
    <t>StraightForTheCommander</t>
  </si>
  <si>
    <t>StrawLoser</t>
  </si>
  <si>
    <t>StronglyWordedLetter</t>
  </si>
  <si>
    <t>SuckySchool</t>
  </si>
  <si>
    <t>SuddenSequelHeelSyndrome</t>
  </si>
  <si>
    <t>SuddenVideogameMoment</t>
  </si>
  <si>
    <t>SuicidalPacifism</t>
  </si>
  <si>
    <t>SuicideIsPainless</t>
  </si>
  <si>
    <t>SummerBlockbuster</t>
  </si>
  <si>
    <t>SummonToHand</t>
  </si>
  <si>
    <t>SuperGullible</t>
  </si>
  <si>
    <t>SuperheroPackingHeat</t>
  </si>
  <si>
    <t>SuperIntelligence</t>
  </si>
  <si>
    <t>SuperNotDrowningSkills</t>
  </si>
  <si>
    <t>SurrogateSoliloquy</t>
  </si>
  <si>
    <t>SurvivorshipBias</t>
  </si>
  <si>
    <t>SuspiciouslySmallArmy</t>
  </si>
  <si>
    <t>SuspiciouslyStealthyPredator</t>
  </si>
  <si>
    <t>TagalongReporter</t>
  </si>
  <si>
    <t>TakeMeOutAtTheBallgame</t>
  </si>
  <si>
    <t>TalentContest</t>
  </si>
  <si>
    <t>TalkingInBed</t>
  </si>
  <si>
    <t>TalkShow</t>
  </si>
  <si>
    <t>TemporalMutability</t>
  </si>
  <si>
    <t>TemporaryLoveInterest</t>
  </si>
  <si>
    <t>TemptingApple</t>
  </si>
  <si>
    <t>TentacledTerror</t>
  </si>
  <si>
    <t>TestKiss</t>
  </si>
  <si>
    <t>ThatsGottaHurt</t>
  </si>
  <si>
    <t>TheArcher</t>
  </si>
  <si>
    <t>TheBabyOfTheBunch</t>
  </si>
  <si>
    <t>TheBarnum</t>
  </si>
  <si>
    <t>TheBlindLeadingTheBlind</t>
  </si>
  <si>
    <t>TheChampion</t>
  </si>
  <si>
    <t>TheDeepSouth</t>
  </si>
  <si>
    <t>TheDevil</t>
  </si>
  <si>
    <t>TheDevilIsALoser</t>
  </si>
  <si>
    <t>TheDreadedDreadnought</t>
  </si>
  <si>
    <t>TheElevatorFromIpanema</t>
  </si>
  <si>
    <t>TheFantasticTropeOfWonderousTitles</t>
  </si>
  <si>
    <t>TheFerryman</t>
  </si>
  <si>
    <t>TheFoodPoisoningIncident</t>
  </si>
  <si>
    <t>TheFutureIsShocking</t>
  </si>
  <si>
    <t>TheGamePlaysYou</t>
  </si>
  <si>
    <t>TheGoodChancellor</t>
  </si>
  <si>
    <t>TheHeckler</t>
  </si>
  <si>
    <t>TheHerosBirthday</t>
  </si>
  <si>
    <t>TheHeroSucksSong</t>
  </si>
  <si>
    <t>TheJester</t>
  </si>
  <si>
    <t>TheLivingDead</t>
  </si>
  <si>
    <t>TheMasqueradeWillKillYourDatingLife</t>
  </si>
  <si>
    <t>TheMaze</t>
  </si>
  <si>
    <t>Thememobile</t>
  </si>
  <si>
    <t>TheObiWannabe</t>
  </si>
  <si>
    <t>TheOneWith</t>
  </si>
  <si>
    <t>TheOnlyOneITrust</t>
  </si>
  <si>
    <t>ThePerilsOfBeingTheBest</t>
  </si>
  <si>
    <t>TheProfiler</t>
  </si>
  <si>
    <t>ThePunishment</t>
  </si>
  <si>
    <t>Theremin</t>
  </si>
  <si>
    <t>TheSonsAndTheSpears</t>
  </si>
  <si>
    <t>TheSoulless</t>
  </si>
  <si>
    <t>TheTelevisionTalksBack</t>
  </si>
  <si>
    <t>TheTell</t>
  </si>
  <si>
    <t>TheTokyoFireball</t>
  </si>
  <si>
    <t>TheUglyGuysHotDaughter</t>
  </si>
  <si>
    <t>TheUnderworld</t>
  </si>
  <si>
    <t>TheWarOnStraw</t>
  </si>
  <si>
    <t>TheWorldIsAlwaysDoomed</t>
  </si>
  <si>
    <t>TheyChangedItNowItSucks</t>
  </si>
  <si>
    <t>ThinkingTic</t>
  </si>
  <si>
    <t>ThirdTimesTheCharm</t>
  </si>
  <si>
    <t>ThisIsGoingToBeHuge</t>
  </si>
  <si>
    <t>ThisIsMySide</t>
  </si>
  <si>
    <t>ThisIsMyStory</t>
  </si>
  <si>
    <t>ThisIsNoTimeToPanic</t>
  </si>
  <si>
    <t>ThisJustIn</t>
  </si>
  <si>
    <t>ThisPageWillSelfDestruct</t>
  </si>
  <si>
    <t>ThisWayToCertainDeath</t>
  </si>
  <si>
    <t>ThrowingYourGunAtTheEnemy</t>
  </si>
  <si>
    <t>TickertapeParade</t>
  </si>
  <si>
    <t>TightropeWalking</t>
  </si>
  <si>
    <t>TimedMission</t>
  </si>
  <si>
    <t>TodayXTomorrowTheWorld</t>
  </si>
  <si>
    <t>TokenHeroicOrc</t>
  </si>
  <si>
    <t>TokenHuman</t>
  </si>
  <si>
    <t>Toku</t>
  </si>
  <si>
    <t>TooManyCooksSpoilTheSoup</t>
  </si>
  <si>
    <t>TotalitarianUtilitarian</t>
  </si>
  <si>
    <t>TrackingChip</t>
  </si>
  <si>
    <t>TransferableMemory</t>
  </si>
  <si>
    <t>TransformationOfThePossessed</t>
  </si>
  <si>
    <t>TranslatedCoverVersion</t>
  </si>
  <si>
    <t>TranslationTrainWreck</t>
  </si>
  <si>
    <t>TrappedInContainment</t>
  </si>
  <si>
    <t>TravelogueShow</t>
  </si>
  <si>
    <t>TreeBuchet</t>
  </si>
  <si>
    <t>TrickArrow</t>
  </si>
  <si>
    <t>TrickDialogue</t>
  </si>
  <si>
    <t>TrustMeImAnX</t>
  </si>
  <si>
    <t>TunnelKing</t>
  </si>
  <si>
    <t>TurnedUpToEleven</t>
  </si>
  <si>
    <t>TVGenius</t>
  </si>
  <si>
    <t>TwentyFifthAmendment</t>
  </si>
  <si>
    <t>TwentyMinutesWithJerks</t>
  </si>
  <si>
    <t>TwiceToldTale</t>
  </si>
  <si>
    <t>TyopOnTheCover</t>
  </si>
  <si>
    <t>TyphoidMary</t>
  </si>
  <si>
    <t>UglyGuysHotDaughter</t>
  </si>
  <si>
    <t>UltimateUniverse</t>
  </si>
  <si>
    <t>UncannyVillage</t>
  </si>
  <si>
    <t>UndeadBarefooter</t>
  </si>
  <si>
    <t>UnderwaterRuins</t>
  </si>
  <si>
    <t>UnEvilLaugh</t>
  </si>
  <si>
    <t>UnrealisticBlackHole</t>
  </si>
  <si>
    <t>UnstoppableMailman</t>
  </si>
  <si>
    <t>UnusualEyebrows</t>
  </si>
  <si>
    <t>UnwinnableByDesign</t>
  </si>
  <si>
    <t>UpgradeArtifact</t>
  </si>
  <si>
    <t>UpliftedAnimal</t>
  </si>
  <si>
    <t>VengefulGhost</t>
  </si>
  <si>
    <t>VeteranInstructor</t>
  </si>
  <si>
    <t>VictorySex</t>
  </si>
  <si>
    <t>VideoGameCrueltyPotential</t>
  </si>
  <si>
    <t>VillainForgotToLevelGrind</t>
  </si>
  <si>
    <t>VillainousDemotivator</t>
  </si>
  <si>
    <t>VillainousHarlequin</t>
  </si>
  <si>
    <t>VillainousUnderdog</t>
  </si>
  <si>
    <t>VirginTension</t>
  </si>
  <si>
    <t>VirtualRealityInterrogation</t>
  </si>
  <si>
    <t>VisualGag</t>
  </si>
  <si>
    <t>VoodooZombie</t>
  </si>
  <si>
    <t>WackyAmericansHaveWackyNames</t>
  </si>
  <si>
    <t>WackyRacing</t>
  </si>
  <si>
    <t>WakeUpFighting</t>
  </si>
  <si>
    <t>WakeUpGoToSchoolSaveTheWorld</t>
  </si>
  <si>
    <t>WalkingTechbane</t>
  </si>
  <si>
    <t>WardrobeWound</t>
  </si>
  <si>
    <t>WeaponizedAnimal</t>
  </si>
  <si>
    <t>WeaponizedCamera</t>
  </si>
  <si>
    <t>WeaponsThatSuck</t>
  </si>
  <si>
    <t>WeAreNotGoingThroughThatAgain</t>
  </si>
  <si>
    <t>WeatherDissonance</t>
  </si>
  <si>
    <t>WeddingBellsForSomeoneElse</t>
  </si>
  <si>
    <t>WellThisIsNotThatTrope</t>
  </si>
  <si>
    <t>WeWillNotUsePhotoshopInTheFuture</t>
  </si>
  <si>
    <t>WhatDoYouMeanItsNotPolitical</t>
  </si>
  <si>
    <t>WhenHarryMetSvetlana</t>
  </si>
  <si>
    <t>WhenHeSmiles</t>
  </si>
  <si>
    <t>WhoMurderedTheAsshole</t>
  </si>
  <si>
    <t>WillfullyWeak</t>
  </si>
  <si>
    <t>WinHerAPrize</t>
  </si>
  <si>
    <t>WinTheCrowd</t>
  </si>
  <si>
    <t>WordOfGay</t>
  </si>
  <si>
    <t>WordSaladPhilosophy</t>
  </si>
  <si>
    <t>WorldTree</t>
  </si>
  <si>
    <t>WorldWreckingWave</t>
  </si>
  <si>
    <t>WritingIndentationClue</t>
  </si>
  <si>
    <t>XDaysSince</t>
  </si>
  <si>
    <t>YaoiFangirl</t>
  </si>
  <si>
    <t>YodelLand</t>
  </si>
  <si>
    <t>YouAllMeetInACell</t>
  </si>
  <si>
    <t>YouGoGirl</t>
  </si>
  <si>
    <t>YouHadUsWorriedThere</t>
  </si>
  <si>
    <t>Youkai</t>
  </si>
  <si>
    <t>YoureCuteWhenYoureAngry</t>
  </si>
  <si>
    <t>YourFavorite</t>
  </si>
  <si>
    <t>YouTalkinToMe</t>
  </si>
  <si>
    <t>ZenSurvivor</t>
  </si>
  <si>
    <t>AbsurdlySharpClaws</t>
  </si>
  <si>
    <t>AcronymAndAbbreviationOverload</t>
  </si>
  <si>
    <t>AcronymConfusion</t>
  </si>
  <si>
    <t>ActionInsuranceGag</t>
  </si>
  <si>
    <t>ActorExistenceFailure</t>
  </si>
  <si>
    <t>AdamAndOrEve</t>
  </si>
  <si>
    <t>AdaptationalConsent</t>
  </si>
  <si>
    <t>AdaptationalSelfDefense</t>
  </si>
  <si>
    <t>AdaptationalSpeciesChange</t>
  </si>
  <si>
    <t>AdvertisingCampaigns</t>
  </si>
  <si>
    <t>AdviceBackfire</t>
  </si>
  <si>
    <t>AfterActionHealingDrama</t>
  </si>
  <si>
    <t>AggressiveCategorism</t>
  </si>
  <si>
    <t>AgonizingStomachWound</t>
  </si>
  <si>
    <t>AirGuitar</t>
  </si>
  <si>
    <t>AlchemyIsMagic</t>
  </si>
  <si>
    <t>AlienArtsAreAppreciated</t>
  </si>
  <si>
    <t>AlienCatnip</t>
  </si>
  <si>
    <t>AliensOfLondon</t>
  </si>
  <si>
    <t>AllAsiansWearConicalStrawHats</t>
  </si>
  <si>
    <t>AllDesertsHaveCacti</t>
  </si>
  <si>
    <t>AllegoricalCharacter</t>
  </si>
  <si>
    <t>AllGaysLoveTheater</t>
  </si>
  <si>
    <t>AllHailTheGreatGodMickey</t>
  </si>
  <si>
    <t>AllohistoricalAllusion</t>
  </si>
  <si>
    <t>ALongTimeAgoInAGalaxyFarFarAway</t>
  </si>
  <si>
    <t>AlphabetNewsNetwork</t>
  </si>
  <si>
    <t>AltarDiplomacy</t>
  </si>
  <si>
    <t>AlwaysMurder</t>
  </si>
  <si>
    <t>AmazingTechnicolorWildlife</t>
  </si>
  <si>
    <t>AmusingAlien</t>
  </si>
  <si>
    <t>AncientArtifact</t>
  </si>
  <si>
    <t>AncientOrderOfProtectors</t>
  </si>
  <si>
    <t>AndCallHimGeorge</t>
  </si>
  <si>
    <t>AngryChef</t>
  </si>
  <si>
    <t>AngryMobSong</t>
  </si>
  <si>
    <t>AnimalEspionage</t>
  </si>
  <si>
    <t>AnnoyingPatient</t>
  </si>
  <si>
    <t>AntiClimaxCut</t>
  </si>
  <si>
    <t>AntiMagic</t>
  </si>
  <si>
    <t>AntiMutiny</t>
  </si>
  <si>
    <t>AntiRoleModel</t>
  </si>
  <si>
    <t>AnyLastWords</t>
  </si>
  <si>
    <t>ApocalypticMontage</t>
  </si>
  <si>
    <t>ArbitraryGunPower</t>
  </si>
  <si>
    <t>AreTheseWiresImportant</t>
  </si>
  <si>
    <t>ArtifactOfDeath</t>
  </si>
  <si>
    <t>AscendedFangirl</t>
  </si>
  <si>
    <t>AscendedToCarnivorism</t>
  </si>
  <si>
    <t>AsianRudeness</t>
  </si>
  <si>
    <t>AsleepInClass</t>
  </si>
  <si>
    <t>ATankardOfMooseUrine</t>
  </si>
  <si>
    <t>ATruceWhileWeGawk</t>
  </si>
  <si>
    <t>AttackAnimal</t>
  </si>
  <si>
    <t>AuthenticationByNewspaper</t>
  </si>
  <si>
    <t>BabysitterFromHell</t>
  </si>
  <si>
    <t>BackseatDriver</t>
  </si>
  <si>
    <t>BackToSchool</t>
  </si>
  <si>
    <t>BackupBluff</t>
  </si>
  <si>
    <t>BaddieFlattery</t>
  </si>
  <si>
    <t>BadlyBatteredBabysitter</t>
  </si>
  <si>
    <t>BaitAndSwitchComparison</t>
  </si>
  <si>
    <t>BangingForHelp</t>
  </si>
  <si>
    <t>BarbaricBully</t>
  </si>
  <si>
    <t>BasicInstinctLegsCrossingParody</t>
  </si>
  <si>
    <t>BattleAura</t>
  </si>
  <si>
    <t>BeautyToBeast</t>
  </si>
  <si>
    <t>BeCarefulWhatYouSay</t>
  </si>
  <si>
    <t>BegoneBribe</t>
  </si>
  <si>
    <t>BehindEveryGreatMan</t>
  </si>
  <si>
    <t>BeigeProse</t>
  </si>
  <si>
    <t>BigDamnGunship</t>
  </si>
  <si>
    <t>BigotWithACrush</t>
  </si>
  <si>
    <t>BigStore</t>
  </si>
  <si>
    <t>BioweaponBeast</t>
  </si>
  <si>
    <t>BirdPoopGag</t>
  </si>
  <si>
    <t>BizarreAlienReproduction</t>
  </si>
  <si>
    <t>BlackBossLady</t>
  </si>
  <si>
    <t>BlondBrunetteRedhead</t>
  </si>
  <si>
    <t>BlondeRepublicanSexKitten</t>
  </si>
  <si>
    <t>BondJamesBond</t>
  </si>
  <si>
    <t>BookshelfDominoes</t>
  </si>
  <si>
    <t>BoredomMontage</t>
  </si>
  <si>
    <t>BoringYetPractical</t>
  </si>
  <si>
    <t>BossBattle</t>
  </si>
  <si>
    <t>BowChickaWowWow</t>
  </si>
  <si>
    <t>BoxingBattler</t>
  </si>
  <si>
    <t>BoxingLesson</t>
  </si>
  <si>
    <t>BrainMonster</t>
  </si>
  <si>
    <t>BreakupBonfire</t>
  </si>
  <si>
    <t>BridgeBunnies</t>
  </si>
  <si>
    <t>BromanticFoil</t>
  </si>
  <si>
    <t>BrutallyHonest</t>
  </si>
  <si>
    <t>BSODSong</t>
  </si>
  <si>
    <t>BuildingSwing</t>
  </si>
  <si>
    <t>BulletDodge</t>
  </si>
  <si>
    <t>BurpOfFinality</t>
  </si>
  <si>
    <t>ButThouMust</t>
  </si>
  <si>
    <t>CableCarActionSequence</t>
  </si>
  <si>
    <t>CallingTheCopsOnTheFBI</t>
  </si>
  <si>
    <t>CallingYourOrgasms</t>
  </si>
  <si>
    <t>CallItKarma</t>
  </si>
  <si>
    <t>CallThatAFormation</t>
  </si>
  <si>
    <t>CandlelitBath</t>
  </si>
  <si>
    <t>CannotCrossRunningWater</t>
  </si>
  <si>
    <t>CantArgueWithElves</t>
  </si>
  <si>
    <t>CantTakeAnythingWithYou</t>
  </si>
  <si>
    <t>CapturedByCannibals</t>
  </si>
  <si>
    <t>CarBomb</t>
  </si>
  <si>
    <t>CareBearStare</t>
  </si>
  <si>
    <t>CargoEnvy</t>
  </si>
  <si>
    <t>CastFullOfPrettyBoys</t>
  </si>
  <si>
    <t>CasualInterstellarTravel</t>
  </si>
  <si>
    <t>CatastrophicCountdown</t>
  </si>
  <si>
    <t>CatchAFallingStar</t>
  </si>
  <si>
    <t>CatchYourDeathOfCold</t>
  </si>
  <si>
    <t>CatsHateWater</t>
  </si>
  <si>
    <t>CatsHaveNineLives</t>
  </si>
  <si>
    <t>CeilingCorpse</t>
  </si>
  <si>
    <t>CelebrityCrush</t>
  </si>
  <si>
    <t>CensoredTitle</t>
  </si>
  <si>
    <t>CensorSuds</t>
  </si>
  <si>
    <t>ChasedOffIntoTheSunset</t>
  </si>
  <si>
    <t>ChildlessDystopia</t>
  </si>
  <si>
    <t>ChildrenForcedToKill</t>
  </si>
  <si>
    <t>ChimneyEntry</t>
  </si>
  <si>
    <t>Cincinnatus</t>
  </si>
  <si>
    <t>CityOfSpies</t>
  </si>
  <si>
    <t>ClassTrip</t>
  </si>
  <si>
    <t>CleanPrettyChildbirth</t>
  </si>
  <si>
    <t>CloseEnoughTimeline</t>
  </si>
  <si>
    <t>CloserThanTheyAppear</t>
  </si>
  <si>
    <t>ClosingCredits</t>
  </si>
  <si>
    <t>ClotheslineStealing</t>
  </si>
  <si>
    <t>ClothesMakeTheLegend</t>
  </si>
  <si>
    <t>CluelessMystery</t>
  </si>
  <si>
    <t>CoattailRidingRelative</t>
  </si>
  <si>
    <t>ColdReading</t>
  </si>
  <si>
    <t>ColorBlindConfusion</t>
  </si>
  <si>
    <t>ColorCodedPatrician</t>
  </si>
  <si>
    <t>ColorMotifs</t>
  </si>
  <si>
    <t>ColossusClimb</t>
  </si>
  <si>
    <t>ColourCodedCharacters</t>
  </si>
  <si>
    <t>CombinedEnergyAttack</t>
  </si>
  <si>
    <t>ComfortTheDying</t>
  </si>
  <si>
    <t>ComicBook</t>
  </si>
  <si>
    <t>CommediaDellArte</t>
  </si>
  <si>
    <t>CommLinks</t>
  </si>
  <si>
    <t>ConceptVideo</t>
  </si>
  <si>
    <t>CondemnedContestant</t>
  </si>
  <si>
    <t>ConfessInConfidence</t>
  </si>
  <si>
    <t>ContinuityOverlap</t>
  </si>
  <si>
    <t>ConvenientTerminalIllness</t>
  </si>
  <si>
    <t>CosmicChessGame</t>
  </si>
  <si>
    <t>CostumeEvolution</t>
  </si>
  <si>
    <t>CousinOliver</t>
  </si>
  <si>
    <t>CoverBlowingSuperpower</t>
  </si>
  <si>
    <t>CowardlySidekick</t>
  </si>
  <si>
    <t>CreatingLife</t>
  </si>
  <si>
    <t>CreationSequence</t>
  </si>
  <si>
    <t>CreativeDifferences</t>
  </si>
  <si>
    <t>CreditCardPlot</t>
  </si>
  <si>
    <t>CreepyRavens</t>
  </si>
  <si>
    <t>CrewOfOne</t>
  </si>
  <si>
    <t>CrossCounter</t>
  </si>
  <si>
    <t>CryingLittleKid</t>
  </si>
  <si>
    <t>CucumberFacial</t>
  </si>
  <si>
    <t>CueCardPause</t>
  </si>
  <si>
    <t>CueTheFlyingPigs</t>
  </si>
  <si>
    <t>CuttingCorners</t>
  </si>
  <si>
    <t>DanceOff</t>
  </si>
  <si>
    <t>DangerThinIce</t>
  </si>
  <si>
    <t>DastardlyDapperDerby</t>
  </si>
  <si>
    <t>DawnOfTheWildWest</t>
  </si>
  <si>
    <t>DeadAir</t>
  </si>
  <si>
    <t>DeadlyForceField</t>
  </si>
  <si>
    <t>DeadlyTrainingArea</t>
  </si>
  <si>
    <t>DeathbringerTheAdorable</t>
  </si>
  <si>
    <t>DeathDealer</t>
  </si>
  <si>
    <t>DeathIsSuchAnOddThing</t>
  </si>
  <si>
    <t>DeathOfTheOldGods</t>
  </si>
  <si>
    <t>DecadentCourt</t>
  </si>
  <si>
    <t>DeceptivelySillyTitle</t>
  </si>
  <si>
    <t>DeconfirmedBachelor</t>
  </si>
  <si>
    <t>DeepImmersionGaming</t>
  </si>
  <si>
    <t>DefeatingTheUndefeatable</t>
  </si>
  <si>
    <t>Dehumanization</t>
  </si>
  <si>
    <t>DelayedNarratorIntroduction</t>
  </si>
  <si>
    <t>DeliberatelyBadExample</t>
  </si>
  <si>
    <t>DeniedParody</t>
  </si>
  <si>
    <t>DesignatedVictim</t>
  </si>
  <si>
    <t>DespiteThePlan</t>
  </si>
  <si>
    <t>DetachmentCombat</t>
  </si>
  <si>
    <t>DevelopersForesight</t>
  </si>
  <si>
    <t>DidWeJustHaveTeaWithCthulhu</t>
  </si>
  <si>
    <t>DifferentForGirls</t>
  </si>
  <si>
    <t>DiscoveringYourOwnDeadBody</t>
  </si>
  <si>
    <t>Dismotivation</t>
  </si>
  <si>
    <t>DisorganizedOutlineSpeech</t>
  </si>
  <si>
    <t>DispenseWithThePleasantries</t>
  </si>
  <si>
    <t>DiveUnderTheExplosion</t>
  </si>
  <si>
    <t>DivineDate</t>
  </si>
  <si>
    <t>DIYDisaster</t>
  </si>
  <si>
    <t>DoesntKnowTheirOwnChild</t>
  </si>
  <si>
    <t>DoesntTrustThoseGuys</t>
  </si>
  <si>
    <t>DogpileOfDoom</t>
  </si>
  <si>
    <t>DomesticApplianceDisaster</t>
  </si>
  <si>
    <t>DontLookDown</t>
  </si>
  <si>
    <t>DontSneakUpOnMeLikeThat</t>
  </si>
  <si>
    <t>DoomedAppointment</t>
  </si>
  <si>
    <t>DoomedFellowPrisoner</t>
  </si>
  <si>
    <t>DoubleSpeak</t>
  </si>
  <si>
    <t>DragonRider</t>
  </si>
  <si>
    <t>DreamWeaver</t>
  </si>
  <si>
    <t>DrinkingContest</t>
  </si>
  <si>
    <t>DropTheCow</t>
  </si>
  <si>
    <t>DualTonfas</t>
  </si>
  <si>
    <t>DunkingTheBomb</t>
  </si>
  <si>
    <t>DyeHard</t>
  </si>
  <si>
    <t>DyingDeclarationOfHate</t>
  </si>
  <si>
    <t>DystopiaIsHard</t>
  </si>
  <si>
    <t>DystopiaJustifiesTheMeans</t>
  </si>
  <si>
    <t>EagleEyeDetection</t>
  </si>
  <si>
    <t>EaglelandOsmosis</t>
  </si>
  <si>
    <t>EasilyConqueredWorld</t>
  </si>
  <si>
    <t>EatTheBomb</t>
  </si>
  <si>
    <t>EggMacGuffin</t>
  </si>
  <si>
    <t>EldritchOceanAbyss</t>
  </si>
  <si>
    <t>ElectraComplex</t>
  </si>
  <si>
    <t>ElectricLove</t>
  </si>
  <si>
    <t>ElephantGraveyard</t>
  </si>
  <si>
    <t>EmergencyAuthority</t>
  </si>
  <si>
    <t>EmergencyStash</t>
  </si>
  <si>
    <t>EncyclopediaExposita</t>
  </si>
  <si>
    <t>EndingTheme</t>
  </si>
  <si>
    <t>EnlightenmentSuperpowers</t>
  </si>
  <si>
    <t>EntendreFailure</t>
  </si>
  <si>
    <t>EpicLaunchSequence</t>
  </si>
  <si>
    <t>Escapism</t>
  </si>
  <si>
    <t>EvenTheDogIsAshamed</t>
  </si>
  <si>
    <t>EvenTheRatsWontTouchIt</t>
  </si>
  <si>
    <t>EveryoneComesBackFantasyPartyEnding</t>
  </si>
  <si>
    <t>EveryoneJoinTheParty</t>
  </si>
  <si>
    <t>EvilVegetarian</t>
  </si>
  <si>
    <t>EvilVersusOblivion</t>
  </si>
  <si>
    <t>ExactlyExtyYearsAgo</t>
  </si>
  <si>
    <t>ExcaliburInTheStone</t>
  </si>
  <si>
    <t>ExplicitContent</t>
  </si>
  <si>
    <t>ExplodingCloset</t>
  </si>
  <si>
    <t>FaceDoodling</t>
  </si>
  <si>
    <t>FacelessEye</t>
  </si>
  <si>
    <t>FaceOfAThug</t>
  </si>
  <si>
    <t>FakedKidnapping</t>
  </si>
  <si>
    <t>FakeFood</t>
  </si>
  <si>
    <t>FakeHairDrama</t>
  </si>
  <si>
    <t>FakeIrish</t>
  </si>
  <si>
    <t>FalseInnocenceTrick</t>
  </si>
  <si>
    <t>FamiliarSoundtrackForeignLyrics</t>
  </si>
  <si>
    <t>Fanfic</t>
  </si>
  <si>
    <t>FanSequel</t>
  </si>
  <si>
    <t>FantasyKeepsake</t>
  </si>
  <si>
    <t>FanWank</t>
  </si>
  <si>
    <t>FashionModel</t>
  </si>
  <si>
    <t>FashionsNeverChange</t>
  </si>
  <si>
    <t>FauxDeath</t>
  </si>
  <si>
    <t>FearfulSymmetry</t>
  </si>
  <si>
    <t>FengSchwing</t>
  </si>
  <si>
    <t>FetchQuest</t>
  </si>
  <si>
    <t>FeudEpisode</t>
  </si>
  <si>
    <t>FictionalPoliticalParty</t>
  </si>
  <si>
    <t>Fictionary</t>
  </si>
  <si>
    <t>FictionAsCoverUp</t>
  </si>
  <si>
    <t>FilkSong</t>
  </si>
  <si>
    <t>FinalLoveDuet</t>
  </si>
  <si>
    <t>FindTheCure</t>
  </si>
  <si>
    <t>FireBreathingDiner</t>
  </si>
  <si>
    <t>FiringDay</t>
  </si>
  <si>
    <t>FirstTimeInTheSun</t>
  </si>
  <si>
    <t>FlamboyantGay</t>
  </si>
  <si>
    <t>FlashbackStares</t>
  </si>
  <si>
    <t>FlashSideways</t>
  </si>
  <si>
    <t>FlawedPrototype</t>
  </si>
  <si>
    <t>FloorboardFailure</t>
  </si>
  <si>
    <t>FlowerMotif</t>
  </si>
  <si>
    <t>FootDraggingDivorcee</t>
  </si>
  <si>
    <t>ForbiddenLove</t>
  </si>
  <si>
    <t>ForceFieldDoor</t>
  </si>
  <si>
    <t>ForebodingFleeingFlock</t>
  </si>
  <si>
    <t>ForeignWrestlingHeel</t>
  </si>
  <si>
    <t>ForTheFunnyz</t>
  </si>
  <si>
    <t>ForTheLulz</t>
  </si>
  <si>
    <t>FosterKid</t>
  </si>
  <si>
    <t>FreezeRay</t>
  </si>
  <si>
    <t>FrenchCuisineIsHaughty</t>
  </si>
  <si>
    <t>FriendlyLocalChinatown</t>
  </si>
  <si>
    <t>FriendlyRival</t>
  </si>
  <si>
    <t>FriendshipStrainingCompetition</t>
  </si>
  <si>
    <t>FunctionalGenreSavvy</t>
  </si>
  <si>
    <t>FuroScene</t>
  </si>
  <si>
    <t>GainingTheWillToKill</t>
  </si>
  <si>
    <t>GasolineLastsForever</t>
  </si>
  <si>
    <t>GayMoment</t>
  </si>
  <si>
    <t>GenocideBackfire</t>
  </si>
  <si>
    <t>GermanicDepressives</t>
  </si>
  <si>
    <t>GetawayDriver</t>
  </si>
  <si>
    <t>GettingHighOnTheirOwnSupply</t>
  </si>
  <si>
    <t>GhostPlanet</t>
  </si>
  <si>
    <t>GhostReunionEnding</t>
  </si>
  <si>
    <t>GibberishOfLove</t>
  </si>
  <si>
    <t>GlassEye</t>
  </si>
  <si>
    <t>GlassyPrison</t>
  </si>
  <si>
    <t>GodHelpUsAll</t>
  </si>
  <si>
    <t>GodIsFlawed</t>
  </si>
  <si>
    <t>GoldenMeanFallacy</t>
  </si>
  <si>
    <t>GoldenSnitch</t>
  </si>
  <si>
    <t>Golem</t>
  </si>
  <si>
    <t>GoodFlawsBadFlaws</t>
  </si>
  <si>
    <t>GrailInTheGarbage</t>
  </si>
  <si>
    <t>GrapesOfLuxury</t>
  </si>
  <si>
    <t>GuysAreSlobs</t>
  </si>
  <si>
    <t>GypsyCurse</t>
  </si>
  <si>
    <t>HalfIdenticalTwins</t>
  </si>
  <si>
    <t>Handguns</t>
  </si>
  <si>
    <t>HarpoDoesSomethingFunny</t>
  </si>
  <si>
    <t>HatesSmallTalk</t>
  </si>
  <si>
    <t>HaveYouSeenMyGod</t>
  </si>
  <si>
    <t>HeadbuttingHeroes</t>
  </si>
  <si>
    <t>HeadsIWinTailsYouLose</t>
  </si>
  <si>
    <t>HeldBackInSchool</t>
  </si>
  <si>
    <t>HelloSailor</t>
  </si>
  <si>
    <t>HereditaryCurse</t>
  </si>
  <si>
    <t>HeroicSpirit</t>
  </si>
  <si>
    <t>HerosClassicCar</t>
  </si>
  <si>
    <t>HesJustHiding</t>
  </si>
  <si>
    <t>HeteroSexualLifePartner</t>
  </si>
  <si>
    <t>HetIsEw</t>
  </si>
  <si>
    <t>HideYourChildren</t>
  </si>
  <si>
    <t>HighTechHexagons</t>
  </si>
  <si>
    <t>HitAndRunTactics</t>
  </si>
  <si>
    <t>HollywoodDrowning</t>
  </si>
  <si>
    <t>HollywoodMagnetism</t>
  </si>
  <si>
    <t>HolyGrail</t>
  </si>
  <si>
    <t>HolyHalo</t>
  </si>
  <si>
    <t>HomeBase</t>
  </si>
  <si>
    <t>HomelessPigeonPerson</t>
  </si>
  <si>
    <t>HomoeroticDream</t>
  </si>
  <si>
    <t>HornedHairdo</t>
  </si>
  <si>
    <t>HostageMacGuffin</t>
  </si>
  <si>
    <t>HostileShowTakeover</t>
  </si>
  <si>
    <t>HotLine</t>
  </si>
  <si>
    <t>HowCanSantaDeliverAllThoseToys</t>
  </si>
  <si>
    <t>HugeSchoolgirl</t>
  </si>
  <si>
    <t>HughMann</t>
  </si>
  <si>
    <t>HumanCannonball</t>
  </si>
  <si>
    <t>HumanHeadOnTheWall</t>
  </si>
  <si>
    <t>HumansAreGood</t>
  </si>
  <si>
    <t>HumblePie</t>
  </si>
  <si>
    <t>HunterTrapper</t>
  </si>
  <si>
    <t>HydraProblem</t>
  </si>
  <si>
    <t>HyperspeedEscape</t>
  </si>
  <si>
    <t>HypnoRay</t>
  </si>
  <si>
    <t>IAmOneOfThoseToo</t>
  </si>
  <si>
    <t>IAmTheBand</t>
  </si>
  <si>
    <t>IAmTheTrope</t>
  </si>
  <si>
    <t>IBrokeANail</t>
  </si>
  <si>
    <t>IconOfRebellion</t>
  </si>
  <si>
    <t>IdenticalGrandfather</t>
  </si>
  <si>
    <t>IDrankWhat</t>
  </si>
  <si>
    <t>IFightForTheStrongestSide</t>
  </si>
  <si>
    <t>IfOnlyYouKnew</t>
  </si>
  <si>
    <t>IgnoringBySinging</t>
  </si>
  <si>
    <t>IHaveBrothers</t>
  </si>
  <si>
    <t>IKissYourFoot</t>
  </si>
  <si>
    <t>IKnowKungFaux</t>
  </si>
  <si>
    <t>ILoveTheSmellOfXInTheMorning</t>
  </si>
  <si>
    <t>ImageSong</t>
  </si>
  <si>
    <t>ImaginaryLoveTriangle</t>
  </si>
  <si>
    <t>ImmortalityField</t>
  </si>
  <si>
    <t>ImmortalProcreationClause</t>
  </si>
  <si>
    <t>ImmuneToMindControl</t>
  </si>
  <si>
    <t>ImOkay</t>
  </si>
  <si>
    <t>ImpededMessenger</t>
  </si>
  <si>
    <t>ImpossibleMission</t>
  </si>
  <si>
    <t>ImprobableCover</t>
  </si>
  <si>
    <t>ImprovisedMicrogravityManeuvering</t>
  </si>
  <si>
    <t>InappropriatelyCloseComrades</t>
  </si>
  <si>
    <t>Incoming</t>
  </si>
  <si>
    <t>InconvenientlyVanishingExoneratingEvidence</t>
  </si>
  <si>
    <t>InconvenientSummons</t>
  </si>
  <si>
    <t>IndirectKiss</t>
  </si>
  <si>
    <t>InertiaIsACruelMistress</t>
  </si>
  <si>
    <t>InformationWantsToBeFree</t>
  </si>
  <si>
    <t>InformedPoverty</t>
  </si>
  <si>
    <t>InHarmonyWithNature</t>
  </si>
  <si>
    <t>InitialismTitle</t>
  </si>
  <si>
    <t>InnocentFlowerGirl</t>
  </si>
  <si>
    <t>InscrutableOriental</t>
  </si>
  <si>
    <t>InstantAwesomeJustAddMecha</t>
  </si>
  <si>
    <t>InstantEmergencyResponse</t>
  </si>
  <si>
    <t>InstructionalFilm</t>
  </si>
  <si>
    <t>InterruptedBath</t>
  </si>
  <si>
    <t>InTheEndYouAreOnYourOwn</t>
  </si>
  <si>
    <t>InTheNameOfTheMoon</t>
  </si>
  <si>
    <t>InThePastEveryoneWillBeFamous</t>
  </si>
  <si>
    <t>InvisibleMonsters</t>
  </si>
  <si>
    <t>IsThisThingOn</t>
  </si>
  <si>
    <t>ItaliansTalkWithHands</t>
  </si>
  <si>
    <t>ItMeantSomethingToMe</t>
  </si>
  <si>
    <t>IveHeardOfThatWhatIsIt</t>
  </si>
  <si>
    <t>IveNeverSeenAnythingLikeThisBefore</t>
  </si>
  <si>
    <t>JumpingOutOfACake</t>
  </si>
  <si>
    <t>Kevlard</t>
  </si>
  <si>
    <t>KidHeroAllGrownUp</t>
  </si>
  <si>
    <t>KidnappingBirdOfPrey</t>
  </si>
  <si>
    <t>KillerGameMaster</t>
  </si>
  <si>
    <t>KillerSpaceMonkey</t>
  </si>
  <si>
    <t>KillOnSight</t>
  </si>
  <si>
    <t>KindlyVet</t>
  </si>
  <si>
    <t>KingOfTheHomeless</t>
  </si>
  <si>
    <t>KissKissSlap</t>
  </si>
  <si>
    <t>KnewItAllAlong</t>
  </si>
  <si>
    <t>KnightinShiningArmour</t>
  </si>
  <si>
    <t>LadEtte</t>
  </si>
  <si>
    <t>LadiesAndGerms</t>
  </si>
  <si>
    <t>LaughTrack</t>
  </si>
  <si>
    <t>LawfulGood</t>
  </si>
  <si>
    <t>LawOfChromaticSuperiority</t>
  </si>
  <si>
    <t>LeadTheTarget</t>
  </si>
  <si>
    <t>Leatherman</t>
  </si>
  <si>
    <t>LeaveYourQuestTest</t>
  </si>
  <si>
    <t>LeftItIn</t>
  </si>
  <si>
    <t>LeftYourLifesaverBehind</t>
  </si>
  <si>
    <t>LegallyDead</t>
  </si>
  <si>
    <t>LegCannon</t>
  </si>
  <si>
    <t>LimitedAdvancementOpportunities</t>
  </si>
  <si>
    <t>LimitedSocialCircle</t>
  </si>
  <si>
    <t>LipLockSunBlock</t>
  </si>
  <si>
    <t>LiterallyFallingInLove</t>
  </si>
  <si>
    <t>LiterallyLovingThyNeighbor</t>
  </si>
  <si>
    <t>LittleMissConArtist</t>
  </si>
  <si>
    <t>LongLostSibling</t>
  </si>
  <si>
    <t>LoonyFriendsImproveYourPersonality</t>
  </si>
  <si>
    <t>LoserGetsTheGirl</t>
  </si>
  <si>
    <t>LostAtSea</t>
  </si>
  <si>
    <t>LostLenore</t>
  </si>
  <si>
    <t>LovableTraitor</t>
  </si>
  <si>
    <t>LovedOnesMontage</t>
  </si>
  <si>
    <t>LoveMakesYouStupid</t>
  </si>
  <si>
    <t>LovesOnlyGold</t>
  </si>
  <si>
    <t>LovingDetails</t>
  </si>
  <si>
    <t>LowerDeckEpisode</t>
  </si>
  <si>
    <t>LowFantasy</t>
  </si>
  <si>
    <t>Lunacy</t>
  </si>
  <si>
    <t>LuridTalesOfDoom</t>
  </si>
  <si>
    <t>LyingFingerCross</t>
  </si>
  <si>
    <t>MacabreMothMotif</t>
  </si>
  <si>
    <t>MacGuffinLocation</t>
  </si>
  <si>
    <t>MadeOfIncendium</t>
  </si>
  <si>
    <t>MagicalGesture</t>
  </si>
  <si>
    <t>MagicFloppyDisk</t>
  </si>
  <si>
    <t>MagicKiss</t>
  </si>
  <si>
    <t>MagmaMan</t>
  </si>
  <si>
    <t>MajorityShareDictator</t>
  </si>
  <si>
    <t>MakingTheMasterpiece</t>
  </si>
  <si>
    <t>MalignantPlotTumor</t>
  </si>
  <si>
    <t>MamaDidntRaiseNoCriminal</t>
  </si>
  <si>
    <t>MametSpeak</t>
  </si>
  <si>
    <t>MandatoryTwistEnding</t>
  </si>
  <si>
    <t>ManOfAThousandVoices</t>
  </si>
  <si>
    <t>MartyrdomCulture</t>
  </si>
  <si>
    <t>MaskOfPower</t>
  </si>
  <si>
    <t>MasterActor</t>
  </si>
  <si>
    <t>MasterApprenticeChain</t>
  </si>
  <si>
    <t>MatrixRainingCode</t>
  </si>
  <si>
    <t>MayanDoomsday</t>
  </si>
  <si>
    <t>MechanicalEvolution</t>
  </si>
  <si>
    <t>MediaWatchdog</t>
  </si>
  <si>
    <t>MeekTownsman</t>
  </si>
  <si>
    <t>MegaMawManeuver</t>
  </si>
  <si>
    <t>MenAreStrongWomenArePretty</t>
  </si>
  <si>
    <t>Mentor</t>
  </si>
  <si>
    <t>Mentors</t>
  </si>
  <si>
    <t>MessOnAPlate</t>
  </si>
  <si>
    <t>MicDrop</t>
  </si>
  <si>
    <t>MidairCollision</t>
  </si>
  <si>
    <t>MikeNelsonDestroyerOfWorlds</t>
  </si>
  <si>
    <t>MinidressOfPower</t>
  </si>
  <si>
    <t>MinoredInAssKicking</t>
  </si>
  <si>
    <t>MirrorUniverse</t>
  </si>
  <si>
    <t>MismatchedEyes</t>
  </si>
  <si>
    <t>MissingBackblast</t>
  </si>
  <si>
    <t>MissingChild</t>
  </si>
  <si>
    <t>MissingTime</t>
  </si>
  <si>
    <t>MistakenForProfound</t>
  </si>
  <si>
    <t>MixAndMatchCritter</t>
  </si>
  <si>
    <t>ModelingPoses</t>
  </si>
  <si>
    <t>ModernMinstrelsy</t>
  </si>
  <si>
    <t>Moe</t>
  </si>
  <si>
    <t>MonochromeApparition</t>
  </si>
  <si>
    <t>MonstrousHumanoid</t>
  </si>
  <si>
    <t>MontageOut</t>
  </si>
  <si>
    <t>MonumentalDamageResistance</t>
  </si>
  <si>
    <t>MookMaker</t>
  </si>
  <si>
    <t>MoreHeroThanThou</t>
  </si>
  <si>
    <t>MostWritersAreAdults</t>
  </si>
  <si>
    <t>MotorcycleDominoes</t>
  </si>
  <si>
    <t>MoustacheDePlume</t>
  </si>
  <si>
    <t>MrSeahorse</t>
  </si>
  <si>
    <t>MundaneWish</t>
  </si>
  <si>
    <t>MusclesAreMeaningless</t>
  </si>
  <si>
    <t>Musical</t>
  </si>
  <si>
    <t>MusicStories</t>
  </si>
  <si>
    <t>MyCountryTisOfTheeThatISting</t>
  </si>
  <si>
    <t>MyDefenseNeedNotProtectMeForever</t>
  </si>
  <si>
    <t>MyOwnGrampa</t>
  </si>
  <si>
    <t>MysteriousProtector</t>
  </si>
  <si>
    <t>MysteriousWatcher</t>
  </si>
  <si>
    <t>NakedOnRevival</t>
  </si>
  <si>
    <t>NamedAfterSomeoneFamous</t>
  </si>
  <si>
    <t>NarrowParody</t>
  </si>
  <si>
    <t>NatureDocumentary</t>
  </si>
  <si>
    <t>NavalBlockade</t>
  </si>
  <si>
    <t>Nazisploitation</t>
  </si>
  <si>
    <t>NecessaryWeasel</t>
  </si>
  <si>
    <t>NecktieLeash</t>
  </si>
  <si>
    <t>NecroNonSequitur</t>
  </si>
  <si>
    <t>NeonCity</t>
  </si>
  <si>
    <t>NerdsSpeakKlingon</t>
  </si>
  <si>
    <t>NewspaperDating</t>
  </si>
  <si>
    <t>NintendoHard</t>
  </si>
  <si>
    <t>NoahsStoryArc</t>
  </si>
  <si>
    <t>NoBrows</t>
  </si>
  <si>
    <t>NoisyShutUp</t>
  </si>
  <si>
    <t>NoMatterHowMuchIBeg</t>
  </si>
  <si>
    <t>NomDeMom</t>
  </si>
  <si>
    <t>NonGivingUpSchoolGuy</t>
  </si>
  <si>
    <t>NoSongForTheWicked</t>
  </si>
  <si>
    <t>NosyNeighbour</t>
  </si>
  <si>
    <t>NothingButSkulls</t>
  </si>
  <si>
    <t>NotOfThisEarth</t>
  </si>
  <si>
    <t>NotSoFinalConfession</t>
  </si>
  <si>
    <t>NotSoHarmless</t>
  </si>
  <si>
    <t>NotSoSimilar</t>
  </si>
  <si>
    <t>NotUsingTheZedWord</t>
  </si>
  <si>
    <t>NotWantingKidsIsWeird</t>
  </si>
  <si>
    <t>NumberedHomeworld</t>
  </si>
  <si>
    <t>ObstacleExposition</t>
  </si>
  <si>
    <t>ObviousPregnancy</t>
  </si>
  <si>
    <t>OceanPunk</t>
  </si>
  <si>
    <t>Oculothorax</t>
  </si>
  <si>
    <t>OlderThanHeLooks</t>
  </si>
  <si>
    <t>OldFashionedCopper</t>
  </si>
  <si>
    <t>OminouslyOpenDoor</t>
  </si>
  <si>
    <t>OmniscientDatabase</t>
  </si>
  <si>
    <t>OneHundredAndEight</t>
  </si>
  <si>
    <t>OneSidedArmWrestling</t>
  </si>
  <si>
    <t>OnlineAlias</t>
  </si>
  <si>
    <t>OnlyAModel</t>
  </si>
  <si>
    <t>OnlyInMiami</t>
  </si>
  <si>
    <t>OnlyThePureOfHeart</t>
  </si>
  <si>
    <t>OnlyTheWorthyMayPass</t>
  </si>
  <si>
    <t>OpeningCrawl</t>
  </si>
  <si>
    <t>OppressiveStatesOfAmerica</t>
  </si>
  <si>
    <t>OrphanedSetup</t>
  </si>
  <si>
    <t>OurGargoylesRock</t>
  </si>
  <si>
    <t>OurGiantsAreBigger</t>
  </si>
  <si>
    <t>OurTimeMachineIsDifferent</t>
  </si>
  <si>
    <t>OutlawTown</t>
  </si>
  <si>
    <t>OutrankingYourJob</t>
  </si>
  <si>
    <t>PainfulRhyme</t>
  </si>
  <si>
    <t>PaintedTunnelRealTrain</t>
  </si>
  <si>
    <t>PaintingTheFourthWall</t>
  </si>
  <si>
    <t>PalsWithJesus</t>
  </si>
  <si>
    <t>ParallelConflictSequence</t>
  </si>
  <si>
    <t>ParanoidThriller</t>
  </si>
  <si>
    <t>ParkingProblems</t>
  </si>
  <si>
    <t>ParodiesOfFire</t>
  </si>
  <si>
    <t>PartingFromConsciousnessWords</t>
  </si>
  <si>
    <t>PatrioticFervour</t>
  </si>
  <si>
    <t>PatterSong</t>
  </si>
  <si>
    <t>PennyAmongDiamonds</t>
  </si>
  <si>
    <t>PeopleFallOffChairs</t>
  </si>
  <si>
    <t>PeopleOfHairColor</t>
  </si>
  <si>
    <t>PepTalkSong</t>
  </si>
  <si>
    <t>PerceptionFilter</t>
  </si>
  <si>
    <t>PeripheryDemographic</t>
  </si>
  <si>
    <t>PermaShave</t>
  </si>
  <si>
    <t>PerpetualTourist</t>
  </si>
  <si>
    <t>PersecutionFlip</t>
  </si>
  <si>
    <t>PersonalHorror</t>
  </si>
  <si>
    <t>PersonalityChip</t>
  </si>
  <si>
    <t>PersonalityPowers</t>
  </si>
  <si>
    <t>Phlebotinum</t>
  </si>
  <si>
    <t>PickYourHumanHalf</t>
  </si>
  <si>
    <t>PinkIsFeminine</t>
  </si>
  <si>
    <t>PinkySwear</t>
  </si>
  <si>
    <t>PinnedDown</t>
  </si>
  <si>
    <t>PlaneAwfulFlight</t>
  </si>
  <si>
    <t>Planetville</t>
  </si>
  <si>
    <t>PlantPerson</t>
  </si>
  <si>
    <t>PlayingATree</t>
  </si>
  <si>
    <t>PointyEars</t>
  </si>
  <si>
    <t>PoisonIsEvil</t>
  </si>
  <si>
    <t>PoliticallyMotivatedTeacher</t>
  </si>
  <si>
    <t>PoliticiansKissBabies</t>
  </si>
  <si>
    <t>Ponzi</t>
  </si>
  <si>
    <t>PopCulturedBadass</t>
  </si>
  <si>
    <t>PossessionBurnout</t>
  </si>
  <si>
    <t>PowerArmor</t>
  </si>
  <si>
    <t>PowerHigh</t>
  </si>
  <si>
    <t>PowerParasite</t>
  </si>
  <si>
    <t>PreemptiveShutUp</t>
  </si>
  <si>
    <t>PregnancyScare</t>
  </si>
  <si>
    <t>PrematurelyBald</t>
  </si>
  <si>
    <t>PresentAbsence</t>
  </si>
  <si>
    <t>PrideParade</t>
  </si>
  <si>
    <t>PrinceCharmingWannabe</t>
  </si>
  <si>
    <t>PrincessesPreferPink</t>
  </si>
  <si>
    <t>ProfessionalSlacker</t>
  </si>
  <si>
    <t>ProgressiveEraMontage</t>
  </si>
  <si>
    <t>ProtestSong</t>
  </si>
  <si>
    <t>PseudoCrisis</t>
  </si>
  <si>
    <t>PsychoShowerMurderParody</t>
  </si>
  <si>
    <t>PublicDomain</t>
  </si>
  <si>
    <t>PumpkinPerson</t>
  </si>
  <si>
    <t>PushoverParents</t>
  </si>
  <si>
    <t>PutThemAllOutOfMyMisery</t>
  </si>
  <si>
    <t>RabbleRouser</t>
  </si>
  <si>
    <t>RaisedAsTheOppositeGender</t>
  </si>
  <si>
    <t>RaisedByDudes</t>
  </si>
  <si>
    <t>RareFemaleExample</t>
  </si>
  <si>
    <t>RaysFromHeaven</t>
  </si>
  <si>
    <t>ReadingTheEnemysMail</t>
  </si>
  <si>
    <t>ReadTheFreakingManual</t>
  </si>
  <si>
    <t>RealJokeName</t>
  </si>
  <si>
    <t>RealMenHateAffection</t>
  </si>
  <si>
    <t>RebelRelaxation</t>
  </si>
  <si>
    <t>RebuiltSet</t>
  </si>
  <si>
    <t>ReconstructedTrope</t>
  </si>
  <si>
    <t>RecursiveAdaptation</t>
  </si>
  <si>
    <t>RedFilterOfDoom</t>
  </si>
  <si>
    <t>ReluctantMonster</t>
  </si>
  <si>
    <t>ReluctantRetiree</t>
  </si>
  <si>
    <t>RememberTheAlamo</t>
  </si>
  <si>
    <t>RemonstratingWithAGun</t>
  </si>
  <si>
    <t>RepeatingSoTheAudienceCanHear</t>
  </si>
  <si>
    <t>ReplacedWithReplica</t>
  </si>
  <si>
    <t>RescueArc</t>
  </si>
  <si>
    <t>ResurrectedRomance</t>
  </si>
  <si>
    <t>ReverseThePolarity</t>
  </si>
  <si>
    <t>RevivalLoophole</t>
  </si>
  <si>
    <t>Rewrite</t>
  </si>
  <si>
    <t>RewritingReality</t>
  </si>
  <si>
    <t>RidiculousFutureSequelisation</t>
  </si>
  <si>
    <t>RightOnQueue</t>
  </si>
  <si>
    <t>RingOfFire</t>
  </si>
  <si>
    <t>RoarBeforeBeating</t>
  </si>
  <si>
    <t>RobeAndWizardHat</t>
  </si>
  <si>
    <t>RobotAntennae</t>
  </si>
  <si>
    <t>RobotDog</t>
  </si>
  <si>
    <t>RoboticPsychopath</t>
  </si>
  <si>
    <t>RockOpera</t>
  </si>
  <si>
    <t>RoguesGalleryTransplant</t>
  </si>
  <si>
    <t>RoleEndingMisdemeanor</t>
  </si>
  <si>
    <t>RomanticPlotTumor</t>
  </si>
  <si>
    <t>RubberMan</t>
  </si>
  <si>
    <t>RumpRoast</t>
  </si>
  <si>
    <t>RunningTheBlockade</t>
  </si>
  <si>
    <t>SacrificedBasicSkillForAwesomeTraining</t>
  </si>
  <si>
    <t>SafeDrivingAesop</t>
  </si>
  <si>
    <t>SameSexTriplets</t>
  </si>
  <si>
    <t>SavageSouth</t>
  </si>
  <si>
    <t>SaveThePrincess</t>
  </si>
  <si>
    <t>SawAWomanInHalf</t>
  </si>
  <si>
    <t>ScaleModelDestruction</t>
  </si>
  <si>
    <t>ScalingTheSummit</t>
  </si>
  <si>
    <t>ScannableMan</t>
  </si>
  <si>
    <t>ScaryFlashlightFace</t>
  </si>
  <si>
    <t>SciFiGhetto</t>
  </si>
  <si>
    <t>ScreamerTrailer</t>
  </si>
  <si>
    <t>ScrewTheRulesIHaveSupernaturalPowers</t>
  </si>
  <si>
    <t>ScrewYourUltimatum</t>
  </si>
  <si>
    <t>SdrawkcabAlias</t>
  </si>
  <si>
    <t>SeamlessScenery</t>
  </si>
  <si>
    <t>SeductionProofMarriage</t>
  </si>
  <si>
    <t>SeeksAnothersResurrection</t>
  </si>
  <si>
    <t>SeeThruSpecs</t>
  </si>
  <si>
    <t>SelectiveEnforcement</t>
  </si>
  <si>
    <t>SelfDefenseless</t>
  </si>
  <si>
    <t>SerendipitousSurvival</t>
  </si>
  <si>
    <t>SesquipedalianSmith</t>
  </si>
  <si>
    <t>SettingOffSong</t>
  </si>
  <si>
    <t>SexIsViolence</t>
  </si>
  <si>
    <t>SextraCredit</t>
  </si>
  <si>
    <t>SexualEuphemism</t>
  </si>
  <si>
    <t>ShadesOfConflict</t>
  </si>
  <si>
    <t>ShapeShifterBaggage</t>
  </si>
  <si>
    <t>ShapeshifterWeapon</t>
  </si>
  <si>
    <t>SharingABody</t>
  </si>
  <si>
    <t>SheepInSheepsClothing</t>
  </si>
  <si>
    <t>SheIsTheKing</t>
  </si>
  <si>
    <t>SherlockHolmes</t>
  </si>
  <si>
    <t>ShirtlessCaptives</t>
  </si>
  <si>
    <t>ShoddyKnockoffProduct</t>
  </si>
  <si>
    <t>ShootYourMate</t>
  </si>
  <si>
    <t>ShotToTheHeart</t>
  </si>
  <si>
    <t>ShouldersOfDoom</t>
  </si>
  <si>
    <t>ShrunkenHead</t>
  </si>
  <si>
    <t>ShuttingUpNow</t>
  </si>
  <si>
    <t>SillyWalk</t>
  </si>
  <si>
    <t>SingleSpecimenSpecies</t>
  </si>
  <si>
    <t>SinkOrSwimFatherhood</t>
  </si>
  <si>
    <t>SkeletonsInTheCoatCloset</t>
  </si>
  <si>
    <t>SkepticismFailure</t>
  </si>
  <si>
    <t>SkilledButNaive</t>
  </si>
  <si>
    <t>SkipToTheEnd</t>
  </si>
  <si>
    <t>SkullForAHead</t>
  </si>
  <si>
    <t>SkyPirate</t>
  </si>
  <si>
    <t>SlasherFilm</t>
  </si>
  <si>
    <t>SleepMask</t>
  </si>
  <si>
    <t>SleepsWithBothEyesOpen</t>
  </si>
  <si>
    <t>SlidingScaleOfFreeWillVsFate</t>
  </si>
  <si>
    <t>SmallStepsHero</t>
  </si>
  <si>
    <t>SmashTheSymbol</t>
  </si>
  <si>
    <t>SmolderingShoes</t>
  </si>
  <si>
    <t>SnakesAreEvil</t>
  </si>
  <si>
    <t>SnakesAreSexy</t>
  </si>
  <si>
    <t>SnicketWarningLabel</t>
  </si>
  <si>
    <t>SnipingTheCockpit</t>
  </si>
  <si>
    <t>SnowballFight</t>
  </si>
  <si>
    <t>SocialEngineering</t>
  </si>
  <si>
    <t>SoiledDove</t>
  </si>
  <si>
    <t>SoldierVsWarrior</t>
  </si>
  <si>
    <t>SolemnEndingTheme</t>
  </si>
  <si>
    <t>SolidGoldPoop</t>
  </si>
  <si>
    <t>SomeonesTouchingMyButt</t>
  </si>
  <si>
    <t>SomethingTheyWouldNeverSay</t>
  </si>
  <si>
    <t>SorryToInterrupt</t>
  </si>
  <si>
    <t>SoWasX</t>
  </si>
  <si>
    <t>SpaceBase</t>
  </si>
  <si>
    <t>SpaceBattle</t>
  </si>
  <si>
    <t>SpacePlane</t>
  </si>
  <si>
    <t>SpaceshipSlingshotStunt</t>
  </si>
  <si>
    <t>SpaceTrucker</t>
  </si>
  <si>
    <t>SpeakingLikeTotallyTeen</t>
  </si>
  <si>
    <t>SpecialPersonNormalName</t>
  </si>
  <si>
    <t>Spexico</t>
  </si>
  <si>
    <t>SpikyHair</t>
  </si>
  <si>
    <t>SpinoffBabies</t>
  </si>
  <si>
    <t>StallingTheSip</t>
  </si>
  <si>
    <t>StatusCellPhone</t>
  </si>
  <si>
    <t>StayOnThePath</t>
  </si>
  <si>
    <t>StealthExpert</t>
  </si>
  <si>
    <t>SteppingStonesInTheSky</t>
  </si>
  <si>
    <t>StepThreeProfit</t>
  </si>
  <si>
    <t>SterilityPlague</t>
  </si>
  <si>
    <t>StickyBomb</t>
  </si>
  <si>
    <t>StockParody</t>
  </si>
  <si>
    <t>StockShoutOuts</t>
  </si>
  <si>
    <t>StreisandEffect</t>
  </si>
  <si>
    <t>StudentCouncilPresident</t>
  </si>
  <si>
    <t>StunGun</t>
  </si>
  <si>
    <t>StuntCasting</t>
  </si>
  <si>
    <t>SubordinateExcuse</t>
  </si>
  <si>
    <t>SuckECheeses</t>
  </si>
  <si>
    <t>SuddenPrincipledStand</t>
  </si>
  <si>
    <t>SuperMultipurposeRoom</t>
  </si>
  <si>
    <t>SurvivalHorror</t>
  </si>
  <si>
    <t>SuspensionOfDisbelief</t>
  </si>
  <si>
    <t>SympatheticMagic</t>
  </si>
  <si>
    <t>Tableau</t>
  </si>
  <si>
    <t>TakeBackYourGift</t>
  </si>
  <si>
    <t>TakeFive</t>
  </si>
  <si>
    <t>TakeMeToYourLeader</t>
  </si>
  <si>
    <t>TakeOverTheCity</t>
  </si>
  <si>
    <t>TakesAThirdOption</t>
  </si>
  <si>
    <t>TakingTheFightOutside</t>
  </si>
  <si>
    <t>TalkLikeAPirate</t>
  </si>
  <si>
    <t>TallTale</t>
  </si>
  <si>
    <t>TautologicalTemplar</t>
  </si>
  <si>
    <t>TeachMeHowToFight</t>
  </si>
  <si>
    <t>TeamKiller</t>
  </si>
  <si>
    <t>TeenIdol</t>
  </si>
  <si>
    <t>TeenSuperspy</t>
  </si>
  <si>
    <t>ThanksForTheMammaries</t>
  </si>
  <si>
    <t>ThatWasntARequest</t>
  </si>
  <si>
    <t>TheAllegedExpert</t>
  </si>
  <si>
    <t>TheAppleFallsFar</t>
  </si>
  <si>
    <t>TheApprentice</t>
  </si>
  <si>
    <t>TheBarber</t>
  </si>
  <si>
    <t>TheBookCipher</t>
  </si>
  <si>
    <t>TheBookOfTheFilm</t>
  </si>
  <si>
    <t>TheCommandments</t>
  </si>
  <si>
    <t>TheConstant</t>
  </si>
  <si>
    <t>TheCorruptible</t>
  </si>
  <si>
    <t>TheExitIsThatWay</t>
  </si>
  <si>
    <t>TheFinalTemptation</t>
  </si>
  <si>
    <t>TheGulag</t>
  </si>
  <si>
    <t>TheHorde</t>
  </si>
  <si>
    <t>TheKnightsWhoSaySquee</t>
  </si>
  <si>
    <t>ThemedAliases</t>
  </si>
  <si>
    <t>TheMelBrooksNumber</t>
  </si>
  <si>
    <t>ThemeMusicWithholding</t>
  </si>
  <si>
    <t>ThemeSong</t>
  </si>
  <si>
    <t>TheMusicMeister</t>
  </si>
  <si>
    <t>ThePeteBest</t>
  </si>
  <si>
    <t>TheRashomon</t>
  </si>
  <si>
    <t>ThereAreNoGoodExecutives</t>
  </si>
  <si>
    <t>TheRedStapler</t>
  </si>
  <si>
    <t>ThereWillBeToiletPaper</t>
  </si>
  <si>
    <t>TheSimpleLifeIsSimple</t>
  </si>
  <si>
    <t>TheStakeout</t>
  </si>
  <si>
    <t>TheTimeOfMyths</t>
  </si>
  <si>
    <t>TheTower</t>
  </si>
  <si>
    <t>TheUriahGambit</t>
  </si>
  <si>
    <t>TheWarHasJustBegun</t>
  </si>
  <si>
    <t>TheWarSequence</t>
  </si>
  <si>
    <t>TheWitchHunter</t>
  </si>
  <si>
    <t>TheWrongfulHeirToTheThrone</t>
  </si>
  <si>
    <t>TheyDontMakeThemLikeTheyUsedTo</t>
  </si>
  <si>
    <t>TheyKnewTheRisks</t>
  </si>
  <si>
    <t>ThisBedOfRoses</t>
  </si>
  <si>
    <t>ThreeMonthOldNewborn</t>
  </si>
  <si>
    <t>ThresholdGuardians</t>
  </si>
  <si>
    <t>ThrowABarrelAtIt</t>
  </si>
  <si>
    <t>ThrowingYourShieldAlwaysWorks</t>
  </si>
  <si>
    <t>ThrownDownAWell</t>
  </si>
  <si>
    <t>ThugDojo</t>
  </si>
  <si>
    <t>TinMan</t>
  </si>
  <si>
    <t>ToiletSeatDivorce</t>
  </si>
  <si>
    <t>ToKnowHimIMustBecomeHim</t>
  </si>
  <si>
    <t>TomHanksSyndrome</t>
  </si>
  <si>
    <t>TookALevelInIdealism</t>
  </si>
  <si>
    <t>TradeYourPassionForGlory</t>
  </si>
  <si>
    <t>TransatlanticEquivalent</t>
  </si>
  <si>
    <t>TreacheryIsASpecialKindOfEvil</t>
  </si>
  <si>
    <t>TreasureChestCavity</t>
  </si>
  <si>
    <t>TreehouseOfFun</t>
  </si>
  <si>
    <t>TrickedIntoSigning</t>
  </si>
  <si>
    <t>TropeyComeHome</t>
  </si>
  <si>
    <t>TrueLove</t>
  </si>
  <si>
    <t>TrueLoveIsBoring</t>
  </si>
  <si>
    <t>TrustBuildingBlunder</t>
  </si>
  <si>
    <t>TryToFitThatOnABusinessCard</t>
  </si>
  <si>
    <t>TuringTest</t>
  </si>
  <si>
    <t>TwentyFourHourArmor</t>
  </si>
  <si>
    <t>TwoOfYourEarthMinutes</t>
  </si>
  <si>
    <t>TWordEuphemism</t>
  </si>
  <si>
    <t>UnabashedBMovieFan</t>
  </si>
  <si>
    <t>UnaccustomedAsIAmToPublicSpeaking</t>
  </si>
  <si>
    <t>UnconfessedUnemployment</t>
  </si>
  <si>
    <t>UndergroundRailroad</t>
  </si>
  <si>
    <t>UndressingTheUnconscious</t>
  </si>
  <si>
    <t>UnnecessarilyCreepyRobot</t>
  </si>
  <si>
    <t>UnplannedCrossdressing</t>
  </si>
  <si>
    <t>UnrevealAngle</t>
  </si>
  <si>
    <t>UrbanHellscape</t>
  </si>
  <si>
    <t>UterineReplicator</t>
  </si>
  <si>
    <t>VampiricDraining</t>
  </si>
  <si>
    <t>VarietyShow</t>
  </si>
  <si>
    <t>Vaudeville</t>
  </si>
  <si>
    <t>VerySpecialEpisode</t>
  </si>
  <si>
    <t>VestigialEmpire</t>
  </si>
  <si>
    <t>ViewerGenderConfusion</t>
  </si>
  <si>
    <t>VillainBasedFranchise</t>
  </si>
  <si>
    <t>VillainCred</t>
  </si>
  <si>
    <t>VillainousLegacy</t>
  </si>
  <si>
    <t>VoicesAreMental</t>
  </si>
  <si>
    <t>WalkIntoMordor</t>
  </si>
  <si>
    <t>WalkTheEarth</t>
  </si>
  <si>
    <t>WallpaperCamouflage</t>
  </si>
  <si>
    <t>WarElephants</t>
  </si>
  <si>
    <t>WarmBloodbagsAreEverywhere</t>
  </si>
  <si>
    <t>WarMemorial</t>
  </si>
  <si>
    <t>WastelandElder</t>
  </si>
  <si>
    <t>WeaponTwirling</t>
  </si>
  <si>
    <t>WeirdHistoricalWar</t>
  </si>
  <si>
    <t>WhammyBid</t>
  </si>
  <si>
    <t>WhatDoYouMeanItsForKids</t>
  </si>
  <si>
    <t>WhatHaveWeEar</t>
  </si>
  <si>
    <t>WhatIsOneMansLifeInComparison</t>
  </si>
  <si>
    <t>WhenThePlanetsAlign</t>
  </si>
  <si>
    <t>WhichRestroomDilemma</t>
  </si>
  <si>
    <t>WhiteCollarWorker</t>
  </si>
  <si>
    <t>WhiteFlag</t>
  </si>
  <si>
    <t>WhodunnitToMe</t>
  </si>
  <si>
    <t>WhoIsDriving</t>
  </si>
  <si>
    <t>WhoopiEpiphanySpeech</t>
  </si>
  <si>
    <t>WhyAreWeWhispering</t>
  </si>
  <si>
    <t>WhyAreYouNotMySon</t>
  </si>
  <si>
    <t>WindowsOfTheSoul</t>
  </si>
  <si>
    <t>WinYourFreedom</t>
  </si>
  <si>
    <t>Wishplosion</t>
  </si>
  <si>
    <t>WitchSpecies</t>
  </si>
  <si>
    <t>WomensMysteries</t>
  </si>
  <si>
    <t>WordSaladHumor</t>
  </si>
  <si>
    <t>WorkingClassPeopleAreMorons</t>
  </si>
  <si>
    <t>WorldHalfFull</t>
  </si>
  <si>
    <t>WritersBlockMontage</t>
  </si>
  <si>
    <t>XenomorphXerox</t>
  </si>
  <si>
    <t>Y2K</t>
  </si>
  <si>
    <t>YesVirginia</t>
  </si>
  <si>
    <t>YokoOhNo</t>
  </si>
  <si>
    <t>YouAreAlreadyCheckedIn</t>
  </si>
  <si>
    <t>YouAreTheNewTrend</t>
  </si>
  <si>
    <t>YouCanSeeMe</t>
  </si>
  <si>
    <t>YouDontWantToCatchThis</t>
  </si>
  <si>
    <t>YouKeepTellingYourselfThat</t>
  </si>
  <si>
    <t>YouLeaveHimAlone</t>
  </si>
  <si>
    <t>YoureNotMyType</t>
  </si>
  <si>
    <t>YouShouldKnowThisAlready</t>
  </si>
  <si>
    <t>ZillionDollarBill</t>
  </si>
  <si>
    <t>ZombieAdvocate</t>
  </si>
  <si>
    <t>AbsurdlyBrightLight</t>
  </si>
  <si>
    <t>AbsurdlyDedicatedWorker</t>
  </si>
  <si>
    <t>AbsurdlyLongLimousine</t>
  </si>
  <si>
    <t>ACappella</t>
  </si>
  <si>
    <t>AcceptableProfessionalTargets</t>
  </si>
  <si>
    <t>AcceptableTarget</t>
  </si>
  <si>
    <t>AcheyScars</t>
  </si>
  <si>
    <t>ACrackInTheIce</t>
  </si>
  <si>
    <t>ActionHeroBabysitter</t>
  </si>
  <si>
    <t>ActionPolitician</t>
  </si>
  <si>
    <t>ADarkerMe</t>
  </si>
  <si>
    <t>ADayInHerApron</t>
  </si>
  <si>
    <t>AdoptTheDog</t>
  </si>
  <si>
    <t>AdorableEvilMinions</t>
  </si>
  <si>
    <t>AdultChild</t>
  </si>
  <si>
    <t>AfricanTerrorists</t>
  </si>
  <si>
    <t>Afrofuturism</t>
  </si>
  <si>
    <t>AHeroToHisHometown</t>
  </si>
  <si>
    <t>AirJousting</t>
  </si>
  <si>
    <t>ALightInTheDistance</t>
  </si>
  <si>
    <t>AllegedCar</t>
  </si>
  <si>
    <t>AllIssuesArePoliticalIssues</t>
  </si>
  <si>
    <t>AllOrNothing</t>
  </si>
  <si>
    <t>AllWitchesHaveCats</t>
  </si>
  <si>
    <t>AloofBigSister</t>
  </si>
  <si>
    <t>AlternateIdentityAmnesia</t>
  </si>
  <si>
    <t>AlwaysGetsHisMan</t>
  </si>
  <si>
    <t>AmbiguouslyTrained</t>
  </si>
  <si>
    <t>AmnesiaDanger</t>
  </si>
  <si>
    <t>AmnesiaLoop</t>
  </si>
  <si>
    <t>AMythologyIsTrue</t>
  </si>
  <si>
    <t>AndTheRest</t>
  </si>
  <si>
    <t>AnimalAthleteLoophole</t>
  </si>
  <si>
    <t>AnimalEyeSpy</t>
  </si>
  <si>
    <t>AnimalGenderBender</t>
  </si>
  <si>
    <t>AnimatedActors</t>
  </si>
  <si>
    <t>AnticlimaxBoss</t>
  </si>
  <si>
    <t>AntiEscapismAesop</t>
  </si>
  <si>
    <t>AnxietyDreams</t>
  </si>
  <si>
    <t>AppealToWorseProblems</t>
  </si>
  <si>
    <t>AppleOfDiscord</t>
  </si>
  <si>
    <t>ArcadeSounds</t>
  </si>
  <si>
    <t>ArmorPiercingattack</t>
  </si>
  <si>
    <t>ArrestedForHeroism</t>
  </si>
  <si>
    <t>ArtfulDodger</t>
  </si>
  <si>
    <t>ArtsyBeret</t>
  </si>
  <si>
    <t>AscendedDemon</t>
  </si>
  <si>
    <t>AssumedWin</t>
  </si>
  <si>
    <t>AsteroidMiners</t>
  </si>
  <si>
    <t>AuditThreat</t>
  </si>
  <si>
    <t>AutomobileOpening</t>
  </si>
  <si>
    <t>AwesomenessIsAForce</t>
  </si>
  <si>
    <t>AwesomeYetImpractical</t>
  </si>
  <si>
    <t>BaaBomb</t>
  </si>
  <si>
    <t>BadassAbnormal</t>
  </si>
  <si>
    <t>BadassAndBaby</t>
  </si>
  <si>
    <t>BadassOnPaper</t>
  </si>
  <si>
    <t>BaitAndSwitchBoss</t>
  </si>
  <si>
    <t>BanditClan</t>
  </si>
  <si>
    <t>BarefootCartoonAnimal</t>
  </si>
  <si>
    <t>BarefootSuicide</t>
  </si>
  <si>
    <t>BarelyThereSwimwear</t>
  </si>
  <si>
    <t>BastardlySpeech</t>
  </si>
  <si>
    <t>BathingBeauty</t>
  </si>
  <si>
    <t>BattleBoomerang</t>
  </si>
  <si>
    <t>BeachKiss</t>
  </si>
  <si>
    <t>BeastOfTheApocalypse</t>
  </si>
  <si>
    <t>BeastWithAHumanFace</t>
  </si>
  <si>
    <t>BeautyMark</t>
  </si>
  <si>
    <t>BecomingTheBoast</t>
  </si>
  <si>
    <t>BeefBandage</t>
  </si>
  <si>
    <t>BelatedLoveEpiphany</t>
  </si>
  <si>
    <t>BenevolentGenie</t>
  </si>
  <si>
    <t>BermudaTriangle</t>
  </si>
  <si>
    <t>BestHerToBedHer</t>
  </si>
  <si>
    <t>BetterThanNew</t>
  </si>
  <si>
    <t>BiblicalBadGuy</t>
  </si>
  <si>
    <t>BigDoor</t>
  </si>
  <si>
    <t>BigNameFan</t>
  </si>
  <si>
    <t>BillyNeedsAnOrgan</t>
  </si>
  <si>
    <t>BinarySuns</t>
  </si>
  <si>
    <t>BioPunk</t>
  </si>
  <si>
    <t>Bishounen</t>
  </si>
  <si>
    <t>BitPartBadGuys</t>
  </si>
  <si>
    <t>BizarreAndImprobableGolfGame</t>
  </si>
  <si>
    <t>BlackScreenOfDeath</t>
  </si>
  <si>
    <t>BlendedFamilyDrama</t>
  </si>
  <si>
    <t>BloodLust</t>
  </si>
  <si>
    <t>BloodSplatteredWarrior</t>
  </si>
  <si>
    <t>BluebirdOfHappiness</t>
  </si>
  <si>
    <t>BombThrowingAnarchist</t>
  </si>
  <si>
    <t>BondingThroughSharedEarbuds</t>
  </si>
  <si>
    <t>BoobsAndButtPose</t>
  </si>
  <si>
    <t>BoobsOfSteel</t>
  </si>
  <si>
    <t>BoomStick</t>
  </si>
  <si>
    <t>BornAsAnAdult</t>
  </si>
  <si>
    <t>BowelBreakingBricks</t>
  </si>
  <si>
    <t>BreachOfPromiseOfMarriage</t>
  </si>
  <si>
    <t>BreakfastClub</t>
  </si>
  <si>
    <t>BreakingBadNewsGently</t>
  </si>
  <si>
    <t>BreakingLecture</t>
  </si>
  <si>
    <t>BreakingTheGlassCeiling</t>
  </si>
  <si>
    <t>BrokenSmile</t>
  </si>
  <si>
    <t>BunniesForCuteness</t>
  </si>
  <si>
    <t>ButIWouldReallyEnjoyIt</t>
  </si>
  <si>
    <t>CampUnsafeIsntSafeAnymore</t>
  </si>
  <si>
    <t>CandidCameraPrank</t>
  </si>
  <si>
    <t>CanisMajor</t>
  </si>
  <si>
    <t>CantBatheWithoutAWeapon</t>
  </si>
  <si>
    <t>CantStayNormal</t>
  </si>
  <si>
    <t>CapeBusters</t>
  </si>
  <si>
    <t>CaptionHumor</t>
  </si>
  <si>
    <t>CaptiveDate</t>
  </si>
  <si>
    <t>CartoonishSupervillainy</t>
  </si>
  <si>
    <t>CarvedMark</t>
  </si>
  <si>
    <t>CassetteCraze</t>
  </si>
  <si>
    <t>CastFromHitPoints</t>
  </si>
  <si>
    <t>CatsAreSnarkers</t>
  </si>
  <si>
    <t>CaughtInTheBadPartOfTown</t>
  </si>
  <si>
    <t>CavalryRefusal</t>
  </si>
  <si>
    <t>CavemenVsAstronautsDebate</t>
  </si>
  <si>
    <t>CeilingBanger</t>
  </si>
  <si>
    <t>CelebrityImpersonator</t>
  </si>
  <si>
    <t>ChainedByFashion</t>
  </si>
  <si>
    <t>CharacterSignatureSong</t>
  </si>
  <si>
    <t>CharityBall</t>
  </si>
  <si>
    <t>CharlieChaplinShoutOut</t>
  </si>
  <si>
    <t>CheekCopy</t>
  </si>
  <si>
    <t>ChessMotif</t>
  </si>
  <si>
    <t>ChildhoodFriend</t>
  </si>
  <si>
    <t>ChildishPillowFight</t>
  </si>
  <si>
    <t>ChildOfTwoWorlds</t>
  </si>
  <si>
    <t>ChineseVampire</t>
  </si>
  <si>
    <t>ChristmasRushed</t>
  </si>
  <si>
    <t>ChristmasSongs</t>
  </si>
  <si>
    <t>ChristmasSpecial</t>
  </si>
  <si>
    <t>ChromaticArrangement</t>
  </si>
  <si>
    <t>ChronicEvidenceRetentionSyndrome</t>
  </si>
  <si>
    <t>ClassicalMusic</t>
  </si>
  <si>
    <t>ClimacticElevatorRide</t>
  </si>
  <si>
    <t>CloakAndDagger</t>
  </si>
  <si>
    <t>ClosedDoorRapport</t>
  </si>
  <si>
    <t>ClothingSwitch</t>
  </si>
  <si>
    <t>CollapsedMidSpeech</t>
  </si>
  <si>
    <t>ColonCancer</t>
  </si>
  <si>
    <t>CombatCommentator</t>
  </si>
  <si>
    <t>CometOfDoom</t>
  </si>
  <si>
    <t>CompetenceZone</t>
  </si>
  <si>
    <t>CompoundInterestTimeTravelGambit</t>
  </si>
  <si>
    <t>ConceptAlbum</t>
  </si>
  <si>
    <t>ConceptsAreCheap</t>
  </si>
  <si>
    <t>ConfirmedBachelor</t>
  </si>
  <si>
    <t>ConnectedAllAlong</t>
  </si>
  <si>
    <t>ConsultingAConvictedKiller</t>
  </si>
  <si>
    <t>ConvenientDecoyCat</t>
  </si>
  <si>
    <t>CoolCrown</t>
  </si>
  <si>
    <t>CopycatCover</t>
  </si>
  <si>
    <t>CorporateSamurai</t>
  </si>
  <si>
    <t>CorruptedCharacterCopy</t>
  </si>
  <si>
    <t>CosmeticCatastrophe</t>
  </si>
  <si>
    <t>CounterpointDuet</t>
  </si>
  <si>
    <t>CoveringForTheNoise</t>
  </si>
  <si>
    <t>CowerPower</t>
  </si>
  <si>
    <t>CrammingTheCoffin</t>
  </si>
  <si>
    <t>CraniumChase</t>
  </si>
  <si>
    <t>CreatureHunterOrganization</t>
  </si>
  <si>
    <t>CreepilyLongArms</t>
  </si>
  <si>
    <t>CreepyCentipedes</t>
  </si>
  <si>
    <t>CreepyShadowedUndereyes</t>
  </si>
  <si>
    <t>CrimefightingWithCash</t>
  </si>
  <si>
    <t>CriticalExistenceFailure</t>
  </si>
  <si>
    <t>CrossCulturalKerfluffle</t>
  </si>
  <si>
    <t>CrushTheKeepsake</t>
  </si>
  <si>
    <t>CrystalSkull</t>
  </si>
  <si>
    <t>CultureBlind</t>
  </si>
  <si>
    <t>DaddyDNATest</t>
  </si>
  <si>
    <t>DanceOfDespair</t>
  </si>
  <si>
    <t>DawnAttack</t>
  </si>
  <si>
    <t>DCupDistress</t>
  </si>
  <si>
    <t>DeadlyEnvironmentPrison</t>
  </si>
  <si>
    <t>DeadMansSwitch</t>
  </si>
  <si>
    <t>DeathByAmbulance</t>
  </si>
  <si>
    <t>DeathByGenreSavvy</t>
  </si>
  <si>
    <t>DeathSong</t>
  </si>
  <si>
    <t>DecadeThemedFilter</t>
  </si>
  <si>
    <t>DecidedByOneVote</t>
  </si>
  <si>
    <t>DecisiveBattle</t>
  </si>
  <si>
    <t>DeclarationOfPersonalIndependence</t>
  </si>
  <si>
    <t>DecontaminationChamber</t>
  </si>
  <si>
    <t>DeepFriedWhatever</t>
  </si>
  <si>
    <t>DefectorFromParadise</t>
  </si>
  <si>
    <t>DefinitelyJustACold</t>
  </si>
  <si>
    <t>DelayedOhCrap</t>
  </si>
  <si>
    <t>DelayingAction</t>
  </si>
  <si>
    <t>Delinquent</t>
  </si>
  <si>
    <t>DelinquentHair</t>
  </si>
  <si>
    <t>DeliveryStork</t>
  </si>
  <si>
    <t>DemonicHeadShake</t>
  </si>
  <si>
    <t>DemonOfHumanOrigin</t>
  </si>
  <si>
    <t>DepthDeception</t>
  </si>
  <si>
    <t>DetectiveDrama</t>
  </si>
  <si>
    <t>DetonationMoon</t>
  </si>
  <si>
    <t>DeusSexMachina</t>
  </si>
  <si>
    <t>DidntWantAnAdventure</t>
  </si>
  <si>
    <t>DinkyDrivers</t>
  </si>
  <si>
    <t>DirectedByCastMember</t>
  </si>
  <si>
    <t>DirtyMindReading</t>
  </si>
  <si>
    <t>DisabledInTheAdaptation</t>
  </si>
  <si>
    <t>DistinctiveAppearances</t>
  </si>
  <si>
    <t>DistressSignal</t>
  </si>
  <si>
    <t>DiveDiveDive</t>
  </si>
  <si>
    <t>DoesNotUnderstandSarcasm</t>
  </si>
  <si>
    <t>DoggedNiceGirl</t>
  </si>
  <si>
    <t>DoNotSpoilThisEnding</t>
  </si>
  <si>
    <t>DoNotTryThisAtHome</t>
  </si>
  <si>
    <t>DontLookBack</t>
  </si>
  <si>
    <t>DoomedExpedition</t>
  </si>
  <si>
    <t>DoorFocus</t>
  </si>
  <si>
    <t>DoppelgangerSpin</t>
  </si>
  <si>
    <t>DoubleAesop</t>
  </si>
  <si>
    <t>DoubleDoubleTitle</t>
  </si>
  <si>
    <t>DoubleInLawMarriage</t>
  </si>
  <si>
    <t>DownTheDrain</t>
  </si>
  <si>
    <t>DowntimeDowngrade</t>
  </si>
  <si>
    <t>DraggedByTheCollar</t>
  </si>
  <si>
    <t>DragonHoard</t>
  </si>
  <si>
    <t>DragonsUpTheYinYang</t>
  </si>
  <si>
    <t>DramaBomb</t>
  </si>
  <si>
    <t>DreamMelody</t>
  </si>
  <si>
    <t>DreamWorksFace</t>
  </si>
  <si>
    <t>DressCode</t>
  </si>
  <si>
    <t>DressesTheSame</t>
  </si>
  <si>
    <t>DrillTank</t>
  </si>
  <si>
    <t>DroppedABridgeOnHer</t>
  </si>
  <si>
    <t>DrowningHisSorrows</t>
  </si>
  <si>
    <t>DrunkenBoxing</t>
  </si>
  <si>
    <t>DudeWheresMyReward</t>
  </si>
  <si>
    <t>DuelingHackers</t>
  </si>
  <si>
    <t>DuelsDecideEverything</t>
  </si>
  <si>
    <t>DungFu</t>
  </si>
  <si>
    <t>DurableDeathtrap</t>
  </si>
  <si>
    <t>DyingCandle</t>
  </si>
  <si>
    <t>EarpieceConversation</t>
  </si>
  <si>
    <t>EasyComeEasyGo</t>
  </si>
  <si>
    <t>EatBrainForMemories</t>
  </si>
  <si>
    <t>EatThat</t>
  </si>
  <si>
    <t>EjectEjectEject</t>
  </si>
  <si>
    <t>EldritchStarship</t>
  </si>
  <si>
    <t>ElementalEmbodiment</t>
  </si>
  <si>
    <t>EliteArmy</t>
  </si>
  <si>
    <t>ElvesVsDwarves</t>
  </si>
  <si>
    <t>EmbarrassingPassword</t>
  </si>
  <si>
    <t>EmotionSuppression</t>
  </si>
  <si>
    <t>EmptyElevator</t>
  </si>
  <si>
    <t>EmptyNest</t>
  </si>
  <si>
    <t>EmptyPromise</t>
  </si>
  <si>
    <t>EndlessDaytime</t>
  </si>
  <si>
    <t>EnergyAbsorption</t>
  </si>
  <si>
    <t>Enforced</t>
  </si>
  <si>
    <t>EnforcedPlug</t>
  </si>
  <si>
    <t>EpicFilm</t>
  </si>
  <si>
    <t>EscalatingBrawl</t>
  </si>
  <si>
    <t>EscapedFromHell</t>
  </si>
  <si>
    <t>EternalEngine</t>
  </si>
  <si>
    <t>EverybodyCries</t>
  </si>
  <si>
    <t>EveryJapaneseSwordIsAKatana</t>
  </si>
  <si>
    <t>EveryoneLives</t>
  </si>
  <si>
    <t>EvilDoppelganger</t>
  </si>
  <si>
    <t>EvilLuddite</t>
  </si>
  <si>
    <t>EvilOrphan</t>
  </si>
  <si>
    <t>EvilPowerVacuum</t>
  </si>
  <si>
    <t>ExoticEntree</t>
  </si>
  <si>
    <t>ExplodingBarrels</t>
  </si>
  <si>
    <t>ExplosionsInSpace</t>
  </si>
  <si>
    <t>ExpressiveEars</t>
  </si>
  <si>
    <t>ExtranormalInstitute</t>
  </si>
  <si>
    <t>ExtranormalPrison</t>
  </si>
  <si>
    <t>ExtremelyDustyHome</t>
  </si>
  <si>
    <t>EyesAreUnbreakable</t>
  </si>
  <si>
    <t>FaceMonsterTurn</t>
  </si>
  <si>
    <t>FaceOnTheCover</t>
  </si>
  <si>
    <t>FailureToSaveMurder</t>
  </si>
  <si>
    <t>FakeMark</t>
  </si>
  <si>
    <t>FakingAndEntering</t>
  </si>
  <si>
    <t>FamilyPortraitOfCharacterization</t>
  </si>
  <si>
    <t>FandomRivalry</t>
  </si>
  <si>
    <t>FantasticVoyagePlot</t>
  </si>
  <si>
    <t>FascistsBedTime</t>
  </si>
  <si>
    <t>FashionShopFashionShow</t>
  </si>
  <si>
    <t>FatalFireworks</t>
  </si>
  <si>
    <t>FaunsAndSatyrs</t>
  </si>
  <si>
    <t>FavorsForTheSexy</t>
  </si>
  <si>
    <t>Feelies</t>
  </si>
  <si>
    <t>FightingFingerprint</t>
  </si>
  <si>
    <t>FinaleTitleDrop</t>
  </si>
  <si>
    <t>FinalFirstHug</t>
  </si>
  <si>
    <t>FindingABraInYourCar</t>
  </si>
  <si>
    <t>FingerSnapLighter</t>
  </si>
  <si>
    <t>FirstGuyWins</t>
  </si>
  <si>
    <t>FlamesOfLove</t>
  </si>
  <si>
    <t>Flopsy</t>
  </si>
  <si>
    <t>FloralThemeNaming</t>
  </si>
  <si>
    <t>FlowerMouth</t>
  </si>
  <si>
    <t>FluffyTamer</t>
  </si>
  <si>
    <t>FoodAsBribe</t>
  </si>
  <si>
    <t>ForbiddenChekhovsGun</t>
  </si>
  <si>
    <t>ForHappiness</t>
  </si>
  <si>
    <t>FreakinessShame</t>
  </si>
  <si>
    <t>FriendlyEnemies</t>
  </si>
  <si>
    <t>FriendlyGhost</t>
  </si>
  <si>
    <t>FriendlyPlayfulDolphin</t>
  </si>
  <si>
    <t>FriendshipDenial</t>
  </si>
  <si>
    <t>FriendshipSong</t>
  </si>
  <si>
    <t>FromNewYorkToNowhere</t>
  </si>
  <si>
    <t>FruitOfTheLoon</t>
  </si>
  <si>
    <t>FullBodyDisguise</t>
  </si>
  <si>
    <t>GaleForceSound</t>
  </si>
  <si>
    <t>Gamebooks</t>
  </si>
  <si>
    <t>GangBanger</t>
  </si>
  <si>
    <t>GarageBand</t>
  </si>
  <si>
    <t>GayConservative</t>
  </si>
  <si>
    <t>Gaydar</t>
  </si>
  <si>
    <t>GayGuySeeksPopularJock</t>
  </si>
  <si>
    <t>GemEncrusted</t>
  </si>
  <si>
    <t>GenderReveal</t>
  </si>
  <si>
    <t>GenderScoff</t>
  </si>
  <si>
    <t>GenghisGambit</t>
  </si>
  <si>
    <t>GetBackInTheCloset</t>
  </si>
  <si>
    <t>GhostInTheMachine</t>
  </si>
  <si>
    <t>GirlGroup</t>
  </si>
  <si>
    <t>GirlInTheTower</t>
  </si>
  <si>
    <t>GirlyBruiser</t>
  </si>
  <si>
    <t>GiveHimANormalLife</t>
  </si>
  <si>
    <t>GiveTheBabyAFather</t>
  </si>
  <si>
    <t>GloriousLeader</t>
  </si>
  <si>
    <t>Glurge</t>
  </si>
  <si>
    <t>GodWasMyCopilot</t>
  </si>
  <si>
    <t>GoldAndWhiteAreDivine</t>
  </si>
  <si>
    <t>GoldColoredSuperiority</t>
  </si>
  <si>
    <t>GoldenSuperMode</t>
  </si>
  <si>
    <t>GoodEyesEvilEyes</t>
  </si>
  <si>
    <t>GoodNightSweetPrince</t>
  </si>
  <si>
    <t>GorgeousGarmentGeneration</t>
  </si>
  <si>
    <t>GorgeousGorgon</t>
  </si>
  <si>
    <t>GospelChoirsAreJustBetter</t>
  </si>
  <si>
    <t>GospelRevivalNumber</t>
  </si>
  <si>
    <t>GottaCatchEmAll</t>
  </si>
  <si>
    <t>GottaKillEmAll</t>
  </si>
  <si>
    <t>GrandfatherClause</t>
  </si>
  <si>
    <t>GratuitousRap</t>
  </si>
  <si>
    <t>GreatDetective</t>
  </si>
  <si>
    <t>GrenadeTag</t>
  </si>
  <si>
    <t>GreyRainOfDepression</t>
  </si>
  <si>
    <t>GroundShatteringLanding</t>
  </si>
  <si>
    <t>GroupPictureEnding</t>
  </si>
  <si>
    <t>GrowingTheBeard</t>
  </si>
  <si>
    <t>GrowlingGut</t>
  </si>
  <si>
    <t>GuiltByCoincidence</t>
  </si>
  <si>
    <t>GuiltyPleasures</t>
  </si>
  <si>
    <t>GymBunny</t>
  </si>
  <si>
    <t>HairOfTheDog</t>
  </si>
  <si>
    <t>HairstyleInertia</t>
  </si>
  <si>
    <t>HairyGirl</t>
  </si>
  <si>
    <t>HalfEmptyTwoShot</t>
  </si>
  <si>
    <t>HalfheartedHenchman</t>
  </si>
  <si>
    <t>HammyHerald</t>
  </si>
  <si>
    <t>HandcarPursuit</t>
  </si>
  <si>
    <t>HandyMan</t>
  </si>
  <si>
    <t>HangingOurClothesToDry</t>
  </si>
  <si>
    <t>HatsOffToTheDead</t>
  </si>
  <si>
    <t>HaveANiceDaySmile</t>
  </si>
  <si>
    <t>HelpImStuck</t>
  </si>
  <si>
    <t>HelpYourselfInTheFuture</t>
  </si>
  <si>
    <t>Herald</t>
  </si>
  <si>
    <t>HeroicBlueScreenOfDeath</t>
  </si>
  <si>
    <t>HeroSecretService</t>
  </si>
  <si>
    <t>HeWasRightThereAllAlong</t>
  </si>
  <si>
    <t>HeWhoMustNotBeHeard</t>
  </si>
  <si>
    <t>HiccupHijinks</t>
  </si>
  <si>
    <t>HighHeelHurt</t>
  </si>
  <si>
    <t>HighlyVisiblePassword</t>
  </si>
  <si>
    <t>HisAndHers</t>
  </si>
  <si>
    <t>HistoricalCharacterConfusion</t>
  </si>
  <si>
    <t>HistoricalDowngrade</t>
  </si>
  <si>
    <t>HistoricalPersonPunchline</t>
  </si>
  <si>
    <t>HistoryMarchesOn</t>
  </si>
  <si>
    <t>HitchhikerHeroes</t>
  </si>
  <si>
    <t>HoldingBothSidesOfTheConversation</t>
  </si>
  <si>
    <t>HollywoodCB</t>
  </si>
  <si>
    <t>HollywoodDateless</t>
  </si>
  <si>
    <t>HollywoodGenetics</t>
  </si>
  <si>
    <t>HollywoodHypeMachine</t>
  </si>
  <si>
    <t>HolyHitman</t>
  </si>
  <si>
    <t>HomelessHero</t>
  </si>
  <si>
    <t>HometownNickname</t>
  </si>
  <si>
    <t>HomeworldEvacuation</t>
  </si>
  <si>
    <t>HomingProjectile</t>
  </si>
  <si>
    <t>HonestAdvisor</t>
  </si>
  <si>
    <t>HonorRelatedAbuse</t>
  </si>
  <si>
    <t>HoodHopping</t>
  </si>
  <si>
    <t>HornsOfVillainy</t>
  </si>
  <si>
    <t>HospitalSurprise</t>
  </si>
  <si>
    <t>HotAsHell</t>
  </si>
  <si>
    <t>HotPotato</t>
  </si>
  <si>
    <t>HotSkittyOnWailordAction</t>
  </si>
  <si>
    <t>HouseFire</t>
  </si>
  <si>
    <t>HowsYourBritishAccent</t>
  </si>
  <si>
    <t>HuddlePower</t>
  </si>
  <si>
    <t>HugeGirlTinyGuy</t>
  </si>
  <si>
    <t>HumanChess</t>
  </si>
  <si>
    <t>HumanHammerThrow</t>
  </si>
  <si>
    <t>HumansAreCthulhu</t>
  </si>
  <si>
    <t>HumansArePsychicInTheFuture</t>
  </si>
  <si>
    <t>HyperspaceMallet</t>
  </si>
  <si>
    <t>HyperspaceWardrobe</t>
  </si>
  <si>
    <t>HyperspeedAmbush</t>
  </si>
  <si>
    <t>IaijutsuPractitioner</t>
  </si>
  <si>
    <t>IAintGotTimeToBleed</t>
  </si>
  <si>
    <t>IAmGreatSong</t>
  </si>
  <si>
    <t>IAmNotYourFather</t>
  </si>
  <si>
    <t>IAmYourOpponent</t>
  </si>
  <si>
    <t>IconicSequelCharacter</t>
  </si>
  <si>
    <t>IHaveJustOneThingToSay</t>
  </si>
  <si>
    <t>IllegalGuardian</t>
  </si>
  <si>
    <t>IllegalReligion</t>
  </si>
  <si>
    <t>IllNeverTellYouWhatImTellingYou</t>
  </si>
  <si>
    <t>ImNotHereToMakeFriends</t>
  </si>
  <si>
    <t>ImperfectRitual</t>
  </si>
  <si>
    <t>ImperialChina</t>
  </si>
  <si>
    <t>ImpossibleHourglassFigure</t>
  </si>
  <si>
    <t>ImpossibleMissionCollapse</t>
  </si>
  <si>
    <t>ImpostorForgotOneDetail</t>
  </si>
  <si>
    <t>ImprobableParkingSkills</t>
  </si>
  <si>
    <t>ImprobablyFemaleCast</t>
  </si>
  <si>
    <t>ImprovisedLockpick</t>
  </si>
  <si>
    <t>InCameraEffects</t>
  </si>
  <si>
    <t>IndecipherableLyrics</t>
  </si>
  <si>
    <t>IneffectualDeathThreats</t>
  </si>
  <si>
    <t>InescapableHorror</t>
  </si>
  <si>
    <t>InflationNegation</t>
  </si>
  <si>
    <t>InheritedIlliteracyTitle</t>
  </si>
  <si>
    <t>InMyLanguageThatSoundsLike</t>
  </si>
  <si>
    <t>InspirationalMartyr</t>
  </si>
  <si>
    <t>InstantArmor</t>
  </si>
  <si>
    <t>InstantLeechJustFallInWater</t>
  </si>
  <si>
    <t>InstantTurnOff</t>
  </si>
  <si>
    <t>InstantWakingSkills</t>
  </si>
  <si>
    <t>InsultMisfire</t>
  </si>
  <si>
    <t>IntellectualAnimal</t>
  </si>
  <si>
    <t>IntentionalEngrishForFunny</t>
  </si>
  <si>
    <t>InternalDeconstruction</t>
  </si>
  <si>
    <t>InternalRetcon</t>
  </si>
  <si>
    <t>InterplanetaryVoyage</t>
  </si>
  <si>
    <t>InTheFutureWeStillHaveRoombas</t>
  </si>
  <si>
    <t>InTheirOwnImage</t>
  </si>
  <si>
    <t>InTheOriginalKlingon</t>
  </si>
  <si>
    <t>InUniverseSoundtrack</t>
  </si>
  <si>
    <t>Inversion</t>
  </si>
  <si>
    <t>InvoluntaryDance</t>
  </si>
  <si>
    <t>IShallReturn</t>
  </si>
  <si>
    <t>IsThisAJoke</t>
  </si>
  <si>
    <t>ITakeOffenceToThatLastOne</t>
  </si>
  <si>
    <t>JackOfAllTrades</t>
  </si>
  <si>
    <t>JarPotty</t>
  </si>
  <si>
    <t>JeopardyIntelligenceTest</t>
  </si>
  <si>
    <t>JerkassGod</t>
  </si>
  <si>
    <t>JerkassVictim</t>
  </si>
  <si>
    <t>JesusTaboo</t>
  </si>
  <si>
    <t>JungleOpera</t>
  </si>
  <si>
    <t>JuryAndWitnessTampering</t>
  </si>
  <si>
    <t>JusticeByOtherLegalMeans</t>
  </si>
  <si>
    <t>JustOneLittleMistake</t>
  </si>
  <si>
    <t>JustOneMan</t>
  </si>
  <si>
    <t>JustShootHim</t>
  </si>
  <si>
    <t>JustYouAndMeAndMyGUARDS</t>
  </si>
  <si>
    <t>KaleidoscopeHair</t>
  </si>
  <si>
    <t>Kamehamehadoken</t>
  </si>
  <si>
    <t>KaraokeBox</t>
  </si>
  <si>
    <t>KeepCirculatingTheTapes</t>
  </si>
  <si>
    <t>KidFromTheFuture</t>
  </si>
  <si>
    <t>KillingForATissueSample</t>
  </si>
  <si>
    <t>KimonoFanservice</t>
  </si>
  <si>
    <t>KindlyHousekeeper</t>
  </si>
  <si>
    <t>KingmakerScenario</t>
  </si>
  <si>
    <t>KitschCollection</t>
  </si>
  <si>
    <t>KnightsAndKnaves</t>
  </si>
  <si>
    <t>KnockKnockJoke</t>
  </si>
  <si>
    <t>KuleshovEffect</t>
  </si>
  <si>
    <t>KungFuWizard</t>
  </si>
  <si>
    <t>LaBelleEpoque</t>
  </si>
  <si>
    <t>LabPet</t>
  </si>
  <si>
    <t>LadyInWaiting</t>
  </si>
  <si>
    <t>LamePun</t>
  </si>
  <si>
    <t>LandfillBeyondTheStars</t>
  </si>
  <si>
    <t>LandslideElection</t>
  </si>
  <si>
    <t>LanguageEqualsThought</t>
  </si>
  <si>
    <t>LargeHamRadio</t>
  </si>
  <si>
    <t>LaserGuidedTykebomb</t>
  </si>
  <si>
    <t>LastOfHerKind</t>
  </si>
  <si>
    <t>LawEnforcementInc</t>
  </si>
  <si>
    <t>LeavingYouToFindMyself</t>
  </si>
  <si>
    <t>LeonineContract</t>
  </si>
  <si>
    <t>Leprechaun</t>
  </si>
  <si>
    <t>LethalKlutz</t>
  </si>
  <si>
    <t>LethallyExpensive</t>
  </si>
  <si>
    <t>LetsMeetTheMeat</t>
  </si>
  <si>
    <t>LightEmUp</t>
  </si>
  <si>
    <t>LightEqualsHope</t>
  </si>
  <si>
    <t>LightmareFuel</t>
  </si>
  <si>
    <t>Lilliputians</t>
  </si>
  <si>
    <t>LiteralChangeOfHeart</t>
  </si>
  <si>
    <t>LiteralSurveillanceBug</t>
  </si>
  <si>
    <t>LittleGreenMen</t>
  </si>
  <si>
    <t>LittleRedFightingHood</t>
  </si>
  <si>
    <t>LongRangeFighter</t>
  </si>
  <si>
    <t>LooksLikeSheIsEnjoyingIt</t>
  </si>
  <si>
    <t>LoopingLines</t>
  </si>
  <si>
    <t>LoserSonOfLoserDad</t>
  </si>
  <si>
    <t>LostWillAndTestament</t>
  </si>
  <si>
    <t>LoveTranscendsSpacetime</t>
  </si>
  <si>
    <t>LoweredRecruitingStandards</t>
  </si>
  <si>
    <t>LoyalPhlebotinum</t>
  </si>
  <si>
    <t>LukeIMightBeYourFather</t>
  </si>
  <si>
    <t>Lunarians</t>
  </si>
  <si>
    <t>LyingToProtectYourFeelings</t>
  </si>
  <si>
    <t>MachineWorship</t>
  </si>
  <si>
    <t>MachoCamp</t>
  </si>
  <si>
    <t>MagicalAsian</t>
  </si>
  <si>
    <t>MagicalEye</t>
  </si>
  <si>
    <t>MagicMeteor</t>
  </si>
  <si>
    <t>MagicStaff</t>
  </si>
  <si>
    <t>MagneticPlotDevice</t>
  </si>
  <si>
    <t>MagneticWeapons</t>
  </si>
  <si>
    <t>MagnumOpus</t>
  </si>
  <si>
    <t>MaleMightFemaleFinesse</t>
  </si>
  <si>
    <t>MasculineFeminineGayCouple</t>
  </si>
  <si>
    <t>MassiveMultiplayerEnsembleNumber</t>
  </si>
  <si>
    <t>MassTeleportation</t>
  </si>
  <si>
    <t>MasterRace</t>
  </si>
  <si>
    <t>MaternallyChallenged</t>
  </si>
  <si>
    <t>MattressTagGag</t>
  </si>
  <si>
    <t>MauriceChevalierAccent</t>
  </si>
  <si>
    <t>MeatPuppet</t>
  </si>
  <si>
    <t>MechanicalMonster</t>
  </si>
  <si>
    <t>MeddlesomePatrolman</t>
  </si>
  <si>
    <t>MedievalStasis</t>
  </si>
  <si>
    <t>MegaManning</t>
  </si>
  <si>
    <t>MelancholyMoon</t>
  </si>
  <si>
    <t>MemoryWipingCrew</t>
  </si>
  <si>
    <t>MentalAffair</t>
  </si>
  <si>
    <t>MetalScream</t>
  </si>
  <si>
    <t>MidairRepair</t>
  </si>
  <si>
    <t>MiddleManagementMook</t>
  </si>
  <si>
    <t>MilitaryAcademy</t>
  </si>
  <si>
    <t>MilitarySalute</t>
  </si>
  <si>
    <t>MindControlMusic</t>
  </si>
  <si>
    <t>MinskyPickup</t>
  </si>
  <si>
    <t>MirthlessLaughter</t>
  </si>
  <si>
    <t>MissedTheBus</t>
  </si>
  <si>
    <t>MissionControlIsOffItsMeds</t>
  </si>
  <si>
    <t>MistakenForAliens</t>
  </si>
  <si>
    <t>MistakenForMasturbating</t>
  </si>
  <si>
    <t>MisterExposition</t>
  </si>
  <si>
    <t>MobBossSuitFitting</t>
  </si>
  <si>
    <t>MockingMusic</t>
  </si>
  <si>
    <t>ModernMajorGeneral</t>
  </si>
  <si>
    <t>ModestRoyalty</t>
  </si>
  <si>
    <t>Monologuing</t>
  </si>
  <si>
    <t>MonsterFangirl</t>
  </si>
  <si>
    <t>MonsterMunch</t>
  </si>
  <si>
    <t>MoodKiller</t>
  </si>
  <si>
    <t>MoralityChainBeyondTheGrave</t>
  </si>
  <si>
    <t>MoralLuck</t>
  </si>
  <si>
    <t>MortalityPhobia</t>
  </si>
  <si>
    <t>MostWritersAreMale</t>
  </si>
  <si>
    <t>MotivationalKiss</t>
  </si>
  <si>
    <t>MotiveEqualsConclusiveEvidence</t>
  </si>
  <si>
    <t>Mouthscreen</t>
  </si>
  <si>
    <t>MultiGenderedSplitPersonalities</t>
  </si>
  <si>
    <t>Multishot</t>
  </si>
  <si>
    <t>MumLooksLikeASister</t>
  </si>
  <si>
    <t>MunchausenSyndrome</t>
  </si>
  <si>
    <t>Muppet</t>
  </si>
  <si>
    <t>MurderersAreRapists</t>
  </si>
  <si>
    <t>MurderousMannequin</t>
  </si>
  <si>
    <t>MuseumOfTheStrangeAndUnusual</t>
  </si>
  <si>
    <t>MusicalEpisode</t>
  </si>
  <si>
    <t>MusicalGag</t>
  </si>
  <si>
    <t>MusicOfNote</t>
  </si>
  <si>
    <t>MusicVideo</t>
  </si>
  <si>
    <t>MyHeroZero</t>
  </si>
  <si>
    <t>MyopicArchitecture</t>
  </si>
  <si>
    <t>MySiblingWillLiveThroughMe</t>
  </si>
  <si>
    <t>MysteriousInformant</t>
  </si>
  <si>
    <t>MysteriousWoman</t>
  </si>
  <si>
    <t>MythicalMotifs</t>
  </si>
  <si>
    <t>NaiveAnimalLover</t>
  </si>
  <si>
    <t>NapInducingSpeak</t>
  </si>
  <si>
    <t>NauseaDissonance</t>
  </si>
  <si>
    <t>NauticalKnockout</t>
  </si>
  <si>
    <t>Necromancer</t>
  </si>
  <si>
    <t>Nerf</t>
  </si>
  <si>
    <t>NerfArm</t>
  </si>
  <si>
    <t>NewerThanTheyThink</t>
  </si>
  <si>
    <t>NewParentNomenclatureProblem</t>
  </si>
  <si>
    <t>NewsMonopoly</t>
  </si>
  <si>
    <t>NewYearsResolution</t>
  </si>
  <si>
    <t>NobodyCanDie</t>
  </si>
  <si>
    <t>NoConservationOfEnergy</t>
  </si>
  <si>
    <t>NoDressCode</t>
  </si>
  <si>
    <t>NoExportForYou</t>
  </si>
  <si>
    <t>NoHoldsBarredContest</t>
  </si>
  <si>
    <t>NonAppearingTitle</t>
  </si>
  <si>
    <t>NonNaziSwastika</t>
  </si>
  <si>
    <t>NoOneSeesTheBoss</t>
  </si>
  <si>
    <t>NormallyIWouldBeDeadNow</t>
  </si>
  <si>
    <t>NoShirtLongJacket</t>
  </si>
  <si>
    <t>NostalgiaHeaven</t>
  </si>
  <si>
    <t>NotEvenHuman</t>
  </si>
  <si>
    <t>NotOnTheList</t>
  </si>
  <si>
    <t>NotThatTheresAnythingWrongWithThat</t>
  </si>
  <si>
    <t>NotWearingPantsDream</t>
  </si>
  <si>
    <t>NounVerber</t>
  </si>
  <si>
    <t>NoWarrantNoProblem</t>
  </si>
  <si>
    <t>NowThatsUsingYourTeeth</t>
  </si>
  <si>
    <t>NPlusOneSequelTitle</t>
  </si>
  <si>
    <t>NuclearWeaponsTaboo</t>
  </si>
  <si>
    <t>NunsNRosaries</t>
  </si>
  <si>
    <t>ObligatoryEarpieceTouch</t>
  </si>
  <si>
    <t>OfficialKiss</t>
  </si>
  <si>
    <t>OffingTheMouth</t>
  </si>
  <si>
    <t>OffscreenRealityWarp</t>
  </si>
  <si>
    <t>Ojou</t>
  </si>
  <si>
    <t>OlderIsBetter</t>
  </si>
  <si>
    <t>OldFlameFizzle</t>
  </si>
  <si>
    <t>OminousOperaCape</t>
  </si>
  <si>
    <t>OmnidisciplinaryLawyer</t>
  </si>
  <si>
    <t>OneBadMother</t>
  </si>
  <si>
    <t>OneManBand</t>
  </si>
  <si>
    <t>OneSceneTwoMonologues</t>
  </si>
  <si>
    <t>OneToMillionToOne</t>
  </si>
  <si>
    <t>OneTrackMindedArtist</t>
  </si>
  <si>
    <t>OnlyElectricSheepAreCheap</t>
  </si>
  <si>
    <t>OnlySmartPeopleMayPass</t>
  </si>
  <si>
    <t>OnlyTheChosenMayRide</t>
  </si>
  <si>
    <t>OrderedApology</t>
  </si>
  <si>
    <t>OtherMeAnnoysMe</t>
  </si>
  <si>
    <t>OurCryptidsAreMoreMysterious</t>
  </si>
  <si>
    <t>OurGnomesAreWeirder</t>
  </si>
  <si>
    <t>OverlyLongSpanishName</t>
  </si>
  <si>
    <t>OvernightAgeUp</t>
  </si>
  <si>
    <t>OverreactingAirportSecurity</t>
  </si>
  <si>
    <t>OverTheTopChristmasDecorations</t>
  </si>
  <si>
    <t>OverusedRunningGag</t>
  </si>
  <si>
    <t>PageThreeStunna</t>
  </si>
  <si>
    <t>PantomimeAnimal</t>
  </si>
  <si>
    <t>ParasolParachute</t>
  </si>
  <si>
    <t>ParentalBetrayal</t>
  </si>
  <si>
    <t>ParentalFashionVeto</t>
  </si>
  <si>
    <t>ParentsKnowTheirChildren</t>
  </si>
  <si>
    <t>ParrotExpowhat</t>
  </si>
  <si>
    <t>ParrotPetPosition</t>
  </si>
  <si>
    <t>PartyScattering</t>
  </si>
  <si>
    <t>PasswordSlotMachine</t>
  </si>
  <si>
    <t>PathOfInspiration</t>
  </si>
  <si>
    <t>PeaceAndLoveIncorporated</t>
  </si>
  <si>
    <t>PeacePipe</t>
  </si>
  <si>
    <t>PeggySue</t>
  </si>
  <si>
    <t>PerformanceVideo</t>
  </si>
  <si>
    <t>PerformerGuise</t>
  </si>
  <si>
    <t>PerpWalk</t>
  </si>
  <si>
    <t>PerspectiveReversal</t>
  </si>
  <si>
    <t>PhantomThief</t>
  </si>
  <si>
    <t>PhantomZone</t>
  </si>
  <si>
    <t>PhlebotinumBomb</t>
  </si>
  <si>
    <t>PhlebotinumBreakdown</t>
  </si>
  <si>
    <t>PhlebotinumKilledTheDinosaurs</t>
  </si>
  <si>
    <t>PhosphorEssence</t>
  </si>
  <si>
    <t>PhotosLie</t>
  </si>
  <si>
    <t>PickyEater</t>
  </si>
  <si>
    <t>PillowPregnancy</t>
  </si>
  <si>
    <t>PingPongNaivete</t>
  </si>
  <si>
    <t>PipeMaze</t>
  </si>
  <si>
    <t>PlaceOfProtection</t>
  </si>
  <si>
    <t>PlantAliens</t>
  </si>
  <si>
    <t>PlasmaCannon</t>
  </si>
  <si>
    <t>PlayingTheVictimCard</t>
  </si>
  <si>
    <t>PleaBargain</t>
  </si>
  <si>
    <t>PlentyOfBlondes</t>
  </si>
  <si>
    <t>PlotTime</t>
  </si>
  <si>
    <t>PlugNPlayTechnology</t>
  </si>
  <si>
    <t>PoeticSerialKiller</t>
  </si>
  <si>
    <t>PoisonousCaptive</t>
  </si>
  <si>
    <t>PoliceCodeForEverything</t>
  </si>
  <si>
    <t>PollutedWasteland</t>
  </si>
  <si>
    <t>PompousPoliticalPundit</t>
  </si>
  <si>
    <t>PopularHistory</t>
  </si>
  <si>
    <t>PopulationXAndCounting</t>
  </si>
  <si>
    <t>PortableHole</t>
  </si>
  <si>
    <t>PortalBook</t>
  </si>
  <si>
    <t>PostApocalypticGasmask</t>
  </si>
  <si>
    <t>PostApunkalypticArmor</t>
  </si>
  <si>
    <t>PostHistoricalTrauma</t>
  </si>
  <si>
    <t>PottyDance</t>
  </si>
  <si>
    <t>PowersViaPossession</t>
  </si>
  <si>
    <t>PowerUpFood</t>
  </si>
  <si>
    <t>PrecrimeArrest</t>
  </si>
  <si>
    <t>PredatorTurnedProtector</t>
  </si>
  <si>
    <t>Prelap</t>
  </si>
  <si>
    <t>PrematurelyMarkedGrave</t>
  </si>
  <si>
    <t>ProdigalHero</t>
  </si>
  <si>
    <t>ProfessionalSexEd</t>
  </si>
  <si>
    <t>ProhibitedHeroSavesTheDay</t>
  </si>
  <si>
    <t>PromotedFanboy</t>
  </si>
  <si>
    <t>PropheticNames</t>
  </si>
  <si>
    <t>ProstheticLimbReveal</t>
  </si>
  <si>
    <t>ProtagonistCentredMorality</t>
  </si>
  <si>
    <t>PubliclyDiscussingTheSecret</t>
  </si>
  <si>
    <t>PuppetMaster</t>
  </si>
  <si>
    <t>PurityPersonified</t>
  </si>
  <si>
    <t>PuritySue</t>
  </si>
  <si>
    <t>PuttingTheMedicInComedic</t>
  </si>
  <si>
    <t>QuarrelingSong</t>
  </si>
  <si>
    <t>QuietCryForHelp</t>
  </si>
  <si>
    <t>RacistGrandpa</t>
  </si>
  <si>
    <t>RadialAssKicking</t>
  </si>
  <si>
    <t>RadioSilence</t>
  </si>
  <si>
    <t>RaginCajun</t>
  </si>
  <si>
    <t>RandomSmokingScene</t>
  </si>
  <si>
    <t>RawEggsMakeYouStronger</t>
  </si>
  <si>
    <t>ReadingAheadInTheScript</t>
  </si>
  <si>
    <t>RealityTV</t>
  </si>
  <si>
    <t>RealMenTakeItBlack</t>
  </si>
  <si>
    <t>RecurringCharacter</t>
  </si>
  <si>
    <t>RedemptionFailure</t>
  </si>
  <si>
    <t>RedGreenContrast</t>
  </si>
  <si>
    <t>RedundantParody</t>
  </si>
  <si>
    <t>RefusedTheCall</t>
  </si>
  <si>
    <t>RegionalRedecoration</t>
  </si>
  <si>
    <t>RegretEatingMe</t>
  </si>
  <si>
    <t>RelationshipCompression</t>
  </si>
  <si>
    <t>RelativelyFlimsyExcuse</t>
  </si>
  <si>
    <t>ReligionIsWrong</t>
  </si>
  <si>
    <t>RememberWhenYouBlewUpASun</t>
  </si>
  <si>
    <t>RepeatedCueTardyResponse</t>
  </si>
  <si>
    <t>ReplacementScrappy</t>
  </si>
  <si>
    <t>ReplicantSnatching</t>
  </si>
  <si>
    <t>RepriseMedley</t>
  </si>
  <si>
    <t>ResistTheBeast</t>
  </si>
  <si>
    <t>RetailTherapy</t>
  </si>
  <si>
    <t>RetroactivePreparation</t>
  </si>
  <si>
    <t>ReVision</t>
  </si>
  <si>
    <t>RevolvingDoorBand</t>
  </si>
  <si>
    <t>RewrittenPopVersion</t>
  </si>
  <si>
    <t>RhymingWithItself</t>
  </si>
  <si>
    <t>Rimshot</t>
  </si>
  <si>
    <t>RippingOffTheStringOfPearls</t>
  </si>
  <si>
    <t>RivalsTeamUp</t>
  </si>
  <si>
    <t>RoadMovie</t>
  </si>
  <si>
    <t>RobotNames</t>
  </si>
  <si>
    <t>RockPaperScissors</t>
  </si>
  <si>
    <t>RomanceEnsues</t>
  </si>
  <si>
    <t>RotatingProtagonist</t>
  </si>
  <si>
    <t>RunningOnAllFours</t>
  </si>
  <si>
    <t>RustproofBlood</t>
  </si>
  <si>
    <t>SacredScripture</t>
  </si>
  <si>
    <t>SalvagePirates</t>
  </si>
  <si>
    <t>SamaritanRelationshipStarter</t>
  </si>
  <si>
    <t>SarcasticDevotee</t>
  </si>
  <si>
    <t>SatireParodyPastiche</t>
  </si>
  <si>
    <t>SaveTheWorld</t>
  </si>
  <si>
    <t>SaveThisPersonSaveTheWorld</t>
  </si>
  <si>
    <t>ScalesOfJustice</t>
  </si>
  <si>
    <t>ScamReligion</t>
  </si>
  <si>
    <t>ScareDare</t>
  </si>
  <si>
    <t>ScareQuotes</t>
  </si>
  <si>
    <t>ScaryAnimalTitle</t>
  </si>
  <si>
    <t>Scatting</t>
  </si>
  <si>
    <t>ScavengerHunt</t>
  </si>
  <si>
    <t>ScreamingAtSquick</t>
  </si>
  <si>
    <t>ScrewTheRulesTheyBrokeThemFirst</t>
  </si>
  <si>
    <t>ScryVsScry</t>
  </si>
  <si>
    <t>SecretWar</t>
  </si>
  <si>
    <t>SecretWeapon</t>
  </si>
  <si>
    <t>SeeTheInvisible</t>
  </si>
  <si>
    <t>SeeTheWhitesOfTheirEyes</t>
  </si>
  <si>
    <t>SeinfeldIsUnfunny</t>
  </si>
  <si>
    <t>SelfDuplication</t>
  </si>
  <si>
    <t>SelfOffense</t>
  </si>
  <si>
    <t>SelfRestraint</t>
  </si>
  <si>
    <t>Seme</t>
  </si>
  <si>
    <t>SenseLossSadness</t>
  </si>
  <si>
    <t>SequencingDeception</t>
  </si>
  <si>
    <t>SerialRomeo</t>
  </si>
  <si>
    <t>SeriouslyScruffy</t>
  </si>
  <si>
    <t>SesameStreetCred</t>
  </si>
  <si>
    <t>SexDressed</t>
  </si>
  <si>
    <t>SexEqualsDeath</t>
  </si>
  <si>
    <t>SexTourism</t>
  </si>
  <si>
    <t>SexWithTheEx</t>
  </si>
  <si>
    <t>ShadyRealEstateAgent</t>
  </si>
  <si>
    <t>ShapeshifterDefaultForm</t>
  </si>
  <si>
    <t>ShapeshiftingSquick</t>
  </si>
  <si>
    <t>SharkMan</t>
  </si>
  <si>
    <t>ShesAManInJapan</t>
  </si>
  <si>
    <t>ShinyNewAustralia</t>
  </si>
  <si>
    <t>ShootingTheSwarm</t>
  </si>
  <si>
    <t>ShootTheShaggyDogStory</t>
  </si>
  <si>
    <t>ShortTitleLongElaborateSubtitle</t>
  </si>
  <si>
    <t>ShoulderCannon</t>
  </si>
  <si>
    <t>ShowingTheirWork</t>
  </si>
  <si>
    <t>SiegeEngines</t>
  </si>
  <si>
    <t>SignatureRoar</t>
  </si>
  <si>
    <t>SignedUpForTheDental</t>
  </si>
  <si>
    <t>SignsOfTheEndTimes</t>
  </si>
  <si>
    <t>SilentTreatment</t>
  </si>
  <si>
    <t>SimpleScoreOfSadness</t>
  </si>
  <si>
    <t>SimpleYetAwesome</t>
  </si>
  <si>
    <t>SingleIssueWonk</t>
  </si>
  <si>
    <t>SinsOfTheFather</t>
  </si>
  <si>
    <t>SkipTheAnesthetic</t>
  </si>
  <si>
    <t>SlainInTheirSleep</t>
  </si>
  <si>
    <t>SlaveGalley</t>
  </si>
  <si>
    <t>SlaveMooks</t>
  </si>
  <si>
    <t>SleepsInTheNude</t>
  </si>
  <si>
    <t>SlidingScaleOfVampireFriendliness</t>
  </si>
  <si>
    <t>SlowTransformation</t>
  </si>
  <si>
    <t>SmallUniverseAfterAll</t>
  </si>
  <si>
    <t>SnakeCharmer</t>
  </si>
  <si>
    <t>SnobsVersusSlobs</t>
  </si>
  <si>
    <t>SocialDarwinist</t>
  </si>
  <si>
    <t>SocialMediaBeforeReason</t>
  </si>
  <si>
    <t>SocialMediaIsBad</t>
  </si>
  <si>
    <t>SofterAndSlowerCover</t>
  </si>
  <si>
    <t>SolitarySorceress</t>
  </si>
  <si>
    <t>SomeCallMeTim</t>
  </si>
  <si>
    <t>SomeoneHasToDoIt</t>
  </si>
  <si>
    <t>SomethingThatBeginsWithBoring</t>
  </si>
  <si>
    <t>SomewhereAMammalogistIsCrying</t>
  </si>
  <si>
    <t>SorryOciffer</t>
  </si>
  <si>
    <t>SoulFragment</t>
  </si>
  <si>
    <t>SoundingItOut</t>
  </si>
  <si>
    <t>SourPrudes</t>
  </si>
  <si>
    <t>Southies</t>
  </si>
  <si>
    <t>SpaceIsAir</t>
  </si>
  <si>
    <t>SpaceMines</t>
  </si>
  <si>
    <t>SpaghettiKiss</t>
  </si>
  <si>
    <t>SpentShellsShower</t>
  </si>
  <si>
    <t>SpiderLimbs</t>
  </si>
  <si>
    <t>SpinningClockHands</t>
  </si>
  <si>
    <t>SpinTheBottle</t>
  </si>
  <si>
    <t>SpontaneousCrowdFormation</t>
  </si>
  <si>
    <t>SpousalPrivilege</t>
  </si>
  <si>
    <t>SpreeKiller</t>
  </si>
  <si>
    <t>StageWhisper</t>
  </si>
  <si>
    <t>StagParty</t>
  </si>
  <si>
    <t>StandardPoliceMotto</t>
  </si>
  <si>
    <t>StandardRoyalCourt</t>
  </si>
  <si>
    <t>StartToCorpse</t>
  </si>
  <si>
    <t>StaticStunGun</t>
  </si>
  <si>
    <t>StealthInSpace</t>
  </si>
  <si>
    <t>SteamNeverDies</t>
  </si>
  <si>
    <t>StepIntoTheBlindingFight</t>
  </si>
  <si>
    <t>StillbornFranchise</t>
  </si>
  <si>
    <t>StillGotIt</t>
  </si>
  <si>
    <t>StockCharacter</t>
  </si>
  <si>
    <t>StockForeignName</t>
  </si>
  <si>
    <t>StockLateralThinkingPuzzle</t>
  </si>
  <si>
    <t>StopCopyingMe</t>
  </si>
  <si>
    <t>StopHavingFunGuys</t>
  </si>
  <si>
    <t>StrawAtheist</t>
  </si>
  <si>
    <t>StrawmanU</t>
  </si>
  <si>
    <t>StubbornMule</t>
  </si>
  <si>
    <t>SuicideNotMurder</t>
  </si>
  <si>
    <t>SuperhumanTransfusion</t>
  </si>
  <si>
    <t>SupernaturalAid</t>
  </si>
  <si>
    <t>SupernormalBindings</t>
  </si>
  <si>
    <t>SweetieGraffiti</t>
  </si>
  <si>
    <t>SwordLimbo</t>
  </si>
  <si>
    <t>SwordPointing</t>
  </si>
  <si>
    <t>SymbolMotifClothing</t>
  </si>
  <si>
    <t>SynchronizedSwarming</t>
  </si>
  <si>
    <t>TackyTuxedo</t>
  </si>
  <si>
    <t>TakeNoPrisoners</t>
  </si>
  <si>
    <t>TalkingThroughTechnique</t>
  </si>
  <si>
    <t>Taps</t>
  </si>
  <si>
    <t>TargetedHumanSacrifice</t>
  </si>
  <si>
    <t>TastyGold</t>
  </si>
  <si>
    <t>TeamChef</t>
  </si>
  <si>
    <t>TeamShot</t>
  </si>
  <si>
    <t>TeamSpirit</t>
  </si>
  <si>
    <t>TechnologicalPacifist</t>
  </si>
  <si>
    <t>Technophobia</t>
  </si>
  <si>
    <t>TenorBoy</t>
  </si>
  <si>
    <t>TenSecondFlashlight</t>
  </si>
  <si>
    <t>TerribleArtist</t>
  </si>
  <si>
    <t>TerrifyingRescuer</t>
  </si>
  <si>
    <t>TestYourStrengthGame</t>
  </si>
  <si>
    <t>ThatsWhatSheSaid</t>
  </si>
  <si>
    <t>ThatSyncingFeeling</t>
  </si>
  <si>
    <t>TheAllegedSteed</t>
  </si>
  <si>
    <t>TheArkOfTheCovenant</t>
  </si>
  <si>
    <t>TheCenterpieceSpectacular</t>
  </si>
  <si>
    <t>TheCharacterDiedWithHim</t>
  </si>
  <si>
    <t>TheClan</t>
  </si>
  <si>
    <t>TheComputerIsYourFriend</t>
  </si>
  <si>
    <t>TheDayTheMusicLied</t>
  </si>
  <si>
    <t>TheDeadHaveEyes</t>
  </si>
  <si>
    <t>TheDividual</t>
  </si>
  <si>
    <t>TheEyesHaveIt</t>
  </si>
  <si>
    <t>TheFakeCutie</t>
  </si>
  <si>
    <t>TheFullNameAdventures</t>
  </si>
  <si>
    <t>TheFutureWillBeBetter</t>
  </si>
  <si>
    <t>TheGameComeToLife</t>
  </si>
  <si>
    <t>TheGiant</t>
  </si>
  <si>
    <t>TheGift</t>
  </si>
  <si>
    <t>TheGoldenRule</t>
  </si>
  <si>
    <t>TheGoodTheBadAndTheEvil</t>
  </si>
  <si>
    <t>TheGrandHunt</t>
  </si>
  <si>
    <t>TheGreatFlood</t>
  </si>
  <si>
    <t>TheHeartless</t>
  </si>
  <si>
    <t>TheHeretic</t>
  </si>
  <si>
    <t>TheHighMiddleAges</t>
  </si>
  <si>
    <t>TheHorseshoeEffect</t>
  </si>
  <si>
    <t>TheJoyOfFirstFlight</t>
  </si>
  <si>
    <t>TheKetchupTest</t>
  </si>
  <si>
    <t>TheKeyIsBehindTheLock</t>
  </si>
  <si>
    <t>TheKillerWasLeftHanded</t>
  </si>
  <si>
    <t>TheLastManHeardAKnock</t>
  </si>
  <si>
    <t>TheLongList</t>
  </si>
  <si>
    <t>TheMaster</t>
  </si>
  <si>
    <t>TheMovieBuff</t>
  </si>
  <si>
    <t>TheNavigator</t>
  </si>
  <si>
    <t>TheObstructiveLoveInterest</t>
  </si>
  <si>
    <t>TheoryOfNarrativeCausality</t>
  </si>
  <si>
    <t>TheOtherMarty</t>
  </si>
  <si>
    <t>ThePenance</t>
  </si>
  <si>
    <t>ThereAreNoRules</t>
  </si>
  <si>
    <t>TheRevealPromptsRomance</t>
  </si>
  <si>
    <t>TheRightHandOfDoom</t>
  </si>
  <si>
    <t>TheShill</t>
  </si>
  <si>
    <t>TheSocialExpert</t>
  </si>
  <si>
    <t>TheSongBeforeTheStorm</t>
  </si>
  <si>
    <t>TheSpearOfDestiny</t>
  </si>
  <si>
    <t>TheTeamWannabe</t>
  </si>
  <si>
    <t>TheTragicRose</t>
  </si>
  <si>
    <t>TheyDiedBecauseOfYou</t>
  </si>
  <si>
    <t>TheyKnowTooMuch</t>
  </si>
  <si>
    <t>TheyReallyDoLoveEachOther</t>
  </si>
  <si>
    <t>TheyreCalledPersonalIssuesForAReason</t>
  </si>
  <si>
    <t>ThingsGetReal</t>
  </si>
  <si>
    <t>ThingsManWasNotMeantToKnow</t>
  </si>
  <si>
    <t>ThinkOfTheCensors</t>
  </si>
  <si>
    <t>ThirtySecondBlackout</t>
  </si>
  <si>
    <t>ThisAintRocketSurgery</t>
  </si>
  <si>
    <t>ThisBearWasFramed</t>
  </si>
  <si>
    <t>ThousandYearReign</t>
  </si>
  <si>
    <t>ThrowDownTheBomblet</t>
  </si>
  <si>
    <t>TimePolice</t>
  </si>
  <si>
    <t>TinfoilHat</t>
  </si>
  <si>
    <t>TinTyrant</t>
  </si>
  <si>
    <t>ToiletTeleportation</t>
  </si>
  <si>
    <t>TokenBlack</t>
  </si>
  <si>
    <t>TokenWholesome</t>
  </si>
  <si>
    <t>TontoTalk</t>
  </si>
  <si>
    <t>TookALevelInCynic</t>
  </si>
  <si>
    <t>TookAThirdOption</t>
  </si>
  <si>
    <t>TooLongDidntDub</t>
  </si>
  <si>
    <t>TooManyHalves</t>
  </si>
  <si>
    <t>ToppledStatue</t>
  </si>
  <si>
    <t>TorpedoTits</t>
  </si>
  <si>
    <t>ToTheBatpole</t>
  </si>
  <si>
    <t>ToTheTuneOf</t>
  </si>
  <si>
    <t>TournamentArc</t>
  </si>
  <si>
    <t>TrackTrouble</t>
  </si>
  <si>
    <t>TragicDropout</t>
  </si>
  <si>
    <t>TrailerSpoof</t>
  </si>
  <si>
    <t>Trainstopping</t>
  </si>
  <si>
    <t>TranquilizerDart</t>
  </si>
  <si>
    <t>Transvestite</t>
  </si>
  <si>
    <t>TrapMaster</t>
  </si>
  <si>
    <t>Trekkie</t>
  </si>
  <si>
    <t>TrenchcoatWarfare</t>
  </si>
  <si>
    <t>TrickedOutShoes</t>
  </si>
  <si>
    <t>Tritagonist</t>
  </si>
  <si>
    <t>TropicalIslandAdventure</t>
  </si>
  <si>
    <t>TroublingUnchildhoodBehavior</t>
  </si>
  <si>
    <t>TurnTheOtherFist</t>
  </si>
  <si>
    <t>TwistingTheWords</t>
  </si>
  <si>
    <t>TwoPlusTortureMakesFive</t>
  </si>
  <si>
    <t>Tyrannicide</t>
  </si>
  <si>
    <t>UndeadAuthor</t>
  </si>
  <si>
    <t>UnexpectedCharacter</t>
  </si>
  <si>
    <t>UnflinchingFaithInTheBrakes</t>
  </si>
  <si>
    <t>UngratefulTownsfolk</t>
  </si>
  <si>
    <t>UniformityException</t>
  </si>
  <si>
    <t>UnintentionallyNotoriousCrime</t>
  </si>
  <si>
    <t>UnsoundEffect</t>
  </si>
  <si>
    <t>UnstuckInTime</t>
  </si>
  <si>
    <t>UnusualDysphemism</t>
  </si>
  <si>
    <t>UsingYouAllAlong</t>
  </si>
  <si>
    <t>VampiresHarem</t>
  </si>
  <si>
    <t>VampiresHateGarlic</t>
  </si>
  <si>
    <t>VampiresSleepInCoffins</t>
  </si>
  <si>
    <t>VehicularKidnapping</t>
  </si>
  <si>
    <t>ViciousCycle</t>
  </si>
  <si>
    <t>VillainBeatingArtifact</t>
  </si>
  <si>
    <t>VillainousGentrification</t>
  </si>
  <si>
    <t>VillainousPlanInertia</t>
  </si>
  <si>
    <t>VillainousWidowsPeak</t>
  </si>
  <si>
    <t>VirginVision</t>
  </si>
  <si>
    <t>VolcanoLair</t>
  </si>
  <si>
    <t>VoteEarlyVoteOften</t>
  </si>
  <si>
    <t>VoxPops</t>
  </si>
  <si>
    <t>WalkInChimeIn</t>
  </si>
  <si>
    <t>WalkingInRhythm</t>
  </si>
  <si>
    <t>WantsAPrizeForBasicDecency</t>
  </si>
  <si>
    <t>WarmUpBoss</t>
  </si>
  <si>
    <t>WaterIsDry</t>
  </si>
  <si>
    <t>WatertowerDown</t>
  </si>
  <si>
    <t>Wedgie</t>
  </si>
  <si>
    <t>WestminsterChimes</t>
  </si>
  <si>
    <t>WeWantOurJerkBack</t>
  </si>
  <si>
    <t>WeWillNotHavePocketsInTheFuture</t>
  </si>
  <si>
    <t>WhatAreRecords</t>
  </si>
  <si>
    <t>WhenDimensionsCollide</t>
  </si>
  <si>
    <t>WhisperingGhosts</t>
  </si>
  <si>
    <t>Whodunnit</t>
  </si>
  <si>
    <t>WhoNeedsOvertime</t>
  </si>
  <si>
    <t>WhyDontYouMarryIt</t>
  </si>
  <si>
    <t>WhyIsntItAttacking</t>
  </si>
  <si>
    <t>WhyWeCantHaveNiceThings</t>
  </si>
  <si>
    <t>WickedStepfather</t>
  </si>
  <si>
    <t>WideEyesAndShrunkenIrises</t>
  </si>
  <si>
    <t>WillingChanneler</t>
  </si>
  <si>
    <t>WindsOfDestinyChange</t>
  </si>
  <si>
    <t>WinningOverTheKids</t>
  </si>
  <si>
    <t>WinOneForTheGipper</t>
  </si>
  <si>
    <t>WithGreatPowerComesGreatPerks</t>
  </si>
  <si>
    <t>WithholdingTheCure</t>
  </si>
  <si>
    <t>WizardBeard</t>
  </si>
  <si>
    <t>WokFu</t>
  </si>
  <si>
    <t>WombHorror</t>
  </si>
  <si>
    <t>WombLevel</t>
  </si>
  <si>
    <t>WomenAreDelicate</t>
  </si>
  <si>
    <t>WonTheWarLostThePeace</t>
  </si>
  <si>
    <t>Woolseyism</t>
  </si>
  <si>
    <t>WordAssociationTest</t>
  </si>
  <si>
    <t>WorkInfoTitle</t>
  </si>
  <si>
    <t>WorthlessForeignDegree</t>
  </si>
  <si>
    <t>Wrath</t>
  </si>
  <si>
    <t>WritingAboutYourCrime</t>
  </si>
  <si>
    <t>WritingByTheSeatOfYourPants</t>
  </si>
  <si>
    <t>WrittenInInfirmity</t>
  </si>
  <si>
    <t>WrongfullyAccused</t>
  </si>
  <si>
    <t>WrongTurnAtAlbuquerque</t>
  </si>
  <si>
    <t>WrongWire</t>
  </si>
  <si>
    <t>YetAnotherBabyPanda</t>
  </si>
  <si>
    <t>YouALLLookFamiliar</t>
  </si>
  <si>
    <t>YouAnsweredYourOwnQuestion</t>
  </si>
  <si>
    <t>YouGotMurder</t>
  </si>
  <si>
    <t>YouMustBeThisTallToRide</t>
  </si>
  <si>
    <t>YouNeverDidThatForMe</t>
  </si>
  <si>
    <t>YoungConqueror</t>
  </si>
  <si>
    <t>YourLittleDismissiveDiminutive</t>
  </si>
  <si>
    <t>YourTraditionIsNotMine</t>
  </si>
  <si>
    <t>YouSaidYouCouldntDance</t>
  </si>
  <si>
    <t>YouSayTomato</t>
  </si>
  <si>
    <t>YouthfulFreckles</t>
  </si>
  <si>
    <t>YouWillKnowWhatToDo</t>
  </si>
  <si>
    <t>YouWouldDoTheSameForMe</t>
  </si>
  <si>
    <t>ZombiePukeAttack</t>
  </si>
  <si>
    <t>AbsurdlyCoolCity</t>
  </si>
  <si>
    <t>AccidentalBid</t>
  </si>
  <si>
    <t>AccidentallyCorrectWriting</t>
  </si>
  <si>
    <t>AChatWithSatan</t>
  </si>
  <si>
    <t>ActorRoleConfusion</t>
  </si>
  <si>
    <t>ActorSwap</t>
  </si>
  <si>
    <t>AdaptationalExpansion</t>
  </si>
  <si>
    <t>AdaptationalSkimpiness</t>
  </si>
  <si>
    <t>ADickInName</t>
  </si>
  <si>
    <t>AdoptedToTheHouse</t>
  </si>
  <si>
    <t>AdoptionDiss</t>
  </si>
  <si>
    <t>AdoringThePests</t>
  </si>
  <si>
    <t>AdvantageBall</t>
  </si>
  <si>
    <t>AdventureRebuff</t>
  </si>
  <si>
    <t>AdventurousIrishViolins</t>
  </si>
  <si>
    <t>Aesoptinum</t>
  </si>
  <si>
    <t>AffirmativeActionLegacy</t>
  </si>
  <si>
    <t>AfterActionVillainAnalysis</t>
  </si>
  <si>
    <t>AgeOfTitles</t>
  </si>
  <si>
    <t>AirQuotes</t>
  </si>
  <si>
    <t>AlienLandmass</t>
  </si>
  <si>
    <t>AllAsiansKnowKungFu</t>
  </si>
  <si>
    <t>AllegedLookalikes</t>
  </si>
  <si>
    <t>AllGuysWantSororityWomen</t>
  </si>
  <si>
    <t>AllKnowingSingingNarrator</t>
  </si>
  <si>
    <t>AllMenAreRapists</t>
  </si>
  <si>
    <t>AllNaturalGemPolish</t>
  </si>
  <si>
    <t>AllNaturalSnakeOil</t>
  </si>
  <si>
    <t>AllTheOtherReindeer</t>
  </si>
  <si>
    <t>AllUpToYou</t>
  </si>
  <si>
    <t>AllWomenAreDomsAllMenAreSubs</t>
  </si>
  <si>
    <t>AloneWithPrisonerPloy</t>
  </si>
  <si>
    <t>AlternateCompanyEquivalent</t>
  </si>
  <si>
    <t>AltoVillainess</t>
  </si>
  <si>
    <t>Alucard</t>
  </si>
  <si>
    <t>AlwaysKnowAPilot</t>
  </si>
  <si>
    <t>AmazingTechnicolorWorld</t>
  </si>
  <si>
    <t>AmnesiacResonance</t>
  </si>
  <si>
    <t>AmputationStopsSpread</t>
  </si>
  <si>
    <t>AnAstralProjectionNotAGhost</t>
  </si>
  <si>
    <t>AnAxToGrind</t>
  </si>
  <si>
    <t>AnchoredShip</t>
  </si>
  <si>
    <t>AncientTradition</t>
  </si>
  <si>
    <t>AngelicTransformation</t>
  </si>
  <si>
    <t>AngelsInOvercoats</t>
  </si>
  <si>
    <t>AnimalCompanion</t>
  </si>
  <si>
    <t>AnimalJingoism</t>
  </si>
  <si>
    <t>AnimalThemeNaming</t>
  </si>
  <si>
    <t>AnimationAgeGhetto</t>
  </si>
  <si>
    <t>AnimationBump</t>
  </si>
  <si>
    <t>AnonymousKillerNarrator</t>
  </si>
  <si>
    <t>AnonymousRinger</t>
  </si>
  <si>
    <t>AntagonisticGovernor</t>
  </si>
  <si>
    <t>Anthology</t>
  </si>
  <si>
    <t>APirate400YearsTooLate</t>
  </si>
  <si>
    <t>ApparentlyPowerlessPuppetmaster</t>
  </si>
  <si>
    <t>AppealToVanity</t>
  </si>
  <si>
    <t>ApprovalOfGod</t>
  </si>
  <si>
    <t>ArchNemesis</t>
  </si>
  <si>
    <t>ArmoredCoffins</t>
  </si>
  <si>
    <t>ArtificialGill</t>
  </si>
  <si>
    <t>ArtificialStupidity</t>
  </si>
  <si>
    <t>ArtImitatesLife</t>
  </si>
  <si>
    <t>ArtInitiatesLife</t>
  </si>
  <si>
    <t>ArtisticLicence</t>
  </si>
  <si>
    <t>ArtisticLicenseStatistics</t>
  </si>
  <si>
    <t>AScarToRemember</t>
  </si>
  <si>
    <t>AssimilationAcademy</t>
  </si>
  <si>
    <t>AssimilationBackfire</t>
  </si>
  <si>
    <t>AttackHello</t>
  </si>
  <si>
    <t>AudienceShift</t>
  </si>
  <si>
    <t>AudienceWhatAudience</t>
  </si>
  <si>
    <t>AuthorPowers</t>
  </si>
  <si>
    <t>AuthorsSavingThrow</t>
  </si>
  <si>
    <t>AwakenTheSleepingGiant</t>
  </si>
  <si>
    <t>AwfulBritishSexComedy</t>
  </si>
  <si>
    <t>AWildRapperAppears</t>
  </si>
  <si>
    <t>AwkwardlyPlacedBathtub</t>
  </si>
  <si>
    <t>BackBlocking</t>
  </si>
  <si>
    <t>BackgroundMusic</t>
  </si>
  <si>
    <t>BackStab</t>
  </si>
  <si>
    <t>BackupFromOtherworld</t>
  </si>
  <si>
    <t>BadassLongRobe</t>
  </si>
  <si>
    <t>BadPowersGoodPeople</t>
  </si>
  <si>
    <t>BalanceOfPower</t>
  </si>
  <si>
    <t>BallCannon</t>
  </si>
  <si>
    <t>BananaInTheTailpipe</t>
  </si>
  <si>
    <t>BankToaster</t>
  </si>
  <si>
    <t>BannedInChina</t>
  </si>
  <si>
    <t>BathOfPoverty</t>
  </si>
  <si>
    <t>BathtubMermaid</t>
  </si>
  <si>
    <t>BatSignal</t>
  </si>
  <si>
    <t>BattleRapping</t>
  </si>
  <si>
    <t>BazaarOfTheBizarre</t>
  </si>
  <si>
    <t>BeachBury</t>
  </si>
  <si>
    <t>BedtimeBrainwashing</t>
  </si>
  <si>
    <t>BeehiveBarrier</t>
  </si>
  <si>
    <t>Beergasm</t>
  </si>
  <si>
    <t>BeerGoggles</t>
  </si>
  <si>
    <t>BelatedBackstory</t>
  </si>
  <si>
    <t>BelatedHappyEnding</t>
  </si>
  <si>
    <t>BellyMouth</t>
  </si>
  <si>
    <t>BerateAndSwitch</t>
  </si>
  <si>
    <t>BewareOfViciousDog</t>
  </si>
  <si>
    <t>BiblicalMotifs</t>
  </si>
  <si>
    <t>BigBulkyBomb</t>
  </si>
  <si>
    <t>BiggerThanJesus</t>
  </si>
  <si>
    <t>BigLabyrinthineBuilding</t>
  </si>
  <si>
    <t>BigSecret</t>
  </si>
  <si>
    <t>BigShadowLittleCreature</t>
  </si>
  <si>
    <t>BishieSparkle</t>
  </si>
  <si>
    <t>BizarreBabyBoom</t>
  </si>
  <si>
    <t>BlackHoleBelly</t>
  </si>
  <si>
    <t>BlackMetal</t>
  </si>
  <si>
    <t>BlackSpot</t>
  </si>
  <si>
    <t>BlindedByRage</t>
  </si>
  <si>
    <t>BlindingBangs</t>
  </si>
  <si>
    <t>BlinkAndYouMissIt</t>
  </si>
  <si>
    <t>BloodFromEveryOrifice</t>
  </si>
  <si>
    <t>BloodOnTheDebateFloor</t>
  </si>
  <si>
    <t>BobFromAccounting</t>
  </si>
  <si>
    <t>BodyBackupDrive</t>
  </si>
  <si>
    <t>BodyOfBodies</t>
  </si>
  <si>
    <t>BombproofAppliance</t>
  </si>
  <si>
    <t>BondColdOpen</t>
  </si>
  <si>
    <t>BookOnTheHead</t>
  </si>
  <si>
    <t>BootCampEpisode</t>
  </si>
  <si>
    <t>BorderCrossing</t>
  </si>
  <si>
    <t>BornInTheTheatre</t>
  </si>
  <si>
    <t>BottomlessPits</t>
  </si>
  <si>
    <t>BravingTheBlizzard</t>
  </si>
  <si>
    <t>BreachingTheWall</t>
  </si>
  <si>
    <t>BreakingOldTrends</t>
  </si>
  <si>
    <t>BrideAndSwitch</t>
  </si>
  <si>
    <t>BridgeLogic</t>
  </si>
  <si>
    <t>BrightCastle</t>
  </si>
  <si>
    <t>BrightIsNotGood</t>
  </si>
  <si>
    <t>BringHelpBack</t>
  </si>
  <si>
    <t>BringingInTheExpert</t>
  </si>
  <si>
    <t>BringTheAnchorAlong</t>
  </si>
  <si>
    <t>BrokeEpisode</t>
  </si>
  <si>
    <t>BrokenWindowWarning</t>
  </si>
  <si>
    <t>BrownNoteBeing</t>
  </si>
  <si>
    <t>BubblegumPopping</t>
  </si>
  <si>
    <t>BucketBoobyTrap</t>
  </si>
  <si>
    <t>BulletHoleSpelling</t>
  </si>
  <si>
    <t>BullSeeingRed</t>
  </si>
  <si>
    <t>BureaucraticallyArrangedMarriage</t>
  </si>
  <si>
    <t>BuryingASubstitute</t>
  </si>
  <si>
    <t>ByThePowerOfGrayskull</t>
  </si>
  <si>
    <t>CallingShotgun</t>
  </si>
  <si>
    <t>CampCook</t>
  </si>
  <si>
    <t>CanadianEqualsHockeyFan</t>
  </si>
  <si>
    <t>CannotDream</t>
  </si>
  <si>
    <t>CanOnlyMoveTheEyes</t>
  </si>
  <si>
    <t>CantHoldHerLiquor</t>
  </si>
  <si>
    <t>CapeSnag</t>
  </si>
  <si>
    <t>CapeSwish</t>
  </si>
  <si>
    <t>CaptainEthnic</t>
  </si>
  <si>
    <t>CaptainSuperhero</t>
  </si>
  <si>
    <t>CapturedSuperEntity</t>
  </si>
  <si>
    <t>CardboardBoxes</t>
  </si>
  <si>
    <t>CardboardPal</t>
  </si>
  <si>
    <t>CareerBuildingBlunder</t>
  </si>
  <si>
    <t>CareerVersusFamily</t>
  </si>
  <si>
    <t>CarryingTheAntidote</t>
  </si>
  <si>
    <t>CarsWithoutTiresAreTrains</t>
  </si>
  <si>
    <t>CastFullOfCrazy</t>
  </si>
  <si>
    <t>CataclysmBackstory</t>
  </si>
  <si>
    <t>CattlePunk</t>
  </si>
  <si>
    <t>CaughtOnTheJumbotron</t>
  </si>
  <si>
    <t>CelebrityStar</t>
  </si>
  <si>
    <t>CensorBox</t>
  </si>
  <si>
    <t>CensorSteam</t>
  </si>
  <si>
    <t>ChainOfPeople</t>
  </si>
  <si>
    <t>ChaoticStupid</t>
  </si>
  <si>
    <t>CharacterFocus</t>
  </si>
  <si>
    <t>CharacterInTheLogo</t>
  </si>
  <si>
    <t>CharacterOutlivesActor</t>
  </si>
  <si>
    <t>ChariotPulledByCats</t>
  </si>
  <si>
    <t>ChattyHairdresser</t>
  </si>
  <si>
    <t>ChezRestaurant</t>
  </si>
  <si>
    <t>ChildrenAreSpecial</t>
  </si>
  <si>
    <t>ChocolateOfRomance</t>
  </si>
  <si>
    <t>ChopSockey</t>
  </si>
  <si>
    <t>ChoreographyPorn</t>
  </si>
  <si>
    <t>ChosenConceptionPartner</t>
  </si>
  <si>
    <t>Chronoscope</t>
  </si>
  <si>
    <t>ChubbyMamaSkinnyPapa</t>
  </si>
  <si>
    <t>ChuteSabotage</t>
  </si>
  <si>
    <t>CirclingBirdies</t>
  </si>
  <si>
    <t>CircularDrive</t>
  </si>
  <si>
    <t>CivilizationDestroyer</t>
  </si>
  <si>
    <t>ClashOfEvolutionaryLevels</t>
  </si>
  <si>
    <t>ClipboardOfAuthority</t>
  </si>
  <si>
    <t>ClipItsWings</t>
  </si>
  <si>
    <t>CListFodder</t>
  </si>
  <si>
    <t>ClothFu</t>
  </si>
  <si>
    <t>ClumsyCopyrightCensorship</t>
  </si>
  <si>
    <t>CoatFullOfContraband</t>
  </si>
  <si>
    <t>CoconutMeetsCranium</t>
  </si>
  <si>
    <t>CodeOfHonour</t>
  </si>
  <si>
    <t>CoincidentalDodge</t>
  </si>
  <si>
    <t>CoinsForTheDead</t>
  </si>
  <si>
    <t>ColonizedSolarSystem</t>
  </si>
  <si>
    <t>CombatHaircomb</t>
  </si>
  <si>
    <t>CombatHandFan</t>
  </si>
  <si>
    <t>ComedicSpanking</t>
  </si>
  <si>
    <t>Comedy</t>
  </si>
  <si>
    <t>ComicBookFantasyCasting</t>
  </si>
  <si>
    <t>CompanyCrossReferences</t>
  </si>
  <si>
    <t>CompeteForTheMaidensHand</t>
  </si>
  <si>
    <t>CompletelyUnnecessaryTranslator</t>
  </si>
  <si>
    <t>CompressedVice</t>
  </si>
  <si>
    <t>ConsolationBackfire</t>
  </si>
  <si>
    <t>ContagiousLaughter</t>
  </si>
  <si>
    <t>ContaminationSituation</t>
  </si>
  <si>
    <t>ContractualGenreBlindness</t>
  </si>
  <si>
    <t>ContraltoOfDanger</t>
  </si>
  <si>
    <t>ConvenientlyCoherentThoughts</t>
  </si>
  <si>
    <t>ConvenientlyPreciseTranslation</t>
  </si>
  <si>
    <t>ConvictionByCounterfactualClue</t>
  </si>
  <si>
    <t>CoolSidecar</t>
  </si>
  <si>
    <t>CoolToy</t>
  </si>
  <si>
    <t>CopAndScientist</t>
  </si>
  <si>
    <t>CorruptionByAMinor</t>
  </si>
  <si>
    <t>CosmeticHorror</t>
  </si>
  <si>
    <t>CosmicHorrorReveal</t>
  </si>
  <si>
    <t>CouldThisHappenToYou</t>
  </si>
  <si>
    <t>CourtroomEpisode</t>
  </si>
  <si>
    <t>CovertEmergencyCall</t>
  </si>
  <si>
    <t>CrackOhMyBack</t>
  </si>
  <si>
    <t>CradleOfLoneliness</t>
  </si>
  <si>
    <t>CreepyPhysical</t>
  </si>
  <si>
    <t>CriticalDissonance</t>
  </si>
  <si>
    <t>CrossingTheBurntBridge</t>
  </si>
  <si>
    <t>CrushFilter</t>
  </si>
  <si>
    <t>CryoPrison</t>
  </si>
  <si>
    <t>CrystalBallScheduling</t>
  </si>
  <si>
    <t>CuckooNest</t>
  </si>
  <si>
    <t>Cukoloris</t>
  </si>
  <si>
    <t>CurbStomp</t>
  </si>
  <si>
    <t>CuriosityIsACrapshoot</t>
  </si>
  <si>
    <t>CurseThatCures</t>
  </si>
  <si>
    <t>CutASliceTakeTheRest</t>
  </si>
  <si>
    <t>DataCrystal</t>
  </si>
  <si>
    <t>DaysOfFuturePast</t>
  </si>
  <si>
    <t>DeaderThanDisco</t>
  </si>
  <si>
    <t>DeadlyClosingCredits</t>
  </si>
  <si>
    <t>DeadUnicornTrope</t>
  </si>
  <si>
    <t>DeathCryEcho</t>
  </si>
  <si>
    <t>DeathOfTheAuthor</t>
  </si>
  <si>
    <t>DecoyHidingPlace</t>
  </si>
  <si>
    <t>DefectingForLove</t>
  </si>
  <si>
    <t>DefenestrateAndBerate</t>
  </si>
  <si>
    <t>DefusingTheTykeBomb</t>
  </si>
  <si>
    <t>DeliberateVHSQuality</t>
  </si>
  <si>
    <t>Demonization</t>
  </si>
  <si>
    <t>DesignatedBullet</t>
  </si>
  <si>
    <t>DesperationAttack</t>
  </si>
  <si>
    <t>DespotismJustifiesTheMeans</t>
  </si>
  <si>
    <t>DestructionEqualsOffSwitch</t>
  </si>
  <si>
    <t>DetectivePatsy</t>
  </si>
  <si>
    <t>DeterminedExpression</t>
  </si>
  <si>
    <t>DevilsAdvocate</t>
  </si>
  <si>
    <t>DiagnosisFromDrBadass</t>
  </si>
  <si>
    <t>DifferentlyPoweredIndividual</t>
  </si>
  <si>
    <t>DifferentWorldDifferentMovies</t>
  </si>
  <si>
    <t>DiggingToChina</t>
  </si>
  <si>
    <t>DisneylandDad</t>
  </si>
  <si>
    <t>DittoAliens</t>
  </si>
  <si>
    <t>DitzySecretary</t>
  </si>
  <si>
    <t>DivergentCharacterEvolution</t>
  </si>
  <si>
    <t>DizzyCam</t>
  </si>
  <si>
    <t>DoctorJerk</t>
  </si>
  <si>
    <t>Docudrama</t>
  </si>
  <si>
    <t>DocumentaryOfLies</t>
  </si>
  <si>
    <t>DoingInTheScientist</t>
  </si>
  <si>
    <t>DomesticatedDinosaurs</t>
  </si>
  <si>
    <t>DontDoAnythingIWouldntDo</t>
  </si>
  <si>
    <t>DoomedDefeatist</t>
  </si>
  <si>
    <t>DoomedPredecessor</t>
  </si>
  <si>
    <t>Doomsayer</t>
  </si>
  <si>
    <t>DoorDumb</t>
  </si>
  <si>
    <t>DoubleCaper</t>
  </si>
  <si>
    <t>DoubleDate</t>
  </si>
  <si>
    <t>DoubleFeature</t>
  </si>
  <si>
    <t>DoubleStandardRapeDivineOnMortal</t>
  </si>
  <si>
    <t>DramaticLandfallShot</t>
  </si>
  <si>
    <t>DramaticSpotlight</t>
  </si>
  <si>
    <t>DramaticStutter</t>
  </si>
  <si>
    <t>DramaticTimpani</t>
  </si>
  <si>
    <t>DressCodedForYourConvenience</t>
  </si>
  <si>
    <t>DressedAllInRubber</t>
  </si>
  <si>
    <t>DressedToPlunder</t>
  </si>
  <si>
    <t>DriverOfABlackCab</t>
  </si>
  <si>
    <t>DroppingTheBombshell</t>
  </si>
  <si>
    <t>DrowningOurRomanticSorrows</t>
  </si>
  <si>
    <t>DryCrusader</t>
  </si>
  <si>
    <t>DualBoss</t>
  </si>
  <si>
    <t>DuelOfSeduction</t>
  </si>
  <si>
    <t>DumpsterDive</t>
  </si>
  <si>
    <t>DungAges</t>
  </si>
  <si>
    <t>EagleSquadron</t>
  </si>
  <si>
    <t>EarthyBarefootCharacter</t>
  </si>
  <si>
    <t>EarTrumpet</t>
  </si>
  <si>
    <t>EatMe</t>
  </si>
  <si>
    <t>EdibleBludgeon</t>
  </si>
  <si>
    <t>EdibleThemeNaming</t>
  </si>
  <si>
    <t>EerilyOutOfPlaceObject</t>
  </si>
  <si>
    <t>ElectricInstantGratification</t>
  </si>
  <si>
    <t>ElectronicEyes</t>
  </si>
  <si>
    <t>ElevatorSnare</t>
  </si>
  <si>
    <t>EmotionalBruiser</t>
  </si>
  <si>
    <t>EmotionallyTongueTied</t>
  </si>
  <si>
    <t>EmotionalPowers</t>
  </si>
  <si>
    <t>EmotionalTorque</t>
  </si>
  <si>
    <t>EmotionEater</t>
  </si>
  <si>
    <t>EmperorScientist</t>
  </si>
  <si>
    <t>EndangeringNewsBroadcast</t>
  </si>
  <si>
    <t>EndingMemorialService</t>
  </si>
  <si>
    <t>EnergyBeing</t>
  </si>
  <si>
    <t>EnergyWeapon</t>
  </si>
  <si>
    <t>Engrish</t>
  </si>
  <si>
    <t>EnragedByIdiocy</t>
  </si>
  <si>
    <t>EuphemismBuster</t>
  </si>
  <si>
    <t>EveryoneIsRelated</t>
  </si>
  <si>
    <t>EveryoneMeetsEveryone</t>
  </si>
  <si>
    <t>EverythingFades</t>
  </si>
  <si>
    <t>EverythingsBetterWithLLamas</t>
  </si>
  <si>
    <t>EvilDetectingBaby</t>
  </si>
  <si>
    <t>EvilDuo</t>
  </si>
  <si>
    <t>EvilSmellsBad</t>
  </si>
  <si>
    <t>EvilSorceror</t>
  </si>
  <si>
    <t>ExcessiveMourning</t>
  </si>
  <si>
    <t>ExhaustedEyeBags</t>
  </si>
  <si>
    <t>ExoticBackdropSetting</t>
  </si>
  <si>
    <t>ExpansionPackPast</t>
  </si>
  <si>
    <t>ExpositoryHairstyles</t>
  </si>
  <si>
    <t>ExtraStrengthMasquerade</t>
  </si>
  <si>
    <t>EyeBeam</t>
  </si>
  <si>
    <t>EyeCam</t>
  </si>
  <si>
    <t>Eyedscreen</t>
  </si>
  <si>
    <t>EyeOnAStalk</t>
  </si>
  <si>
    <t>EyepatchAfterTimeSkip</t>
  </si>
  <si>
    <t>FaceHeelRevolvingDoor</t>
  </si>
  <si>
    <t>FaceHugger</t>
  </si>
  <si>
    <t>FaceNodAction</t>
  </si>
  <si>
    <t>FaceOfTheBand</t>
  </si>
  <si>
    <t>FairyCompanion</t>
  </si>
  <si>
    <t>FakeArmDisarm</t>
  </si>
  <si>
    <t>FakeMixedRace</t>
  </si>
  <si>
    <t>FakeRealTurn</t>
  </si>
  <si>
    <t>FakeRussian</t>
  </si>
  <si>
    <t>FakeVideoCameraView</t>
  </si>
  <si>
    <t>FakingAmnesia</t>
  </si>
  <si>
    <t>FamilyTitle</t>
  </si>
  <si>
    <t>FanConvention</t>
  </si>
  <si>
    <t>FanonDiscontinuity</t>
  </si>
  <si>
    <t>FantasticRankSystem</t>
  </si>
  <si>
    <t>FasterThanTheyLook</t>
  </si>
  <si>
    <t>FastFoodNation</t>
  </si>
  <si>
    <t>FatherIWantToMarryMyBrother</t>
  </si>
  <si>
    <t>FauxToGuide</t>
  </si>
  <si>
    <t>FearOfThunder</t>
  </si>
  <si>
    <t>FeelsNoPain</t>
  </si>
  <si>
    <t>FerrisWheelOfDoom</t>
  </si>
  <si>
    <t>FeudalOverlord</t>
  </si>
  <si>
    <t>FictionalCurrency</t>
  </si>
  <si>
    <t>FiendishFish</t>
  </si>
  <si>
    <t>FiftiesHair</t>
  </si>
  <si>
    <t>FightingAShadow</t>
  </si>
  <si>
    <t>FightMagnet</t>
  </si>
  <si>
    <t>FinalExchange</t>
  </si>
  <si>
    <t>FindingJudas</t>
  </si>
  <si>
    <t>FingerInABarrel</t>
  </si>
  <si>
    <t>FirePurifies</t>
  </si>
  <si>
    <t>FirstNameUltimatum</t>
  </si>
  <si>
    <t>FirstWorldProblems</t>
  </si>
  <si>
    <t>FishEyes</t>
  </si>
  <si>
    <t>FistOfRage</t>
  </si>
  <si>
    <t>FlayedAlive</t>
  </si>
  <si>
    <t>FloatingWater</t>
  </si>
  <si>
    <t>FlowerPotDrop</t>
  </si>
  <si>
    <t>FlowersForAlgernonSyndrome</t>
  </si>
  <si>
    <t>FloweryElizabethanEnglish</t>
  </si>
  <si>
    <t>FlungClothing</t>
  </si>
  <si>
    <t>FlushingToiletScreamingShower</t>
  </si>
  <si>
    <t>FlyingFace</t>
  </si>
  <si>
    <t>FlyingUnderTheGaydar</t>
  </si>
  <si>
    <t>FogOfWar</t>
  </si>
  <si>
    <t>FollowYourHeart</t>
  </si>
  <si>
    <t>ForceChoke</t>
  </si>
  <si>
    <t>ForcedMeme</t>
  </si>
  <si>
    <t>ForcedSleep</t>
  </si>
  <si>
    <t>ForeheadOfDoom</t>
  </si>
  <si>
    <t>ForeignCorrespondent</t>
  </si>
  <si>
    <t>ForeseeingMyDeath</t>
  </si>
  <si>
    <t>ForgetsToEat</t>
  </si>
  <si>
    <t>ForGreatJustice</t>
  </si>
  <si>
    <t>FormalFullArrayOfCutlery</t>
  </si>
  <si>
    <t>FormerlyFit</t>
  </si>
  <si>
    <t>FourthWall</t>
  </si>
  <si>
    <t>FreakyFashionMildMind</t>
  </si>
  <si>
    <t>FreeLoveFuture</t>
  </si>
  <si>
    <t>FriendlyNeighborhoodVampires</t>
  </si>
  <si>
    <t>FriendlyWar</t>
  </si>
  <si>
    <t>FriendsAllAlong</t>
  </si>
  <si>
    <t>FultonStreetFolly</t>
  </si>
  <si>
    <t>FunbagAirbag</t>
  </si>
  <si>
    <t>FunnySchizophrenia</t>
  </si>
  <si>
    <t>FunWithFlushing</t>
  </si>
  <si>
    <t>GamblerGroupies</t>
  </si>
  <si>
    <t>GangInitiationFight</t>
  </si>
  <si>
    <t>GarbageWrestler</t>
  </si>
  <si>
    <t>GasCylinderRocket</t>
  </si>
  <si>
    <t>Gayborhood</t>
  </si>
  <si>
    <t>GayPanic</t>
  </si>
  <si>
    <t>GenderedInsult</t>
  </si>
  <si>
    <t>GenderEqualsBreed</t>
  </si>
  <si>
    <t>GenericGraffiti</t>
  </si>
  <si>
    <t>GenesisEffect</t>
  </si>
  <si>
    <t>GeniusBookClub</t>
  </si>
  <si>
    <t>GeoEffects</t>
  </si>
  <si>
    <t>GeographicFlexibility</t>
  </si>
  <si>
    <t>GhostExtras</t>
  </si>
  <si>
    <t>GiantSpiders</t>
  </si>
  <si>
    <t>GirlScoutsAreEvil</t>
  </si>
  <si>
    <t>GirlyGirlWithATomboyStreak</t>
  </si>
  <si>
    <t>GiveMeLibertyOrGiveMeDeath</t>
  </si>
  <si>
    <t>GiverOfLameNames</t>
  </si>
  <si>
    <t>GivingUpOnLogic</t>
  </si>
  <si>
    <t>GlamRock</t>
  </si>
  <si>
    <t>GlassShatterSound</t>
  </si>
  <si>
    <t>GlovedFistOfDoom</t>
  </si>
  <si>
    <t>GluttonyMontage</t>
  </si>
  <si>
    <t>GoBackToTheSource</t>
  </si>
  <si>
    <t>GodBeforeDogma</t>
  </si>
  <si>
    <t>GodForADay</t>
  </si>
  <si>
    <t>GoFetch</t>
  </si>
  <si>
    <t>GoodForBad</t>
  </si>
  <si>
    <t>GoodGuyBar</t>
  </si>
  <si>
    <t>GoodMorningCrono</t>
  </si>
  <si>
    <t>GoodRepublicEvilEmpire</t>
  </si>
  <si>
    <t>GoodVictimsBadVictims</t>
  </si>
  <si>
    <t>GoodWingsEvilWings</t>
  </si>
  <si>
    <t>GoofySuit</t>
  </si>
  <si>
    <t>GothRock</t>
  </si>
  <si>
    <t>GoToAlias</t>
  </si>
  <si>
    <t>GotTheWholeWorldInMyHand</t>
  </si>
  <si>
    <t>GoYeHeroesGoAndDie</t>
  </si>
  <si>
    <t>GratuitousGreek</t>
  </si>
  <si>
    <t>GrayAndBlackMorality</t>
  </si>
  <si>
    <t>GrayingMorality</t>
  </si>
  <si>
    <t>GreatWayToGo</t>
  </si>
  <si>
    <t>GreenAndMean</t>
  </si>
  <si>
    <t>GreenLanternRing</t>
  </si>
  <si>
    <t>GreyAndBlackMorality</t>
  </si>
  <si>
    <t>GrowingMusclesSequence</t>
  </si>
  <si>
    <t>Grunge</t>
  </si>
  <si>
    <t>GulliverTieDown</t>
  </si>
  <si>
    <t>GunboatDiplomacy</t>
  </si>
  <si>
    <t>HalfHumanHybrids</t>
  </si>
  <si>
    <t>HammerspaceHair</t>
  </si>
  <si>
    <t>HammerspaceParachute</t>
  </si>
  <si>
    <t>HandPuppet</t>
  </si>
  <si>
    <t>HappyFunBall</t>
  </si>
  <si>
    <t>HardGay</t>
  </si>
  <si>
    <t>HarmfulHealing</t>
  </si>
  <si>
    <t>HarmlessLadyDisguise</t>
  </si>
  <si>
    <t>HatedHometown</t>
  </si>
  <si>
    <t>HatesBaths</t>
  </si>
  <si>
    <t>HatesTheJobLovesTheLimelight</t>
  </si>
  <si>
    <t>HeartBeatsOutOfChest</t>
  </si>
  <si>
    <t>HeavyMetalUmlaut</t>
  </si>
  <si>
    <t>HeelFaceBrainwashing</t>
  </si>
  <si>
    <t>HeightAngst</t>
  </si>
  <si>
    <t>HeirInLaw</t>
  </si>
  <si>
    <t>HelpingGrannyCrossTheStreet</t>
  </si>
  <si>
    <t>HereThereWereDragons</t>
  </si>
  <si>
    <t>HeroBall</t>
  </si>
  <si>
    <t>HeroesActVillainsHinder</t>
  </si>
  <si>
    <t>HeroesRUs</t>
  </si>
  <si>
    <t>HeroicDolphin</t>
  </si>
  <si>
    <t>HeroicRematch</t>
  </si>
  <si>
    <t>HeroicSafeMode</t>
  </si>
  <si>
    <t>HeroicVow</t>
  </si>
  <si>
    <t>HerosEvilPredecessor</t>
  </si>
  <si>
    <t>HesitantSacrifice</t>
  </si>
  <si>
    <t>HideAndNoSeek</t>
  </si>
  <si>
    <t>HillbillyMoonshiner</t>
  </si>
  <si>
    <t>HintDropping</t>
  </si>
  <si>
    <t>HippieVan</t>
  </si>
  <si>
    <t>HisOwnWorstEnemy</t>
  </si>
  <si>
    <t>HitFlash</t>
  </si>
  <si>
    <t>HockeyMaskAndChainsaw</t>
  </si>
  <si>
    <t>HollywoodGlassCutter</t>
  </si>
  <si>
    <t>HollywoodRestrainingOrder</t>
  </si>
  <si>
    <t>HollywoodThin</t>
  </si>
  <si>
    <t>HolyCity</t>
  </si>
  <si>
    <t>HolyShitQuotient</t>
  </si>
  <si>
    <t>HoodFilm</t>
  </si>
  <si>
    <t>HopelessWithTech</t>
  </si>
  <si>
    <t>HornySailors</t>
  </si>
  <si>
    <t>HorrifyingHero</t>
  </si>
  <si>
    <t>HospitalEpilogue</t>
  </si>
  <si>
    <t>HotBloodedSideburns</t>
  </si>
  <si>
    <t>HotWind</t>
  </si>
  <si>
    <t>HouseSquatting</t>
  </si>
  <si>
    <t>HowlingToTheNight</t>
  </si>
  <si>
    <t>HowWouldYouLikeToDie</t>
  </si>
  <si>
    <t>HybridPower</t>
  </si>
  <si>
    <t>HydePlaysJekyll</t>
  </si>
  <si>
    <t>HydrantGeyser</t>
  </si>
  <si>
    <t>IAmWho</t>
  </si>
  <si>
    <t>ICallHimMrHappy</t>
  </si>
  <si>
    <t>ICanSeeMyHouseFromHere</t>
  </si>
  <si>
    <t>IControlMyMinionsThrough</t>
  </si>
  <si>
    <t>IdolSinger</t>
  </si>
  <si>
    <t>IdTellYouButThenIdHaveToKillYou</t>
  </si>
  <si>
    <t>IfItTastesBadItMustBeGoodForYou</t>
  </si>
  <si>
    <t>IfIWereARichMan</t>
  </si>
  <si>
    <t>IgnorantOfTheCall</t>
  </si>
  <si>
    <t>IHaveToWashMyHair</t>
  </si>
  <si>
    <t>IHitYouYouHitTheGround</t>
  </si>
  <si>
    <t>IllTellYouWhenIveHadEnough</t>
  </si>
  <si>
    <t>ILoveYouVampireSon</t>
  </si>
  <si>
    <t>ImaginaryEnemy</t>
  </si>
  <si>
    <t>ImGoingToHellForThis</t>
  </si>
  <si>
    <t>ImmigrantParents</t>
  </si>
  <si>
    <t>ImmoralRealityShow</t>
  </si>
  <si>
    <t>ImmortalBreaker</t>
  </si>
  <si>
    <t>ImmortalImmaturity</t>
  </si>
  <si>
    <t>ImpededCommunication</t>
  </si>
  <si>
    <t>ImpliedAnswer</t>
  </si>
  <si>
    <t>ImpossibleShadowPuppets</t>
  </si>
  <si>
    <t>ImpossiblyDeliciousFood</t>
  </si>
  <si>
    <t>ImprobableTaxonomySkills</t>
  </si>
  <si>
    <t>ImprobablyHighIQ</t>
  </si>
  <si>
    <t>ImprovisedParachute</t>
  </si>
  <si>
    <t>IncitingIncident</t>
  </si>
  <si>
    <t>InconvenientParachuteDeployment</t>
  </si>
  <si>
    <t>IndestructibleEdible</t>
  </si>
  <si>
    <t>InducedHypochondria</t>
  </si>
  <si>
    <t>InflationaryDialogue</t>
  </si>
  <si>
    <t>InhumanableAlienRights</t>
  </si>
  <si>
    <t>InnocentBystanders</t>
  </si>
  <si>
    <t>InnocentProdigy</t>
  </si>
  <si>
    <t>InnOfNoReturn</t>
  </si>
  <si>
    <t>InsufficientlyAdvancedAlien</t>
  </si>
  <si>
    <t>InterfaithSmoothie</t>
  </si>
  <si>
    <t>InterruptedCoolDownHug</t>
  </si>
  <si>
    <t>InterruptedDeclarationOfLove</t>
  </si>
  <si>
    <t>IntimateTelecommunications</t>
  </si>
  <si>
    <t>InvisibleAliens</t>
  </si>
  <si>
    <t>InvulnerableHorses</t>
  </si>
  <si>
    <t>IReadItForTheArticles</t>
  </si>
  <si>
    <t>IronicBirthday</t>
  </si>
  <si>
    <t>IsTheAnswerToThisQuestionYes</t>
  </si>
  <si>
    <t>ItCameFromTheFridge</t>
  </si>
  <si>
    <t>ItIsNotYourTime</t>
  </si>
  <si>
    <t>IToldYouSo</t>
  </si>
  <si>
    <t>ItsPopularNowItSucks</t>
  </si>
  <si>
    <t>ItWasntEasy</t>
  </si>
  <si>
    <t>IWasQuiteAFashionVictim</t>
  </si>
  <si>
    <t>IWillFightNoMoreForever</t>
  </si>
  <si>
    <t>JacobAndEsau</t>
  </si>
  <si>
    <t>JacobMarleyWarning</t>
  </si>
  <si>
    <t>JamesBondage</t>
  </si>
  <si>
    <t>JammedSeatBelts</t>
  </si>
  <si>
    <t>JavelinThrower</t>
  </si>
  <si>
    <t>Jazz</t>
  </si>
  <si>
    <t>JeanneDArchetype</t>
  </si>
  <si>
    <t>JediTruth</t>
  </si>
  <si>
    <t>JennysNumber</t>
  </si>
  <si>
    <t>JobSong</t>
  </si>
  <si>
    <t>JoggersFindDeath</t>
  </si>
  <si>
    <t>JokeCharacter</t>
  </si>
  <si>
    <t>JourneyToFindOneself</t>
  </si>
  <si>
    <t>JuggleFu</t>
  </si>
  <si>
    <t>JunkieProphet</t>
  </si>
  <si>
    <t>KabukiSounds</t>
  </si>
  <si>
    <t>KeepAway</t>
  </si>
  <si>
    <t>KiAttacks</t>
  </si>
  <si>
    <t>KiddieKid</t>
  </si>
  <si>
    <t>KidHasAPoint</t>
  </si>
  <si>
    <t>KidnappedByTheCall</t>
  </si>
  <si>
    <t>KillerOutfit</t>
  </si>
  <si>
    <t>KillerYoyo</t>
  </si>
  <si>
    <t>KillTheGod</t>
  </si>
  <si>
    <t>KilroyWasHere</t>
  </si>
  <si>
    <t>KingOfAllCosmos</t>
  </si>
  <si>
    <t>KingOfBeasts</t>
  </si>
  <si>
    <t>KissMeIAmVirtual</t>
  </si>
  <si>
    <t>KlingonScientistsGetNoRespect</t>
  </si>
  <si>
    <t>KnightsArmorHideout</t>
  </si>
  <si>
    <t>Koan</t>
  </si>
  <si>
    <t>KungFuKid</t>
  </si>
  <si>
    <t>KungFuProofMook</t>
  </si>
  <si>
    <t>LadyAndKnight</t>
  </si>
  <si>
    <t>Ladyella</t>
  </si>
  <si>
    <t>LadyNotAppearingInThisGame</t>
  </si>
  <si>
    <t>LadyOfBlackMagic</t>
  </si>
  <si>
    <t>LargeHamTitle</t>
  </si>
  <si>
    <t>LastGraspAtLife</t>
  </si>
  <si>
    <t>LastMinuteBabyNaming</t>
  </si>
  <si>
    <t>LateForSchool</t>
  </si>
  <si>
    <t>LateToTheParty</t>
  </si>
  <si>
    <t>LateToTheRealization</t>
  </si>
  <si>
    <t>LavaPit</t>
  </si>
  <si>
    <t>LawOfDisproportionateResponse</t>
  </si>
  <si>
    <t>LeaderWannabe</t>
  </si>
  <si>
    <t>LeadYouCanRelateTo</t>
  </si>
  <si>
    <t>LeaveMeAlone</t>
  </si>
  <si>
    <t>LethalDiagnosis</t>
  </si>
  <si>
    <t>LetHimChoose</t>
  </si>
  <si>
    <t>LetsDance</t>
  </si>
  <si>
    <t>Letterbox</t>
  </si>
  <si>
    <t>LetterboxArson</t>
  </si>
  <si>
    <t>LibertyOverProsperity</t>
  </si>
  <si>
    <t>LifeEmbellished</t>
  </si>
  <si>
    <t>LightFlickerTeleportation</t>
  </si>
  <si>
    <t>LimbSensationFascination</t>
  </si>
  <si>
    <t>LimitBreak</t>
  </si>
  <si>
    <t>LIsForDyslexia</t>
  </si>
  <si>
    <t>ListSong</t>
  </si>
  <si>
    <t>LittleGirlsKickShins</t>
  </si>
  <si>
    <t>LivingBattery</t>
  </si>
  <si>
    <t>LivingDollCollector</t>
  </si>
  <si>
    <t>LivingFigurehead</t>
  </si>
  <si>
    <t>LivingIsMoreThanSurviving</t>
  </si>
  <si>
    <t>LivingMoralityChain</t>
  </si>
  <si>
    <t>LivingRelic</t>
  </si>
  <si>
    <t>LockedInTheBathroom</t>
  </si>
  <si>
    <t>LonelyDollGirl</t>
  </si>
  <si>
    <t>LongingForFictionland</t>
  </si>
  <si>
    <t>LongLastingLastWords</t>
  </si>
  <si>
    <t>LongTake</t>
  </si>
  <si>
    <t>LookMaNoPlane</t>
  </si>
  <si>
    <t>LookOnMyWorksYeMightyAndDespair</t>
  </si>
  <si>
    <t>LostFoodGrievance</t>
  </si>
  <si>
    <t>LoveAcrossBattlelines</t>
  </si>
  <si>
    <t>LoveConfessor</t>
  </si>
  <si>
    <t>LovedINotHonorMore</t>
  </si>
  <si>
    <t>LoveHungry</t>
  </si>
  <si>
    <t>LoveImbuesLife</t>
  </si>
  <si>
    <t>LoveIsInTheAir</t>
  </si>
  <si>
    <t>LuxuriousLiquor</t>
  </si>
  <si>
    <t>LyingToThePerp</t>
  </si>
  <si>
    <t>MachineEmpathy</t>
  </si>
  <si>
    <t>MadMathematician</t>
  </si>
  <si>
    <t>MadnessMakeover</t>
  </si>
  <si>
    <t>MadnessMontage</t>
  </si>
  <si>
    <t>MadScience</t>
  </si>
  <si>
    <t>MagicalAccessory</t>
  </si>
  <si>
    <t>MagicalCamera</t>
  </si>
  <si>
    <t>MagicalGirl</t>
  </si>
  <si>
    <t>MagicAntidote</t>
  </si>
  <si>
    <t>MagicIsEvil</t>
  </si>
  <si>
    <t>MaidAndMaiden</t>
  </si>
  <si>
    <t>MakesAsMuchSenseInContext</t>
  </si>
  <si>
    <t>MakeUpIsEvil</t>
  </si>
  <si>
    <t>MalevolentMugshot</t>
  </si>
  <si>
    <t>ManInTheIronMask</t>
  </si>
  <si>
    <t>ManOfSteelWomanOfKleenex</t>
  </si>
  <si>
    <t>MarionetteMaster</t>
  </si>
  <si>
    <t>MarkedToDie</t>
  </si>
  <si>
    <t>MarriedAtSea</t>
  </si>
  <si>
    <t>MarryTheNanny</t>
  </si>
  <si>
    <t>MartialArtsForMundanePurposes</t>
  </si>
  <si>
    <t>MartyStu</t>
  </si>
  <si>
    <t>Mascot</t>
  </si>
  <si>
    <t>MaskPower</t>
  </si>
  <si>
    <t>MatterReplicator</t>
  </si>
  <si>
    <t>MaximumFunChamber</t>
  </si>
  <si>
    <t>MedicateTheMedium</t>
  </si>
  <si>
    <t>Megane</t>
  </si>
  <si>
    <t>MenAreTough</t>
  </si>
  <si>
    <t>MentalFusion</t>
  </si>
  <si>
    <t>MermaidProblem</t>
  </si>
  <si>
    <t>MetaphoricalMarriage</t>
  </si>
  <si>
    <t>MexicoCalledTheyWantTexasBack</t>
  </si>
  <si>
    <t>MiddleNameBasis</t>
  </si>
  <si>
    <t>MidfightWeaponExchange</t>
  </si>
  <si>
    <t>MilhollandRelationshipMoment</t>
  </si>
  <si>
    <t>MilitaryMashupMachine</t>
  </si>
  <si>
    <t>MillsAndBoonProse</t>
  </si>
  <si>
    <t>MindOverManners</t>
  </si>
  <si>
    <t>MinimalisticCoverArt</t>
  </si>
  <si>
    <t>MinionShipping</t>
  </si>
  <si>
    <t>MinorInsultMeltdown</t>
  </si>
  <si>
    <t>MinstrelShows</t>
  </si>
  <si>
    <t>MisaimedMarketing</t>
  </si>
  <si>
    <t>MischiefMakingMonkey</t>
  </si>
  <si>
    <t>MisplacedKindergartenTeacher</t>
  </si>
  <si>
    <t>MissedTheCall</t>
  </si>
  <si>
    <t>MissFanservice</t>
  </si>
  <si>
    <t>MissingEpisode</t>
  </si>
  <si>
    <t>MistakenAge</t>
  </si>
  <si>
    <t>MistakenForAfterlife</t>
  </si>
  <si>
    <t>MistressAndServantBoy</t>
  </si>
  <si>
    <t>MobileSuitHuman</t>
  </si>
  <si>
    <t>ModestOrgasm</t>
  </si>
  <si>
    <t>ModestyShorts</t>
  </si>
  <si>
    <t>MohsScaleOfSciFiHardness</t>
  </si>
  <si>
    <t>MoneySong</t>
  </si>
  <si>
    <t>MonsterProtectionRacket</t>
  </si>
  <si>
    <t>MookCarryover</t>
  </si>
  <si>
    <t>MotionCapture</t>
  </si>
  <si>
    <t>MountaintopHealthcare</t>
  </si>
  <si>
    <t>MouseWorld</t>
  </si>
  <si>
    <t>MovieMakingMess</t>
  </si>
  <si>
    <t>MovieMultipack</t>
  </si>
  <si>
    <t>MrMuffykins</t>
  </si>
  <si>
    <t>MrsClaus</t>
  </si>
  <si>
    <t>MRSDegree</t>
  </si>
  <si>
    <t>MuggleBestFriend</t>
  </si>
  <si>
    <t>MuggleBornOfMages</t>
  </si>
  <si>
    <t>MultiArmedMultitasking</t>
  </si>
  <si>
    <t>MultipleIdentityIDs</t>
  </si>
  <si>
    <t>MultipleReferencePun</t>
  </si>
  <si>
    <t>MultiRangedMaster</t>
  </si>
  <si>
    <t>MummysBoy</t>
  </si>
  <si>
    <t>MummyWrap</t>
  </si>
  <si>
    <t>MundaneDogmatic</t>
  </si>
  <si>
    <t>MundaneLuxury</t>
  </si>
  <si>
    <t>MundaneMacGuffinPerson</t>
  </si>
  <si>
    <t>MushroomMan</t>
  </si>
  <si>
    <t>MusicalPastiche</t>
  </si>
  <si>
    <t>MyDadCanBeatUpYourDad</t>
  </si>
  <si>
    <t>MyGrandsonMyself</t>
  </si>
  <si>
    <t>MyHairCameOutGreen</t>
  </si>
  <si>
    <t>MyInstinctsAreShowing</t>
  </si>
  <si>
    <t>MyNameIsNotDurwood</t>
  </si>
  <si>
    <t>MySpeciesDothProtestTooMuch</t>
  </si>
  <si>
    <t>MysteriousEmployer</t>
  </si>
  <si>
    <t>MysteriousMist</t>
  </si>
  <si>
    <t>MysteriousNote</t>
  </si>
  <si>
    <t>MysteriousParent</t>
  </si>
  <si>
    <t>MysticalWhiteHair</t>
  </si>
  <si>
    <t>NakedApron</t>
  </si>
  <si>
    <t>NarrationEcho</t>
  </si>
  <si>
    <t>NarrowedItDownToTheGuyIRecognize</t>
  </si>
  <si>
    <t>NaturalizedName</t>
  </si>
  <si>
    <t>NatureLover</t>
  </si>
  <si>
    <t>NaughtyTentacles</t>
  </si>
  <si>
    <t>NecessaryDrawback</t>
  </si>
  <si>
    <t>NeedAHandOrAHandjob</t>
  </si>
  <si>
    <t>NeglectfulPrecursors</t>
  </si>
  <si>
    <t>NemeanSkinning</t>
  </si>
  <si>
    <t>NerdyInhaler</t>
  </si>
  <si>
    <t>NetworkDecay</t>
  </si>
  <si>
    <t>NeuralImplanting</t>
  </si>
  <si>
    <t>NeverGivenAName</t>
  </si>
  <si>
    <t>NeverRecycleYourSchemes</t>
  </si>
  <si>
    <t>NeverSleepAgain</t>
  </si>
  <si>
    <t>NewspaperBackstory</t>
  </si>
  <si>
    <t>Newspeak</t>
  </si>
  <si>
    <t>NewsTravelsFast</t>
  </si>
  <si>
    <t>NewYorkIsOnlyManhattan</t>
  </si>
  <si>
    <t>NightmareRetardant</t>
  </si>
  <si>
    <t>NixonMask</t>
  </si>
  <si>
    <t>NoArcInArchery</t>
  </si>
  <si>
    <t>NobleWolf</t>
  </si>
  <si>
    <t>NoblewomansLaugh</t>
  </si>
  <si>
    <t>NoHonourAmongThieves</t>
  </si>
  <si>
    <t>NoInfantileAmnesia</t>
  </si>
  <si>
    <t>NoMisterBondIExpectYouToDine</t>
  </si>
  <si>
    <t>NooseCatch</t>
  </si>
  <si>
    <t>NoPaperFuture</t>
  </si>
  <si>
    <t>Nosebleed</t>
  </si>
  <si>
    <t>NoseNuggets</t>
  </si>
  <si>
    <t>NoseShove</t>
  </si>
  <si>
    <t>NothingGoodEverHappensInAParkingGarage</t>
  </si>
  <si>
    <t>NotInFrontOfTheParrot</t>
  </si>
  <si>
    <t>NotInKansasAnymore</t>
  </si>
  <si>
    <t>NotLikeOtherGirls</t>
  </si>
  <si>
    <t>NotQuiteStarring</t>
  </si>
  <si>
    <t>NotSoAbandonedBuilding</t>
  </si>
  <si>
    <t>NotSoPhonyPsychic</t>
  </si>
  <si>
    <t>NotUsedToFreedom</t>
  </si>
  <si>
    <t>NotWithThemForTheMoney</t>
  </si>
  <si>
    <t>Notzilla</t>
  </si>
  <si>
    <t>NowDoItAgainBackwards</t>
  </si>
  <si>
    <t>NudeColoredClothes</t>
  </si>
  <si>
    <t>NudityEqualsHonesty</t>
  </si>
  <si>
    <t>ObligatorySwearing</t>
  </si>
  <si>
    <t>ObliquelyObfuscatedOccupation</t>
  </si>
  <si>
    <t>ObliviousMockery</t>
  </si>
  <si>
    <t>ObsessionSong</t>
  </si>
  <si>
    <t>OctopoidAliens</t>
  </si>
  <si>
    <t>OcularGushers</t>
  </si>
  <si>
    <t>OfferedTheCrown</t>
  </si>
  <si>
    <t>OfficeLady</t>
  </si>
  <si>
    <t>OldHeroNewPals</t>
  </si>
  <si>
    <t>OldWindbag</t>
  </si>
  <si>
    <t>OlympicSwimmer</t>
  </si>
  <si>
    <t>OminousAdversarialAmusement</t>
  </si>
  <si>
    <t>OminousCube</t>
  </si>
  <si>
    <t>OneHundredPercentAdorationRating</t>
  </si>
  <si>
    <t>OneLetterTitle</t>
  </si>
  <si>
    <t>OnionTears</t>
  </si>
  <si>
    <t>OnlyPointTwoPercentDifferent</t>
  </si>
  <si>
    <t>OnlyYouCanRepopulateMyRace</t>
  </si>
  <si>
    <t>OpeningTheFloodGates</t>
  </si>
  <si>
    <t>OpenTheDoorAndSeeAllThePeople</t>
  </si>
  <si>
    <t>OpposingCombatPhilosophies</t>
  </si>
  <si>
    <t>OracularUrchin</t>
  </si>
  <si>
    <t>OrganizationWithUnlimitedFunding</t>
  </si>
  <si>
    <t>OriginalCharacter</t>
  </si>
  <si>
    <t>OrpheanRescue</t>
  </si>
  <si>
    <t>OrSoIHeard</t>
  </si>
  <si>
    <t>OrwellianEditor</t>
  </si>
  <si>
    <t>OtherStockPhrases</t>
  </si>
  <si>
    <t>OurGeniesAreDifferent</t>
  </si>
  <si>
    <t>OurGodsAreDifferent</t>
  </si>
  <si>
    <t>OurHeroIsDead</t>
  </si>
  <si>
    <t>OurLichesAreDifferent</t>
  </si>
  <si>
    <t>Ouroboros</t>
  </si>
  <si>
    <t>OurOgresAreHungrier</t>
  </si>
  <si>
    <t>OurOrcsAreDifferent</t>
  </si>
  <si>
    <t>OurWeaponsWillBeBoxyInTheFuture</t>
  </si>
  <si>
    <t>OutdoorsyGal</t>
  </si>
  <si>
    <t>OutrunningTheFireball</t>
  </si>
  <si>
    <t>OvenLogic</t>
  </si>
  <si>
    <t>OverclockingAttack</t>
  </si>
  <si>
    <t>OvershadowedByControversy</t>
  </si>
  <si>
    <t>PajamaCladHero</t>
  </si>
  <si>
    <t>PandaingToTheAudience</t>
  </si>
  <si>
    <t>PandorasBox</t>
  </si>
  <si>
    <t>ParodiesForDummies</t>
  </si>
  <si>
    <t>PeaceConference</t>
  </si>
  <si>
    <t>PeltsOfTheBarbarian</t>
  </si>
  <si>
    <t>PerformanceArtist</t>
  </si>
  <si>
    <t>PerilousOldFool</t>
  </si>
  <si>
    <t>PerpetualMotionMachine</t>
  </si>
  <si>
    <t>PerpetualStorm</t>
  </si>
  <si>
    <t>PersonalitySwap</t>
  </si>
  <si>
    <t>PerspectiveMagic</t>
  </si>
  <si>
    <t>PetsHomageName</t>
  </si>
  <si>
    <t>PhD</t>
  </si>
  <si>
    <t>PhlebotinumHandlingEquipment</t>
  </si>
  <si>
    <t>PhlebotinumRebel</t>
  </si>
  <si>
    <t>PhotoBoothMontage</t>
  </si>
  <si>
    <t>PianoDrop</t>
  </si>
  <si>
    <t>PiggybackingOnHitler</t>
  </si>
  <si>
    <t>PillowSilencer</t>
  </si>
  <si>
    <t>PimpedOutCar</t>
  </si>
  <si>
    <t>PlanetaryRomance</t>
  </si>
  <si>
    <t>PlanetEater</t>
  </si>
  <si>
    <t>Planimal</t>
  </si>
  <si>
    <t>PlatoIsAMoron</t>
  </si>
  <si>
    <t>PlayerCharacter</t>
  </si>
  <si>
    <t>PlayingCardMotifs</t>
  </si>
  <si>
    <t>PleaseKillMeIfItSatisfiesYou</t>
  </si>
  <si>
    <t>PlotThreads</t>
  </si>
  <si>
    <t>PoeticJustice</t>
  </si>
  <si>
    <t>PolishTheTurd</t>
  </si>
  <si>
    <t>PolkaDork</t>
  </si>
  <si>
    <t>PopularityFoodChain</t>
  </si>
  <si>
    <t>PortalCrossroadWorld</t>
  </si>
  <si>
    <t>PortalToThePast</t>
  </si>
  <si>
    <t>PortmanteauCoupleName</t>
  </si>
  <si>
    <t>PostWakeUpRealization</t>
  </si>
  <si>
    <t>PowerIsSexy</t>
  </si>
  <si>
    <t>PowersAsPrograms</t>
  </si>
  <si>
    <t>PracticalJoke</t>
  </si>
  <si>
    <t>PragmaticEvil</t>
  </si>
  <si>
    <t>PrescienceIsPredictable</t>
  </si>
  <si>
    <t>PresentCompanyExcluded</t>
  </si>
  <si>
    <t>PretendPrejudice</t>
  </si>
  <si>
    <t>PrettyButterflies</t>
  </si>
  <si>
    <t>PrisonEscapeArtist</t>
  </si>
  <si>
    <t>ProfessionalKillers</t>
  </si>
  <si>
    <t>PromotedToScapegoat</t>
  </si>
  <si>
    <t>ProngsOfPoseidon</t>
  </si>
  <si>
    <t>ProverbialWisdom</t>
  </si>
  <si>
    <t>PsychicBlockDefense</t>
  </si>
  <si>
    <t>PsychoRangers</t>
  </si>
  <si>
    <t>PsychoticLover</t>
  </si>
  <si>
    <t>PsychoticLoveTriangle</t>
  </si>
  <si>
    <t>PsychoticManchild</t>
  </si>
  <si>
    <t>PubertySuperpower</t>
  </si>
  <si>
    <t>PummelingTheCorpse</t>
  </si>
  <si>
    <t>PunctuationShaker</t>
  </si>
  <si>
    <t>PureEnergy</t>
  </si>
  <si>
    <t>PyramidPower</t>
  </si>
  <si>
    <t>RageWithinTheMachine</t>
  </si>
  <si>
    <t>RainOfSomethingUnusual</t>
  </si>
  <si>
    <t>RaiseHimRightThisTime</t>
  </si>
  <si>
    <t>RapeByProxy</t>
  </si>
  <si>
    <t>RapidHairGrowth</t>
  </si>
  <si>
    <t>RealDreamsAreWeirder</t>
  </si>
  <si>
    <t>RealityChangingMiniature</t>
  </si>
  <si>
    <t>RealityShow</t>
  </si>
  <si>
    <t>RealRobot</t>
  </si>
  <si>
    <t>RealWomenHaveCurves</t>
  </si>
  <si>
    <t>RealWorldEpisode</t>
  </si>
  <si>
    <t>RecognizableBySound</t>
  </si>
  <si>
    <t>RecursiveFiction</t>
  </si>
  <si>
    <t>RecycledTheSeries</t>
  </si>
  <si>
    <t>RedemptionDemotion</t>
  </si>
  <si>
    <t>Redubbing</t>
  </si>
  <si>
    <t>ReforgedIntoAMinion</t>
  </si>
  <si>
    <t>ReformedButNotTamed</t>
  </si>
  <si>
    <t>RelationshipResetButton</t>
  </si>
  <si>
    <t>RelationshipReveal</t>
  </si>
  <si>
    <t>Remake</t>
  </si>
  <si>
    <t>RemovingTheEarpiece</t>
  </si>
  <si>
    <t>RepeatWhatYouJustSaid</t>
  </si>
  <si>
    <t>ReportingNames</t>
  </si>
  <si>
    <t>RepulsiveRingmaster</t>
  </si>
  <si>
    <t>RescueIntroduction</t>
  </si>
  <si>
    <t>RestoredMyFaithInHumanity</t>
  </si>
  <si>
    <t>RestrainedRevenge</t>
  </si>
  <si>
    <t>Retronym</t>
  </si>
  <si>
    <t>ReturningToTheScene</t>
  </si>
  <si>
    <t>ReunionRevenge</t>
  </si>
  <si>
    <t>RevealingContinuityLapse</t>
  </si>
  <si>
    <t>RevolvingDoorCasting</t>
  </si>
  <si>
    <t>RideTheLightning</t>
  </si>
  <si>
    <t>RightWayWrongWayPair</t>
  </si>
  <si>
    <t>RoadrunnerVsCoyote</t>
  </si>
  <si>
    <t>RockMeAmadeus</t>
  </si>
  <si>
    <t>Romance</t>
  </si>
  <si>
    <t>RooflessRenovation</t>
  </si>
  <si>
    <t>RugbyIsSlaughter</t>
  </si>
  <si>
    <t>RunawayGroom</t>
  </si>
  <si>
    <t>RunningGagged</t>
  </si>
  <si>
    <t>RunningJoke</t>
  </si>
  <si>
    <t>RushedInvertedReading</t>
  </si>
  <si>
    <t>SadBattleMusic</t>
  </si>
  <si>
    <t>SafeWord</t>
  </si>
  <si>
    <t>SaltSolution</t>
  </si>
  <si>
    <t>SameContentDifferentRating</t>
  </si>
  <si>
    <t>SapientHouse</t>
  </si>
  <si>
    <t>SavingTheWorldWithArt</t>
  </si>
  <si>
    <t>SawItInAMovieOnce</t>
  </si>
  <si>
    <t>SawnOffShotgun</t>
  </si>
  <si>
    <t>ScaleOfScientificSins</t>
  </si>
  <si>
    <t>ScareTheDog</t>
  </si>
  <si>
    <t>ScheduleFanatic</t>
  </si>
  <si>
    <t>SchoolBullyingIsHarmless</t>
  </si>
  <si>
    <t>SchoolUniformsAreTheNewBlack</t>
  </si>
  <si>
    <t>ScienceIsGood</t>
  </si>
  <si>
    <t>ScienceIsUseless</t>
  </si>
  <si>
    <t>ScienceIsWrong</t>
  </si>
  <si>
    <t>ScreamerPrank</t>
  </si>
  <si>
    <t>ScrewySquirrel</t>
  </si>
  <si>
    <t>SculleryMaid</t>
  </si>
  <si>
    <t>ScullySyndrome</t>
  </si>
  <si>
    <t>SealedBadassInACan</t>
  </si>
  <si>
    <t>SeamlessSpontaneousLie</t>
  </si>
  <si>
    <t>SeasonalBaggage</t>
  </si>
  <si>
    <t>SecondLawOfMetafictionalThermodynamics</t>
  </si>
  <si>
    <t>SecretIdentityIdentity</t>
  </si>
  <si>
    <t>SelfDestructingSecurity</t>
  </si>
  <si>
    <t>SelflessWish</t>
  </si>
  <si>
    <t>SemiDivine</t>
  </si>
  <si>
    <t>SerendipityWritesThePlot</t>
  </si>
  <si>
    <t>SexChangesEveryThing</t>
  </si>
  <si>
    <t>SexIsLiberation</t>
  </si>
  <si>
    <t>SexyManInstantHarem</t>
  </si>
  <si>
    <t>SexyMentor</t>
  </si>
  <si>
    <t>SexySaxMan</t>
  </si>
  <si>
    <t>ShallowParody</t>
  </si>
  <si>
    <t>ShamelessSelfPromoter</t>
  </si>
  <si>
    <t>ShamuFu</t>
  </si>
  <si>
    <t>ShapeshifterModeLock</t>
  </si>
  <si>
    <t>SharkFinOfDoom</t>
  </si>
  <si>
    <t>SheepInWolfsClothing</t>
  </si>
  <si>
    <t>Shipping</t>
  </si>
  <si>
    <t>ShippingTorpedo</t>
  </si>
  <si>
    <t>ShockingDefeatLegacy</t>
  </si>
  <si>
    <t>ShoppingCartAntics</t>
  </si>
  <si>
    <t>ShowgirlSkirt</t>
  </si>
  <si>
    <t>SightedGunsAreLowTech</t>
  </si>
  <si>
    <t>SignificantReferenceDate</t>
  </si>
  <si>
    <t>SigningOffCatchPhrase</t>
  </si>
  <si>
    <t>SiliconBasedLife</t>
  </si>
  <si>
    <t>SillyWill</t>
  </si>
  <si>
    <t>SimSimSalabim</t>
  </si>
  <si>
    <t>SingingVoiceDissonance</t>
  </si>
  <si>
    <t>SingleMaltVision</t>
  </si>
  <si>
    <t>SinisterSchnoz</t>
  </si>
  <si>
    <t>SinisterTangoMusic</t>
  </si>
  <si>
    <t>SixStudentClique</t>
  </si>
  <si>
    <t>SkipOfInnocence</t>
  </si>
  <si>
    <t>SkirtOverSlacks</t>
  </si>
  <si>
    <t>SlashFic</t>
  </si>
  <si>
    <t>SlaughterhouseFight</t>
  </si>
  <si>
    <t>SlaveMarket</t>
  </si>
  <si>
    <t>SlidingScaleOfLivingToys</t>
  </si>
  <si>
    <t>SlidingScaleOfPlotVersusCharacters</t>
  </si>
  <si>
    <t>SlidingScaleOfUndeadRegeneration</t>
  </si>
  <si>
    <t>SlowMotionPassBy</t>
  </si>
  <si>
    <t>SlumberParty</t>
  </si>
  <si>
    <t>SmallTownRivalry</t>
  </si>
  <si>
    <t>SmartPeopleBuildRobots</t>
  </si>
  <si>
    <t>SmashingHallwayTrapsOfDoom</t>
  </si>
  <si>
    <t>SmokeShield</t>
  </si>
  <si>
    <t>SneakyDeparture</t>
  </si>
  <si>
    <t>SnobsVsSlobs</t>
  </si>
  <si>
    <t>SockItToThem</t>
  </si>
  <si>
    <t>SomethingSomethingLeonardBernstein</t>
  </si>
  <si>
    <t>SonicStunner</t>
  </si>
  <si>
    <t>SoundEffectsBleep</t>
  </si>
  <si>
    <t>SpaceMarines</t>
  </si>
  <si>
    <t>SpanishPrisoner</t>
  </si>
  <si>
    <t>SpareToTheThrone</t>
  </si>
  <si>
    <t>SpeciesSurname</t>
  </si>
  <si>
    <t>SpeechImpairedAnimal</t>
  </si>
  <si>
    <t>SpiesAreLecherous</t>
  </si>
  <si>
    <t>SpyDrama</t>
  </si>
  <si>
    <t>SpyShip</t>
  </si>
  <si>
    <t>StargazingScene</t>
  </si>
  <si>
    <t>StaringContest</t>
  </si>
  <si>
    <t>StarsAreSouls</t>
  </si>
  <si>
    <t>StaticCharacter</t>
  </si>
  <si>
    <t>SteadiCam</t>
  </si>
  <si>
    <t>StealthPrequel</t>
  </si>
  <si>
    <t>StellarName</t>
  </si>
  <si>
    <t>StigmaticPregnancyEuphemism</t>
  </si>
  <si>
    <t>StockClockHandHang</t>
  </si>
  <si>
    <t>StockFootageFailure</t>
  </si>
  <si>
    <t>StockPhrases</t>
  </si>
  <si>
    <t>StockShoutOut</t>
  </si>
  <si>
    <t>StoicWoobie</t>
  </si>
  <si>
    <t>StopTheHeroTwist</t>
  </si>
  <si>
    <t>StoryWithinAStory</t>
  </si>
  <si>
    <t>StrangeCopInAStrangeLand</t>
  </si>
  <si>
    <t>StrangeSecretEntrance</t>
  </si>
  <si>
    <t>StrawberryShorthand</t>
  </si>
  <si>
    <t>Streaking</t>
  </si>
  <si>
    <t>StreamingStars</t>
  </si>
  <si>
    <t>StreetMusician</t>
  </si>
  <si>
    <t>StrippingTheScarecrow</t>
  </si>
  <si>
    <t>StrongerWithAge</t>
  </si>
  <si>
    <t>StuffedInAFridge</t>
  </si>
  <si>
    <t>StuffyBrit</t>
  </si>
  <si>
    <t>StuffyOldSongsAboutTheButtocks</t>
  </si>
  <si>
    <t>SubmarinePirates</t>
  </si>
  <si>
    <t>SuccessfulSiblingSyndrome</t>
  </si>
  <si>
    <t>SucksAtDancing</t>
  </si>
  <si>
    <t>SuddenlySuitableSuitor</t>
  </si>
  <si>
    <t>SuddenNameChange</t>
  </si>
  <si>
    <t>SufficientlyAnalyzedMagic</t>
  </si>
  <si>
    <t>SuicidalSadisticChoice</t>
  </si>
  <si>
    <t>SuitUpOfDestiny</t>
  </si>
  <si>
    <t>SummonMagic</t>
  </si>
  <si>
    <t>SuperDoc</t>
  </si>
  <si>
    <t>SuperheroesWearCapes</t>
  </si>
  <si>
    <t>SuperHumanTrafficking</t>
  </si>
  <si>
    <t>SupernaturalFloatingHair</t>
  </si>
  <si>
    <t>SuperPersistentMissile</t>
  </si>
  <si>
    <t>SuperpowerfulGenetics</t>
  </si>
  <si>
    <t>SuperSargassoSea</t>
  </si>
  <si>
    <t>SuperSmoke</t>
  </si>
  <si>
    <t>SwansASwimming</t>
  </si>
  <si>
    <t>TacticalWithdrawal</t>
  </si>
  <si>
    <t>TailSlap</t>
  </si>
  <si>
    <t>TakeCareOfTheKids</t>
  </si>
  <si>
    <t>TakeThatScrappy</t>
  </si>
  <si>
    <t>TakingUpTheMantle</t>
  </si>
  <si>
    <t>TalentShow</t>
  </si>
  <si>
    <t>TalkingInYourDreams</t>
  </si>
  <si>
    <t>TalkToTheHand</t>
  </si>
  <si>
    <t>TechnologicallyBlindElders</t>
  </si>
  <si>
    <t>TechnoWizard</t>
  </si>
  <si>
    <t>TelegraphGagSTOP</t>
  </si>
  <si>
    <t>Telekinesis</t>
  </si>
  <si>
    <t>TeleportationSickness</t>
  </si>
  <si>
    <t>TelevisionPortal</t>
  </si>
  <si>
    <t>TenMinutesInTheCloset</t>
  </si>
  <si>
    <t>TerrorHero</t>
  </si>
  <si>
    <t>TerroristWithoutACause</t>
  </si>
  <si>
    <t>TertiarySexualCharacteristics</t>
  </si>
  <si>
    <t>TextileWorkIsFeminine</t>
  </si>
  <si>
    <t>ThatCloudLooksLike</t>
  </si>
  <si>
    <t>TheAdjectivalMan</t>
  </si>
  <si>
    <t>TheAdjectivalSuperhero</t>
  </si>
  <si>
    <t>TheAestheticsOfTechnology</t>
  </si>
  <si>
    <t>TheAllAmericanBoy</t>
  </si>
  <si>
    <t>TheAllSolvingHammer</t>
  </si>
  <si>
    <t>TheAntiGrinch</t>
  </si>
  <si>
    <t>TheBadGuysWin</t>
  </si>
  <si>
    <t>TheBrigadier</t>
  </si>
  <si>
    <t>TheCall</t>
  </si>
  <si>
    <t>TheCapitalOfBrazilIsBuenosAires</t>
  </si>
  <si>
    <t>TheChainOfHarm</t>
  </si>
  <si>
    <t>TheChooserOfTheOne</t>
  </si>
  <si>
    <t>TheCollector</t>
  </si>
  <si>
    <t>TheConscience</t>
  </si>
  <si>
    <t>TheCorruptor</t>
  </si>
  <si>
    <t>TheCoverChangesTheGender</t>
  </si>
  <si>
    <t>TheFogOfAges</t>
  </si>
  <si>
    <t>TheFriendsWhoNeverHang</t>
  </si>
  <si>
    <t>TheGameNeverStopped</t>
  </si>
  <si>
    <t>TheGenieKnowsJackNicholson</t>
  </si>
  <si>
    <t>TheGoodCaptain</t>
  </si>
  <si>
    <t>TheGoodKingdom</t>
  </si>
  <si>
    <t>TheGoodShepherd</t>
  </si>
  <si>
    <t>TheGreatestHistoryNeverTold</t>
  </si>
  <si>
    <t>TheHilarityOfHats</t>
  </si>
  <si>
    <t>TheHomewardJourney</t>
  </si>
  <si>
    <t>TheIllegible</t>
  </si>
  <si>
    <t>TheILoveYouStigma</t>
  </si>
  <si>
    <t>TheLowMiddleAges</t>
  </si>
  <si>
    <t>TheMadHatter</t>
  </si>
  <si>
    <t>TheMaker</t>
  </si>
  <si>
    <t>TheManInTheMoon</t>
  </si>
  <si>
    <t>TheManIsStickingItToTheMan</t>
  </si>
  <si>
    <t>TheManyDeathsOfYou</t>
  </si>
  <si>
    <t>TheMatrix</t>
  </si>
  <si>
    <t>ThemeInitials</t>
  </si>
  <si>
    <t>ThemeParkVersion</t>
  </si>
  <si>
    <t>ThemeSongReveal</t>
  </si>
  <si>
    <t>TheMorlocks</t>
  </si>
  <si>
    <t>TheMostDangerousVideoGame</t>
  </si>
  <si>
    <t>TheMusketeer</t>
  </si>
  <si>
    <t>TheNotableNumeral</t>
  </si>
  <si>
    <t>TheNotSoHarmlessPunishment</t>
  </si>
  <si>
    <t>TheOlderImmortal</t>
  </si>
  <si>
    <t>TheOperatorsMustBeCrazy</t>
  </si>
  <si>
    <t>TheOwlKnowingOne</t>
  </si>
  <si>
    <t>ThePowerOfLust</t>
  </si>
  <si>
    <t>TherapyIsForTheWeak</t>
  </si>
  <si>
    <t>ThereAreNoGirlsOnTheInternet</t>
  </si>
  <si>
    <t>ThereIsNoHigherCourt</t>
  </si>
  <si>
    <t>ThereIsNoTry</t>
  </si>
  <si>
    <t>TheresNoPlaceLikeHome</t>
  </si>
  <si>
    <t>TheRichHaveWhiteStuff</t>
  </si>
  <si>
    <t>TheRunnerUpTakesItAll</t>
  </si>
  <si>
    <t>TheShowMustGoWrong</t>
  </si>
  <si>
    <t>TheStateless</t>
  </si>
  <si>
    <t>TheStateroomSketch</t>
  </si>
  <si>
    <t>TheStoryteller</t>
  </si>
  <si>
    <t>TheStoryThatNeverWas</t>
  </si>
  <si>
    <t>TheSuffragette</t>
  </si>
  <si>
    <t>TheTag</t>
  </si>
  <si>
    <t>TheThreeFacesOfAdam</t>
  </si>
  <si>
    <t>TheTitling</t>
  </si>
  <si>
    <t>TheTunguskaEvent</t>
  </si>
  <si>
    <t>TheUnchosenOne</t>
  </si>
  <si>
    <t>TheWallAroundTheWorld</t>
  </si>
  <si>
    <t>TheWonka</t>
  </si>
  <si>
    <t>TheyJustDontGetIt</t>
  </si>
  <si>
    <t>ThinkingUpPortals</t>
  </si>
  <si>
    <t>ThirdOptionLoveInterest</t>
  </si>
  <si>
    <t>ThisIsAsFarAsIGo</t>
  </si>
  <si>
    <t>ThisIsGoingToSuck</t>
  </si>
  <si>
    <t>ThisIsMyChair</t>
  </si>
  <si>
    <t>ThisIsMyNameOnForeign</t>
  </si>
  <si>
    <t>ThisIsWrongOnSoManyLevels</t>
  </si>
  <si>
    <t>ThreeChordsAndTheTruth</t>
  </si>
  <si>
    <t>ThunderboltIron</t>
  </si>
  <si>
    <t>TieInNovel</t>
  </si>
  <si>
    <t>TinCanTelephone</t>
  </si>
  <si>
    <t>TinkleInTheEye</t>
  </si>
  <si>
    <t>ToastedBuns</t>
  </si>
  <si>
    <t>ToCreateAPlaygroundForEvil</t>
  </si>
  <si>
    <t>TokyoIsTheCenterOfTheUniverse</t>
  </si>
  <si>
    <t>TomboyPrincess</t>
  </si>
  <si>
    <t>TongueTied</t>
  </si>
  <si>
    <t>Tontine</t>
  </si>
  <si>
    <t>ToonTown</t>
  </si>
  <si>
    <t>TortureForFunAndInformation</t>
  </si>
  <si>
    <t>TractorBeam</t>
  </si>
  <si>
    <t>TrafficWarden</t>
  </si>
  <si>
    <t>TranslationMatchmaking</t>
  </si>
  <si>
    <t>TraumaSwing</t>
  </si>
  <si>
    <t>TravelingSalesman</t>
  </si>
  <si>
    <t>TripleNipple</t>
  </si>
  <si>
    <t>Trolling</t>
  </si>
  <si>
    <t>Troperrific</t>
  </si>
  <si>
    <t>TrrrillingRrrs</t>
  </si>
  <si>
    <t>TrueMeaningOfChristmas</t>
  </si>
  <si>
    <t>TrulySingleParent</t>
  </si>
  <si>
    <t>TurnOffTheCamera</t>
  </si>
  <si>
    <t>TwelfthNightAdventure</t>
  </si>
  <si>
    <t>TwentyThree</t>
  </si>
  <si>
    <t>TwistedEucharist</t>
  </si>
  <si>
    <t>Typecast</t>
  </si>
  <si>
    <t>Uke</t>
  </si>
  <si>
    <t>UmbrellaOfTogetherness</t>
  </si>
  <si>
    <t>UnbrokenFirstPersonPerspective</t>
  </si>
  <si>
    <t>UncleSamWantsYou</t>
  </si>
  <si>
    <t>UnconventionalSmoothie</t>
  </si>
  <si>
    <t>UndercoverWhenAlone</t>
  </si>
  <si>
    <t>UnDuet</t>
  </si>
  <si>
    <t>UnEntendre</t>
  </si>
  <si>
    <t>Unicorn</t>
  </si>
  <si>
    <t>UniquenessValue</t>
  </si>
  <si>
    <t>UnitConfusion</t>
  </si>
  <si>
    <t>UnitedNationsIsASuperpower</t>
  </si>
  <si>
    <t>UniversalTranslator</t>
  </si>
  <si>
    <t>UnknownCharacter</t>
  </si>
  <si>
    <t>UnluckyEverydude</t>
  </si>
  <si>
    <t>UnluckyExtra</t>
  </si>
  <si>
    <t>UnorthodoxHolstering</t>
  </si>
  <si>
    <t>UnsafeHaven</t>
  </si>
  <si>
    <t>UntouchableUntilTagged</t>
  </si>
  <si>
    <t>UnwantedFalseFaith</t>
  </si>
  <si>
    <t>UpdatedRerelease</t>
  </si>
  <si>
    <t>VariableTerminalVelocity</t>
  </si>
  <si>
    <t>Veganopia</t>
  </si>
  <si>
    <t>VeryPunchableMan</t>
  </si>
  <si>
    <t>VictimOfTheWeek</t>
  </si>
  <si>
    <t>VictoriousChorus</t>
  </si>
  <si>
    <t>VictoriousLoser</t>
  </si>
  <si>
    <t>VileVillainLaughableLackey</t>
  </si>
  <si>
    <t>VillageBicycle</t>
  </si>
  <si>
    <t>VillainByDefault</t>
  </si>
  <si>
    <t>VillainLoveSong</t>
  </si>
  <si>
    <t>VillainOfTheWeek</t>
  </si>
  <si>
    <t>VillainousMotherSonDuo</t>
  </si>
  <si>
    <t>VillainOverForDinner</t>
  </si>
  <si>
    <t>VillainRecruitmentSong</t>
  </si>
  <si>
    <t>VillainRevealsTheSecret</t>
  </si>
  <si>
    <t>Villains</t>
  </si>
  <si>
    <t>VillainWorld</t>
  </si>
  <si>
    <t>VirusVictimSymptoms</t>
  </si>
  <si>
    <t>VisibleToBelievers</t>
  </si>
  <si>
    <t>VoicemailConfusion</t>
  </si>
  <si>
    <t>VSign</t>
  </si>
  <si>
    <t>WainscotSociety</t>
  </si>
  <si>
    <t>WalkingBackwards</t>
  </si>
  <si>
    <t>WallCrawling</t>
  </si>
  <si>
    <t>WanderingMinstrel</t>
  </si>
  <si>
    <t>WannabeSecretAgent</t>
  </si>
  <si>
    <t>WantonCrueltyToTheCommonComma</t>
  </si>
  <si>
    <t>WarMovies</t>
  </si>
  <si>
    <t>WarRefugees</t>
  </si>
  <si>
    <t>WashingtonDCInvasion</t>
  </si>
  <si>
    <t>WatsonianVersusDoylist</t>
  </si>
  <si>
    <t>WeaponizedTeleportation</t>
  </si>
  <si>
    <t>WeCare</t>
  </si>
  <si>
    <t>WeCouldHaveAvoidedAllThis</t>
  </si>
  <si>
    <t>WeDontNeedRoads</t>
  </si>
  <si>
    <t>WeDoTheImpossible</t>
  </si>
  <si>
    <t>WeHaveTheKeys</t>
  </si>
  <si>
    <t>WeHelpTheHelpless</t>
  </si>
  <si>
    <t>WeirdScience</t>
  </si>
  <si>
    <t>WelcomeEpisode</t>
  </si>
  <si>
    <t>WesternSamurai</t>
  </si>
  <si>
    <t>WetwareCPU</t>
  </si>
  <si>
    <t>WhatDoesHeSeeInHer</t>
  </si>
  <si>
    <t>WhatHaveYouDoneForMeLately</t>
  </si>
  <si>
    <t>WhatMightHaveBeen</t>
  </si>
  <si>
    <t>WhatsUpKingDude</t>
  </si>
  <si>
    <t>WheelOfPain</t>
  </si>
  <si>
    <t>WhereIWasBornAndRazed</t>
  </si>
  <si>
    <t>WheresTheFunInThat</t>
  </si>
  <si>
    <t>WhiteGuilt</t>
  </si>
  <si>
    <t>WhooshingCredits</t>
  </si>
  <si>
    <t>WhyAreYouLookingAtMeLikeThat</t>
  </si>
  <si>
    <t>WhyCantIHateYou</t>
  </si>
  <si>
    <t>WickedPretentious</t>
  </si>
  <si>
    <t>WildlifeCommentarySpoof</t>
  </si>
  <si>
    <t>WildWilderness</t>
  </si>
  <si>
    <t>WillNotTellALie</t>
  </si>
  <si>
    <t>WinsByDoingAbsolutelyNothing</t>
  </si>
  <si>
    <t>WinterWarfare</t>
  </si>
  <si>
    <t>WishingWell</t>
  </si>
  <si>
    <t>WolfInSheepsClothing</t>
  </si>
  <si>
    <t>WonderTwinPowers</t>
  </si>
  <si>
    <t>WordOfDante</t>
  </si>
  <si>
    <t>WorkingClassWerewolves</t>
  </si>
  <si>
    <t>WorkingForABodyUpgrade</t>
  </si>
  <si>
    <t>WorkingThroughTheCold</t>
  </si>
  <si>
    <t>WorldOfChaos</t>
  </si>
  <si>
    <t>WouldNotShootAGoodGuy</t>
  </si>
  <si>
    <t>WouldRatherSuffer</t>
  </si>
  <si>
    <t>WraparoundBackground</t>
  </si>
  <si>
    <t>WrestlingDoesntPay</t>
  </si>
  <si>
    <t>WrestlingFamily</t>
  </si>
  <si>
    <t>WrittenSoundEffect</t>
  </si>
  <si>
    <t>WrongRestaurant</t>
  </si>
  <si>
    <t>WW3</t>
  </si>
  <si>
    <t>YawnAndReach</t>
  </si>
  <si>
    <t>YouAllShareMyStory</t>
  </si>
  <si>
    <t>YouCanAlwaysTellALiar</t>
  </si>
  <si>
    <t>YouCantKillWhatsAlreadyDead</t>
  </si>
  <si>
    <t>YouCouldHaveUsedYourPowersForGood</t>
  </si>
  <si>
    <t>YouDoNotHaveToSayAnything</t>
  </si>
  <si>
    <t>YouHaveToBurnTheWeb</t>
  </si>
  <si>
    <t>YouKnowImBlackRight</t>
  </si>
  <si>
    <t>YourEyesCanDeceiveYou</t>
  </si>
  <si>
    <t>YourMimeMakesItReal</t>
  </si>
  <si>
    <t>YourSonAllAlong</t>
  </si>
  <si>
    <t>YourWorstNightmare</t>
  </si>
  <si>
    <t>YouSeeImDying</t>
  </si>
  <si>
    <t>YouSexyBeast</t>
  </si>
  <si>
    <t>YouWouldntBelieveMeIfIToldYou</t>
  </si>
  <si>
    <t>ZeroesAndOnes</t>
  </si>
  <si>
    <t>AbbeyRoadCrossing</t>
  </si>
  <si>
    <t>AbilityOverAppearance</t>
  </si>
  <si>
    <t>AbominationAccusationAttack</t>
  </si>
  <si>
    <t>AbortedDeclarationOfLove</t>
  </si>
  <si>
    <t>AbsentFather</t>
  </si>
  <si>
    <t>Absurdism</t>
  </si>
  <si>
    <t>AbsurdlyYouthfulParents</t>
  </si>
  <si>
    <t>AbsurdPhobia</t>
  </si>
  <si>
    <t>AcademyOfEvil</t>
  </si>
  <si>
    <t>AccidentalHug</t>
  </si>
  <si>
    <t>AccidentallyBrokeTheMacGuffin</t>
  </si>
  <si>
    <t>AccidentalPornomancer</t>
  </si>
  <si>
    <t>AccidentalProposal</t>
  </si>
  <si>
    <t>ActionGirlfriend</t>
  </si>
  <si>
    <t>ActionPet</t>
  </si>
  <si>
    <t>ActuallyNotAVampire</t>
  </si>
  <si>
    <t>AddictionPowered</t>
  </si>
  <si>
    <t>AdHominem</t>
  </si>
  <si>
    <t>AdjectiveAnimalAlehouse</t>
  </si>
  <si>
    <t>AFamilyAffair</t>
  </si>
  <si>
    <t>AfraidOfDoctors</t>
  </si>
  <si>
    <t>AfricanChant</t>
  </si>
  <si>
    <t>AgentProvocateur</t>
  </si>
  <si>
    <t>AGodIAmNot</t>
  </si>
  <si>
    <t>AHellOfATime</t>
  </si>
  <si>
    <t>AirVoyance</t>
  </si>
  <si>
    <t>AlarmSOS</t>
  </si>
  <si>
    <t>AlasPoorScrappy</t>
  </si>
  <si>
    <t>ALessonLearnedTooWell</t>
  </si>
  <si>
    <t>AlienKudzu</t>
  </si>
  <si>
    <t>ALizardNamedLiz</t>
  </si>
  <si>
    <t>AllCGICartoon</t>
  </si>
  <si>
    <t>AllMuslimsAreArab</t>
  </si>
  <si>
    <t>AllPowerfulBystander</t>
  </si>
  <si>
    <t>AllStereotypeCast</t>
  </si>
  <si>
    <t>AllTheGoodMenAreGay</t>
  </si>
  <si>
    <t>AlmightyMom</t>
  </si>
  <si>
    <t>AlmostHoldingHands</t>
  </si>
  <si>
    <t>AloofAlly</t>
  </si>
  <si>
    <t>AlphabeticalThemeNaming</t>
  </si>
  <si>
    <t>AlterEgoActing</t>
  </si>
  <si>
    <t>AlwaysAccurateAttack</t>
  </si>
  <si>
    <t>AlwaysNeedWhatYouGaveUp</t>
  </si>
  <si>
    <t>AmbiguousCriminalHistory</t>
  </si>
  <si>
    <t>AmericanKirbyIsHardcore</t>
  </si>
  <si>
    <t>AmnesiaMissedASpot</t>
  </si>
  <si>
    <t>AmplifierArtifact</t>
  </si>
  <si>
    <t>AmuletOfDependency</t>
  </si>
  <si>
    <t>AmusingInjury</t>
  </si>
  <si>
    <t>AndroidsArePeopleToo</t>
  </si>
  <si>
    <t>AndYourRewardIsInfancy</t>
  </si>
  <si>
    <t>AngelicAliens</t>
  </si>
  <si>
    <t>AnimatingArtifact</t>
  </si>
  <si>
    <t>AnnualTitle</t>
  </si>
  <si>
    <t>AnOddPlaceToSleep</t>
  </si>
  <si>
    <t>Anorgasmia</t>
  </si>
  <si>
    <t>ANounReferredToAsX</t>
  </si>
  <si>
    <t>AnthropomorphicFood</t>
  </si>
  <si>
    <t>AnthropomorphicShift</t>
  </si>
  <si>
    <t>AntiHeroTeam</t>
  </si>
  <si>
    <t>AntiSneezeFinger</t>
  </si>
  <si>
    <t>APlanetNamedZok</t>
  </si>
  <si>
    <t>ApparentlyHumanMerfolk</t>
  </si>
  <si>
    <t>AppealToConsequences</t>
  </si>
  <si>
    <t>AppealToNature</t>
  </si>
  <si>
    <t>ApplianceDefenestration</t>
  </si>
  <si>
    <t>AprilFoolsPlot</t>
  </si>
  <si>
    <t>ArcVillain</t>
  </si>
  <si>
    <t>AreWeGettingThis</t>
  </si>
  <si>
    <t>ArmyOfLawyers</t>
  </si>
  <si>
    <t>ArmyScout</t>
  </si>
  <si>
    <t>ArsonMurderAndAdmiration</t>
  </si>
  <si>
    <t>ArtificialBrilliance</t>
  </si>
  <si>
    <t>ArtistDisillusionment</t>
  </si>
  <si>
    <t>ArtisticLicenceMedicine</t>
  </si>
  <si>
    <t>ArtisticLicenseArt</t>
  </si>
  <si>
    <t>ArtisticStimulation</t>
  </si>
  <si>
    <t>ArtistsAreAttractive</t>
  </si>
  <si>
    <t>ASaintNamedMary</t>
  </si>
  <si>
    <t>Asexual</t>
  </si>
  <si>
    <t>ASharedSuffering</t>
  </si>
  <si>
    <t>AssuranceBackfire</t>
  </si>
  <si>
    <t>AsteroidsMonster</t>
  </si>
  <si>
    <t>AstonishinglyAppropriateAppearance</t>
  </si>
  <si>
    <t>AThreesomeIsManly</t>
  </si>
  <si>
    <t>AttackingThroughYourself</t>
  </si>
  <si>
    <t>AttackOnOneIsAnAttackOnAll</t>
  </si>
  <si>
    <t>ATwinkleInTheSky</t>
  </si>
  <si>
    <t>AudienceAlienatingPremise</t>
  </si>
  <si>
    <t>AuraVision</t>
  </si>
  <si>
    <t>AVillainNamedKhan</t>
  </si>
  <si>
    <t>AVillainNamedZrg</t>
  </si>
  <si>
    <t>AvoidingTheGreatWar</t>
  </si>
  <si>
    <t>AWeightyAesop</t>
  </si>
  <si>
    <t>AwesomeEgo</t>
  </si>
  <si>
    <t>BabyTrap</t>
  </si>
  <si>
    <t>BackstoryHorror</t>
  </si>
  <si>
    <t>BackToBackBadass</t>
  </si>
  <si>
    <t>BadassBack</t>
  </si>
  <si>
    <t>BadassesWearBandanas</t>
  </si>
  <si>
    <t>BadassTransplant</t>
  </si>
  <si>
    <t>BadNewsIrrelevantNews</t>
  </si>
  <si>
    <t>BaitAndSwitchLesbians</t>
  </si>
  <si>
    <t>BarefootCaptives</t>
  </si>
  <si>
    <t>BargainWithHeaven</t>
  </si>
  <si>
    <t>BarnRaising</t>
  </si>
  <si>
    <t>BasedOnAnAdviceBook</t>
  </si>
  <si>
    <t>BassoProfundo</t>
  </si>
  <si>
    <t>BattleBallgown</t>
  </si>
  <si>
    <t>BattleOfTheBands</t>
  </si>
  <si>
    <t>BeAllMySinsRemembered</t>
  </si>
  <si>
    <t>BearyFunny</t>
  </si>
  <si>
    <t>BeatPanel</t>
  </si>
  <si>
    <t>BeautifulCondemnedBuilding</t>
  </si>
  <si>
    <t>BeautifulSlaveGirl</t>
  </si>
  <si>
    <t>BeginnersLuck</t>
  </si>
  <si>
    <t>BehavioralConditioning</t>
  </si>
  <si>
    <t>BenevolentConspiracy</t>
  </si>
  <si>
    <t>BenevolentPrecursors</t>
  </si>
  <si>
    <t>BerserkBoardBarricade</t>
  </si>
  <si>
    <t>BerthaInTheAttic</t>
  </si>
  <si>
    <t>BestYearsOfYourLife</t>
  </si>
  <si>
    <t>BeTheBall</t>
  </si>
  <si>
    <t>BewareTheHonestOnes</t>
  </si>
  <si>
    <t>BewareTheLiving</t>
  </si>
  <si>
    <t>BigBadTriumvirate</t>
  </si>
  <si>
    <t>BigHonkingTrafficJam</t>
  </si>
  <si>
    <t>BiologicalWeaponsSolveEverything</t>
  </si>
  <si>
    <t>Birdcaged</t>
  </si>
  <si>
    <t>BirthdayEpisode</t>
  </si>
  <si>
    <t>BirthdayHater</t>
  </si>
  <si>
    <t>BlackEyesOfCrazy</t>
  </si>
  <si>
    <t>BlackMarketProduce</t>
  </si>
  <si>
    <t>BlasphemousPraise</t>
  </si>
  <si>
    <t>BlaxploitationParody</t>
  </si>
  <si>
    <t>BlindJump</t>
  </si>
  <si>
    <t>BlitzEvacuees</t>
  </si>
  <si>
    <t>BodyWipe</t>
  </si>
  <si>
    <t>BonusMaterial</t>
  </si>
  <si>
    <t>BookAndSwitch</t>
  </si>
  <si>
    <t>BoomerangComeback</t>
  </si>
  <si>
    <t>BorderPatrol</t>
  </si>
  <si>
    <t>BornAgainImmortality</t>
  </si>
  <si>
    <t>BossRush</t>
  </si>
  <si>
    <t>BottledHeroicResolve</t>
  </si>
  <si>
    <t>BoulderBludgeon</t>
  </si>
  <si>
    <t>Bouncer</t>
  </si>
  <si>
    <t>Bowdlerisation</t>
  </si>
  <si>
    <t>BoxAndStickTrap</t>
  </si>
  <si>
    <t>BoxingLessonsForSuperman</t>
  </si>
  <si>
    <t>BrainComputerInterface</t>
  </si>
  <si>
    <t>BrainsEvilBrawnGood</t>
  </si>
  <si>
    <t>BrainwashResidue</t>
  </si>
  <si>
    <t>BrainWithAManualControl</t>
  </si>
  <si>
    <t>BrainyBaby</t>
  </si>
  <si>
    <t>BrattyFoodDemand</t>
  </si>
  <si>
    <t>BreakawayPopHit</t>
  </si>
  <si>
    <t>BreakTheFake</t>
  </si>
  <si>
    <t>BreakTheMotivationalSpeaker</t>
  </si>
  <si>
    <t>BreakUpBreakOut</t>
  </si>
  <si>
    <t>BreathlessNonSequitur</t>
  </si>
  <si>
    <t>BridgeBunny</t>
  </si>
  <si>
    <t>BritishNazis</t>
  </si>
  <si>
    <t>BrokenBridge</t>
  </si>
  <si>
    <t>BrokeTheRatingScale</t>
  </si>
  <si>
    <t>BubbleBoy</t>
  </si>
  <si>
    <t>BuccaneerBroadcaster</t>
  </si>
  <si>
    <t>BullyTurnedBuddy</t>
  </si>
  <si>
    <t>BurningWithAnger</t>
  </si>
  <si>
    <t>BurnTheUndead</t>
  </si>
  <si>
    <t>ButterflyOfDeathAndRebirth</t>
  </si>
  <si>
    <t>CagedBirdMetaphor</t>
  </si>
  <si>
    <t>CakeToppers</t>
  </si>
  <si>
    <t>CaliforniaUniversity</t>
  </si>
  <si>
    <t>CallAPegasusAHippogriff</t>
  </si>
  <si>
    <t>CallingTheOldWomanOut</t>
  </si>
  <si>
    <t>CallOfTheWildBlueYonder</t>
  </si>
  <si>
    <t>CampFollower</t>
  </si>
  <si>
    <t>CamWhore</t>
  </si>
  <si>
    <t>Canon</t>
  </si>
  <si>
    <t>CantCatchUp</t>
  </si>
  <si>
    <t>CantGetAwayWithNothing</t>
  </si>
  <si>
    <t>CantTieHisTie</t>
  </si>
  <si>
    <t>CaptainMorganPose</t>
  </si>
  <si>
    <t>CaptivePush</t>
  </si>
  <si>
    <t>CarpeDiem</t>
  </si>
  <si>
    <t>CartoonBugSprayer</t>
  </si>
  <si>
    <t>CastSpeciation</t>
  </si>
  <si>
    <t>CasualInterplanetaryTravel</t>
  </si>
  <si>
    <t>CatchTheConscience</t>
  </si>
  <si>
    <t>CatharticExhalation</t>
  </si>
  <si>
    <t>CatSmile</t>
  </si>
  <si>
    <t>CaughtComingHomeLate</t>
  </si>
  <si>
    <t>CavalryOfTheDead</t>
  </si>
  <si>
    <t>CelebratingTheHeroes</t>
  </si>
  <si>
    <t>CelestialDeadline</t>
  </si>
  <si>
    <t>CentipedesDilemma</t>
  </si>
  <si>
    <t>ChainLinkFence</t>
  </si>
  <si>
    <t>ChainOfDeals</t>
  </si>
  <si>
    <t>ChampionsOnTheInside</t>
  </si>
  <si>
    <t>ChanceActivation</t>
  </si>
  <si>
    <t>CharacterArc</t>
  </si>
  <si>
    <t>ChargeIntoCombatCut</t>
  </si>
  <si>
    <t>ChekhovsNews</t>
  </si>
  <si>
    <t>ChemistryCanDoAnything</t>
  </si>
  <si>
    <t>ChickLit</t>
  </si>
  <si>
    <t>ChildrenAreAWaste</t>
  </si>
  <si>
    <t>ChingChong</t>
  </si>
  <si>
    <t>ChippendalesDancers</t>
  </si>
  <si>
    <t>ChristianRock</t>
  </si>
  <si>
    <t>ChunkyUpdraft</t>
  </si>
  <si>
    <t>ChurchShootout</t>
  </si>
  <si>
    <t>CircusEpisode</t>
  </si>
  <si>
    <t>ClaimedByTheSupernatural</t>
  </si>
  <si>
    <t>CleverCrows</t>
  </si>
  <si>
    <t>ClimacticVolcanoBackdrop</t>
  </si>
  <si>
    <t>ClipArtAnimation</t>
  </si>
  <si>
    <t>ClockTampering</t>
  </si>
  <si>
    <t>ClubKid</t>
  </si>
  <si>
    <t>ClutchingHandTrap</t>
  </si>
  <si>
    <t>ColbertBump</t>
  </si>
  <si>
    <t>ColdSleepColdFuture</t>
  </si>
  <si>
    <t>CollectiveIdentity</t>
  </si>
  <si>
    <t>ColorCharacter</t>
  </si>
  <si>
    <t>ColorCodedEyes</t>
  </si>
  <si>
    <t>ColorContrast</t>
  </si>
  <si>
    <t>CombatCompliment</t>
  </si>
  <si>
    <t>ComebackTomorrow</t>
  </si>
  <si>
    <t>ComedicSociopath</t>
  </si>
  <si>
    <t>ComicBooksAreReal</t>
  </si>
  <si>
    <t>ComingStraightStory</t>
  </si>
  <si>
    <t>CompetitionFreak</t>
  </si>
  <si>
    <t>CompletelyOffTopicReport</t>
  </si>
  <si>
    <t>ComputerGeneratedImages</t>
  </si>
  <si>
    <t>ConcussionsGetYouHigh</t>
  </si>
  <si>
    <t>ConfusedBystanderInterview</t>
  </si>
  <si>
    <t>ConservationOfDetail</t>
  </si>
  <si>
    <t>Constellations</t>
  </si>
  <si>
    <t>ContagiousCassandraTruth</t>
  </si>
  <si>
    <t>ContainerMaze</t>
  </si>
  <si>
    <t>ContemplatingYourHands</t>
  </si>
  <si>
    <t>ContemporaryCaveman</t>
  </si>
  <si>
    <t>ContinuingIsPainful</t>
  </si>
  <si>
    <t>Contortionist</t>
  </si>
  <si>
    <t>ConvectionShmonvection</t>
  </si>
  <si>
    <t>ConvenienceStoreGiftShopping</t>
  </si>
  <si>
    <t>ConvenientColorChange</t>
  </si>
  <si>
    <t>CookingShow</t>
  </si>
  <si>
    <t>CoolKidAndLoserFriendship</t>
  </si>
  <si>
    <t>CopeByCreating</t>
  </si>
  <si>
    <t>CopeByPretending</t>
  </si>
  <si>
    <t>CornerOfWoe</t>
  </si>
  <si>
    <t>CorpseLand</t>
  </si>
  <si>
    <t>CorrelationCausationGag</t>
  </si>
  <si>
    <t>CouchGag</t>
  </si>
  <si>
    <t>CouldHaveBeenMessy</t>
  </si>
  <si>
    <t>CounterAttack</t>
  </si>
  <si>
    <t>CounterpartCombatCoordination</t>
  </si>
  <si>
    <t>CourtMage</t>
  </si>
  <si>
    <t>CoveredUp</t>
  </si>
  <si>
    <t>CovertDistressCode</t>
  </si>
  <si>
    <t>CowboyBebopAtHisComputer</t>
  </si>
  <si>
    <t>CowboyEpisode</t>
  </si>
  <si>
    <t>CowTipping</t>
  </si>
  <si>
    <t>CrappyCarnival</t>
  </si>
  <si>
    <t>CreditsBrandProducts</t>
  </si>
  <si>
    <t>CreditsMedley</t>
  </si>
  <si>
    <t>CreepyCatholicism</t>
  </si>
  <si>
    <t>CreepyJazzMusic</t>
  </si>
  <si>
    <t>CriminalAmnesiac</t>
  </si>
  <si>
    <t>CrisisCatchAndCarry</t>
  </si>
  <si>
    <t>CrosswordPuzzle</t>
  </si>
  <si>
    <t>CrushBlush</t>
  </si>
  <si>
    <t>CrypticallyUnhelpfulAnswer</t>
  </si>
  <si>
    <t>CrystalPrison</t>
  </si>
  <si>
    <t>CuckoolanderCommentator</t>
  </si>
  <si>
    <t>CulturalCringe</t>
  </si>
  <si>
    <t>CulturalStereotypes</t>
  </si>
  <si>
    <t>CunningLikeAFox</t>
  </si>
  <si>
    <t>CurvesInAllTheRightPlaces</t>
  </si>
  <si>
    <t>CustomUniformOfSexy</t>
  </si>
  <si>
    <t>CuteButPsycho</t>
  </si>
  <si>
    <t>CuteIsEvil</t>
  </si>
  <si>
    <t>DadaAd</t>
  </si>
  <si>
    <t>DamageProofVehicle</t>
  </si>
  <si>
    <t>DancingBear</t>
  </si>
  <si>
    <t>DancingPants</t>
  </si>
  <si>
    <t>DangerousDeviceDisposalDebacle</t>
  </si>
  <si>
    <t>DangerousWorkplace</t>
  </si>
  <si>
    <t>DarkComedy</t>
  </si>
  <si>
    <t>DarknessInducedAudienceApathy</t>
  </si>
  <si>
    <t>DarwinistDesire</t>
  </si>
  <si>
    <t>DatelessGrave</t>
  </si>
  <si>
    <t>DeadBabyComedy</t>
  </si>
  <si>
    <t>DeadPetSketch</t>
  </si>
  <si>
    <t>DeathInTheClouds</t>
  </si>
  <si>
    <t>DeceptivelyHumanRobots</t>
  </si>
  <si>
    <t>DefaultToGood</t>
  </si>
  <si>
    <t>DeityOfHumanOrigin</t>
  </si>
  <si>
    <t>DelayedSafetyFeature</t>
  </si>
  <si>
    <t>DelayedWire</t>
  </si>
  <si>
    <t>DeletedRole</t>
  </si>
  <si>
    <t>DeliverUsFromEvil</t>
  </si>
  <si>
    <t>DelusionsOfDoghood</t>
  </si>
  <si>
    <t>DemocracyIsFlawed</t>
  </si>
  <si>
    <t>DemonHead</t>
  </si>
  <si>
    <t>DescentIntoMadness</t>
  </si>
  <si>
    <t>DescriptivelyNamedSpecies</t>
  </si>
  <si>
    <t>Descriptiveville</t>
  </si>
  <si>
    <t>DesertWarfare</t>
  </si>
  <si>
    <t>DeusAxMachina</t>
  </si>
  <si>
    <t>DeusEstMachina</t>
  </si>
  <si>
    <t>DeusExScuseMe</t>
  </si>
  <si>
    <t>DevilsJobOffer</t>
  </si>
  <si>
    <t>DevolutionDevice</t>
  </si>
  <si>
    <t>DevourTheDragon</t>
  </si>
  <si>
    <t>DiceRollDeath</t>
  </si>
  <si>
    <t>DidYouDie</t>
  </si>
  <si>
    <t>DidYouGetANewHaircut</t>
  </si>
  <si>
    <t>DiesWideShut</t>
  </si>
  <si>
    <t>DilatingDoor</t>
  </si>
  <si>
    <t>DimensionLord</t>
  </si>
  <si>
    <t>DinnerOrderFlub</t>
  </si>
  <si>
    <t>DinnerWithTheBoss</t>
  </si>
  <si>
    <t>DirectLineToTheAuthor</t>
  </si>
  <si>
    <t>DisabledMeansHelpless</t>
  </si>
  <si>
    <t>DisappearingBox</t>
  </si>
  <si>
    <t>Discontinuity</t>
  </si>
  <si>
    <t>DiseaseBleach</t>
  </si>
  <si>
    <t>DishDash</t>
  </si>
  <si>
    <t>Disneyesque</t>
  </si>
  <si>
    <t>DisneyOwnsThisTrope</t>
  </si>
  <si>
    <t>DisobeyThisMessage</t>
  </si>
  <si>
    <t>DisposableVehicleSection</t>
  </si>
  <si>
    <t>Dissolve</t>
  </si>
  <si>
    <t>DistractingDisambiguation</t>
  </si>
  <si>
    <t>DivineParentage</t>
  </si>
  <si>
    <t>DIYDentistry</t>
  </si>
  <si>
    <t>DodgeballIsHell</t>
  </si>
  <si>
    <t>DoIReallySoundLikeThat</t>
  </si>
  <si>
    <t>DoNotRunWithAGun</t>
  </si>
  <si>
    <t>DoorFu</t>
  </si>
  <si>
    <t>DoorOfDoom</t>
  </si>
  <si>
    <t>DoTheyKnowItsChristmasTime</t>
  </si>
  <si>
    <t>DoubleKnockout</t>
  </si>
  <si>
    <t>DoublySubverted</t>
  </si>
  <si>
    <t>DowsingDevice</t>
  </si>
  <si>
    <t>DoYouTrustMe</t>
  </si>
  <si>
    <t>DreadlockWarrior</t>
  </si>
  <si>
    <t>DreamApocalypse</t>
  </si>
  <si>
    <t>DreamingOfTimesGoneBy</t>
  </si>
  <si>
    <t>DreamSue</t>
  </si>
  <si>
    <t>DrenchCelebration</t>
  </si>
  <si>
    <t>DressedInLayers</t>
  </si>
  <si>
    <t>DressedLikeADominatrix</t>
  </si>
  <si>
    <t>DrinkingTheKoolAid</t>
  </si>
  <si>
    <t>DropInCharacter</t>
  </si>
  <si>
    <t>DrPsychPatient</t>
  </si>
  <si>
    <t>DualityMotif</t>
  </si>
  <si>
    <t>DuelingScar</t>
  </si>
  <si>
    <t>DuelingStarsMovie</t>
  </si>
  <si>
    <t>DulcineaEffect</t>
  </si>
  <si>
    <t>DumbBlond</t>
  </si>
  <si>
    <t>DummiedOut</t>
  </si>
  <si>
    <t>DunceCap</t>
  </si>
  <si>
    <t>DyingSpeech</t>
  </si>
  <si>
    <t>DynamicAkimbo</t>
  </si>
  <si>
    <t>DynamiteCandle</t>
  </si>
  <si>
    <t>EagerRookie</t>
  </si>
  <si>
    <t>EarnedStripes</t>
  </si>
  <si>
    <t>EarthShatteringPoster</t>
  </si>
  <si>
    <t>EarthThatUsedToBeBetter</t>
  </si>
  <si>
    <t>EasilyDistractedReferee</t>
  </si>
  <si>
    <t>EasyRoadToHell</t>
  </si>
  <si>
    <t>EatDirtCheap</t>
  </si>
  <si>
    <t>EccentricArtist</t>
  </si>
  <si>
    <t>EditedForSyndication</t>
  </si>
  <si>
    <t>EducationThroughPyrotechnics</t>
  </si>
  <si>
    <t>EerieArcticResearchStation</t>
  </si>
  <si>
    <t>EffortlessAmazonianLift</t>
  </si>
  <si>
    <t>EgocentricTeamNaming</t>
  </si>
  <si>
    <t>ElderlyImmortal</t>
  </si>
  <si>
    <t>ElectiveMonarchy</t>
  </si>
  <si>
    <t>ElegantWeaponForAMoreCivilizedAge</t>
  </si>
  <si>
    <t>ElementalBaggage</t>
  </si>
  <si>
    <t>ElevenOClockNumber</t>
  </si>
  <si>
    <t>EliteManCourtesanRomance</t>
  </si>
  <si>
    <t>EliteZombie</t>
  </si>
  <si>
    <t>EmbarrassingDampSheets</t>
  </si>
  <si>
    <t>EmergencyServices</t>
  </si>
  <si>
    <t>Emo</t>
  </si>
  <si>
    <t>EmpireWithADarkSecret</t>
  </si>
  <si>
    <t>EmptyChairMemorial</t>
  </si>
  <si>
    <t>EnemiesEqualsGreatness</t>
  </si>
  <si>
    <t>EngagingConversation</t>
  </si>
  <si>
    <t>EnhancedPunch</t>
  </si>
  <si>
    <t>EpicHail</t>
  </si>
  <si>
    <t>EpicRiff</t>
  </si>
  <si>
    <t>EqualOpportunityOffender</t>
  </si>
  <si>
    <t>EskimoLand</t>
  </si>
  <si>
    <t>EsotericHappyEnding</t>
  </si>
  <si>
    <t>EternalProhibition</t>
  </si>
  <si>
    <t>EternalSexualFreedom</t>
  </si>
  <si>
    <t>EvenMooksHaveLovedOnes</t>
  </si>
  <si>
    <t>EvilEmpire</t>
  </si>
  <si>
    <t>EvilGrin</t>
  </si>
  <si>
    <t>EvilJesuit</t>
  </si>
  <si>
    <t>EvilNephew</t>
  </si>
  <si>
    <t>EvilSorceress</t>
  </si>
  <si>
    <t>EvilStatesOfAmerica</t>
  </si>
  <si>
    <t>EvilWeapon</t>
  </si>
  <si>
    <t>EvolvingMusic</t>
  </si>
  <si>
    <t>ExaltedTorturer</t>
  </si>
  <si>
    <t>ExcitedKidsShowHost</t>
  </si>
  <si>
    <t>ExiledFromContinuity</t>
  </si>
  <si>
    <t>ExistentialHorror</t>
  </si>
  <si>
    <t>ExoticEquipment</t>
  </si>
  <si>
    <t>ExoticExtendedMarriage</t>
  </si>
  <si>
    <t>ExoticWeaponSupremacy</t>
  </si>
  <si>
    <t>ExpendableAlternateUniverse</t>
  </si>
  <si>
    <t>ExplainingYourPowerToTheEnemy</t>
  </si>
  <si>
    <t>ExpoLabel</t>
  </si>
  <si>
    <t>ExpositingTheMasquerade</t>
  </si>
  <si>
    <t>ExpositionFairy</t>
  </si>
  <si>
    <t>ExpositionVictim</t>
  </si>
  <si>
    <t>ExtendableArms</t>
  </si>
  <si>
    <t>ExternalRetcon</t>
  </si>
  <si>
    <t>EyeCandy</t>
  </si>
  <si>
    <t>EyeMotifs</t>
  </si>
  <si>
    <t>EyeSpy</t>
  </si>
  <si>
    <t>FacePlant</t>
  </si>
  <si>
    <t>FailedFutureForecast</t>
  </si>
  <si>
    <t>FailOSuckyname</t>
  </si>
  <si>
    <t>FailureKnight</t>
  </si>
  <si>
    <t>FairFolk</t>
  </si>
  <si>
    <t>FakedRipVanWinkle</t>
  </si>
  <si>
    <t>FakeKing</t>
  </si>
  <si>
    <t>FakeRabies</t>
  </si>
  <si>
    <t>FakeRelationship</t>
  </si>
  <si>
    <t>FakeTwinGambit</t>
  </si>
  <si>
    <t>FakeWeakness</t>
  </si>
  <si>
    <t>FallingIntoHisArms</t>
  </si>
  <si>
    <t>FalseFalseAlarm</t>
  </si>
  <si>
    <t>FameThroughInfamy</t>
  </si>
  <si>
    <t>FanMyopia</t>
  </si>
  <si>
    <t>FantasticMedicinalBodilyProduct</t>
  </si>
  <si>
    <t>FantasticNatureReserve</t>
  </si>
  <si>
    <t>FantasticReligiousWeirdness</t>
  </si>
  <si>
    <t>FashionDesigner</t>
  </si>
  <si>
    <t>FatAndProud</t>
  </si>
  <si>
    <t>FearIsTheAppropriateResponse</t>
  </si>
  <si>
    <t>FeatherMotif</t>
  </si>
  <si>
    <t>FeudalFuture</t>
  </si>
  <si>
    <t>FictionalHoliday</t>
  </si>
  <si>
    <t>FictionalUnitedNations</t>
  </si>
  <si>
    <t>FictionBusinessSavvy</t>
  </si>
  <si>
    <t>FightOffTheKryptonite</t>
  </si>
  <si>
    <t>FinalExamBoss</t>
  </si>
  <si>
    <t>FingerFirearms</t>
  </si>
  <si>
    <t>FingerprintingAir</t>
  </si>
  <si>
    <t>FingerSuckHealing</t>
  </si>
  <si>
    <t>FireForgedFriendship</t>
  </si>
  <si>
    <t>FiremenAreHot</t>
  </si>
  <si>
    <t>FiringSquad</t>
  </si>
  <si>
    <t>FirstPeriodPanic</t>
  </si>
  <si>
    <t>FirstRuleOfTheYard</t>
  </si>
  <si>
    <t>FirstSnow</t>
  </si>
  <si>
    <t>FirstTimeFeeling</t>
  </si>
  <si>
    <t>FistPump</t>
  </si>
  <si>
    <t>FlatScare</t>
  </si>
  <si>
    <t>FlexibleTourneyRules</t>
  </si>
  <si>
    <t>FlightOfRomance</t>
  </si>
  <si>
    <t>FlipFlopOfGod</t>
  </si>
  <si>
    <t>FlippingHelpless</t>
  </si>
  <si>
    <t>FloatingAdviceReminder</t>
  </si>
  <si>
    <t>FlyingCutlerySpaceship</t>
  </si>
  <si>
    <t>FollowTheChaos</t>
  </si>
  <si>
    <t>FollowTheWhiteRabbit</t>
  </si>
  <si>
    <t>FondMemoriesThatCouldHaveBeen</t>
  </si>
  <si>
    <t>FoodEnd</t>
  </si>
  <si>
    <t>ForcedKiss</t>
  </si>
  <si>
    <t>ForeignLookingFont</t>
  </si>
  <si>
    <t>ForgottenThemeTuneLyrics</t>
  </si>
  <si>
    <t>ForgotTheCall</t>
  </si>
  <si>
    <t>ForgotToPayTheBill</t>
  </si>
  <si>
    <t>ForkFencing</t>
  </si>
  <si>
    <t>FosteringForProfit</t>
  </si>
  <si>
    <t>FramedForHeroism</t>
  </si>
  <si>
    <t>FrameStory</t>
  </si>
  <si>
    <t>FreeTheFrogs</t>
  </si>
  <si>
    <t>FriendlyScheming</t>
  </si>
  <si>
    <t>FriendsAreChosenFamilyArent</t>
  </si>
  <si>
    <t>FriendshipTrinket</t>
  </si>
  <si>
    <t>FromMyOwnPersonalGarden</t>
  </si>
  <si>
    <t>FrozenFashionSense</t>
  </si>
  <si>
    <t>FullBoarAction</t>
  </si>
  <si>
    <t>FungusHumongous</t>
  </si>
  <si>
    <t>FunHatingConfiscatingAdult</t>
  </si>
  <si>
    <t>FunnySpoon</t>
  </si>
  <si>
    <t>FuturisticPyramid</t>
  </si>
  <si>
    <t>GadgetWatch</t>
  </si>
  <si>
    <t>GagHaircut</t>
  </si>
  <si>
    <t>GagSub</t>
  </si>
  <si>
    <t>GameBreaker</t>
  </si>
  <si>
    <t>GameOfNerds</t>
  </si>
  <si>
    <t>GarnishingTheStory</t>
  </si>
  <si>
    <t>GasMaskLongcoat</t>
  </si>
  <si>
    <t>GeekReferencePool</t>
  </si>
  <si>
    <t>GenderInverted</t>
  </si>
  <si>
    <t>GenderMisdirection</t>
  </si>
  <si>
    <t>GenderRestrictedAbility</t>
  </si>
  <si>
    <t>GenkiGuy</t>
  </si>
  <si>
    <t>GenreRelaunch</t>
  </si>
  <si>
    <t>GiantHandsOfDoom</t>
  </si>
  <si>
    <t>GiantRobotHandsSaveLives</t>
  </si>
  <si>
    <t>GiganticAdultsTinyBabies</t>
  </si>
  <si>
    <t>GiganticGulp</t>
  </si>
  <si>
    <t>GirlsAreReallyScaredOfHorrorMovies</t>
  </si>
  <si>
    <t>GirlsLove</t>
  </si>
  <si>
    <t>GivingRadioToTheRomans</t>
  </si>
  <si>
    <t>GladHesOnOurSide</t>
  </si>
  <si>
    <t>GladYouThoughtOfIt</t>
  </si>
  <si>
    <t>GoingToTheStore</t>
  </si>
  <si>
    <t>GoldenEnding</t>
  </si>
  <si>
    <t>GoodAnimalsEvilAnimals</t>
  </si>
  <si>
    <t>GoodIsBadAndBadIsGood</t>
  </si>
  <si>
    <t>GoodNeedsEvil</t>
  </si>
  <si>
    <t>GoodPrincessEvilQueen</t>
  </si>
  <si>
    <t>GoodWitchVersusBadWitch</t>
  </si>
  <si>
    <t>GooGooGodlike</t>
  </si>
  <si>
    <t>GoombaStomp</t>
  </si>
  <si>
    <t>GothGirlsKnowMagic</t>
  </si>
  <si>
    <t>GoToYourRoom</t>
  </si>
  <si>
    <t>GottaGetYourHeadTogether</t>
  </si>
  <si>
    <t>GracefulInTheirElement</t>
  </si>
  <si>
    <t>GradeSkipper</t>
  </si>
  <si>
    <t>GrandDame</t>
  </si>
  <si>
    <t>GrapplingHookGun</t>
  </si>
  <si>
    <t>GreaseMonkey</t>
  </si>
  <si>
    <t>GreekFire</t>
  </si>
  <si>
    <t>GrotesqueCute</t>
  </si>
  <si>
    <t>GrudgingThankYou</t>
  </si>
  <si>
    <t>GuineaPigFamily</t>
  </si>
  <si>
    <t>GunsAreUseless</t>
  </si>
  <si>
    <t>GunsInChurch</t>
  </si>
  <si>
    <t>HackerCollective</t>
  </si>
  <si>
    <t>HakunaMatata</t>
  </si>
  <si>
    <t>HalloweenCosplay</t>
  </si>
  <si>
    <t>HandOfGlory</t>
  </si>
  <si>
    <t>HandOnWomb</t>
  </si>
  <si>
    <t>HandwrapsOfAwesome</t>
  </si>
  <si>
    <t>HandyHelper</t>
  </si>
  <si>
    <t>HappinessInMinimumWage</t>
  </si>
  <si>
    <t>HappyHarlequinHat</t>
  </si>
  <si>
    <t>Harakiri</t>
  </si>
  <si>
    <t>HardCut</t>
  </si>
  <si>
    <t>HarmonyVersusDiscipline</t>
  </si>
  <si>
    <t>HartmanHips</t>
  </si>
  <si>
    <t>HashHouseLingo</t>
  </si>
  <si>
    <t>HasTwoThumbsAnd</t>
  </si>
  <si>
    <t>HaveIMentionedIAmADwarfToday</t>
  </si>
  <si>
    <t>HeadsTailsEdge</t>
  </si>
  <si>
    <t>HealingShiv</t>
  </si>
  <si>
    <t>HeavilyArmoredMook</t>
  </si>
  <si>
    <t>HeIsNotMyBoyfriend</t>
  </si>
  <si>
    <t>HeistEpisode</t>
  </si>
  <si>
    <t>HemisphereBias</t>
  </si>
  <si>
    <t>HenshinHero</t>
  </si>
  <si>
    <t>HeroicBreakdown</t>
  </si>
  <si>
    <t>HeroismEqualsJobQualification</t>
  </si>
  <si>
    <t>HeroismWontPayTheBills</t>
  </si>
  <si>
    <t>HeroWithAnFInGood</t>
  </si>
  <si>
    <t>HeWillComeForMe</t>
  </si>
  <si>
    <t>HideTheEvidence</t>
  </si>
  <si>
    <t>HidingInPlainSight</t>
  </si>
  <si>
    <t>HidingTheHandicap</t>
  </si>
  <si>
    <t>HigherEducationIsForWomen</t>
  </si>
  <si>
    <t>HigherTechSpecies</t>
  </si>
  <si>
    <t>HighPriest</t>
  </si>
  <si>
    <t>HighSchoolRejects</t>
  </si>
  <si>
    <t>HilarityInZoos</t>
  </si>
  <si>
    <t>HilaritySues</t>
  </si>
  <si>
    <t>HitStop</t>
  </si>
  <si>
    <t>Hobbits</t>
  </si>
  <si>
    <t>HobblingTheGiant</t>
  </si>
  <si>
    <t>HollywoodActionHero</t>
  </si>
  <si>
    <t>HollywoodEncryption</t>
  </si>
  <si>
    <t>HollywoodGameDesign</t>
  </si>
  <si>
    <t>HollywoodMirage</t>
  </si>
  <si>
    <t>HollywoodNight</t>
  </si>
  <si>
    <t>HomosocialHeterosexuality</t>
  </si>
  <si>
    <t>HopeCrusher</t>
  </si>
  <si>
    <t>HorrorComedy</t>
  </si>
  <si>
    <t>HorrorTropes</t>
  </si>
  <si>
    <t>HourOfPower</t>
  </si>
  <si>
    <t>HouseboatHero</t>
  </si>
  <si>
    <t>HouseOfBrokenMirrors</t>
  </si>
  <si>
    <t>HowDidThatGetInThere</t>
  </si>
  <si>
    <t>HowMuchDidYouHear</t>
  </si>
  <si>
    <t>Hubris</t>
  </si>
  <si>
    <t>HugeRiderTinyMount</t>
  </si>
  <si>
    <t>HumanDisguise</t>
  </si>
  <si>
    <t>HumanInterestStory</t>
  </si>
  <si>
    <t>HumanityIsInsane</t>
  </si>
  <si>
    <t>HumanMomNonHumanDad</t>
  </si>
  <si>
    <t>HumanPet</t>
  </si>
  <si>
    <t>HumansByAnyOtherName</t>
  </si>
  <si>
    <t>Humanshifting</t>
  </si>
  <si>
    <t>HumansKillWantonly</t>
  </si>
  <si>
    <t>HumanToWerewolfFootprints</t>
  </si>
  <si>
    <t>HumanWeapon</t>
  </si>
  <si>
    <t>HumiliatingWager</t>
  </si>
  <si>
    <t>HyperventilationBag</t>
  </si>
  <si>
    <t>IAmBigBoned</t>
  </si>
  <si>
    <t>ICanRuleAlone</t>
  </si>
  <si>
    <t>IdentityDenial</t>
  </si>
  <si>
    <t>IdioticPartnerConfession</t>
  </si>
  <si>
    <t>IDoNotLikeGreenEggsAndHam</t>
  </si>
  <si>
    <t>IDontLikeYouAndYouDontLikeMe</t>
  </si>
  <si>
    <t>IDontWantToDie</t>
  </si>
  <si>
    <t>IfIHadANickel</t>
  </si>
  <si>
    <t>IfIWantedXIWouldY</t>
  </si>
  <si>
    <t>IfYouTauntHimYouWillBeJustLikeHim</t>
  </si>
  <si>
    <t>IGotYouCovered</t>
  </si>
  <si>
    <t>IHaveNoDaughter</t>
  </si>
  <si>
    <t>IHaveToGoIronMyDog</t>
  </si>
  <si>
    <t>ILetYouWin</t>
  </si>
  <si>
    <t>IllegalGamblingDen</t>
  </si>
  <si>
    <t>ImHavingSoulPains</t>
  </si>
  <si>
    <t>ImpossibleTheft</t>
  </si>
  <si>
    <t>ImpossiblyAwesomeMagicTrick</t>
  </si>
  <si>
    <t>Imprinting</t>
  </si>
  <si>
    <t>ImprobableFoodBudget</t>
  </si>
  <si>
    <t>ImprobableWeapon</t>
  </si>
  <si>
    <t>ImprovisedClothes</t>
  </si>
  <si>
    <t>ImThinkingItOver</t>
  </si>
  <si>
    <t>InAnotherMansShoes</t>
  </si>
  <si>
    <t>InconsistentDub</t>
  </si>
  <si>
    <t>InconvenientHippocraticOath</t>
  </si>
  <si>
    <t>InDaClub</t>
  </si>
  <si>
    <t>INeedADrink</t>
  </si>
  <si>
    <t>InescapableNet</t>
  </si>
  <si>
    <t>InexplicablyIdenticalIndividuals</t>
  </si>
  <si>
    <t>InfernalBackground</t>
  </si>
  <si>
    <t>InfiniteSupplies</t>
  </si>
  <si>
    <t>InsanityDefence</t>
  </si>
  <si>
    <t>InspectorLestrade</t>
  </si>
  <si>
    <t>InstantChucks</t>
  </si>
  <si>
    <t>InstantCooldown</t>
  </si>
  <si>
    <t>Instrumentals</t>
  </si>
  <si>
    <t>InsubstantialIngredients</t>
  </si>
  <si>
    <t>InsultFriendlyFire</t>
  </si>
  <si>
    <t>InsurmountableWaistHeightFence</t>
  </si>
  <si>
    <t>InterclassFriendship</t>
  </si>
  <si>
    <t>InternationalShowdownByProxy</t>
  </si>
  <si>
    <t>InterrogatingTheDead</t>
  </si>
  <si>
    <t>InThatOrder</t>
  </si>
  <si>
    <t>InTheLocalTongue</t>
  </si>
  <si>
    <t>IntroductionByHookup</t>
  </si>
  <si>
    <t>InUniverseCatharsis</t>
  </si>
  <si>
    <t>InventionPretension</t>
  </si>
  <si>
    <t>InWhichATropeIsDescribed</t>
  </si>
  <si>
    <t>IrishmanAndAJew</t>
  </si>
  <si>
    <t>IronicFear</t>
  </si>
  <si>
    <t>IrrelevantActOpener</t>
  </si>
  <si>
    <t>ISeeThemToo</t>
  </si>
  <si>
    <t>IShouldHaveBeenBetter</t>
  </si>
  <si>
    <t>ISophagus</t>
  </si>
  <si>
    <t>ItalianNeorealism</t>
  </si>
  <si>
    <t>ItsLikeIAlwaysSay</t>
  </si>
  <si>
    <t>ItsTheBestWhateverEver</t>
  </si>
  <si>
    <t>IWantMyBelovedToBeFashionable</t>
  </si>
  <si>
    <t>IWillFightSomeMoreForever</t>
  </si>
  <si>
    <t>IWontSayImGuilty</t>
  </si>
  <si>
    <t>IWouldSayIfICouldSay</t>
  </si>
  <si>
    <t>JackOfAllStats</t>
  </si>
  <si>
    <t>JerkJustifications</t>
  </si>
  <si>
    <t>JigsawPuzzlePlot</t>
  </si>
  <si>
    <t>Jossed</t>
  </si>
  <si>
    <t>JudgmentOfSolomon</t>
  </si>
  <si>
    <t>JumpingTheShark</t>
  </si>
  <si>
    <t>JunkieParent</t>
  </si>
  <si>
    <t>JustEatHim</t>
  </si>
  <si>
    <t>JustTheWayYouAre</t>
  </si>
  <si>
    <t>KarmicTwistEnding</t>
  </si>
  <si>
    <t>KeyConfusion</t>
  </si>
  <si>
    <t>KillerTeddyBear</t>
  </si>
  <si>
    <t>KillTheHostBody</t>
  </si>
  <si>
    <t>KinkMeme</t>
  </si>
  <si>
    <t>KitchenSinkIncluded</t>
  </si>
  <si>
    <t>KitschyThemedRestaurant</t>
  </si>
  <si>
    <t>Kitsune</t>
  </si>
  <si>
    <t>KungFuJesus</t>
  </si>
  <si>
    <t>KungFuSonicBoom</t>
  </si>
  <si>
    <t>LadyOfAdventure</t>
  </si>
  <si>
    <t>LandingGearShot</t>
  </si>
  <si>
    <t>LandingInSomeonesBathtub</t>
  </si>
  <si>
    <t>LandSeaSky</t>
  </si>
  <si>
    <t>LanguageOfMagic</t>
  </si>
  <si>
    <t>LastEpisodeNewCharacter</t>
  </si>
  <si>
    <t>LastGuyWins</t>
  </si>
  <si>
    <t>LavaAddsAwesome</t>
  </si>
  <si>
    <t>LawfulEvil</t>
  </si>
  <si>
    <t>LawfulNeutral</t>
  </si>
  <si>
    <t>LeapAndFire</t>
  </si>
  <si>
    <t>LearntEnglishFromWatchingTelevision</t>
  </si>
  <si>
    <t>LeavingAudience</t>
  </si>
  <si>
    <t>LeetLingo</t>
  </si>
  <si>
    <t>LegendaryWeapon</t>
  </si>
  <si>
    <t>LensmanArmsRace</t>
  </si>
  <si>
    <t>LethalHarmlessPowers</t>
  </si>
  <si>
    <t>LetterMotif</t>
  </si>
  <si>
    <t>LetXBeTheUnknown</t>
  </si>
  <si>
    <t>LiesDamnedLiesAndStatistics</t>
  </si>
  <si>
    <t>LifesWorkRuined</t>
  </si>
  <si>
    <t>LighterAndFluffier</t>
  </si>
  <si>
    <t>LightheartedRematch</t>
  </si>
  <si>
    <t>LineageComesFromTheFather</t>
  </si>
  <si>
    <t>LiteralistSnarking</t>
  </si>
  <si>
    <t>LittleBrotherIsWatching</t>
  </si>
  <si>
    <t>LivesInAVan</t>
  </si>
  <si>
    <t>LivingInAFurnitureStore</t>
  </si>
  <si>
    <t>LivingLabyrinth</t>
  </si>
  <si>
    <t>LivingStructureMonster</t>
  </si>
  <si>
    <t>LocationSong</t>
  </si>
  <si>
    <t>LockedAwayInAMonastery</t>
  </si>
  <si>
    <t>LongCon</t>
  </si>
  <si>
    <t>LongGame</t>
  </si>
  <si>
    <t>LongLived</t>
  </si>
  <si>
    <t>LostRomanLegion</t>
  </si>
  <si>
    <t>LouisCyphre</t>
  </si>
  <si>
    <t>LovecraftOnFilm</t>
  </si>
  <si>
    <t>LoveHotels</t>
  </si>
  <si>
    <t>LoveLetter</t>
  </si>
  <si>
    <t>LoveMakesYouUncreative</t>
  </si>
  <si>
    <t>LoveOverridesTheLaw</t>
  </si>
  <si>
    <t>LoveRevelationEpiphany</t>
  </si>
  <si>
    <t>LoversLedge</t>
  </si>
  <si>
    <t>LowAngleEmptyWorldShot</t>
  </si>
  <si>
    <t>LuckBasedMission</t>
  </si>
  <si>
    <t>LuckySeven</t>
  </si>
  <si>
    <t>LudicrousGiftRequest</t>
  </si>
  <si>
    <t>LumberMillMayhem</t>
  </si>
  <si>
    <t>MacNutt</t>
  </si>
  <si>
    <t>MadeOfBologna</t>
  </si>
  <si>
    <t>MadLibThrillerTitle</t>
  </si>
  <si>
    <t>Mafiya</t>
  </si>
  <si>
    <t>MagicalBarefooter</t>
  </si>
  <si>
    <t>MagicalDatabase</t>
  </si>
  <si>
    <t>MagicalLibrary</t>
  </si>
  <si>
    <t>MagicGenetics</t>
  </si>
  <si>
    <t>ManicPixieDreamGuy</t>
  </si>
  <si>
    <t>ManlyMenCanHunt</t>
  </si>
  <si>
    <t>ManVersusMachine</t>
  </si>
  <si>
    <t>MarkedChange</t>
  </si>
  <si>
    <t>MartialArtsUniform</t>
  </si>
  <si>
    <t>MartyrWithoutACause</t>
  </si>
  <si>
    <t>Matriarchy</t>
  </si>
  <si>
    <t>MatronChaperone</t>
  </si>
  <si>
    <t>MayIBorrowACupOfSugar</t>
  </si>
  <si>
    <t>McBride</t>
  </si>
  <si>
    <t>MeaningfulAppearance</t>
  </si>
  <si>
    <t>MeatVersusVeggies</t>
  </si>
  <si>
    <t>MechanicalLifeform</t>
  </si>
  <si>
    <t>MechanisticAlienCulture</t>
  </si>
  <si>
    <t>MedicalDrama</t>
  </si>
  <si>
    <t>MedicalRapeAndImpregnate</t>
  </si>
  <si>
    <t>MedicineShow</t>
  </si>
  <si>
    <t>MegaNeko</t>
  </si>
  <si>
    <t>Meido</t>
  </si>
  <si>
    <t>MenInBlack</t>
  </si>
  <si>
    <t>MentalPictureProjector</t>
  </si>
  <si>
    <t>MenUseViolenceWomenUseCommunication</t>
  </si>
  <si>
    <t>MergingMachine</t>
  </si>
  <si>
    <t>MetamorphosisMonster</t>
  </si>
  <si>
    <t>MetaSequel</t>
  </si>
  <si>
    <t>MicroMonarchy</t>
  </si>
  <si>
    <t>MiddleOfNowhereStreet</t>
  </si>
  <si>
    <t>MidLifeCrisisCar</t>
  </si>
  <si>
    <t>MilitarySuperhero</t>
  </si>
  <si>
    <t>MindHive</t>
  </si>
  <si>
    <t>MindWipe</t>
  </si>
  <si>
    <t>MindYourStep</t>
  </si>
  <si>
    <t>MinorWithFakeID</t>
  </si>
  <si>
    <t>MiraculousMalfunction</t>
  </si>
  <si>
    <t>MissingDad</t>
  </si>
  <si>
    <t>MissingManFormation</t>
  </si>
  <si>
    <t>MissionCreep</t>
  </si>
  <si>
    <t>MistakenForObjectOfAffection</t>
  </si>
  <si>
    <t>MistakenForThief</t>
  </si>
  <si>
    <t>MistookTheDominantLifeform</t>
  </si>
  <si>
    <t>MixAndMatchWeapon</t>
  </si>
  <si>
    <t>MixedRace</t>
  </si>
  <si>
    <t>MobileFishbowl</t>
  </si>
  <si>
    <t>MobileKiosk</t>
  </si>
  <si>
    <t>Moll</t>
  </si>
  <si>
    <t>MoneyShot</t>
  </si>
  <si>
    <t>MonogenderMonsters</t>
  </si>
  <si>
    <t>MonsterRoommate</t>
  </si>
  <si>
    <t>MoralityKitchenSink</t>
  </si>
  <si>
    <t>MoralSociopathy</t>
  </si>
  <si>
    <t>MorePredatorsThanPrey</t>
  </si>
  <si>
    <t>MortalityEnsues</t>
  </si>
  <si>
    <t>MostDefinitelyNotAVillain</t>
  </si>
  <si>
    <t>MotivationOnAStick</t>
  </si>
  <si>
    <t>MouthfulOfPi</t>
  </si>
  <si>
    <t>MrAltDisney</t>
  </si>
  <si>
    <t>MsRedInk</t>
  </si>
  <si>
    <t>MuckMonster</t>
  </si>
  <si>
    <t>MuggleFosterParents</t>
  </si>
  <si>
    <t>MultiEthnicName</t>
  </si>
  <si>
    <t>MultilayerFacade</t>
  </si>
  <si>
    <t>MultiversalConqueror</t>
  </si>
  <si>
    <t>MunchausensByProxy</t>
  </si>
  <si>
    <t>MundaneFantastic</t>
  </si>
  <si>
    <t>MurderInTheFamily</t>
  </si>
  <si>
    <t>MuscleAngst</t>
  </si>
  <si>
    <t>MusicalChores</t>
  </si>
  <si>
    <t>MyFavoriteShirt</t>
  </si>
  <si>
    <t>MyNewGiftIsLame</t>
  </si>
  <si>
    <t>MyspeldRokband</t>
  </si>
  <si>
    <t>MysteriousBacker</t>
  </si>
  <si>
    <t>MysteriousBenefactor</t>
  </si>
  <si>
    <t>MysteriousVeil</t>
  </si>
  <si>
    <t>MysticalHollywood</t>
  </si>
  <si>
    <t>MysticalPlague</t>
  </si>
  <si>
    <t>NameAmnesia</t>
  </si>
  <si>
    <t>NameDrop</t>
  </si>
  <si>
    <t>NameThatUnfoldsLikeLotusBlossom</t>
  </si>
  <si>
    <t>NarniaTime</t>
  </si>
  <si>
    <t>NatureTinkling</t>
  </si>
  <si>
    <t>NatureVsNurture</t>
  </si>
  <si>
    <t>NearlyNormalAnimal</t>
  </si>
  <si>
    <t>NerdActionHero</t>
  </si>
  <si>
    <t>NerdInEvilsHelmet</t>
  </si>
  <si>
    <t>NerdyBully</t>
  </si>
  <si>
    <t>NeutronBomb</t>
  </si>
  <si>
    <t>NeverBeAHero</t>
  </si>
  <si>
    <t>NeverBeHurtAgain</t>
  </si>
  <si>
    <t>NeverTrustAHairTonic</t>
  </si>
  <si>
    <t>NewChildLeftBehind</t>
  </si>
  <si>
    <t>NewcomerSavesTheDay</t>
  </si>
  <si>
    <t>NewNeoCity</t>
  </si>
  <si>
    <t>NiceJobBreakingItRivals</t>
  </si>
  <si>
    <t>NiceKitty</t>
  </si>
  <si>
    <t>NinjaPirateRobotZombie</t>
  </si>
  <si>
    <t>NoBadassToHisValet</t>
  </si>
  <si>
    <t>NoBadgeNoProblem</t>
  </si>
  <si>
    <t>NobodyOverFiftyIsGay</t>
  </si>
  <si>
    <t>NobodyThinksItWillWork</t>
  </si>
  <si>
    <t>NoDialogueEpisode</t>
  </si>
  <si>
    <t>NoHarmRequirement</t>
  </si>
  <si>
    <t>NoisyRobots</t>
  </si>
  <si>
    <t>NoLongerWithUs</t>
  </si>
  <si>
    <t>NoodlePeople</t>
  </si>
  <si>
    <t>NoPhonesTonight</t>
  </si>
  <si>
    <t>NoPreggerSex</t>
  </si>
  <si>
    <t>NoSuchThingAsHR</t>
  </si>
  <si>
    <t>NoSuchThingAsSpaceJesus</t>
  </si>
  <si>
    <t>NOT</t>
  </si>
  <si>
    <t>NotablyQuickDeliberation</t>
  </si>
  <si>
    <t>NotADate</t>
  </si>
  <si>
    <t>NotAMask</t>
  </si>
  <si>
    <t>NotBrainwashed</t>
  </si>
  <si>
    <t>NotCompletelyUseless</t>
  </si>
  <si>
    <t>NotDrawnToScale</t>
  </si>
  <si>
    <t>NoticingTheFourthWall</t>
  </si>
  <si>
    <t>NotInMyBackYard</t>
  </si>
  <si>
    <t>NotNowKid</t>
  </si>
  <si>
    <t>NotQuiteBackToNormal</t>
  </si>
  <si>
    <t>NoTranshumanismAllowed</t>
  </si>
  <si>
    <t>NotRightInTheBed</t>
  </si>
  <si>
    <t>NotSoDire</t>
  </si>
  <si>
    <t>NotSoSafeHarbor</t>
  </si>
  <si>
    <t>NoWaterproofingInTheFuture</t>
  </si>
  <si>
    <t>NowIKnowWhatToNameHim</t>
  </si>
  <si>
    <t>NowILayMeDownToSleep</t>
  </si>
  <si>
    <t>NowLetMeCarryYou</t>
  </si>
  <si>
    <t>NumberedSequel</t>
  </si>
  <si>
    <t>NurtureOverNature</t>
  </si>
  <si>
    <t>ObjectCeilingCling</t>
  </si>
  <si>
    <t>ObliviousAstronomers</t>
  </si>
  <si>
    <t>ObliviousToHints</t>
  </si>
  <si>
    <t>ObsoleteMentor</t>
  </si>
  <si>
    <t>ObstructiveCodeOfConduct</t>
  </si>
  <si>
    <t>ObstructiveVigilantism</t>
  </si>
  <si>
    <t>OccidentalOtaku</t>
  </si>
  <si>
    <t>OccultBlueEyes</t>
  </si>
  <si>
    <t>OceanAwe</t>
  </si>
  <si>
    <t>OfficerJerkass</t>
  </si>
  <si>
    <t>OffscreenAfterlife</t>
  </si>
  <si>
    <t>OffScreenKilling</t>
  </si>
  <si>
    <t>OhTheHumanity</t>
  </si>
  <si>
    <t>OldSchoolBuilding</t>
  </si>
  <si>
    <t>OldSuperhero</t>
  </si>
  <si>
    <t>OldTimeyAnkleTaboo</t>
  </si>
  <si>
    <t>OldTimeyBathingSuit</t>
  </si>
  <si>
    <t>OminousMessageFromTheFuture</t>
  </si>
  <si>
    <t>OmniscientCouncilOfVagueness</t>
  </si>
  <si>
    <t>OnceKilledAManWithANoodleImplement</t>
  </si>
  <si>
    <t>OneHitPointWonder</t>
  </si>
  <si>
    <t>OneMarioLimit</t>
  </si>
  <si>
    <t>Oner</t>
  </si>
  <si>
    <t>OneSizeFitsAll</t>
  </si>
  <si>
    <t>OneTruePairing</t>
  </si>
  <si>
    <t>OnlyKnownByHisNickname</t>
  </si>
  <si>
    <t>OnThree</t>
  </si>
  <si>
    <t>OntologicalInertia</t>
  </si>
  <si>
    <t>OperationGameOfDoom</t>
  </si>
  <si>
    <t>OracularHead</t>
  </si>
  <si>
    <t>OrchestraHitTechnoBattle</t>
  </si>
  <si>
    <t>OrganicBra</t>
  </si>
  <si>
    <t>OriginalGeneration</t>
  </si>
  <si>
    <t>OrionDrive</t>
  </si>
  <si>
    <t>Orochi</t>
  </si>
  <si>
    <t>OtherworldlyAndSexuallyAmbiguous</t>
  </si>
  <si>
    <t>OurBansheesAreLouder</t>
  </si>
  <si>
    <t>OurHomunculiAreDifferent</t>
  </si>
  <si>
    <t>OurNudityIsDifferent</t>
  </si>
  <si>
    <t>OutOfTimeOutOfMind</t>
  </si>
  <si>
    <t>OverlyStereotypicalDisguise</t>
  </si>
  <si>
    <t>PackedHero</t>
  </si>
  <si>
    <t>PaidForFamily</t>
  </si>
  <si>
    <t>PainfullySlowProjectile</t>
  </si>
  <si>
    <t>PaintTheTownRed</t>
  </si>
  <si>
    <t>ParadisePlanet</t>
  </si>
  <si>
    <t>ParallelParking</t>
  </si>
  <si>
    <t>ParalysisByAnalysis</t>
  </si>
  <si>
    <t>ParanoiaGambit</t>
  </si>
  <si>
    <t>ParanormalInvestigation</t>
  </si>
  <si>
    <t>ParentalAbuse</t>
  </si>
  <si>
    <t>ParentalFavouritism</t>
  </si>
  <si>
    <t>ParentalLoveSong</t>
  </si>
  <si>
    <t>PastVictimShowcase</t>
  </si>
  <si>
    <t>PatientOfTheWeek</t>
  </si>
  <si>
    <t>PatronSaint</t>
  </si>
  <si>
    <t>PeerlessLoveInterest</t>
  </si>
  <si>
    <t>Pegasus</t>
  </si>
  <si>
    <t>PekingDuckChristmas</t>
  </si>
  <si>
    <t>PennyShaving</t>
  </si>
  <si>
    <t>PerfectionIsImpossible</t>
  </si>
  <si>
    <t>PersecutedIntellectuals</t>
  </si>
  <si>
    <t>PetHeir</t>
  </si>
  <si>
    <t>PhilosophersStone</t>
  </si>
  <si>
    <t>PhlebotinumOverload</t>
  </si>
  <si>
    <t>PhonyDegree</t>
  </si>
  <si>
    <t>PhotoDoodleRecognition</t>
  </si>
  <si>
    <t>PhotofloodLighting</t>
  </si>
  <si>
    <t>Pilot</t>
  </si>
  <si>
    <t>PinealWeirdness</t>
  </si>
  <si>
    <t>PinkIsForSissies</t>
  </si>
  <si>
    <t>PitGirls</t>
  </si>
  <si>
    <t>PlagueMaster</t>
  </si>
  <si>
    <t>PlainJane</t>
  </si>
  <si>
    <t>PleaseDumpMe</t>
  </si>
  <si>
    <t>PleaseSelectNewCityName</t>
  </si>
  <si>
    <t>PleaseShootTheMessenger</t>
  </si>
  <si>
    <t>PleasureIsland</t>
  </si>
  <si>
    <t>PlotPoweredStamina</t>
  </si>
  <si>
    <t>PluckyMiddie</t>
  </si>
  <si>
    <t>PlugAndPlayTechnology</t>
  </si>
  <si>
    <t>PocketDimension</t>
  </si>
  <si>
    <t>PointOfView</t>
  </si>
  <si>
    <t>PoisonousPerson</t>
  </si>
  <si>
    <t>PolarBearsAndPenguins</t>
  </si>
  <si>
    <t>PoliticallyCorrectVillain</t>
  </si>
  <si>
    <t>PoliticianGuestStar</t>
  </si>
  <si>
    <t>PooledFunds</t>
  </si>
  <si>
    <t>PornWithoutPlot</t>
  </si>
  <si>
    <t>PoseOfSupplication</t>
  </si>
  <si>
    <t>PostApocalypticTrafficJam</t>
  </si>
  <si>
    <t>PostModernMagik</t>
  </si>
  <si>
    <t>PostMortemOneLiner</t>
  </si>
  <si>
    <t>POVBoyPosterGirl</t>
  </si>
  <si>
    <t>PowerCreepPowerSeep</t>
  </si>
  <si>
    <t>PowerEchoes</t>
  </si>
  <si>
    <t>PowerfulAndHelpless</t>
  </si>
  <si>
    <t>PowerfulPeopleAreSubs</t>
  </si>
  <si>
    <t>PowerTattoo</t>
  </si>
  <si>
    <t>PrayerPose</t>
  </si>
  <si>
    <t>PreExplosionGlow</t>
  </si>
  <si>
    <t>PregnancyTestPlot</t>
  </si>
  <si>
    <t>PrescienceByAnalysis</t>
  </si>
  <si>
    <t>PresidentForLife</t>
  </si>
  <si>
    <t>PricklyPorcupine</t>
  </si>
  <si>
    <t>PrimalChestPound</t>
  </si>
  <si>
    <t>PrimalStance</t>
  </si>
  <si>
    <t>PrincelingRivalry</t>
  </si>
  <si>
    <t>PrincelyYoungMan</t>
  </si>
  <si>
    <t>PrincessInRags</t>
  </si>
  <si>
    <t>Privateer</t>
  </si>
  <si>
    <t>ProBonoBarter</t>
  </si>
  <si>
    <t>ProgressiveRock</t>
  </si>
  <si>
    <t>ProHumanTranshuman</t>
  </si>
  <si>
    <t>ProjectedMan</t>
  </si>
  <si>
    <t>PromotionToOpeningTitles</t>
  </si>
  <si>
    <t>PromWrecker</t>
  </si>
  <si>
    <t>ProperTightsWithASkirt</t>
  </si>
  <si>
    <t>ProportionatelyPonderousParasites</t>
  </si>
  <si>
    <t>Protagonist</t>
  </si>
  <si>
    <t>ProtectorBehindBars</t>
  </si>
  <si>
    <t>ProtoSuperhero</t>
  </si>
  <si>
    <t>ProudToBeAGeek</t>
  </si>
  <si>
    <t>PsychicGlimpseOfDeath</t>
  </si>
  <si>
    <t>PsychicRadar</t>
  </si>
  <si>
    <t>PsychicSurgery</t>
  </si>
  <si>
    <t>PsychoactivePowers</t>
  </si>
  <si>
    <t>PsychologistTeacher</t>
  </si>
  <si>
    <t>PunchSpinGape</t>
  </si>
  <si>
    <t>PunishmentDetail</t>
  </si>
  <si>
    <t>PunyHumans</t>
  </si>
  <si>
    <t>PuppetShows</t>
  </si>
  <si>
    <t>PuppetState</t>
  </si>
  <si>
    <t>PureIsNotGood</t>
  </si>
  <si>
    <t>PurgatoryAndLimbo</t>
  </si>
  <si>
    <t>PushedInFrontOfTheAudience</t>
  </si>
  <si>
    <t>PygmalionSnapBack</t>
  </si>
  <si>
    <t>QuantumMechanicsCanDoAnything</t>
  </si>
  <si>
    <t>QuickChange</t>
  </si>
  <si>
    <t>QuirkyCurls</t>
  </si>
  <si>
    <t>QuirkyHousehold</t>
  </si>
  <si>
    <t>RadiationImmuneMutants</t>
  </si>
  <si>
    <t>RadioContest</t>
  </si>
  <si>
    <t>RadioVoice</t>
  </si>
  <si>
    <t>RaincoatOfHorror</t>
  </si>
  <si>
    <t>RaisedByOrcs</t>
  </si>
  <si>
    <t>RamblingOldManMonologue</t>
  </si>
  <si>
    <t>RambunctiousItalian</t>
  </si>
  <si>
    <t>Ranger</t>
  </si>
  <si>
    <t>RapeAndSwitch</t>
  </si>
  <si>
    <t>RapidFireYes</t>
  </si>
  <si>
    <t>RazorApples</t>
  </si>
  <si>
    <t>RazorWire</t>
  </si>
  <si>
    <t>RealityWarpingIsNotAToy</t>
  </si>
  <si>
    <t>RealStitchesForFakeSnitches</t>
  </si>
  <si>
    <t>RecitationHandclasp</t>
  </si>
  <si>
    <t>RecliningReigner</t>
  </si>
  <si>
    <t>Reconstructed</t>
  </si>
  <si>
    <t>RecordScratch</t>
  </si>
  <si>
    <t>RecruitTeenagersWithAttitude</t>
  </si>
  <si>
    <t>RecurringElement</t>
  </si>
  <si>
    <t>RecursiveTranslation</t>
  </si>
  <si>
    <t>RedemptionEqualsAffliction</t>
  </si>
  <si>
    <t>RedemptionEqualsLife</t>
  </si>
  <si>
    <t>RedSockRuinsTheLaundry</t>
  </si>
  <si>
    <t>ReformedBully</t>
  </si>
  <si>
    <t>RegentForLife</t>
  </si>
  <si>
    <t>RegretfulTraitor</t>
  </si>
  <si>
    <t>ReligionIsRight</t>
  </si>
  <si>
    <t>ReligiousVampire</t>
  </si>
  <si>
    <t>RemarriedToTheMistress</t>
  </si>
  <si>
    <t>RemovableTurretGun</t>
  </si>
  <si>
    <t>RentalCarAbuse</t>
  </si>
  <si>
    <t>RepeatedRehearsalFailure</t>
  </si>
  <si>
    <t>RepeatingAd</t>
  </si>
  <si>
    <t>ReplacementFlatCharacter</t>
  </si>
  <si>
    <t>RestartTheWorld</t>
  </si>
  <si>
    <t>ResurrectionRevenge</t>
  </si>
  <si>
    <t>RetiredBadassRoundup</t>
  </si>
  <si>
    <t>RevengeAgainstMen</t>
  </si>
  <si>
    <t>RevengeIsADishBestServed</t>
  </si>
  <si>
    <t>ReverseArmFold</t>
  </si>
  <si>
    <t>RhymingList</t>
  </si>
  <si>
    <t>RichPeople</t>
  </si>
  <si>
    <t>RidiculouslyFastConstruction</t>
  </si>
  <si>
    <t>RidiculouslyPotentExplosive</t>
  </si>
  <si>
    <t>RidiculousProcrastinator</t>
  </si>
  <si>
    <t>RiffTrax</t>
  </si>
  <si>
    <t>RoadsideSurgery</t>
  </si>
  <si>
    <t>RoaringTwenties</t>
  </si>
  <si>
    <t>RoboRomance</t>
  </si>
  <si>
    <t>RoboticTortureDevice</t>
  </si>
  <si>
    <t>RobotKid</t>
  </si>
  <si>
    <t>RocketJump</t>
  </si>
  <si>
    <t>RocketRide</t>
  </si>
  <si>
    <t>RockIsAuthenticPopIsShallow</t>
  </si>
  <si>
    <t>RockyRollCall</t>
  </si>
  <si>
    <t>RollercoasterMine</t>
  </si>
  <si>
    <t>RollingPinOfDoom</t>
  </si>
  <si>
    <t>RomanticWingman</t>
  </si>
  <si>
    <t>RooftopConcert</t>
  </si>
  <si>
    <t>RosesAreRedVioletsAreBlue</t>
  </si>
  <si>
    <t>Rotoscoping</t>
  </si>
  <si>
    <t>RubiksCubeInternationalGeniusSymbol</t>
  </si>
  <si>
    <t>RudelyHangingUp</t>
  </si>
  <si>
    <t>RuinsForRuinsSake</t>
  </si>
  <si>
    <t>RuleOfRomantic</t>
  </si>
  <si>
    <t>RulingCouple</t>
  </si>
  <si>
    <t>RulingFamilyMassacre</t>
  </si>
  <si>
    <t>RupturedAppendix</t>
  </si>
  <si>
    <t>SamePlotSequel</t>
  </si>
  <si>
    <t>SamuraiCowboy</t>
  </si>
  <si>
    <t>SanitySlippageSong</t>
  </si>
  <si>
    <t>SantaClausmas</t>
  </si>
  <si>
    <t>SatisfiedStreetRat</t>
  </si>
  <si>
    <t>SavagePiercings</t>
  </si>
  <si>
    <t>SaveTheWorldClimax</t>
  </si>
  <si>
    <t>SayIt</t>
  </si>
  <si>
    <t>ScarecrowSolution</t>
  </si>
  <si>
    <t>ScaryJackInTheBox</t>
  </si>
  <si>
    <t>ScaryLibrarian</t>
  </si>
  <si>
    <t>ScaryMinoritySuspect</t>
  </si>
  <si>
    <t>SceneShiftCaption</t>
  </si>
  <si>
    <t>SchematizedProp</t>
  </si>
  <si>
    <t>ScooterRidingMod</t>
  </si>
  <si>
    <t>ScrabbleBabble</t>
  </si>
  <si>
    <t>ScrewTheRulesImFamous</t>
  </si>
  <si>
    <t>SeaDogBeard</t>
  </si>
  <si>
    <t>SealedCastInAMultipack</t>
  </si>
  <si>
    <t>SealedEvilInADuel</t>
  </si>
  <si>
    <t>SealedInsideAPersonShapedCan</t>
  </si>
  <si>
    <t>SealTheBreach</t>
  </si>
  <si>
    <t>SecretGovernmentWarehouse</t>
  </si>
  <si>
    <t>SecretHistory</t>
  </si>
  <si>
    <t>Seer</t>
  </si>
  <si>
    <t>SelfConstructedBeing</t>
  </si>
  <si>
    <t>SelfImposedChallenge</t>
  </si>
  <si>
    <t>SensoryTentacles</t>
  </si>
  <si>
    <t>SensualSpandex</t>
  </si>
  <si>
    <t>SequelLogoInRuins</t>
  </si>
  <si>
    <t>SerpentOfImmortality</t>
  </si>
  <si>
    <t>ServiceSectorStereotypes</t>
  </si>
  <si>
    <t>SetAMookToKillAMook</t>
  </si>
  <si>
    <t>SettledForGay</t>
  </si>
  <si>
    <t>SexAddiction</t>
  </si>
  <si>
    <t>SexAsARiteOfPassage</t>
  </si>
  <si>
    <t>ShaggyFrogStory</t>
  </si>
  <si>
    <t>ShakeSomeoneObjectsFall</t>
  </si>
  <si>
    <t>SharedMassHallucination</t>
  </si>
  <si>
    <t>SharedUnusualTrait</t>
  </si>
  <si>
    <t>SharePhrase</t>
  </si>
  <si>
    <t>ShieldSurf</t>
  </si>
  <si>
    <t>ShiftingSandLand</t>
  </si>
  <si>
    <t>ShockingVoiceIdentityReveal</t>
  </si>
  <si>
    <t>ShockParty</t>
  </si>
  <si>
    <t>ShorterMeansSmarter</t>
  </si>
  <si>
    <t>ShouldHaveThoughtOfThatBeforeX</t>
  </si>
  <si>
    <t>ShurFineGuns</t>
  </si>
  <si>
    <t>SicklyNeuroticGeek</t>
  </si>
  <si>
    <t>SignatureSoundEffect</t>
  </si>
  <si>
    <t>SignificantGreenEyedRedhead</t>
  </si>
  <si>
    <t>SignificantHaircut</t>
  </si>
  <si>
    <t>SignificantSketchbook</t>
  </si>
  <si>
    <t>SillyLoveSongs</t>
  </si>
  <si>
    <t>SillySong</t>
  </si>
  <si>
    <t>SilverVixen</t>
  </si>
  <si>
    <t>SingleIssueLandlord</t>
  </si>
  <si>
    <t>SingleLineOfDescent</t>
  </si>
  <si>
    <t>SkeleBot9000</t>
  </si>
  <si>
    <t>SkeletonCrew</t>
  </si>
  <si>
    <t>SketchComedy</t>
  </si>
  <si>
    <t>SkyPirates</t>
  </si>
  <si>
    <t>SkyscraperCity</t>
  </si>
  <si>
    <t>SkyScraperMessages</t>
  </si>
  <si>
    <t>SkySurfing</t>
  </si>
  <si>
    <t>SlapYourselfAwake</t>
  </si>
  <si>
    <t>SlaveRace</t>
  </si>
  <si>
    <t>SledDogsThroughTheSnow</t>
  </si>
  <si>
    <t>SlidingScaleOfAnthropomorphism</t>
  </si>
  <si>
    <t>SlidingScaleOfCynicismVersusIdealism</t>
  </si>
  <si>
    <t>SlidingScaleOfLawEnforcement</t>
  </si>
  <si>
    <t>SlippySlideyIceWorld</t>
  </si>
  <si>
    <t>SmarmyHost</t>
  </si>
  <si>
    <t>SmartPeopleSpeakTheQueensEnglish</t>
  </si>
  <si>
    <t>SmellyFeetGag</t>
  </si>
  <si>
    <t>SmugglingWithDolls</t>
  </si>
  <si>
    <t>Snapback</t>
  </si>
  <si>
    <t>Snowlems</t>
  </si>
  <si>
    <t>SoCalization</t>
  </si>
  <si>
    <t>Sociopath</t>
  </si>
  <si>
    <t>SoiledCityOnAHill</t>
  </si>
  <si>
    <t>SomethingPerson</t>
  </si>
  <si>
    <t>SomewhereAnEquestrianIsCrying</t>
  </si>
  <si>
    <t>SoundInSpace</t>
  </si>
  <si>
    <t>SpaceAmish</t>
  </si>
  <si>
    <t>SpaceIsMagic</t>
  </si>
  <si>
    <t>SpaceIsSlowMotion</t>
  </si>
  <si>
    <t>SpamAttack</t>
  </si>
  <si>
    <t>SpecialEffectsEvolution</t>
  </si>
  <si>
    <t>SpeculativeFiction</t>
  </si>
  <si>
    <t>SpeechImpededLoveInterest</t>
  </si>
  <si>
    <t>SpellingSong</t>
  </si>
  <si>
    <t>SpinningOutOfHere</t>
  </si>
  <si>
    <t>SpiritedCompetitor</t>
  </si>
  <si>
    <t>SpitOutAShoe</t>
  </si>
  <si>
    <t>SpitTrailKiss</t>
  </si>
  <si>
    <t>Spoiler</t>
  </si>
  <si>
    <t>SpontaneousWeaponCreation</t>
  </si>
  <si>
    <t>SpoofedTheIronicFilmSeriously</t>
  </si>
  <si>
    <t>SpotlightStealingTitle</t>
  </si>
  <si>
    <t>SpringLoadedCorpse</t>
  </si>
  <si>
    <t>StagingTheEavesdrop</t>
  </si>
  <si>
    <t>StairsAreFaster</t>
  </si>
  <si>
    <t>StairwayToHeaven</t>
  </si>
  <si>
    <t>StalkerWithATestTube</t>
  </si>
  <si>
    <t>StalkingIsFunnyIfItIsFemaleAfterMale</t>
  </si>
  <si>
    <t>StandYourGround</t>
  </si>
  <si>
    <t>StarbucksSkinScale</t>
  </si>
  <si>
    <t>Starscraper</t>
  </si>
  <si>
    <t>StartsStealthilyEndsLoudly</t>
  </si>
  <si>
    <t>StayingAlive</t>
  </si>
  <si>
    <t>StealthMentor</t>
  </si>
  <si>
    <t>StealthyColossus</t>
  </si>
  <si>
    <t>StewedAlive</t>
  </si>
  <si>
    <t>StickEmUp</t>
  </si>
  <si>
    <t>StingyJack</t>
  </si>
  <si>
    <t>StockingMask</t>
  </si>
  <si>
    <t>StockLegalPhrases</t>
  </si>
  <si>
    <t>StockParodies</t>
  </si>
  <si>
    <t>StockPunishment</t>
  </si>
  <si>
    <t>StockQuotes</t>
  </si>
  <si>
    <t>StockUnderwear</t>
  </si>
  <si>
    <t>StockYuck</t>
  </si>
  <si>
    <t>StopDrowningAndStandUp</t>
  </si>
  <si>
    <t>StopHittingYourself</t>
  </si>
  <si>
    <t>StoryboardBody</t>
  </si>
  <si>
    <t>StripperCopConfusion</t>
  </si>
  <si>
    <t>StuckOnASkiLift</t>
  </si>
  <si>
    <t>StupidSurrender</t>
  </si>
  <si>
    <t>StylishProtectionGear</t>
  </si>
  <si>
    <t>SubbingForSanta</t>
  </si>
  <si>
    <t>SubliminalAdvertising</t>
  </si>
  <si>
    <t>SubspaceOrHyperspace</t>
  </si>
  <si>
    <t>SubvertedCatchPhrase</t>
  </si>
  <si>
    <t>SuddenHumility</t>
  </si>
  <si>
    <t>SugarApocalypse</t>
  </si>
  <si>
    <t>SugarDaddy</t>
  </si>
  <si>
    <t>SuicideByAssassin</t>
  </si>
  <si>
    <t>SummoningArtifact</t>
  </si>
  <si>
    <t>SuperBreedingProgram</t>
  </si>
  <si>
    <t>SuperheroesWearTights</t>
  </si>
  <si>
    <t>SuperheroSchool</t>
  </si>
  <si>
    <t>SuperheroSpeciation</t>
  </si>
  <si>
    <t>SuperiorSuccessor</t>
  </si>
  <si>
    <t>SupernaturalIsPurple</t>
  </si>
  <si>
    <t>SuperRinger</t>
  </si>
  <si>
    <t>SuperSoldiers</t>
  </si>
  <si>
    <t>SuperSpeedReading</t>
  </si>
  <si>
    <t>SuperSpit</t>
  </si>
  <si>
    <t>SuperSupremacist</t>
  </si>
  <si>
    <t>SuppressedRage</t>
  </si>
  <si>
    <t>SurpriseSlideStaircase</t>
  </si>
  <si>
    <t>SurrealMusicVideo</t>
  </si>
  <si>
    <t>SuspiciouslyCleanCriminalRecord</t>
  </si>
  <si>
    <t>SwissArmyGun</t>
  </si>
  <si>
    <t>SwitchedAtBirth</t>
  </si>
  <si>
    <t>SympatheticMurderBackstory</t>
  </si>
  <si>
    <t>SyndicationTitle</t>
  </si>
  <si>
    <t>SyntheticVoiceActor</t>
  </si>
  <si>
    <t>TableclothYank</t>
  </si>
  <si>
    <t>TacticalReminiscence</t>
  </si>
  <si>
    <t>TagAlongActor</t>
  </si>
  <si>
    <t>TagTeam</t>
  </si>
  <si>
    <t>TakeYourTime</t>
  </si>
  <si>
    <t>TakingAdvantageOfGenerosity</t>
  </si>
  <si>
    <t>TalkingToPlants</t>
  </si>
  <si>
    <t>TallyMarksOnThePrisonWall</t>
  </si>
  <si>
    <t>TameHisAnger</t>
  </si>
  <si>
    <t>TamerAndChaster</t>
  </si>
  <si>
    <t>TanLines</t>
  </si>
  <si>
    <t>TannhauserGate</t>
  </si>
  <si>
    <t>TaxmanTakesTheWinnings</t>
  </si>
  <si>
    <t>TeaserOnlyCharacter</t>
  </si>
  <si>
    <t>TeenagePregnancy</t>
  </si>
  <si>
    <t>TeenDrama</t>
  </si>
  <si>
    <t>TelephonePolearm</t>
  </si>
  <si>
    <t>Telethon</t>
  </si>
  <si>
    <t>TemporalDuplication</t>
  </si>
  <si>
    <t>TerriblePickUpLines</t>
  </si>
  <si>
    <t>TerritorialSmurfette</t>
  </si>
  <si>
    <t>TerseTalker</t>
  </si>
  <si>
    <t>TestingTheLoveInterest</t>
  </si>
  <si>
    <t>ThatDidntHappen</t>
  </si>
  <si>
    <t>ThatWasTheLastEntry</t>
  </si>
  <si>
    <t>TheArtOfBraRemoval</t>
  </si>
  <si>
    <t>TheBGrade</t>
  </si>
  <si>
    <t>TheBigBadShuffle</t>
  </si>
  <si>
    <t>TheBoxingEpisode</t>
  </si>
  <si>
    <t>TheBrainlessBeauty</t>
  </si>
  <si>
    <t>TheBreakfastClubPosterHomage</t>
  </si>
  <si>
    <t>TheBroCode</t>
  </si>
  <si>
    <t>TheCallHasBadReception</t>
  </si>
  <si>
    <t>TheCaseOf</t>
  </si>
  <si>
    <t>TheChikan</t>
  </si>
  <si>
    <t>TheChosenMany</t>
  </si>
  <si>
    <t>TheComputerIsACheatingBastard</t>
  </si>
  <si>
    <t>TheConqueror</t>
  </si>
  <si>
    <t>TheConvenientStoreNextDoor</t>
  </si>
  <si>
    <t>TheCrocIsTicking</t>
  </si>
  <si>
    <t>TheDarkSideWillMakeYouForget</t>
  </si>
  <si>
    <t>TheDiaperChange</t>
  </si>
  <si>
    <t>TheDitherer</t>
  </si>
  <si>
    <t>TheDogIsAnAlien</t>
  </si>
  <si>
    <t>TheEndOfTheBeginning</t>
  </si>
  <si>
    <t>TheEpic</t>
  </si>
  <si>
    <t>TheExoticDetective</t>
  </si>
  <si>
    <t>TheFixer</t>
  </si>
  <si>
    <t>TheGraduateHomageShot</t>
  </si>
  <si>
    <t>TheHashshashin</t>
  </si>
  <si>
    <t>TheHighwayman</t>
  </si>
  <si>
    <t>TheInspectorIsComing</t>
  </si>
  <si>
    <t>TheJailer</t>
  </si>
  <si>
    <t>TheLastThingYouEverSee</t>
  </si>
  <si>
    <t>TheLawOfDiminishingDefensiveEffort</t>
  </si>
  <si>
    <t>TheLudovicoTechnique</t>
  </si>
  <si>
    <t>TheMagicVersusTechnologyWar</t>
  </si>
  <si>
    <t>TheMeaningOfLife</t>
  </si>
  <si>
    <t>TheMengele</t>
  </si>
  <si>
    <t>ThemeSongPowerUp</t>
  </si>
  <si>
    <t>TheMostWanted</t>
  </si>
  <si>
    <t>TheMurderAfter</t>
  </si>
  <si>
    <t>TheNativesAreRestless</t>
  </si>
  <si>
    <t>TheNecrocracy</t>
  </si>
  <si>
    <t>TheNeedless</t>
  </si>
  <si>
    <t>TheNondescript</t>
  </si>
  <si>
    <t>TheNoseless</t>
  </si>
  <si>
    <t>TheObiWan</t>
  </si>
  <si>
    <t>TheOnlyWayTheyWillLearn</t>
  </si>
  <si>
    <t>ThePowerOfCheese</t>
  </si>
  <si>
    <t>TheProblemWithPenIsland</t>
  </si>
  <si>
    <t>TheRat</t>
  </si>
  <si>
    <t>ThereAreNoGlobalConsequences</t>
  </si>
  <si>
    <t>TheRestShallPass</t>
  </si>
  <si>
    <t>TheRevolutionWillNotBeCivilised</t>
  </si>
  <si>
    <t>TheRuleOfFirstAdopters</t>
  </si>
  <si>
    <t>TheSponsor</t>
  </si>
  <si>
    <t>TheSwearJar</t>
  </si>
  <si>
    <t>TheSymbiote</t>
  </si>
  <si>
    <t>TheTale</t>
  </si>
  <si>
    <t>TheTeamBenefactor</t>
  </si>
  <si>
    <t>TheThunderdome</t>
  </si>
  <si>
    <t>TheTropeFormerlyKnownAsX</t>
  </si>
  <si>
    <t>TheVillain</t>
  </si>
  <si>
    <t>TheWildcats</t>
  </si>
  <si>
    <t>TheYardies</t>
  </si>
  <si>
    <t>TheyHaveTheScent</t>
  </si>
  <si>
    <t>TheyPlottedAPerfectlyGoodWaste</t>
  </si>
  <si>
    <t>TheyShouldHaveSentAPoet</t>
  </si>
  <si>
    <t>ThievingMagpie</t>
  </si>
  <si>
    <t>ThinkHappyThoughts</t>
  </si>
  <si>
    <t>ThinksLikeARomanceNovel</t>
  </si>
  <si>
    <t>ThirdLineSomeWaiting</t>
  </si>
  <si>
    <t>ThirdOptionAdaptation</t>
  </si>
  <si>
    <t>ThreeVolleyFlinch</t>
  </si>
  <si>
    <t>ThreeWishes</t>
  </si>
  <si>
    <t>ThwartedEscape</t>
  </si>
  <si>
    <t>TigerVersusDragon</t>
  </si>
  <si>
    <t>TimelineAlteringMacGuffin</t>
  </si>
  <si>
    <t>TinmanTypist</t>
  </si>
  <si>
    <t>TitleCharacter</t>
  </si>
  <si>
    <t>TitleOnlyOpening</t>
  </si>
  <si>
    <t>TitleScream</t>
  </si>
  <si>
    <t>TitleTrack</t>
  </si>
  <si>
    <t>TokenLesbian</t>
  </si>
  <si>
    <t>TokenMotivationalNemesis</t>
  </si>
  <si>
    <t>TomboyishBaseballCap</t>
  </si>
  <si>
    <t>TooHungryToBePolite</t>
  </si>
  <si>
    <t>TooIncompetentToOperateABlanket</t>
  </si>
  <si>
    <t>TookALevelInCheerfulness</t>
  </si>
  <si>
    <t>TookAShortcut</t>
  </si>
  <si>
    <t>TooManyBabies</t>
  </si>
  <si>
    <t>TooSmartForStrangers</t>
  </si>
  <si>
    <t>TooStupidToLive</t>
  </si>
  <si>
    <t>TopGod</t>
  </si>
  <si>
    <t>TotalitarianGangsterism</t>
  </si>
  <si>
    <t>TotallyEighteen</t>
  </si>
  <si>
    <t>ToxicPhlebotinum</t>
  </si>
  <si>
    <t>TragicStillbirth</t>
  </si>
  <si>
    <t>TrainingAccident</t>
  </si>
  <si>
    <t>TrainSong</t>
  </si>
  <si>
    <t>TransferStudentUniforms</t>
  </si>
  <si>
    <t>TransformationRay</t>
  </si>
  <si>
    <t>TranshumanAliens</t>
  </si>
  <si>
    <t>TranslatorCollar</t>
  </si>
  <si>
    <t>TreacherousSpiritChase</t>
  </si>
  <si>
    <t>TreeCover</t>
  </si>
  <si>
    <t>TrialByCombat</t>
  </si>
  <si>
    <t>TribalCarry</t>
  </si>
  <si>
    <t>TrickBullet</t>
  </si>
  <si>
    <t>TrickedOutTime</t>
  </si>
  <si>
    <t>TrickedToDeath</t>
  </si>
  <si>
    <t>TrollBridge</t>
  </si>
  <si>
    <t>TrollingCreator</t>
  </si>
  <si>
    <t>TroubledChild</t>
  </si>
  <si>
    <t>TrueFinalBoss</t>
  </si>
  <si>
    <t>TrustMeImADoctor</t>
  </si>
  <si>
    <t>TurnsRed</t>
  </si>
  <si>
    <t>TVTeen</t>
  </si>
  <si>
    <t>TwentyMinutesInTheFuture</t>
  </si>
  <si>
    <t>TwentyOneGunSalute</t>
  </si>
  <si>
    <t>TwoAliasesOneCharacter</t>
  </si>
  <si>
    <t>TwoHalvesMakeAPlot</t>
  </si>
  <si>
    <t>TwoMenOneDress</t>
  </si>
  <si>
    <t>TwoWordsAddedEmphasis</t>
  </si>
  <si>
    <t>UltraSuperDeathGoreFestChainsawer3000</t>
  </si>
  <si>
    <t>UnbrokenVigil</t>
  </si>
  <si>
    <t>UncleanlinessIsNextToUngodliness</t>
  </si>
  <si>
    <t>UnderequippedCharge</t>
  </si>
  <si>
    <t>UnderlingWithAnFInPR</t>
  </si>
  <si>
    <t>UndiscriminatingAddict</t>
  </si>
  <si>
    <t>UngratefulBitch</t>
  </si>
  <si>
    <t>UnintentionalBackupPlan</t>
  </si>
  <si>
    <t>UniversalRemoteControl</t>
  </si>
  <si>
    <t>UnnecessarilyLargeInterior</t>
  </si>
  <si>
    <t>UnplannedManualDetonation</t>
  </si>
  <si>
    <t>UnrequitedLoveLastsForever</t>
  </si>
  <si>
    <t>UnroboticReveal</t>
  </si>
  <si>
    <t>UnusableEnemyEquipment</t>
  </si>
  <si>
    <t>UnusualEars</t>
  </si>
  <si>
    <t>UnusualWeaponMounting</t>
  </si>
  <si>
    <t>UnwittingTestSubject</t>
  </si>
  <si>
    <t>Upto11</t>
  </si>
  <si>
    <t>UpUpAndAway</t>
  </si>
  <si>
    <t>UsefulBook</t>
  </si>
  <si>
    <t>UtilityBelt</t>
  </si>
  <si>
    <t>VariableLengthChain</t>
  </si>
  <si>
    <t>VehicleRoofBodyDisposal</t>
  </si>
  <si>
    <t>VehicularCombat</t>
  </si>
  <si>
    <t>VehicularTurnabout</t>
  </si>
  <si>
    <t>VeinOVision</t>
  </si>
  <si>
    <t>VerbalWeakness</t>
  </si>
  <si>
    <t>VertebrateWithExtraLimbs</t>
  </si>
  <si>
    <t>VeryFalseAdvertising</t>
  </si>
  <si>
    <t>VetinariJobSecurity</t>
  </si>
  <si>
    <t>VichyEarth</t>
  </si>
  <si>
    <t>VictimizedBystander</t>
  </si>
  <si>
    <t>VictoryThroughIntimidation</t>
  </si>
  <si>
    <t>VillainByProxyFallacy</t>
  </si>
  <si>
    <t>VillainExclusivityClause</t>
  </si>
  <si>
    <t>VillainOverride</t>
  </si>
  <si>
    <t>ViolinScam</t>
  </si>
  <si>
    <t>VisionsOfAnotherSelf</t>
  </si>
  <si>
    <t>VoicesAreNotMental</t>
  </si>
  <si>
    <t>VoluntaryVampireVictim</t>
  </si>
  <si>
    <t>WardrobeFlawOfCharacterization</t>
  </si>
  <si>
    <t>WarriorTherapist</t>
  </si>
  <si>
    <t>WasJustLeaving</t>
  </si>
  <si>
    <t>WastebasketBall</t>
  </si>
  <si>
    <t>WaterfallIntoTheAbyss</t>
  </si>
  <si>
    <t>WaterGunsAndBalloons</t>
  </si>
  <si>
    <t>WaterIsAir</t>
  </si>
  <si>
    <t>WayPastTheExpirationDate</t>
  </si>
  <si>
    <t>WealthsInAName</t>
  </si>
  <si>
    <t>WeaponizedBall</t>
  </si>
  <si>
    <t>WeaponizedWeakness</t>
  </si>
  <si>
    <t>WeatherManipulation</t>
  </si>
  <si>
    <t>WeirdnessSearchAndRescue</t>
  </si>
  <si>
    <t>WelcomeToMyWorld</t>
  </si>
  <si>
    <t>WeldTheLock</t>
  </si>
  <si>
    <t>WeMeetAgain</t>
  </si>
  <si>
    <t>WeSellEverything</t>
  </si>
  <si>
    <t>WesternZodiac</t>
  </si>
  <si>
    <t>WetwareBody</t>
  </si>
  <si>
    <t>WeWait</t>
  </si>
  <si>
    <t>WeWereRehearsingAPlay</t>
  </si>
  <si>
    <t>WeWillAllFlyInTheFuture</t>
  </si>
  <si>
    <t>WeWillHaveEuthanasiaInTheFuture</t>
  </si>
  <si>
    <t>WeWillUseWikiWordsInTheFuture</t>
  </si>
  <si>
    <t>WeWinBecauseYouDidnt</t>
  </si>
  <si>
    <t>WeWouldHaveToldYouBut</t>
  </si>
  <si>
    <t>WhatDoYouMeanItsNotHeinous</t>
  </si>
  <si>
    <t>WhatHappenedToMommy</t>
  </si>
  <si>
    <t>WhatIfTheBabyIsLikeMe</t>
  </si>
  <si>
    <t>WhatWeNowKnowToBeTrue</t>
  </si>
  <si>
    <t>WhenPropsAttack</t>
  </si>
  <si>
    <t>WhereWereYouLastNight</t>
  </si>
  <si>
    <t>WhichMe</t>
  </si>
  <si>
    <t>WhiteAndGrayMorality</t>
  </si>
  <si>
    <t>WhiteBunny</t>
  </si>
  <si>
    <t>WhiteLikeMe</t>
  </si>
  <si>
    <t>WhosWatchingTheStore</t>
  </si>
  <si>
    <t>WhoWillBellTheCat</t>
  </si>
  <si>
    <t>WhyDidntIThinkOfThat</t>
  </si>
  <si>
    <t>WickedWasps</t>
  </si>
  <si>
    <t>WickedWeasel</t>
  </si>
  <si>
    <t>WidowWitch</t>
  </si>
  <si>
    <t>WindmillPolitical</t>
  </si>
  <si>
    <t>WinWinEnding</t>
  </si>
  <si>
    <t>WithAFriendAndAStranger</t>
  </si>
  <si>
    <t>WithOrWithoutYou</t>
  </si>
  <si>
    <t>WittyBanter</t>
  </si>
  <si>
    <t>WizardsLiveLonger</t>
  </si>
  <si>
    <t>Wolverine</t>
  </si>
  <si>
    <t>WondrousLadiesRoom</t>
  </si>
  <si>
    <t>WontTakeYesForAnAnswer</t>
  </si>
  <si>
    <t>WoodenKatanasAreEvenBetter</t>
  </si>
  <si>
    <t>WordPureeTitle</t>
  </si>
  <si>
    <t>WordSequel</t>
  </si>
  <si>
    <t>WorkHardPlayHard</t>
  </si>
  <si>
    <t>WorldOfActionGirls</t>
  </si>
  <si>
    <t>WorldOfBuxom</t>
  </si>
  <si>
    <t>WouldHarmASenior</t>
  </si>
  <si>
    <t>WunzaPlot</t>
  </si>
  <si>
    <t>XMakesAnythingCool</t>
  </si>
  <si>
    <t>XMarksTheSpot</t>
  </si>
  <si>
    <t>XOnAStick</t>
  </si>
  <si>
    <t>YouAreTheTranslatedForeignWord</t>
  </si>
  <si>
    <t>YouAreWhoYouEat</t>
  </si>
  <si>
    <t>YouCanNeverLeave</t>
  </si>
  <si>
    <t>YouCanSayThatAgain</t>
  </si>
  <si>
    <t>YouCanTurnBack</t>
  </si>
  <si>
    <t>YouDidntSeeThat</t>
  </si>
  <si>
    <t>YouHaveWaitedLongEnough</t>
  </si>
  <si>
    <t>YouNeverAsked</t>
  </si>
  <si>
    <t>YourDoorWasOpen</t>
  </si>
  <si>
    <t>YoureNothingWithoutYourPhlebotinum</t>
  </si>
  <si>
    <t>YourWorstMemory</t>
  </si>
  <si>
    <t>YouWannaGetSued</t>
  </si>
  <si>
    <t>YouWillNotEvadeMe</t>
  </si>
  <si>
    <t>Yukionna</t>
  </si>
  <si>
    <t>AbandonedWarChild</t>
  </si>
  <si>
    <t>AbledInTheAdaptation</t>
  </si>
  <si>
    <t>ABoyAGirlAndABabyFamily</t>
  </si>
  <si>
    <t>AbsurdCuttingPower</t>
  </si>
  <si>
    <t>AbsurdlyElderlyMother</t>
  </si>
  <si>
    <t>AcceptableBreakFromReality</t>
  </si>
  <si>
    <t>AcceptableFeminineGoalsAndTraits</t>
  </si>
  <si>
    <t>AcceptablePoliticalTargets</t>
  </si>
  <si>
    <t>AccessoryWearingCartoonAnimal</t>
  </si>
  <si>
    <t>AccidentalAesop</t>
  </si>
  <si>
    <t>AccidentalUnfortunateGesture</t>
  </si>
  <si>
    <t>AchillesPowerCord</t>
  </si>
  <si>
    <t>ActingYourIntellectualAge</t>
  </si>
  <si>
    <t>ActionGenreHeroGuy</t>
  </si>
  <si>
    <t>ActorInspiredElement</t>
  </si>
  <si>
    <t>ActorSharedBackground</t>
  </si>
  <si>
    <t>ADayInTheLife</t>
  </si>
  <si>
    <t>AdjectiveNounFred</t>
  </si>
  <si>
    <t>AdLib</t>
  </si>
  <si>
    <t>AdoptivePeerParent</t>
  </si>
  <si>
    <t>AdventureDuo</t>
  </si>
  <si>
    <t>AffairHair</t>
  </si>
  <si>
    <t>AfraidOfTheirOwnStrength</t>
  </si>
  <si>
    <t>AgeInappropriateArt</t>
  </si>
  <si>
    <t>Ahem</t>
  </si>
  <si>
    <t>AHeroIsBorn</t>
  </si>
  <si>
    <t>AirplaneArms</t>
  </si>
  <si>
    <t>AIs</t>
  </si>
  <si>
    <t>AlienGeometry</t>
  </si>
  <si>
    <t>AliensAndMonsters</t>
  </si>
  <si>
    <t>AliensMadeThemDoIt</t>
  </si>
  <si>
    <t>AllAnimeIsNaughtyTentacles</t>
  </si>
  <si>
    <t>AllergicToLove</t>
  </si>
  <si>
    <t>AllFlyersAreBirds</t>
  </si>
  <si>
    <t>AllLovingHeroine</t>
  </si>
  <si>
    <t>AllThereInTheStinger</t>
  </si>
  <si>
    <t>AlmostLethalWeapons</t>
  </si>
  <si>
    <t>AlphabetArchitecture</t>
  </si>
  <si>
    <t>AlternateTooniverse</t>
  </si>
  <si>
    <t>AlternativeTuringTest</t>
  </si>
  <si>
    <t>AlwaysALiveTransmission</t>
  </si>
  <si>
    <t>AMasterMakesTheirOwnTools</t>
  </si>
  <si>
    <t>AmateurFilmMakingPlot</t>
  </si>
  <si>
    <t>Ambadassador</t>
  </si>
  <si>
    <t>AMechByAnyOtherName</t>
  </si>
  <si>
    <t>AmericanRobot</t>
  </si>
  <si>
    <t>AmIJustAToyToYou</t>
  </si>
  <si>
    <t>AmnesiacLiar</t>
  </si>
  <si>
    <t>AnachronisticClue</t>
  </si>
  <si>
    <t>AncientKeeper</t>
  </si>
  <si>
    <t>AndIntroducing</t>
  </si>
  <si>
    <t>AndroidsAndDetectives</t>
  </si>
  <si>
    <t>AnecdotalFallacy</t>
  </si>
  <si>
    <t>AngryCollarGrab</t>
  </si>
  <si>
    <t>AngryEyebrows</t>
  </si>
  <si>
    <t>AngryFistShake</t>
  </si>
  <si>
    <t>AnimalBattleAura</t>
  </si>
  <si>
    <t>AnimateBodyParts</t>
  </si>
  <si>
    <t>AnticipatoryBreathSpray</t>
  </si>
  <si>
    <t>AntiHumor</t>
  </si>
  <si>
    <t>AnythingCanBeMusic</t>
  </si>
  <si>
    <t>ApathyKilledTheCat</t>
  </si>
  <si>
    <t>ApologyGift</t>
  </si>
  <si>
    <t>ApothecaryAlligator</t>
  </si>
  <si>
    <t>AppealToAuthority</t>
  </si>
  <si>
    <t>AppealToInherentNature</t>
  </si>
  <si>
    <t>AppeaseTheVolcanoGod</t>
  </si>
  <si>
    <t>AppendageAssimilation</t>
  </si>
  <si>
    <t>AppropriatedAppelation</t>
  </si>
  <si>
    <t>AProtagonistShallLeadThem</t>
  </si>
  <si>
    <t>ArchetypalCharacter</t>
  </si>
  <si>
    <t>ARiddleWrappedInAMysteryInsideAnEnigma</t>
  </si>
  <si>
    <t>ArmourIsUseless</t>
  </si>
  <si>
    <t>ArmourPiercingSlap</t>
  </si>
  <si>
    <t>ArsenalAttire</t>
  </si>
  <si>
    <t>ArtisticLicenceGeography</t>
  </si>
  <si>
    <t>ArtisticLicenceNuclearPhysics</t>
  </si>
  <si>
    <t>ArtisticLicenseUniversityAdmissions</t>
  </si>
  <si>
    <t>ArtNouveau</t>
  </si>
  <si>
    <t>AscendedFanon</t>
  </si>
  <si>
    <t>AsianBabymama</t>
  </si>
  <si>
    <t>AssociatedComposer</t>
  </si>
  <si>
    <t>AstralCheckerboardDecor</t>
  </si>
  <si>
    <t>AtArmsLength</t>
  </si>
  <si>
    <t>AtlasPose</t>
  </si>
  <si>
    <t>AtonementDetective</t>
  </si>
  <si>
    <t>AttackDrones</t>
  </si>
  <si>
    <t>AttackTheMouth</t>
  </si>
  <si>
    <t>AttemptedSuicide</t>
  </si>
  <si>
    <t>AttractiveBentSpecies</t>
  </si>
  <si>
    <t>AudienceColoringAdaptation</t>
  </si>
  <si>
    <t>AudienceParticipationSong</t>
  </si>
  <si>
    <t>AuthorCatchphrase</t>
  </si>
  <si>
    <t>AutoKitchen</t>
  </si>
  <si>
    <t>AutomaticCrossbow</t>
  </si>
  <si>
    <t>Aversion</t>
  </si>
  <si>
    <t>AwardShow</t>
  </si>
  <si>
    <t>AWayOutOfACaveIn</t>
  </si>
  <si>
    <t>AwesomeDearBoy</t>
  </si>
  <si>
    <t>AwesomenessIsVolatile</t>
  </si>
  <si>
    <t>AwkwardSilence</t>
  </si>
  <si>
    <t>AYearAndADay</t>
  </si>
  <si>
    <t>BadassSpaniard</t>
  </si>
  <si>
    <t>BadOmenAnecdote</t>
  </si>
  <si>
    <t>BagOfSpilling</t>
  </si>
  <si>
    <t>BailEqualsFreedom</t>
  </si>
  <si>
    <t>BaldnessAngst</t>
  </si>
  <si>
    <t>BallOfLightTransformation</t>
  </si>
  <si>
    <t>Baphomet</t>
  </si>
  <si>
    <t>BarbershopQuartetsAreFunny</t>
  </si>
  <si>
    <t>BarefootLoon</t>
  </si>
  <si>
    <t>BaseballEpisode</t>
  </si>
  <si>
    <t>BasiliskAndCockatrice</t>
  </si>
  <si>
    <t>BattleInterruptingShout</t>
  </si>
  <si>
    <t>BeakAttack</t>
  </si>
  <si>
    <t>BeastOfBattle</t>
  </si>
  <si>
    <t>BeatBag</t>
  </si>
  <si>
    <t>BeatEmUp</t>
  </si>
  <si>
    <t>BeatTheCurseOutOfHim</t>
  </si>
  <si>
    <t>BecomingTheCostume</t>
  </si>
  <si>
    <t>BeePeople</t>
  </si>
  <si>
    <t>BeepingComputer</t>
  </si>
  <si>
    <t>BeforeAndAfterPictures</t>
  </si>
  <si>
    <t>BeforeMyTime</t>
  </si>
  <si>
    <t>BeggarWithASignboard</t>
  </si>
  <si>
    <t>BehindAStick</t>
  </si>
  <si>
    <t>BeingPersonalIsntProfessional</t>
  </si>
  <si>
    <t>BetrayalByOffspring</t>
  </si>
  <si>
    <t>BetterTheDevilYouKnow</t>
  </si>
  <si>
    <t>BicepPolishingGesture</t>
  </si>
  <si>
    <t>BigBallOfViolence</t>
  </si>
  <si>
    <t>BigDumbObject</t>
  </si>
  <si>
    <t>BishonenLine</t>
  </si>
  <si>
    <t>BittersweetSeventeen</t>
  </si>
  <si>
    <t>BizarroUniverse</t>
  </si>
  <si>
    <t>BladeReflection</t>
  </si>
  <si>
    <t>BladeRun</t>
  </si>
  <si>
    <t>BlankStare</t>
  </si>
  <si>
    <t>BlankWhiteEyes</t>
  </si>
  <si>
    <t>BlankWhiteVoid</t>
  </si>
  <si>
    <t>BlatantBurglar</t>
  </si>
  <si>
    <t>BlazingInfernoHellfireSauce</t>
  </si>
  <si>
    <t>BlindfoldedVision</t>
  </si>
  <si>
    <t>BlockingStopsAllDamage</t>
  </si>
  <si>
    <t>BloodSpatteredInnocents</t>
  </si>
  <si>
    <t>BloodUpgrade</t>
  </si>
  <si>
    <t>Blooper</t>
  </si>
  <si>
    <t>BlueOni</t>
  </si>
  <si>
    <t>BlueOniRedOni</t>
  </si>
  <si>
    <t>BlueOrangeContrast</t>
  </si>
  <si>
    <t>BoardingPod</t>
  </si>
  <si>
    <t>BodyToJewel</t>
  </si>
  <si>
    <t>BoleroEffect</t>
  </si>
  <si>
    <t>BolivianArmyCliffHanger</t>
  </si>
  <si>
    <t>BombersOnTheScreen</t>
  </si>
  <si>
    <t>BombWhistle</t>
  </si>
  <si>
    <t>BoogieKnights</t>
  </si>
  <si>
    <t>BossArenaIdiocy</t>
  </si>
  <si>
    <t>BottomlessFuelTanks</t>
  </si>
  <si>
    <t>BoxingKangaroo</t>
  </si>
  <si>
    <t>BraidsOfBarbarism</t>
  </si>
  <si>
    <t>BrainSlug</t>
  </si>
  <si>
    <t>BrainUpload</t>
  </si>
  <si>
    <t>BrainwashingForTheGreaterGood</t>
  </si>
  <si>
    <t>BreatheOnTheFan</t>
  </si>
  <si>
    <t>BrieferThanTheyThink</t>
  </si>
  <si>
    <t>BrigBallBouncing</t>
  </si>
  <si>
    <t>BruceWayneHeldHostage</t>
  </si>
  <si>
    <t>BruiserWithASoftCentre</t>
  </si>
  <si>
    <t>BugBuzz</t>
  </si>
  <si>
    <t>BulletDodgesYou</t>
  </si>
  <si>
    <t>BulletHell</t>
  </si>
  <si>
    <t>BulletSeed</t>
  </si>
  <si>
    <t>BullyAndWimpPairing</t>
  </si>
  <si>
    <t>BunnyEarsPicturePrank</t>
  </si>
  <si>
    <t>BusesAreForFreaks</t>
  </si>
  <si>
    <t>ButtBiter</t>
  </si>
  <si>
    <t>ButtDialingMordor</t>
  </si>
  <si>
    <t>CadreOfForeignBodyguards</t>
  </si>
  <si>
    <t>CaffeineBulletTime</t>
  </si>
  <si>
    <t>CallAHumanAMeatbag</t>
  </si>
  <si>
    <t>CallingYourShots</t>
  </si>
  <si>
    <t>CallousnessTowardsEmergency</t>
  </si>
  <si>
    <t>Caltrops</t>
  </si>
  <si>
    <t>CameraScrew</t>
  </si>
  <si>
    <t>CanaryInACoalMine</t>
  </si>
  <si>
    <t>CaneSword</t>
  </si>
  <si>
    <t>CanonEnding</t>
  </si>
  <si>
    <t>CanonSue</t>
  </si>
  <si>
    <t>CantRefuseTheCallAnymore</t>
  </si>
  <si>
    <t>Capepunk</t>
  </si>
  <si>
    <t>CaptainObviousReveal</t>
  </si>
  <si>
    <t>CardGames</t>
  </si>
  <si>
    <t>CarefulWithThatAxe</t>
  </si>
  <si>
    <t>CaretakerReversal</t>
  </si>
  <si>
    <t>CarHoodSliding</t>
  </si>
  <si>
    <t>CartesianKarma</t>
  </si>
  <si>
    <t>CashLure</t>
  </si>
  <si>
    <t>CastFullOfWriters</t>
  </si>
  <si>
    <t>CastHerd</t>
  </si>
  <si>
    <t>CasualSportsJersey</t>
  </si>
  <si>
    <t>CatchPhraseSpoutingDuo</t>
  </si>
  <si>
    <t>CatsAreSuperior</t>
  </si>
  <si>
    <t>CATTrap</t>
  </si>
  <si>
    <t>CelebrityLie</t>
  </si>
  <si>
    <t>CelebrityVoiceActor</t>
  </si>
  <si>
    <t>CelestialParagonsAndArchangels</t>
  </si>
  <si>
    <t>CensorshipBureau</t>
  </si>
  <si>
    <t>ChallengingTheBully</t>
  </si>
  <si>
    <t>ChangedMyJumper</t>
  </si>
  <si>
    <t>ChaoticNeutral</t>
  </si>
  <si>
    <t>CharacterOverlap</t>
  </si>
  <si>
    <t>ChargedAttack</t>
  </si>
  <si>
    <t>ChariotRace</t>
  </si>
  <si>
    <t>CheapHeat</t>
  </si>
  <si>
    <t>CheckAndMate</t>
  </si>
  <si>
    <t>ChemicallyInducedInsanity</t>
  </si>
  <si>
    <t>ChemicalMessiah</t>
  </si>
  <si>
    <t>ChessmasterSidekick</t>
  </si>
  <si>
    <t>ChewBubblegum</t>
  </si>
  <si>
    <t>ChickenWalker</t>
  </si>
  <si>
    <t>ChildhoodMemoryDemolitionTeam</t>
  </si>
  <si>
    <t>ChildOfForbiddenLove</t>
  </si>
  <si>
    <t>ChristmasMiracle</t>
  </si>
  <si>
    <t>CircuitJudge</t>
  </si>
  <si>
    <t>CitadelCity</t>
  </si>
  <si>
    <t>CityPlanet</t>
  </si>
  <si>
    <t>CJ7</t>
  </si>
  <si>
    <t>CleanPrettyReliable</t>
  </si>
  <si>
    <t>ClimacticBattleResurrection</t>
  </si>
  <si>
    <t>ClimacticMusic</t>
  </si>
  <si>
    <t>ClockworksArea</t>
  </si>
  <si>
    <t>CloneByConversion</t>
  </si>
  <si>
    <t>CloningBodyParts</t>
  </si>
  <si>
    <t>ClothesMakeTheManiac</t>
  </si>
  <si>
    <t>ClownCarGrave</t>
  </si>
  <si>
    <t>CocaPepsiInc</t>
  </si>
  <si>
    <t>CockADoodleDawn</t>
  </si>
  <si>
    <t>CodeEmergency</t>
  </si>
  <si>
    <t>ColdCash</t>
  </si>
  <si>
    <t>CollectibleCardGame</t>
  </si>
  <si>
    <t>CollectiveGroan</t>
  </si>
  <si>
    <t>CollegeWidow</t>
  </si>
  <si>
    <t>ColorCodedArmies</t>
  </si>
  <si>
    <t>ColourCodedEyes</t>
  </si>
  <si>
    <t>ColourWash</t>
  </si>
  <si>
    <t>ComedicHero</t>
  </si>
  <si>
    <t>ComedyAsAWeapon</t>
  </si>
  <si>
    <t>ComicalAngryFace</t>
  </si>
  <si>
    <t>ComicBookContinuation</t>
  </si>
  <si>
    <t>CommandRoster</t>
  </si>
  <si>
    <t>CommonNonsenseJury</t>
  </si>
  <si>
    <t>CompetitionCouponMadness</t>
  </si>
  <si>
    <t>ConeOfShame</t>
  </si>
  <si>
    <t>Conflict</t>
  </si>
  <si>
    <t>ConfusingMultipleNegatives</t>
  </si>
  <si>
    <t>CongruentMemory</t>
  </si>
  <si>
    <t>ConquerorFromTheFuture</t>
  </si>
  <si>
    <t>ConspicuouslyLightPatch</t>
  </si>
  <si>
    <t>ConstructedWorld</t>
  </si>
  <si>
    <t>ConsultingMisterPuppet</t>
  </si>
  <si>
    <t>ConsumingPassion</t>
  </si>
  <si>
    <t>ContagiousAI</t>
  </si>
  <si>
    <t>ContemptCrossfire</t>
  </si>
  <si>
    <t>ContextSensitiveButton</t>
  </si>
  <si>
    <t>ContinueYourMissionDammit</t>
  </si>
  <si>
    <t>ContinuityLockout</t>
  </si>
  <si>
    <t>ContractualPurity</t>
  </si>
  <si>
    <t>Conversed</t>
  </si>
  <si>
    <t>CookingDuel</t>
  </si>
  <si>
    <t>CookingStories</t>
  </si>
  <si>
    <t>CoolBigSister</t>
  </si>
  <si>
    <t>CoolCars</t>
  </si>
  <si>
    <t>CorporateSponsoredSuperhero</t>
  </si>
  <si>
    <t>CorrespondenceCourse</t>
  </si>
  <si>
    <t>CostumeCopycat</t>
  </si>
  <si>
    <t>CounterEarth</t>
  </si>
  <si>
    <t>CountingToPotato</t>
  </si>
  <si>
    <t>CoupledCouples</t>
  </si>
  <si>
    <t>Courier</t>
  </si>
  <si>
    <t>CourtMartial</t>
  </si>
  <si>
    <t>CovertGroup</t>
  </si>
  <si>
    <t>CoyGirlishFlirtPose</t>
  </si>
  <si>
    <t>CranialEruption</t>
  </si>
  <si>
    <t>CrapsackOnlyByComparison</t>
  </si>
  <si>
    <t>CrazyHomelessPerson</t>
  </si>
  <si>
    <t>CreatingLifeIsAwesome</t>
  </si>
  <si>
    <t>CreatorCareerSelfDeprecation</t>
  </si>
  <si>
    <t>CreatorsPet</t>
  </si>
  <si>
    <t>CreatorWorship</t>
  </si>
  <si>
    <t>CreatureOfHabit</t>
  </si>
  <si>
    <t>CreepyCleanliness</t>
  </si>
  <si>
    <t>CreepyCoolCrosses</t>
  </si>
  <si>
    <t>CreepyFamily</t>
  </si>
  <si>
    <t>Creepypasta</t>
  </si>
  <si>
    <t>CreepyStalkerVan</t>
  </si>
  <si>
    <t>CrimeConcealingHobby</t>
  </si>
  <si>
    <t>CriticalFailure</t>
  </si>
  <si>
    <t>CrookedContractor</t>
  </si>
  <si>
    <t>CropCircles</t>
  </si>
  <si>
    <t>CrossoverPunchline</t>
  </si>
  <si>
    <t>CrossThrough</t>
  </si>
  <si>
    <t>CrotchGrabSexCheck</t>
  </si>
  <si>
    <t>CrowdSurfing</t>
  </si>
  <si>
    <t>CrownOfHorns</t>
  </si>
  <si>
    <t>Crunchtastic</t>
  </si>
  <si>
    <t>CrushKillDestroy</t>
  </si>
  <si>
    <t>CubCuesProtectiveParent</t>
  </si>
  <si>
    <t>CuckoldHorns</t>
  </si>
  <si>
    <t>CuddleBug</t>
  </si>
  <si>
    <t>CutAndPasteEnvironments</t>
  </si>
  <si>
    <t>CutAndPasteSuburb</t>
  </si>
  <si>
    <t>CuteLittleFangs</t>
  </si>
  <si>
    <t>CutenessOverload</t>
  </si>
  <si>
    <t>CutToTheFunny</t>
  </si>
  <si>
    <t>CyclicNationalFascination</t>
  </si>
  <si>
    <t>CypherLanguage</t>
  </si>
  <si>
    <t>DanceLine</t>
  </si>
  <si>
    <t>DancingOnABus</t>
  </si>
  <si>
    <t>DancingWithMyself</t>
  </si>
  <si>
    <t>DangerSense</t>
  </si>
  <si>
    <t>DarkAgeEurope</t>
  </si>
  <si>
    <t>DarkHumor</t>
  </si>
  <si>
    <t>DarkMagicalGirl</t>
  </si>
  <si>
    <t>DarkSkinnedBlonde</t>
  </si>
  <si>
    <t>DarkSkinnedRedhead</t>
  </si>
  <si>
    <t>DashinglyDapperDerby</t>
  </si>
  <si>
    <t>DataPad</t>
  </si>
  <si>
    <t>DaydreamBeliever</t>
  </si>
  <si>
    <t>DeadAlternateCounterpart</t>
  </si>
  <si>
    <t>DeadlyGaze</t>
  </si>
  <si>
    <t>DeadWeight</t>
  </si>
  <si>
    <t>DeathActivatedSuperpower</t>
  </si>
  <si>
    <t>DeathByFlashback</t>
  </si>
  <si>
    <t>DeathIsASlapOnTheWrist</t>
  </si>
  <si>
    <t>DeathTakesAHoliday</t>
  </si>
  <si>
    <t>DecapitationRequired</t>
  </si>
  <si>
    <t>DeceptionNoncompliance</t>
  </si>
  <si>
    <t>DeceptiveLegacy</t>
  </si>
  <si>
    <t>DefaceOfTheMoon</t>
  </si>
  <si>
    <t>DefangedHorrors</t>
  </si>
  <si>
    <t>DefeatAsBackstory</t>
  </si>
  <si>
    <t>DefeatMeansMenialLabor</t>
  </si>
  <si>
    <t>DefeatMeansRespect</t>
  </si>
  <si>
    <t>Defictionalisation</t>
  </si>
  <si>
    <t>Defictionalized</t>
  </si>
  <si>
    <t>DelayedCausality</t>
  </si>
  <si>
    <t>DeliberatelyDistressedDamsel</t>
  </si>
  <si>
    <t>Demythification</t>
  </si>
  <si>
    <t>DerailedForDetails</t>
  </si>
  <si>
    <t>DerailedTrainOfThought</t>
  </si>
  <si>
    <t>DescendedCreator</t>
  </si>
  <si>
    <t>DespairGambit</t>
  </si>
  <si>
    <t>DetectiveAnimal</t>
  </si>
  <si>
    <t>DetectivesFollowFootprints</t>
  </si>
  <si>
    <t>DevotedToYou</t>
  </si>
  <si>
    <t>DiabolicalDogCatcher</t>
  </si>
  <si>
    <t>DidTheResearch</t>
  </si>
  <si>
    <t>DieChairDie</t>
  </si>
  <si>
    <t>DigAttack</t>
  </si>
  <si>
    <t>DinosaursAreDragons</t>
  </si>
  <si>
    <t>DisabilityAlibi</t>
  </si>
  <si>
    <t>DisappointingOlderSibling</t>
  </si>
  <si>
    <t>DisarmDisassembleDestroy</t>
  </si>
  <si>
    <t>DisasterPorn</t>
  </si>
  <si>
    <t>DiscoTech</t>
  </si>
  <si>
    <t>DiskOneFinalBoss</t>
  </si>
  <si>
    <t>DisneyDogFight</t>
  </si>
  <si>
    <t>DisposableIntern</t>
  </si>
  <si>
    <t>DisproportionateRestitution</t>
  </si>
  <si>
    <t>DisregardThatStatement</t>
  </si>
  <si>
    <t>DistantEpilogue</t>
  </si>
  <si>
    <t>DisturbingStatistic</t>
  </si>
  <si>
    <t>DitchTheBodyguards</t>
  </si>
  <si>
    <t>DividedForAdaptation</t>
  </si>
  <si>
    <t>DivineAssistance</t>
  </si>
  <si>
    <t>DivorcedInstallment</t>
  </si>
  <si>
    <t>DoesHeHaveABrother</t>
  </si>
  <si>
    <t>DoesNotDrive</t>
  </si>
  <si>
    <t>DoesNotLikeMagic</t>
  </si>
  <si>
    <t>DoesThatSoundLikeFunToYou</t>
  </si>
  <si>
    <t>DoesThisMakeMeLookFat</t>
  </si>
  <si>
    <t>DogLatin</t>
  </si>
  <si>
    <t>DogStereotype</t>
  </si>
  <si>
    <t>DogWalksYou</t>
  </si>
  <si>
    <t>DomedCity</t>
  </si>
  <si>
    <t>DoomDoors</t>
  </si>
  <si>
    <t>DoomItYourself</t>
  </si>
  <si>
    <t>DoomTroops</t>
  </si>
  <si>
    <t>DoorRoulette</t>
  </si>
  <si>
    <t>DoorSlamsYou</t>
  </si>
  <si>
    <t>Doowop</t>
  </si>
  <si>
    <t>DorkHorseCandidate</t>
  </si>
  <si>
    <t>DoubleConsciousness</t>
  </si>
  <si>
    <t>DoubleThink</t>
  </si>
  <si>
    <t>DownloadableContent</t>
  </si>
  <si>
    <t>DownplayedExample</t>
  </si>
  <si>
    <t>DowryDilemma</t>
  </si>
  <si>
    <t>DragonsAreDemonic</t>
  </si>
  <si>
    <t>DramaticDislocation</t>
  </si>
  <si>
    <t>DramatisPersonae</t>
  </si>
  <si>
    <t>DreamsOfFlying</t>
  </si>
  <si>
    <t>DreamSpying</t>
  </si>
  <si>
    <t>DrivingTestSmashers</t>
  </si>
  <si>
    <t>Druid</t>
  </si>
  <si>
    <t>DrumsOfWar</t>
  </si>
  <si>
    <t>DrunkOnPower</t>
  </si>
  <si>
    <t>Dubstep</t>
  </si>
  <si>
    <t>Dubtitle</t>
  </si>
  <si>
    <t>Duck</t>
  </si>
  <si>
    <t>DudeWheresOurCar</t>
  </si>
  <si>
    <t>DuelingShows</t>
  </si>
  <si>
    <t>DumpThemAll</t>
  </si>
  <si>
    <t>DyingForSymbolism</t>
  </si>
  <si>
    <t>DyingMessage</t>
  </si>
  <si>
    <t>DynamicCharacter</t>
  </si>
  <si>
    <t>EasilyDetachableRobotParts</t>
  </si>
  <si>
    <t>EatingTheEnemy</t>
  </si>
  <si>
    <t>EchoingAcoustics</t>
  </si>
  <si>
    <t>EcoTerrorist</t>
  </si>
  <si>
    <t>Egging</t>
  </si>
  <si>
    <t>EggSitting</t>
  </si>
  <si>
    <t>EightPointEight</t>
  </si>
  <si>
    <t>EjectorSeat</t>
  </si>
  <si>
    <t>ElCidPloy</t>
  </si>
  <si>
    <t>ElectiveBrokenLanguage</t>
  </si>
  <si>
    <t>ElectricJoybuzzer</t>
  </si>
  <si>
    <t>ElementNumberFive</t>
  </si>
  <si>
    <t>ElephantInTheRoom</t>
  </si>
  <si>
    <t>ElmerFuddSyndrome</t>
  </si>
  <si>
    <t>ElNinoIsSpanishForTheNino</t>
  </si>
  <si>
    <t>EmbarrassinglyPainfulSunburn</t>
  </si>
  <si>
    <t>EmeraldPower</t>
  </si>
  <si>
    <t>EmergencyTraineeBattleDeployment</t>
  </si>
  <si>
    <t>EmotionsVersusStoicism</t>
  </si>
  <si>
    <t>EmpathicShapeshifter</t>
  </si>
  <si>
    <t>EmptyCopThreat</t>
  </si>
  <si>
    <t>EncyclopaedicKnowledge</t>
  </si>
  <si>
    <t>EnemiesList</t>
  </si>
  <si>
    <t>EnhancedArchaicWeapon</t>
  </si>
  <si>
    <t>EnormousEngine</t>
  </si>
  <si>
    <t>EnslavedTongue</t>
  </si>
  <si>
    <t>EnthusiasmVersusStoicism</t>
  </si>
  <si>
    <t>Envy</t>
  </si>
  <si>
    <t>EpistolaryNovel</t>
  </si>
  <si>
    <t>EraEstablishingScene</t>
  </si>
  <si>
    <t>EscapeFromTheCrazyPlace</t>
  </si>
  <si>
    <t>EternalLove</t>
  </si>
  <si>
    <t>EvenNerdsHaveStandards</t>
  </si>
  <si>
    <t>EverybodyHatesMathematics</t>
  </si>
  <si>
    <t>EverybodyIsSingle</t>
  </si>
  <si>
    <t>Everyman</t>
  </si>
  <si>
    <t>EveryoneDies</t>
  </si>
  <si>
    <t>EveryoneHatesHades</t>
  </si>
  <si>
    <t>EveryoneIsATomato</t>
  </si>
  <si>
    <t>EveryoneIsGay</t>
  </si>
  <si>
    <t>EveryoneIsSingle</t>
  </si>
  <si>
    <t>EverythingButTheGirl</t>
  </si>
  <si>
    <t>EverythingExplodesEnding</t>
  </si>
  <si>
    <t>EverythingIsBetterWithMonkeys</t>
  </si>
  <si>
    <t>EverythingMakesAMushroom</t>
  </si>
  <si>
    <t>EveryYearTheyFizzleOut</t>
  </si>
  <si>
    <t>EvidenceScavengerHunt</t>
  </si>
  <si>
    <t>EvilAunt</t>
  </si>
  <si>
    <t>EvilCounterpartRace</t>
  </si>
  <si>
    <t>EvilEvolves</t>
  </si>
  <si>
    <t>EvilEyebrows</t>
  </si>
  <si>
    <t>EvilHasStandards</t>
  </si>
  <si>
    <t>EvilHero</t>
  </si>
  <si>
    <t>EvilIsFunny</t>
  </si>
  <si>
    <t>EvilMask</t>
  </si>
  <si>
    <t>EvilMeScaresMe</t>
  </si>
  <si>
    <t>EvilOnlyHasToWinOnce</t>
  </si>
  <si>
    <t>EvilOrphanageLady</t>
  </si>
  <si>
    <t>EvilPrince</t>
  </si>
  <si>
    <t>EvilWillFail</t>
  </si>
  <si>
    <t>EvolutionaryRetCon</t>
  </si>
  <si>
    <t>ExactProgressBar</t>
  </si>
  <si>
    <t>ExecutiveSuiteFight</t>
  </si>
  <si>
    <t>ExpandedStatesOfAmerica</t>
  </si>
  <si>
    <t>ExpositionDump</t>
  </si>
  <si>
    <t>ExpositionParty</t>
  </si>
  <si>
    <t>ExtraOreDinary</t>
  </si>
  <si>
    <t>ExtraYExtraViolent</t>
  </si>
  <si>
    <t>EyebrowWaggle</t>
  </si>
  <si>
    <t>EyeForAnEye</t>
  </si>
  <si>
    <t>EyeObscuringHat</t>
  </si>
  <si>
    <t>EyepiecePrank</t>
  </si>
  <si>
    <t>Faceship</t>
  </si>
  <si>
    <t>FadeOut</t>
  </si>
  <si>
    <t>FairPlayVillain</t>
  </si>
  <si>
    <t>FairySexy</t>
  </si>
  <si>
    <t>FakeGuestStar</t>
  </si>
  <si>
    <t>FakeInteractivity</t>
  </si>
  <si>
    <t>FakePeriodExcuse</t>
  </si>
  <si>
    <t>FakeUltimateMook</t>
  </si>
  <si>
    <t>FakeWizardry</t>
  </si>
  <si>
    <t>FalselyReformedVillain</t>
  </si>
  <si>
    <t>FalseWidow</t>
  </si>
  <si>
    <t>FanDisillusionment</t>
  </si>
  <si>
    <t>FanDumb</t>
  </si>
  <si>
    <t>FanEdit</t>
  </si>
  <si>
    <t>FanFilm</t>
  </si>
  <si>
    <t>FanserviceFauxFight</t>
  </si>
  <si>
    <t>FantasticallyIndifferent</t>
  </si>
  <si>
    <t>FantasticFlora</t>
  </si>
  <si>
    <t>FantasticLegalWeirdness</t>
  </si>
  <si>
    <t>FantasticLightSource</t>
  </si>
  <si>
    <t>Fantasy</t>
  </si>
  <si>
    <t>FantasyForbiddingParent</t>
  </si>
  <si>
    <t>FantasyHelmetEnforcement</t>
  </si>
  <si>
    <t>FastForwardToReunion</t>
  </si>
  <si>
    <t>FastTunnelling</t>
  </si>
  <si>
    <t>FauxtasticVoyage</t>
  </si>
  <si>
    <t>FearlessInfant</t>
  </si>
  <si>
    <t>FeaturelessProtagonist</t>
  </si>
  <si>
    <t>FelonyMurder</t>
  </si>
  <si>
    <t>FemininityFailure</t>
  </si>
  <si>
    <t>FencePainting</t>
  </si>
  <si>
    <t>FertileBlood</t>
  </si>
  <si>
    <t>FertileFeet</t>
  </si>
  <si>
    <t>FesteringFungus</t>
  </si>
  <si>
    <t>FetishFuelFuture</t>
  </si>
  <si>
    <t>FeverDreamEpisode</t>
  </si>
  <si>
    <t>FictionalizedDeathAccount</t>
  </si>
  <si>
    <t>FictionalPinballGame</t>
  </si>
  <si>
    <t>FidelityTest</t>
  </si>
  <si>
    <t>FightDracula</t>
  </si>
  <si>
    <t>FilmComic</t>
  </si>
  <si>
    <t>FilmPosters</t>
  </si>
  <si>
    <t>FinalWords</t>
  </si>
  <si>
    <t>FingerFraming</t>
  </si>
  <si>
    <t>FingerTenting</t>
  </si>
  <si>
    <t>FireballEyeballs</t>
  </si>
  <si>
    <t>FireKeepsItDead</t>
  </si>
  <si>
    <t>FirstContactTeam</t>
  </si>
  <si>
    <t>FirstEpisodeSpoiler</t>
  </si>
  <si>
    <t>FirstLawOfResurrection</t>
  </si>
  <si>
    <t>FishbowlHelmet</t>
  </si>
  <si>
    <t>FishingForSole</t>
  </si>
  <si>
    <t>FixedForwardFacingWeapon</t>
  </si>
  <si>
    <t>FlagBikini</t>
  </si>
  <si>
    <t>FlagDrop</t>
  </si>
  <si>
    <t>FlairBartending</t>
  </si>
  <si>
    <t>FlameBait</t>
  </si>
  <si>
    <t>FlamingDevil</t>
  </si>
  <si>
    <t>FlamingHair</t>
  </si>
  <si>
    <t>FlappingCheeks</t>
  </si>
  <si>
    <t>FlauntingYourFleets</t>
  </si>
  <si>
    <t>FleshGolem</t>
  </si>
  <si>
    <t>FleurDeLis</t>
  </si>
  <si>
    <t>FlippantForgiveness</t>
  </si>
  <si>
    <t>FloweryInsult</t>
  </si>
  <si>
    <t>FlyCrazy</t>
  </si>
  <si>
    <t>FoeCooties</t>
  </si>
  <si>
    <t>FoldThePageFoldTheSpace</t>
  </si>
  <si>
    <t>FolkMusic</t>
  </si>
  <si>
    <t>ForeignFanservice</t>
  </si>
  <si>
    <t>ForgotICouldntSwim</t>
  </si>
  <si>
    <t>ForgottenAnniversary</t>
  </si>
  <si>
    <t>ForgottenTrope</t>
  </si>
  <si>
    <t>FortyNiner</t>
  </si>
  <si>
    <t>FourTermsFallacy</t>
  </si>
  <si>
    <t>FowlMouthedParrot</t>
  </si>
  <si>
    <t>FramedClue</t>
  </si>
  <si>
    <t>FramingStory</t>
  </si>
  <si>
    <t>FranchiseZombie</t>
  </si>
  <si>
    <t>FreedomFromChoice</t>
  </si>
  <si>
    <t>FrickingLaserBeams</t>
  </si>
  <si>
    <t>FriendlyNeighborhoodGangster</t>
  </si>
  <si>
    <t>FriendlyTickleTorture</t>
  </si>
  <si>
    <t>FriendToBugs</t>
  </si>
  <si>
    <t>FriendToPsychos</t>
  </si>
  <si>
    <t>FromBeyondTheFourthWall</t>
  </si>
  <si>
    <t>FromTheLatinIntroDucere</t>
  </si>
  <si>
    <t>FrontOrganisation</t>
  </si>
  <si>
    <t>FrozenFace</t>
  </si>
  <si>
    <t>FTLTravel</t>
  </si>
  <si>
    <t>FullMotionVideo</t>
  </si>
  <si>
    <t>FullyAutomaticClipShow</t>
  </si>
  <si>
    <t>FunctionalAlcoholic</t>
  </si>
  <si>
    <t>FundraiserCarnival</t>
  </si>
  <si>
    <t>FunnyOctopus</t>
  </si>
  <si>
    <t>FurnitureBlockade</t>
  </si>
  <si>
    <t>GadgeteersHouse</t>
  </si>
  <si>
    <t>GaggingOnYourWords</t>
  </si>
  <si>
    <t>GameBetweenHeirs</t>
  </si>
  <si>
    <t>GameMaster</t>
  </si>
  <si>
    <t>GameOver</t>
  </si>
  <si>
    <t>GardenOfEden</t>
  </si>
  <si>
    <t>GardenOfEvil</t>
  </si>
  <si>
    <t>GardenOfLove</t>
  </si>
  <si>
    <t>GasmaskMook</t>
  </si>
  <si>
    <t>GeekPhysique</t>
  </si>
  <si>
    <t>GenderBenderFriendship</t>
  </si>
  <si>
    <t>GenderNeutralWriting</t>
  </si>
  <si>
    <t>GenerationalSaga</t>
  </si>
  <si>
    <t>GenerationShip</t>
  </si>
  <si>
    <t>GenericGuy</t>
  </si>
  <si>
    <t>GeneticEngineering</t>
  </si>
  <si>
    <t>GeniusSlob</t>
  </si>
  <si>
    <t>GenocideFromTheInside</t>
  </si>
  <si>
    <t>GenreKiller</t>
  </si>
  <si>
    <t>GenreMotif</t>
  </si>
  <si>
    <t>GentlemanWizard</t>
  </si>
  <si>
    <t>Gesundheit</t>
  </si>
  <si>
    <t>GetBackToTheFuture</t>
  </si>
  <si>
    <t>GettingEatenIsHarmless</t>
  </si>
  <si>
    <t>GhostAmnesia</t>
  </si>
  <si>
    <t>GiantMecha</t>
  </si>
  <si>
    <t>GiantNoveltyCheck</t>
  </si>
  <si>
    <t>GiftGivingGaffe</t>
  </si>
  <si>
    <t>GiftOfTheMagiPlot</t>
  </si>
  <si>
    <t>GingerbreadHouse</t>
  </si>
  <si>
    <t>GirlsLoveChocolate</t>
  </si>
  <si>
    <t>GiveAwayTheBride</t>
  </si>
  <si>
    <t>GlasgowSmile</t>
  </si>
  <si>
    <t>GlassWeapon</t>
  </si>
  <si>
    <t>Glomp</t>
  </si>
  <si>
    <t>GlowingEyelightsOfUndeath</t>
  </si>
  <si>
    <t>GlowingMechanicalEyes</t>
  </si>
  <si>
    <t>GluttonousPig</t>
  </si>
  <si>
    <t>GoAndSinNoMore</t>
  </si>
  <si>
    <t>GodIsInept</t>
  </si>
  <si>
    <t>GodKartingWithBeelzebub</t>
  </si>
  <si>
    <t>GodlySidestep</t>
  </si>
  <si>
    <t>GodModeSue</t>
  </si>
  <si>
    <t>GodOfGood</t>
  </si>
  <si>
    <t>GoDownWithTheShip</t>
  </si>
  <si>
    <t>GodsHandsAreTied</t>
  </si>
  <si>
    <t>GoldenMoment</t>
  </si>
  <si>
    <t>GoldenPath</t>
  </si>
  <si>
    <t>GoodDocBadDoc</t>
  </si>
  <si>
    <t>GoodHurtsEvil</t>
  </si>
  <si>
    <t>GoodPowersBadPeople</t>
  </si>
  <si>
    <t>GoodWeaponEvilWeapon</t>
  </si>
  <si>
    <t>GothicPunk</t>
  </si>
  <si>
    <t>GothSpirals</t>
  </si>
  <si>
    <t>GoToSleepEnding</t>
  </si>
  <si>
    <t>GrandInquisitorScene</t>
  </si>
  <si>
    <t>GrandpaGod</t>
  </si>
  <si>
    <t>GrandparentalObliviousness</t>
  </si>
  <si>
    <t>GratuitousNazis</t>
  </si>
  <si>
    <t>GraveClouds</t>
  </si>
  <si>
    <t>GraveHumor</t>
  </si>
  <si>
    <t>GreatestHitsAlbum</t>
  </si>
  <si>
    <t>GreatGazoo</t>
  </si>
  <si>
    <t>GreenAroundTheGills</t>
  </si>
  <si>
    <t>GripingAboutGremlins</t>
  </si>
  <si>
    <t>GuardianEntity</t>
  </si>
  <si>
    <t>GuardStationsTerminallyUnattended</t>
  </si>
  <si>
    <t>GuideDangIt</t>
  </si>
  <si>
    <t>GuiltByAssociation</t>
  </si>
  <si>
    <t>HahvahdYahdInMyCah</t>
  </si>
  <si>
    <t>HailToTheThief</t>
  </si>
  <si>
    <t>HairballHumor</t>
  </si>
  <si>
    <t>HairReboot</t>
  </si>
  <si>
    <t>HalfTruth</t>
  </si>
  <si>
    <t>HalfWittedHillbilly</t>
  </si>
  <si>
    <t>HalloweenTown</t>
  </si>
  <si>
    <t>HamAndDeadpanDuo</t>
  </si>
  <si>
    <t>HammeredIntoTheGround</t>
  </si>
  <si>
    <t>HamsterWheelPower</t>
  </si>
  <si>
    <t>HandRubbing</t>
  </si>
  <si>
    <t>HandsGoDown</t>
  </si>
  <si>
    <t>HappierTimesMontage</t>
  </si>
  <si>
    <t>HappilyArrangedMarriage</t>
  </si>
  <si>
    <t>HappyHolidaysDress</t>
  </si>
  <si>
    <t>HardLight</t>
  </si>
  <si>
    <t>HardRock</t>
  </si>
  <si>
    <t>HardWorkFallacy</t>
  </si>
  <si>
    <t>HarmfulToHitchhikers</t>
  </si>
  <si>
    <t>HarpingOnAboutHarpies</t>
  </si>
  <si>
    <t>Hatedom</t>
  </si>
  <si>
    <t>HatesBeingAlone</t>
  </si>
  <si>
    <t>HatesWearingDresses</t>
  </si>
  <si>
    <t>HatOfAuthority</t>
  </si>
  <si>
    <t>HauntedHeadquarters</t>
  </si>
  <si>
    <t>HaveANiceDeath</t>
  </si>
  <si>
    <t>HaveWeMetYet</t>
  </si>
  <si>
    <t>HaveYouTriedRebooting</t>
  </si>
  <si>
    <t>HeadButtingPachy</t>
  </si>
  <si>
    <t>HeadlockOfDominance</t>
  </si>
  <si>
    <t>HeadTurnedBackwards</t>
  </si>
  <si>
    <t>HeartIsWhereTheHomeIs</t>
  </si>
  <si>
    <t>HeartSymbol</t>
  </si>
  <si>
    <t>HeavenlyBlue</t>
  </si>
  <si>
    <t>HedgeMaze</t>
  </si>
  <si>
    <t>HeinousHyena</t>
  </si>
  <si>
    <t>Hellfire</t>
  </si>
  <si>
    <t>HellOfAHeaven</t>
  </si>
  <si>
    <t>Hentai</t>
  </si>
  <si>
    <t>HereditaryHairstyle</t>
  </si>
  <si>
    <t>HeroesFrontierStep</t>
  </si>
  <si>
    <t>HeroHarassesHelpers</t>
  </si>
  <si>
    <t>HeroicFatigue</t>
  </si>
  <si>
    <t>HeroicMime</t>
  </si>
  <si>
    <t>HeroicPetStory</t>
  </si>
  <si>
    <t>HerosMuse</t>
  </si>
  <si>
    <t>HeroWorship</t>
  </si>
  <si>
    <t>HeteronormativeCrusaders</t>
  </si>
  <si>
    <t>HeWhoMustNotBeNamed</t>
  </si>
  <si>
    <t>HeWillNotCrySoICryForHim</t>
  </si>
  <si>
    <t>HeyThatsMyLine</t>
  </si>
  <si>
    <t>HiddenArmyReveal</t>
  </si>
  <si>
    <t>HidingInAHijab</t>
  </si>
  <si>
    <t>HidingYourHeritage</t>
  </si>
  <si>
    <t>HighMiddleAges</t>
  </si>
  <si>
    <t>HighOnHomicide</t>
  </si>
  <si>
    <t>HighPressureEmotion</t>
  </si>
  <si>
    <t>HijackingCthulhu</t>
  </si>
  <si>
    <t>HimeCut</t>
  </si>
  <si>
    <t>HiMom</t>
  </si>
  <si>
    <t>HissBeforeFleeing</t>
  </si>
  <si>
    <t>HisStoryRepeatsItself</t>
  </si>
  <si>
    <t>HistoryRepeatsItself</t>
  </si>
  <si>
    <t>HistoryWithCelebrity</t>
  </si>
  <si>
    <t>HitYouSoHardYourXWillFeelIt</t>
  </si>
  <si>
    <t>Hobo</t>
  </si>
  <si>
    <t>HockeyFight</t>
  </si>
  <si>
    <t>HoldMe</t>
  </si>
  <si>
    <t>HollowEarth</t>
  </si>
  <si>
    <t>HollowSoundingHead</t>
  </si>
  <si>
    <t>HollywoodApocrypha</t>
  </si>
  <si>
    <t>HollywoodDressCode</t>
  </si>
  <si>
    <t>HollywoodDriving</t>
  </si>
  <si>
    <t>HollywoodJehovahsWitness</t>
  </si>
  <si>
    <t>HollywoodSpelling</t>
  </si>
  <si>
    <t>HolyIsNotSafe</t>
  </si>
  <si>
    <t>HomeGame</t>
  </si>
  <si>
    <t>HomeNudist</t>
  </si>
  <si>
    <t>HomosexualReproduction</t>
  </si>
  <si>
    <t>HonorKilling</t>
  </si>
  <si>
    <t>HoodHornament</t>
  </si>
  <si>
    <t>HopelessBossFight</t>
  </si>
  <si>
    <t>HorseJump</t>
  </si>
  <si>
    <t>HostageVideo</t>
  </si>
  <si>
    <t>HostilityOnTheSet</t>
  </si>
  <si>
    <t>HotelHellion</t>
  </si>
  <si>
    <t>HotGod</t>
  </si>
  <si>
    <t>HotOnHisOwnTrail</t>
  </si>
  <si>
    <t>HotPaintJob</t>
  </si>
  <si>
    <t>HowDoYouSay</t>
  </si>
  <si>
    <t>HSQ</t>
  </si>
  <si>
    <t>HulkOut</t>
  </si>
  <si>
    <t>HumanAllAlong</t>
  </si>
  <si>
    <t>HumanArchitectureHorror</t>
  </si>
  <si>
    <t>HumanOutsideAlienInside</t>
  </si>
  <si>
    <t>HumansAreInsects</t>
  </si>
  <si>
    <t>HumansThroughAlienEyes</t>
  </si>
  <si>
    <t>HumanSubspecies</t>
  </si>
  <si>
    <t>HundredPercentHeroismRating</t>
  </si>
  <si>
    <t>HungryMenace</t>
  </si>
  <si>
    <t>HurlItIntoTheSun</t>
  </si>
  <si>
    <t>HyperactiveMetabolism</t>
  </si>
  <si>
    <t>HyperDestructiveBouncingBall</t>
  </si>
  <si>
    <t>HypnoPendulum</t>
  </si>
  <si>
    <t>HypocriticalSinging</t>
  </si>
  <si>
    <t>HypotheticalFightDebate</t>
  </si>
  <si>
    <t>IAmNotWeasel</t>
  </si>
  <si>
    <t>IBelieveICanFly</t>
  </si>
  <si>
    <t>ICantBelieveImSayingThis</t>
  </si>
  <si>
    <t>IceBreaker</t>
  </si>
  <si>
    <t>IconicSequelSong</t>
  </si>
  <si>
    <t>IdenticalTwins</t>
  </si>
  <si>
    <t>IdiotHair</t>
  </si>
  <si>
    <t>IFeelAngry</t>
  </si>
  <si>
    <t>IfItSwimsItFlies</t>
  </si>
  <si>
    <t>IfWeSurviveThis</t>
  </si>
  <si>
    <t>IgnorantOfTheirOwnIgnorance</t>
  </si>
  <si>
    <t>IgnoredAesop</t>
  </si>
  <si>
    <t>IHaveMyWays</t>
  </si>
  <si>
    <t>IKnewThereWasSomethingAboutYou</t>
  </si>
  <si>
    <t>IKnowKungFu</t>
  </si>
  <si>
    <t>IKnowWhatYouFear</t>
  </si>
  <si>
    <t>ImaginationBasedSuperpower</t>
  </si>
  <si>
    <t>ImagineSpotting</t>
  </si>
  <si>
    <t>IMinoredInTropology</t>
  </si>
  <si>
    <t>ImmuneToSlapstick</t>
  </si>
  <si>
    <t>ImNotADoctorButIPlayOneOnTV</t>
  </si>
  <si>
    <t>ImNotDoingThatAgain</t>
  </si>
  <si>
    <t>ImNotPretty</t>
  </si>
  <si>
    <t>ImpersonatingTheEvilTwin</t>
  </si>
  <si>
    <t>ImplicitPrison</t>
  </si>
  <si>
    <t>ImpossibleThief</t>
  </si>
  <si>
    <t>ImpossiblyGracefulGiant</t>
  </si>
  <si>
    <t>ImprovisedLightningRod</t>
  </si>
  <si>
    <t>ImTakingHerHomeWithMe</t>
  </si>
  <si>
    <t>InconvenientDarkroomIllumination</t>
  </si>
  <si>
    <t>IndecisiveMedium</t>
  </si>
  <si>
    <t>IndividualityIsIllegal</t>
  </si>
  <si>
    <t>IndustrialGhetto</t>
  </si>
  <si>
    <t>InevitableMutualBetrayal</t>
  </si>
  <si>
    <t>InevitableTournament</t>
  </si>
  <si>
    <t>InfinityPlusOneSword</t>
  </si>
  <si>
    <t>InfoDrop</t>
  </si>
  <si>
    <t>InformedObscenity</t>
  </si>
  <si>
    <t>InformedSelfDiagnosis</t>
  </si>
  <si>
    <t>Ingenue</t>
  </si>
  <si>
    <t>IngestingKnowledge</t>
  </si>
  <si>
    <t>InherentlyFunnyWord</t>
  </si>
  <si>
    <t>InjuredLimbEpisode</t>
  </si>
  <si>
    <t>InnocentFanserviceGuy</t>
  </si>
  <si>
    <t>InnocuouslyImportantEpisode</t>
  </si>
  <si>
    <t>InsectGenderBender</t>
  </si>
  <si>
    <t>InsistentAppellation</t>
  </si>
  <si>
    <t>InspirationallyDisabled</t>
  </si>
  <si>
    <t>InstantFanClub</t>
  </si>
  <si>
    <t>InstantKnots</t>
  </si>
  <si>
    <t>InstantMassJustAddWater</t>
  </si>
  <si>
    <t>InstantOracleJustAddWater</t>
  </si>
  <si>
    <t>InsultComic</t>
  </si>
  <si>
    <t>InsurmountableWaistHighFence</t>
  </si>
  <si>
    <t>IntangibleTheft</t>
  </si>
  <si>
    <t>IntangibleTimeTravel</t>
  </si>
  <si>
    <t>InterdimensionalTravelDevice</t>
  </si>
  <si>
    <t>InternetToughGuy</t>
  </si>
  <si>
    <t>InterrogatedForNothing</t>
  </si>
  <si>
    <t>InterstellarWeapon</t>
  </si>
  <si>
    <t>InTheDoldrums</t>
  </si>
  <si>
    <t>InTheFutureHumansWillBeOneRace</t>
  </si>
  <si>
    <t>IntroOnlyPointOfView</t>
  </si>
  <si>
    <t>InvasionOfTheBabySnatchers</t>
  </si>
  <si>
    <t>InverseLawOfUtilityAndLethality</t>
  </si>
  <si>
    <t>InvisibleStomachVisibleFood</t>
  </si>
  <si>
    <t>InvoluntaryGroupSplit</t>
  </si>
  <si>
    <t>InWorkingOrder</t>
  </si>
  <si>
    <t>IronicEpisodeTitle</t>
  </si>
  <si>
    <t>IrritationIsTheSincerestFormOfFlattery</t>
  </si>
  <si>
    <t>IsItAlwaysLikeThis</t>
  </si>
  <si>
    <t>IsItSomethingYouEat</t>
  </si>
  <si>
    <t>IslandHelpMessage</t>
  </si>
  <si>
    <t>IsThatWhatHeToldYou</t>
  </si>
  <si>
    <t>IsThisWhatAngerFeelsLike</t>
  </si>
  <si>
    <t>ITasteDelicious</t>
  </si>
  <si>
    <t>ItBelongsInAMuseum</t>
  </si>
  <si>
    <t>IThinkYouBrokeHim</t>
  </si>
  <si>
    <t>ItKindOfLooksLikeAFace</t>
  </si>
  <si>
    <t>ItMustBeMine</t>
  </si>
  <si>
    <t>ItSeemedTrivial</t>
  </si>
  <si>
    <t>ItsFakeFurItsFine</t>
  </si>
  <si>
    <t>ItsNotSupposedToWinOscars</t>
  </si>
  <si>
    <t>ItsSnowingCocaine</t>
  </si>
  <si>
    <t>ItsThePrincipleOfTheThing</t>
  </si>
  <si>
    <t>ItsXIHateX</t>
  </si>
  <si>
    <t>ItWasAllADream</t>
  </si>
  <si>
    <t>IWishItWereReal</t>
  </si>
  <si>
    <t>IwoJimaPose</t>
  </si>
  <si>
    <t>IWroteOurStory</t>
  </si>
  <si>
    <t>Jackass</t>
  </si>
  <si>
    <t>JealousParent</t>
  </si>
  <si>
    <t>JeopardyThinkingMusic</t>
  </si>
  <si>
    <t>JerkassHero</t>
  </si>
  <si>
    <t>JerkassToOne</t>
  </si>
  <si>
    <t>JettisonJetpackAttack</t>
  </si>
  <si>
    <t>Jingle</t>
  </si>
  <si>
    <t>JockDadNerdSon</t>
  </si>
  <si>
    <t>JudgementOfTheDead</t>
  </si>
  <si>
    <t>JuliusBeethovenDaVinci</t>
  </si>
  <si>
    <t>JumpOffABridgeRebuttal</t>
  </si>
  <si>
    <t>JumpPhysics</t>
  </si>
  <si>
    <t>JumpsOffTheSlipperySlope</t>
  </si>
  <si>
    <t>JungleJapes</t>
  </si>
  <si>
    <t>JuniorCounterpart</t>
  </si>
  <si>
    <t>JuniorHigh</t>
  </si>
  <si>
    <t>JuryDuty</t>
  </si>
  <si>
    <t>JustAsPlanned</t>
  </si>
  <si>
    <t>JustLikeMakingLove</t>
  </si>
  <si>
    <t>JustWhistle</t>
  </si>
  <si>
    <t>JuxtapositionGag</t>
  </si>
  <si>
    <t>KafkaComedy</t>
  </si>
  <si>
    <t>Kaiserreich</t>
  </si>
  <si>
    <t>KaleidoscopeEyes</t>
  </si>
  <si>
    <t>KarmicMisfire</t>
  </si>
  <si>
    <t>KarmicNod</t>
  </si>
  <si>
    <t>KarmicProtection</t>
  </si>
  <si>
    <t>KeepTheHomeFiresBurning</t>
  </si>
  <si>
    <t>KibblesAndBits</t>
  </si>
  <si>
    <t>KickingMyOwnButt</t>
  </si>
  <si>
    <t>KickThemWhileTheyreDown</t>
  </si>
  <si>
    <t>KidnappedFromBehind</t>
  </si>
  <si>
    <t>KidWithTheLeash</t>
  </si>
  <si>
    <t>KindRestraints</t>
  </si>
  <si>
    <t>KingKongCopy</t>
  </si>
  <si>
    <t>KlatchianCoffee</t>
  </si>
  <si>
    <t>KlingonsLoveShakespeare</t>
  </si>
  <si>
    <t>KneelPushTrip</t>
  </si>
  <si>
    <t>KoreanPopMusic</t>
  </si>
  <si>
    <t>KryptoniteIsEverywhere</t>
  </si>
  <si>
    <t>LaboriousLaziness</t>
  </si>
  <si>
    <t>LampshadeWearing</t>
  </si>
  <si>
    <t>LandOfTulipsAndWindmills</t>
  </si>
  <si>
    <t>LastBastion</t>
  </si>
  <si>
    <t>LastFertileRegion</t>
  </si>
  <si>
    <t>LavaIsBoilingKoolAid</t>
  </si>
  <si>
    <t>LawmanBaton</t>
  </si>
  <si>
    <t>LazyHusband</t>
  </si>
  <si>
    <t>LeakingCanOfEvil</t>
  </si>
  <si>
    <t>LeMarque</t>
  </si>
  <si>
    <t>LeslieNielsenSyndrome</t>
  </si>
  <si>
    <t>LessEmbarrassingTerm</t>
  </si>
  <si>
    <t>LethalEatery</t>
  </si>
  <si>
    <t>LethalJokeItem</t>
  </si>
  <si>
    <t>LetHerGrowUpDear</t>
  </si>
  <si>
    <t>LetsPutOnAShow</t>
  </si>
  <si>
    <t>LetThereBeSnow</t>
  </si>
  <si>
    <t>LieToTheBeholder</t>
  </si>
  <si>
    <t>LightBulbJoke</t>
  </si>
  <si>
    <t>LightDarknessJuxtaposition</t>
  </si>
  <si>
    <t>LikableVillain</t>
  </si>
  <si>
    <t>LikeIsLikeAComma</t>
  </si>
  <si>
    <t>LikeParentLikeChild</t>
  </si>
  <si>
    <t>LittleBitBeastly</t>
  </si>
  <si>
    <t>LittleHeroBigWar</t>
  </si>
  <si>
    <t>LittleJimmy</t>
  </si>
  <si>
    <t>LittleOldLadyInvestigates</t>
  </si>
  <si>
    <t>LivingAphrodisiac</t>
  </si>
  <si>
    <t>LoadsAndLoadsOfLoading</t>
  </si>
  <si>
    <t>LocalAngle</t>
  </si>
  <si>
    <t>LOL69</t>
  </si>
  <si>
    <t>LonersWillStayAlone</t>
  </si>
  <si>
    <t>LoneSurvivor</t>
  </si>
  <si>
    <t>LongBusTrip</t>
  </si>
  <si>
    <t>LongevityTreatment</t>
  </si>
  <si>
    <t>LongNeck</t>
  </si>
  <si>
    <t>LongRunnerTechMarchesOn</t>
  </si>
  <si>
    <t>LosingIsWorseThanDeath</t>
  </si>
  <si>
    <t>LosingTheTeamSpirit</t>
  </si>
  <si>
    <t>LostColony</t>
  </si>
  <si>
    <t>LostCommonKnowledge</t>
  </si>
  <si>
    <t>LotsAndLotsOfCharacters</t>
  </si>
  <si>
    <t>LotsaPeopleTryToDunIt</t>
  </si>
  <si>
    <t>LoveDoodles</t>
  </si>
  <si>
    <t>LoveGoddess</t>
  </si>
  <si>
    <t>LoveIsADrug</t>
  </si>
  <si>
    <t>LoverNotAFighter</t>
  </si>
  <si>
    <t>LovingBully</t>
  </si>
  <si>
    <t>LowCountGag</t>
  </si>
  <si>
    <t>LowestCommonDenominator</t>
  </si>
  <si>
    <t>LuckilyMyPowersWillProtectMe</t>
  </si>
  <si>
    <t>LunaticLoophole</t>
  </si>
  <si>
    <t>Lust</t>
  </si>
  <si>
    <t>LyingCreator</t>
  </si>
  <si>
    <t>LyricalShoehorn</t>
  </si>
  <si>
    <t>MaamShock</t>
  </si>
  <si>
    <t>MacGuffinBlindness</t>
  </si>
  <si>
    <t>MacGuffinGirl</t>
  </si>
  <si>
    <t>MacGuffinGuardian</t>
  </si>
  <si>
    <t>MacGuffinPersonReveal</t>
  </si>
  <si>
    <t>MadeFromRealGirlScouts</t>
  </si>
  <si>
    <t>MadeOutToBeAJerkass</t>
  </si>
  <si>
    <t>MadEye</t>
  </si>
  <si>
    <t>MadGod</t>
  </si>
  <si>
    <t>MagicalAbortion</t>
  </si>
  <si>
    <t>MagicalForeignWords</t>
  </si>
  <si>
    <t>MagicalSeventhSon</t>
  </si>
  <si>
    <t>MagicCarpet</t>
  </si>
  <si>
    <t>MagicMap</t>
  </si>
  <si>
    <t>MagicPoweredPseudoscience</t>
  </si>
  <si>
    <t>MagpiesAsPortents</t>
  </si>
  <si>
    <t>MainliningTheMonster</t>
  </si>
  <si>
    <t>MakesUsEven</t>
  </si>
  <si>
    <t>MakeThemRot</t>
  </si>
  <si>
    <t>MakeUpOrBreakUp</t>
  </si>
  <si>
    <t>MaleRestroomEtiquette</t>
  </si>
  <si>
    <t>ManInTheMachine</t>
  </si>
  <si>
    <t>MascotMook</t>
  </si>
  <si>
    <t>MasterOfAll</t>
  </si>
  <si>
    <t>MateOrDie</t>
  </si>
  <si>
    <t>MatryoshkaObject</t>
  </si>
  <si>
    <t>McCall</t>
  </si>
  <si>
    <t>McLeaned</t>
  </si>
  <si>
    <t>MDEnvy</t>
  </si>
  <si>
    <t>MeasuringTheMarigolds</t>
  </si>
  <si>
    <t>MeatMoss</t>
  </si>
  <si>
    <t>MeatSackRobot</t>
  </si>
  <si>
    <t>MedievalEuropeanFantasy</t>
  </si>
  <si>
    <t>MeditationPowerup</t>
  </si>
  <si>
    <t>Medusa</t>
  </si>
  <si>
    <t>Megalodon</t>
  </si>
  <si>
    <t>MemoryJar</t>
  </si>
  <si>
    <t>MenaceDecay</t>
  </si>
  <si>
    <t>MenstrualMenace</t>
  </si>
  <si>
    <t>MercyKilling</t>
  </si>
  <si>
    <t>MeritBadgesForEverything</t>
  </si>
  <si>
    <t>MerlinAndNimue</t>
  </si>
  <si>
    <t>MerlinSickness</t>
  </si>
  <si>
    <t>MessyMaggots</t>
  </si>
  <si>
    <t>MetaMecha</t>
  </si>
  <si>
    <t>MichaelJacksonsThrillerParody</t>
  </si>
  <si>
    <t>MicrowaveTheDog</t>
  </si>
  <si>
    <t>MidAirBobbing</t>
  </si>
  <si>
    <t>MightyLumberjack</t>
  </si>
  <si>
    <t>Miko</t>
  </si>
  <si>
    <t>MindManipulation</t>
  </si>
  <si>
    <t>MindVirus</t>
  </si>
  <si>
    <t>MinecartMadness</t>
  </si>
  <si>
    <t>MiniatureEffects</t>
  </si>
  <si>
    <t>MiniatureSeniorCitizens</t>
  </si>
  <si>
    <t>MinionMaracas</t>
  </si>
  <si>
    <t>MinorLivingAlone</t>
  </si>
  <si>
    <t>MinovskyPhysics</t>
  </si>
  <si>
    <t>MiracleFood</t>
  </si>
  <si>
    <t>MiracleGroMonster</t>
  </si>
  <si>
    <t>MishmashMuseum</t>
  </si>
  <si>
    <t>MisidentifiedWeapons</t>
  </si>
  <si>
    <t>MisogynySong</t>
  </si>
  <si>
    <t>MissingTheGoodStuff</t>
  </si>
  <si>
    <t>MistakenForCrazy</t>
  </si>
  <si>
    <t>MistakenForEvidence</t>
  </si>
  <si>
    <t>MistakenForUndead</t>
  </si>
  <si>
    <t>MockCousteau</t>
  </si>
  <si>
    <t>MockHollywoodSign</t>
  </si>
  <si>
    <t>ModernStasis</t>
  </si>
  <si>
    <t>MolotovTruck</t>
  </si>
  <si>
    <t>MoneySpider</t>
  </si>
  <si>
    <t>MonstersOfTheWeek</t>
  </si>
  <si>
    <t>MonumentalTheft</t>
  </si>
  <si>
    <t>MonumentOfHumiliationAndDefeat</t>
  </si>
  <si>
    <t>MoralityChip</t>
  </si>
  <si>
    <t>MoreThanThreeDimensions</t>
  </si>
  <si>
    <t>MorphWeapon</t>
  </si>
  <si>
    <t>MostWritersAreHuman</t>
  </si>
  <si>
    <t>MotionCaptureMecha</t>
  </si>
  <si>
    <t>MotorcycleOnTheCoastRoad</t>
  </si>
  <si>
    <t>MouseTrap</t>
  </si>
  <si>
    <t>MsImagination</t>
  </si>
  <si>
    <t>MugshotMontage</t>
  </si>
  <si>
    <t>MultiMeleeMaster</t>
  </si>
  <si>
    <t>MultiMookMelee</t>
  </si>
  <si>
    <t>MultiPartEpisode</t>
  </si>
  <si>
    <t>MultipleDemographicAppeal</t>
  </si>
  <si>
    <t>Mundanization</t>
  </si>
  <si>
    <t>MurderByRemoteControlVehicle</t>
  </si>
  <si>
    <t>MurphysBullet</t>
  </si>
  <si>
    <t>MurphysLaw</t>
  </si>
  <si>
    <t>MusicIsPolitics</t>
  </si>
  <si>
    <t>MutilationConga</t>
  </si>
  <si>
    <t>MuzzleFlashlight</t>
  </si>
  <si>
    <t>MyArtMyMemory</t>
  </si>
  <si>
    <t>MyGrandmaCanDoBetterThanYou</t>
  </si>
  <si>
    <t>MyRuleFuIsStrongerThanYours</t>
  </si>
  <si>
    <t>MysteryFiction</t>
  </si>
  <si>
    <t>MysticalHighCollar</t>
  </si>
  <si>
    <t>MySuitIsAlsoSuper</t>
  </si>
  <si>
    <t>NamedByDemocracy</t>
  </si>
  <si>
    <t>NamedLikeMyName</t>
  </si>
  <si>
    <t>NamesToTrustImmediately</t>
  </si>
  <si>
    <t>Nanotechnology</t>
  </si>
  <si>
    <t>NaturalSpotlight</t>
  </si>
  <si>
    <t>NaughtyNun</t>
  </si>
  <si>
    <t>Necromancy</t>
  </si>
  <si>
    <t>NephariousPharaoh</t>
  </si>
  <si>
    <t>NetGun</t>
  </si>
  <si>
    <t>NeutralGood</t>
  </si>
  <si>
    <t>NeverForgottenSkill</t>
  </si>
  <si>
    <t>NeverGrewUp</t>
  </si>
  <si>
    <t>NeverWorkWithChildrenOrAnimals</t>
  </si>
  <si>
    <t>NewRulesAsThePlotDemands</t>
  </si>
  <si>
    <t>NewSoundAlbum</t>
  </si>
  <si>
    <t>NextThingTheyKnew</t>
  </si>
  <si>
    <t>NiceDayDeadlyNight</t>
  </si>
  <si>
    <t>NighthawksShot</t>
  </si>
  <si>
    <t>NightmarishFactory</t>
  </si>
  <si>
    <t>NinetiesHair</t>
  </si>
  <si>
    <t>NobleShoplifter</t>
  </si>
  <si>
    <t>NobodyEverComplainedBefore</t>
  </si>
  <si>
    <t>NobodysThatDumb</t>
  </si>
  <si>
    <t>NoConservationOfMass</t>
  </si>
  <si>
    <t>NoEqualOpportunityTimeTravel</t>
  </si>
  <si>
    <t>NoExceptYes</t>
  </si>
  <si>
    <t>NoFlowInCGI</t>
  </si>
  <si>
    <t>Noir</t>
  </si>
  <si>
    <t>NoManLeftBehind</t>
  </si>
  <si>
    <t>NoMouth</t>
  </si>
  <si>
    <t>NonPlayerCharacter</t>
  </si>
  <si>
    <t>NonPOVProtagonist</t>
  </si>
  <si>
    <t>NonPoweredCostumedHero</t>
  </si>
  <si>
    <t>NonResidentialResidence</t>
  </si>
  <si>
    <t>NonStandardGameOver</t>
  </si>
  <si>
    <t>NoOneCouldHaveSurvivedThat</t>
  </si>
  <si>
    <t>NoScope</t>
  </si>
  <si>
    <t>NoSenseOfHumour</t>
  </si>
  <si>
    <t>NoseTapping</t>
  </si>
  <si>
    <t>NotableNonSequitur</t>
  </si>
  <si>
    <t>NoTalkingOrPhonesWarning</t>
  </si>
  <si>
    <t>NotAsYouKnowThem</t>
  </si>
  <si>
    <t>NotDisabledInVR</t>
  </si>
  <si>
    <t>NotHerself</t>
  </si>
  <si>
    <t>NotJustATournament</t>
  </si>
  <si>
    <t>NotProven</t>
  </si>
  <si>
    <t>NotSafeForWork</t>
  </si>
  <si>
    <t>NotSoBadassLongcoat</t>
  </si>
  <si>
    <t>NotSoGreatEscape</t>
  </si>
  <si>
    <t>Novelisation</t>
  </si>
  <si>
    <t>NoYouGoFirst</t>
  </si>
  <si>
    <t>NoZombieCannibals</t>
  </si>
  <si>
    <t>NumbersStation</t>
  </si>
  <si>
    <t>NumberTwoForBrains</t>
  </si>
  <si>
    <t>NumericalThemeNaming</t>
  </si>
  <si>
    <t>NuMetal</t>
  </si>
  <si>
    <t>ObsessedWithFood</t>
  </si>
  <si>
    <t>ObsessivelyNormal</t>
  </si>
  <si>
    <t>OfCourseISmoke</t>
  </si>
  <si>
    <t>OfficiallyShortenedTitle</t>
  </si>
  <si>
    <t>OfficialParody</t>
  </si>
  <si>
    <t>OhGodWithTheVerbing</t>
  </si>
  <si>
    <t>OhNoYouDidnt</t>
  </si>
  <si>
    <t>OldBeggarTest</t>
  </si>
  <si>
    <t>OlderAlterEgo</t>
  </si>
  <si>
    <t>OlderHeroVersusYoungerVillain</t>
  </si>
  <si>
    <t>OlderThanSheLooks</t>
  </si>
  <si>
    <t>OminousFloatingCastle</t>
  </si>
  <si>
    <t>OminousKnocking</t>
  </si>
  <si>
    <t>OnASoundstageAllAlong</t>
  </si>
  <si>
    <t>OnceGreenMars</t>
  </si>
  <si>
    <t>OneBornEveryMinute</t>
  </si>
  <si>
    <t>OneHandedIsCool</t>
  </si>
  <si>
    <t>OneJudgeToRuleThemAll</t>
  </si>
  <si>
    <t>OneLinerEcho</t>
  </si>
  <si>
    <t>OneManSong</t>
  </si>
  <si>
    <t>OneMythToExplainThemAll</t>
  </si>
  <si>
    <t>OneNameOnly</t>
  </si>
  <si>
    <t>OneNightStandPregnancy</t>
  </si>
  <si>
    <t>OneOfTheGuys</t>
  </si>
  <si>
    <t>OneSideOfTheStory</t>
  </si>
  <si>
    <t>OneUp</t>
  </si>
  <si>
    <t>OneWomanSong</t>
  </si>
  <si>
    <t>OnlyOnePlausibleSuspect</t>
  </si>
  <si>
    <t>OnlyShopInTown</t>
  </si>
  <si>
    <t>OnTheMoney</t>
  </si>
  <si>
    <t>OpenFlyGag</t>
  </si>
  <si>
    <t>OpeningChorus</t>
  </si>
  <si>
    <t>OperatorFromIndia</t>
  </si>
  <si>
    <t>OppositesAttractRevenge</t>
  </si>
  <si>
    <t>OppressedMinorityVeteran</t>
  </si>
  <si>
    <t>OrientExpress</t>
  </si>
  <si>
    <t>OrphanedEtymology</t>
  </si>
  <si>
    <t>OrphanedReference</t>
  </si>
  <si>
    <t>OurDoorsAreDifferent</t>
  </si>
  <si>
    <t>OutfitRipSexCheck</t>
  </si>
  <si>
    <t>OutOfCharacterIsSeriousBusiness</t>
  </si>
  <si>
    <t>OutOfContinues</t>
  </si>
  <si>
    <t>OutOfTheClosetIntoTheFire</t>
  </si>
  <si>
    <t>OutrightLie</t>
  </si>
  <si>
    <t>OutscareTheEnemy</t>
  </si>
  <si>
    <t>OutsideTheBoxTactic</t>
  </si>
  <si>
    <t>OverlyLongTitle</t>
  </si>
  <si>
    <t>OvernightConquest</t>
  </si>
  <si>
    <t>OverpopulationCrisis</t>
  </si>
  <si>
    <t>OvertAgent</t>
  </si>
  <si>
    <t>OvertookTheSeries</t>
  </si>
  <si>
    <t>Pacifist</t>
  </si>
  <si>
    <t>PainfulBodyWaxing</t>
  </si>
  <si>
    <t>PaintballEpisode</t>
  </si>
  <si>
    <t>PairingTheSpares</t>
  </si>
  <si>
    <t>PairTheSmartOnes</t>
  </si>
  <si>
    <t>Pan</t>
  </si>
  <si>
    <t>PanderingToTheBase</t>
  </si>
  <si>
    <t>ParachutePetticoat</t>
  </si>
  <si>
    <t>ParentsAreWrong</t>
  </si>
  <si>
    <t>ParodyAssistance</t>
  </si>
  <si>
    <t>ParodyMagicSpell</t>
  </si>
  <si>
    <t>PassiveAggressiveCombat</t>
  </si>
  <si>
    <t>PasteEater</t>
  </si>
  <si>
    <t>PastimesProvePersonality</t>
  </si>
  <si>
    <t>PatientChildhoodLoveInterest</t>
  </si>
  <si>
    <t>PendulumWar</t>
  </si>
  <si>
    <t>PenPals</t>
  </si>
  <si>
    <t>PerfectHealth</t>
  </si>
  <si>
    <t>PerfumeCommercial</t>
  </si>
  <si>
    <t>PerkyFemaleMinion</t>
  </si>
  <si>
    <t>PersonalizedAfterlife</t>
  </si>
  <si>
    <t>PersonalSeals</t>
  </si>
  <si>
    <t>PetBabyWildAnimal</t>
  </si>
  <si>
    <t>PhenotypeStereotype</t>
  </si>
  <si>
    <t>PhlebotinumAnalogy</t>
  </si>
  <si>
    <t>PhlebotinumDependence</t>
  </si>
  <si>
    <t>PhoneInDetective</t>
  </si>
  <si>
    <t>PhoneWord</t>
  </si>
  <si>
    <t>Picaresque</t>
  </si>
  <si>
    <t>PiggyBank</t>
  </si>
  <si>
    <t>PinchMe</t>
  </si>
  <si>
    <t>PinocchioNose</t>
  </si>
  <si>
    <t>PirateSong</t>
  </si>
  <si>
    <t>PiratesWhoDontDoAnything</t>
  </si>
  <si>
    <t>PlaceBeyondTime</t>
  </si>
  <si>
    <t>PlagueDoctor</t>
  </si>
  <si>
    <t>PlanetTerra</t>
  </si>
  <si>
    <t>PlanningForTheFutureBeforeTheEnd</t>
  </si>
  <si>
    <t>PleaseGetOffMe</t>
  </si>
  <si>
    <t>PleaseKeepYourHatOn</t>
  </si>
  <si>
    <t>PlotBasedPhotographObfuscation</t>
  </si>
  <si>
    <t>PlotCoupons</t>
  </si>
  <si>
    <t>PlotInducedIllness</t>
  </si>
  <si>
    <t>PlotSensitiveSnoopingSkills</t>
  </si>
  <si>
    <t>PoisonMushroom</t>
  </si>
  <si>
    <t>PoliceBrutalityGambit</t>
  </si>
  <si>
    <t>PoorlyTimedConfession</t>
  </si>
  <si>
    <t>PoppingButtons</t>
  </si>
  <si>
    <t>PortalSlam</t>
  </si>
  <si>
    <t>PostCreditsScene</t>
  </si>
  <si>
    <t>PostFinalBoss</t>
  </si>
  <si>
    <t>PostGameRetaliation</t>
  </si>
  <si>
    <t>PostscriptSeason</t>
  </si>
  <si>
    <t>PostStressOvereating</t>
  </si>
  <si>
    <t>PowerBallad</t>
  </si>
  <si>
    <t>PowerBornOfMadness</t>
  </si>
  <si>
    <t>PowerCableAttack</t>
  </si>
  <si>
    <t>PowerDegeneration</t>
  </si>
  <si>
    <t>PowerDyesYourHair</t>
  </si>
  <si>
    <t>PowerMakesYourHairGrow</t>
  </si>
  <si>
    <t>PowerRangers</t>
  </si>
  <si>
    <t>PracticeTargetOverkill</t>
  </si>
  <si>
    <t>PredatoryBusiness</t>
  </si>
  <si>
    <t>PreExplosionBuildup</t>
  </si>
  <si>
    <t>PreferableImpersonator</t>
  </si>
  <si>
    <t>PrefersTheIllusion</t>
  </si>
  <si>
    <t>PreInsanityReveal</t>
  </si>
  <si>
    <t>PrematureEjaculation</t>
  </si>
  <si>
    <t>Premiseville</t>
  </si>
  <si>
    <t>PreMortemCatchphrase</t>
  </si>
  <si>
    <t>PrenupBlowup</t>
  </si>
  <si>
    <t>PreWarCivilianCareer</t>
  </si>
  <si>
    <t>PrincessesRule</t>
  </si>
  <si>
    <t>PrisonBreak</t>
  </si>
  <si>
    <t>PrivateProfitPrison</t>
  </si>
  <si>
    <t>PrivateTutor</t>
  </si>
  <si>
    <t>ProfessionalsDoItOnDesks</t>
  </si>
  <si>
    <t>PromBaby</t>
  </si>
  <si>
    <t>PromptingNudge</t>
  </si>
  <si>
    <t>PropheticDream</t>
  </si>
  <si>
    <t>ProtestByObstruction</t>
  </si>
  <si>
    <t>PsychoElectricEel</t>
  </si>
  <si>
    <t>PsychoPoodle</t>
  </si>
  <si>
    <t>PsychoSmirk</t>
  </si>
  <si>
    <t>PT92</t>
  </si>
  <si>
    <t>PublicMediumIgnorance</t>
  </si>
  <si>
    <t>PullARabbitOutOfMyHat</t>
  </si>
  <si>
    <t>PulledFromYourDayOff</t>
  </si>
  <si>
    <t>PullingTheThread</t>
  </si>
  <si>
    <t>PulpMagazine</t>
  </si>
  <si>
    <t>PunchClockVillains</t>
  </si>
  <si>
    <t>PunkPunk</t>
  </si>
  <si>
    <t>PursuingParentalPerils</t>
  </si>
  <si>
    <t>PutOffTheirFood</t>
  </si>
  <si>
    <t>PuttingOnMyThinkingCap</t>
  </si>
  <si>
    <t>PuzzleBoss</t>
  </si>
  <si>
    <t>QuicklyDemotedLeader</t>
  </si>
  <si>
    <t>QuicklyDemotedWoman</t>
  </si>
  <si>
    <t>QuoteMining</t>
  </si>
  <si>
    <t>QuoteSwearUnquote</t>
  </si>
  <si>
    <t>RaceTropes</t>
  </si>
  <si>
    <t>RadiographOfDoom</t>
  </si>
  <si>
    <t>RailShooter</t>
  </si>
  <si>
    <t>RainRainGoAway</t>
  </si>
  <si>
    <t>RampageFromANail</t>
  </si>
  <si>
    <t>RandomPasserbyAdvice</t>
  </si>
  <si>
    <t>RapidFireDescriptors</t>
  </si>
  <si>
    <t>RashomonPlot</t>
  </si>
  <si>
    <t>RazorWind</t>
  </si>
  <si>
    <t>RazorWings</t>
  </si>
  <si>
    <t>ReachingBetweenTheLines</t>
  </si>
  <si>
    <t>RealityTelevision</t>
  </si>
  <si>
    <t>RealityWritingBook</t>
  </si>
  <si>
    <t>ReallyWasBornYesterday</t>
  </si>
  <si>
    <t>RealRobotGenre</t>
  </si>
  <si>
    <t>ReasonableAuthorityFigures</t>
  </si>
  <si>
    <t>RebelliousRebel</t>
  </si>
  <si>
    <t>RecruitersAlwaysLie</t>
  </si>
  <si>
    <t>RecursiveAmmo</t>
  </si>
  <si>
    <t>RecursiveCreators</t>
  </si>
  <si>
    <t>RecycledSet</t>
  </si>
  <si>
    <t>RedeemingReplacement</t>
  </si>
  <si>
    <t>RedOni</t>
  </si>
  <si>
    <t>ReforgedBlade</t>
  </si>
  <si>
    <t>RefusedByTheCall</t>
  </si>
  <si>
    <t>RegionalBonus</t>
  </si>
  <si>
    <t>ReincarnationIdentifyingTrait</t>
  </si>
  <si>
    <t>RejectingTheInheritance</t>
  </si>
  <si>
    <t>RelationshipReboot</t>
  </si>
  <si>
    <t>RelaxOVision</t>
  </si>
  <si>
    <t>RemarryingForYourKids</t>
  </si>
  <si>
    <t>RememberedICouldFly</t>
  </si>
  <si>
    <t>RemittanceMan</t>
  </si>
  <si>
    <t>RemoteBody</t>
  </si>
  <si>
    <t>RepetitiveAudioGlitch</t>
  </si>
  <si>
    <t>RepressiveButEfficient</t>
  </si>
  <si>
    <t>RescuedFromTheScrappyHeap</t>
  </si>
  <si>
    <t>RescuedFromTheUnderworld</t>
  </si>
  <si>
    <t>ResearchInc</t>
  </si>
  <si>
    <t>ResetButtonSuicideMission</t>
  </si>
  <si>
    <t>ResistanceAsPlanned</t>
  </si>
  <si>
    <t>ResolvedNoodleIncident</t>
  </si>
  <si>
    <t>RestrictedRescueOperation</t>
  </si>
  <si>
    <t>RetractableAppendages</t>
  </si>
  <si>
    <t>RetrauxFlashback</t>
  </si>
  <si>
    <t>RetroUpgrade</t>
  </si>
  <si>
    <t>ReturningTheHandkerchief</t>
  </si>
  <si>
    <t>ReunionShow</t>
  </si>
  <si>
    <t>RevengeThroughCorruption</t>
  </si>
  <si>
    <t>RightMakesMight</t>
  </si>
  <si>
    <t>RightNowMontage</t>
  </si>
  <si>
    <t>RightPlaceRightTimeWrongReason</t>
  </si>
  <si>
    <t>RingerPloy</t>
  </si>
  <si>
    <t>RingOut</t>
  </si>
  <si>
    <t>RingsOfDeath</t>
  </si>
  <si>
    <t>RippleProofMemory</t>
  </si>
  <si>
    <t>RiversOfBlood</t>
  </si>
  <si>
    <t>RoadTrip</t>
  </si>
  <si>
    <t>RoboFamily</t>
  </si>
  <si>
    <t>RobotsEnslavingRobots</t>
  </si>
  <si>
    <t>RocketlessReentry</t>
  </si>
  <si>
    <t>RockStarParking</t>
  </si>
  <si>
    <t>RoguishPoacher</t>
  </si>
  <si>
    <t>RomanceInducingSmudge</t>
  </si>
  <si>
    <t>RomanticVampireBoy</t>
  </si>
  <si>
    <t>RottenRockAndRoll</t>
  </si>
  <si>
    <t>RoundhouseKick</t>
  </si>
  <si>
    <t>RoyalDecree</t>
  </si>
  <si>
    <t>RudeHeroNiceSidekick</t>
  </si>
  <si>
    <t>Rule34</t>
  </si>
  <si>
    <t>RummageSaleRejects</t>
  </si>
  <si>
    <t>RunningAwayToCry</t>
  </si>
  <si>
    <t>RunningBothSides</t>
  </si>
  <si>
    <t>RunningIntoTheWindow</t>
  </si>
  <si>
    <t>RushedIntoService</t>
  </si>
  <si>
    <t>SacrificialPlanet</t>
  </si>
  <si>
    <t>SadisticTeacher</t>
  </si>
  <si>
    <t>SafetyGearIsCowardly</t>
  </si>
  <si>
    <t>SailorEarth</t>
  </si>
  <si>
    <t>SameCharacterButDifferent</t>
  </si>
  <si>
    <t>SamuraiInNinjaTown</t>
  </si>
  <si>
    <t>SandalPunk</t>
  </si>
  <si>
    <t>SanityBall</t>
  </si>
  <si>
    <t>SanityHasAdvantages</t>
  </si>
  <si>
    <t>SapientTank</t>
  </si>
  <si>
    <t>SatiatingSandwich</t>
  </si>
  <si>
    <t>SaturdayNightLive</t>
  </si>
  <si>
    <t>SavedByTheAwesome</t>
  </si>
  <si>
    <t>SaveSat</t>
  </si>
  <si>
    <t>SayMyNameTrailer</t>
  </si>
  <si>
    <t>ScaryBlackWoman</t>
  </si>
  <si>
    <t>ScavengedPunk</t>
  </si>
  <si>
    <t>ScheduleSlip</t>
  </si>
  <si>
    <t>SchiffOneLiner</t>
  </si>
  <si>
    <t>SchmuckBanquet</t>
  </si>
  <si>
    <t>SchoolIsForLosers</t>
  </si>
  <si>
    <t>SchoolOfNoStudying</t>
  </si>
  <si>
    <t>ScienceCannotComprehendPhlebotinum</t>
  </si>
  <si>
    <t>ScienceFair</t>
  </si>
  <si>
    <t>ScienceRelatedMemeticDisorder</t>
  </si>
  <si>
    <t>ScreensAreCameras</t>
  </si>
  <si>
    <t>ScrewedByTheLawyers</t>
  </si>
  <si>
    <t>ScullyBox</t>
  </si>
  <si>
    <t>SdrawkcabSpeech</t>
  </si>
  <si>
    <t>SeadogPegLeg</t>
  </si>
  <si>
    <t>SealedArmyInACan</t>
  </si>
  <si>
    <t>SeasonFinale</t>
  </si>
  <si>
    <t>SecondLawMyAss</t>
  </si>
  <si>
    <t>SecretPassage</t>
  </si>
  <si>
    <t>SecretSocietyGroupPicture</t>
  </si>
  <si>
    <t>SecularHero</t>
  </si>
  <si>
    <t>SeekingTheMissingFindingTheDead</t>
  </si>
  <si>
    <t>SeeWater</t>
  </si>
  <si>
    <t>SelfAbuse</t>
  </si>
  <si>
    <t>SelfBackingVocalist</t>
  </si>
  <si>
    <t>SelfDemonstratingSong</t>
  </si>
  <si>
    <t>SelfHealingPhlebotinum</t>
  </si>
  <si>
    <t>SelfProclaimedKnight</t>
  </si>
  <si>
    <t>SelfProclaimedLoveInterest</t>
  </si>
  <si>
    <t>SelkiesAndWereseals</t>
  </si>
  <si>
    <t>SensitivityTraining</t>
  </si>
  <si>
    <t>SentientCosmicForce</t>
  </si>
  <si>
    <t>SentimentalSacrifice</t>
  </si>
  <si>
    <t>SentIntoHiding</t>
  </si>
  <si>
    <t>SeparatedAtBirthCasting</t>
  </si>
  <si>
    <t>SequentialSymptomSyndrome</t>
  </si>
  <si>
    <t>SerendipitousSymphony</t>
  </si>
  <si>
    <t>SeriesFinale</t>
  </si>
  <si>
    <t>SettleItWithoutWeapons</t>
  </si>
  <si>
    <t>SexyCatPerson</t>
  </si>
  <si>
    <t>ShabbyHeroesWellDressedVillains</t>
  </si>
  <si>
    <t>ShadowDictator</t>
  </si>
  <si>
    <t>ShadowOfImpendingDoom</t>
  </si>
  <si>
    <t>ShamelessSelfPromotion</t>
  </si>
  <si>
    <t>ShapeshifterShowdown</t>
  </si>
  <si>
    <t>ShatteredWorld</t>
  </si>
  <si>
    <t>ShedArmorGainSpeed</t>
  </si>
  <si>
    <t>SherlockCanRead</t>
  </si>
  <si>
    <t>SherlockHomage</t>
  </si>
  <si>
    <t>ShipshapeShipwreck</t>
  </si>
  <si>
    <t>Shorttank</t>
  </si>
  <si>
    <t>ShotReverseShot</t>
  </si>
  <si>
    <t>ShowerShy</t>
  </si>
  <si>
    <t>ShowingUpChauvinists</t>
  </si>
  <si>
    <t>ShrinesAndTemples</t>
  </si>
  <si>
    <t>ShrunkenOrgan</t>
  </si>
  <si>
    <t>ShutUpAndSaveMe</t>
  </si>
  <si>
    <t>SiblingSenioritySquabble</t>
  </si>
  <si>
    <t>SickEpisode</t>
  </si>
  <si>
    <t>SidekickExMachina</t>
  </si>
  <si>
    <t>SightGag</t>
  </si>
  <si>
    <t>SignatureScent</t>
  </si>
  <si>
    <t>SignatureTeamTransport</t>
  </si>
  <si>
    <t>SilentScapegoat</t>
  </si>
  <si>
    <t>SillyLoveSong</t>
  </si>
  <si>
    <t>SilverHasMysticPowers</t>
  </si>
  <si>
    <t>SimpleMindedWisdom</t>
  </si>
  <si>
    <t>SingingSimlish</t>
  </si>
  <si>
    <t>SkeletonMotif</t>
  </si>
  <si>
    <t>SleepDeprivation</t>
  </si>
  <si>
    <t>Sleepyhead</t>
  </si>
  <si>
    <t>SleightOfTongue</t>
  </si>
  <si>
    <t>SlidingScaleOfAlternateHistoryPlausibility</t>
  </si>
  <si>
    <t>SlidingScaleOfAntagonistVileness</t>
  </si>
  <si>
    <t>SlidingScaleOfRealisticVersusFantastic</t>
  </si>
  <si>
    <t>SlidingScaleOfRobotIntelligence</t>
  </si>
  <si>
    <t>SlipperySlopeFallacy</t>
  </si>
  <si>
    <t>SlipperySoap</t>
  </si>
  <si>
    <t>SlipstreamGenre</t>
  </si>
  <si>
    <t>SlowerThanASpeedingBullet</t>
  </si>
  <si>
    <t>SlowNo</t>
  </si>
  <si>
    <t>SlowWalk</t>
  </si>
  <si>
    <t>SmileOfApproval</t>
  </si>
  <si>
    <t>SmokeAndFireFactory</t>
  </si>
  <si>
    <t>SnakeTalk</t>
  </si>
  <si>
    <t>SnarkBait</t>
  </si>
  <si>
    <t>SnarkyInanimateObject</t>
  </si>
  <si>
    <t>SnarkyNonHumanSidekick</t>
  </si>
  <si>
    <t>SnowcloneTitle</t>
  </si>
  <si>
    <t>SnowMeansCold</t>
  </si>
  <si>
    <t>SoapPunishment</t>
  </si>
  <si>
    <t>SockSlideRink</t>
  </si>
  <si>
    <t>SolarAndLunar</t>
  </si>
  <si>
    <t>SolarPoweredMagnifyingGlass</t>
  </si>
  <si>
    <t>SolarPunk</t>
  </si>
  <si>
    <t>SolomonDivorce</t>
  </si>
  <si>
    <t>SoloSideProject</t>
  </si>
  <si>
    <t>SolveTheSoupCans</t>
  </si>
  <si>
    <t>SomebodyDoesntLoveRaymond</t>
  </si>
  <si>
    <t>SomebodyElsesProblem</t>
  </si>
  <si>
    <t>SomethingBlues</t>
  </si>
  <si>
    <t>SomewhereAnEntomologistIsCrying</t>
  </si>
  <si>
    <t>SoMyKidsCanWatch</t>
  </si>
  <si>
    <t>SoOkayItsAverage</t>
  </si>
  <si>
    <t>SortingAlgorithmOfWeaponEffectiveness</t>
  </si>
  <si>
    <t>SoullessShell</t>
  </si>
  <si>
    <t>SoulPower</t>
  </si>
  <si>
    <t>SoundToScreenAdaptation</t>
  </si>
  <si>
    <t>SouvenirLand</t>
  </si>
  <si>
    <t>SpaceBrasilia</t>
  </si>
  <si>
    <t>SpaceCop</t>
  </si>
  <si>
    <t>SpaceElevator</t>
  </si>
  <si>
    <t>SpaceElves</t>
  </si>
  <si>
    <t>SpaceFillingEmpire</t>
  </si>
  <si>
    <t>SpaceshipGirl</t>
  </si>
  <si>
    <t>SparkOfTheRebellion</t>
  </si>
  <si>
    <t>SparseListOfRules</t>
  </si>
  <si>
    <t>SpecialEffectBranding</t>
  </si>
  <si>
    <t>Spectacle</t>
  </si>
  <si>
    <t>SpeculativeDocumentary</t>
  </si>
  <si>
    <t>SpeculativeFictionLGBT</t>
  </si>
  <si>
    <t>SpeechBubbles</t>
  </si>
  <si>
    <t>SpellingForEmphasis</t>
  </si>
  <si>
    <t>SpermAsPeople</t>
  </si>
  <si>
    <t>SpiderPeople</t>
  </si>
  <si>
    <t>SpikeShooter</t>
  </si>
  <si>
    <t>SpillStainSabotage</t>
  </si>
  <si>
    <t>SpinAttack</t>
  </si>
  <si>
    <t>Spinster</t>
  </si>
  <si>
    <t>SpiritualAdaptation</t>
  </si>
  <si>
    <t>SpitShine</t>
  </si>
  <si>
    <t>SplashDamage</t>
  </si>
  <si>
    <t>SplitPersonalityMakeover</t>
  </si>
  <si>
    <t>SplitTimelinesPlot</t>
  </si>
  <si>
    <t>SplittingTheArrow</t>
  </si>
  <si>
    <t>SpoiledByTheFormat</t>
  </si>
  <si>
    <t>SportsHeroBackstory</t>
  </si>
  <si>
    <t>SprayAndPray</t>
  </si>
  <si>
    <t>SpysSuspiciousSpouse</t>
  </si>
  <si>
    <t>SpyTuxReveal</t>
  </si>
  <si>
    <t>SpyVersusSpy</t>
  </si>
  <si>
    <t>SquadNickname</t>
  </si>
  <si>
    <t>SquashMatch</t>
  </si>
  <si>
    <t>Squib</t>
  </si>
  <si>
    <t>StageDad</t>
  </si>
  <si>
    <t>StagedPopulistUprising</t>
  </si>
  <si>
    <t>StageFright</t>
  </si>
  <si>
    <t>StandardAlienSpaceship</t>
  </si>
  <si>
    <t>StandardCopBackstory</t>
  </si>
  <si>
    <t>StandardSciFiArmy</t>
  </si>
  <si>
    <t>StandardSciFiFleet</t>
  </si>
  <si>
    <t>StandingBetweenTheEnemies</t>
  </si>
  <si>
    <t>StarOfBethlehem</t>
  </si>
  <si>
    <t>StarTrekShake</t>
  </si>
  <si>
    <t>StepUpToTheMicrophone</t>
  </si>
  <si>
    <t>StereoFibbing</t>
  </si>
  <si>
    <t>StinkSnub</t>
  </si>
  <si>
    <t>StockAesops</t>
  </si>
  <si>
    <t>StockAnimalDiet</t>
  </si>
  <si>
    <t>StockNinjaWeaponry</t>
  </si>
  <si>
    <t>StopMotionLighting</t>
  </si>
  <si>
    <t>StoppedReadingTooSoon</t>
  </si>
  <si>
    <t>StoryArc</t>
  </si>
  <si>
    <t>StraightToThePointe</t>
  </si>
  <si>
    <t>StrangelyArousing</t>
  </si>
  <si>
    <t>StrangerDanger</t>
  </si>
  <si>
    <t>StrangersOnATrainPlotMurder</t>
  </si>
  <si>
    <t>StrangledByTheRedString</t>
  </si>
  <si>
    <t>StrategySchmategy</t>
  </si>
  <si>
    <t>StrawCivilian</t>
  </si>
  <si>
    <t>StrawFan</t>
  </si>
  <si>
    <t>Strawman</t>
  </si>
  <si>
    <t>StrawVegetarian</t>
  </si>
  <si>
    <t>StrayingBaby</t>
  </si>
  <si>
    <t>StreetFighter</t>
  </si>
  <si>
    <t>StrictlyProfessionalRelationship</t>
  </si>
  <si>
    <t>StuckAtTheAirportPlot</t>
  </si>
  <si>
    <t>StuckInTheirShadow</t>
  </si>
  <si>
    <t>StudentAndMasterTeam</t>
  </si>
  <si>
    <t>StupidityInducingAttack</t>
  </si>
  <si>
    <t>SublimeRhyme</t>
  </si>
  <si>
    <t>SuckinessIsPainful</t>
  </si>
  <si>
    <t>SufficientlyAdvancedTechnology</t>
  </si>
  <si>
    <t>SuffrageAndPoliticalLiberation</t>
  </si>
  <si>
    <t>SuicidalCosmicTemperTantrum</t>
  </si>
  <si>
    <t>SundialWaypoint</t>
  </si>
  <si>
    <t>SuperCop</t>
  </si>
  <si>
    <t>SuperFunHappyThingOfDoom</t>
  </si>
  <si>
    <t>SuperheroParadox</t>
  </si>
  <si>
    <t>SuperLoser</t>
  </si>
  <si>
    <t>SupernaturalPhone</t>
  </si>
  <si>
    <t>SupernaturalRepellent</t>
  </si>
  <si>
    <t>SuperpoweredMooks</t>
  </si>
  <si>
    <t>SuperRobot</t>
  </si>
  <si>
    <t>SuperstitiousSailors</t>
  </si>
  <si>
    <t>SuperWeight</t>
  </si>
  <si>
    <t>SuperZeroes</t>
  </si>
  <si>
    <t>SurfRock</t>
  </si>
  <si>
    <t>SurgicalImpersonation</t>
  </si>
  <si>
    <t>SurprisinglyEliteCannonFodder</t>
  </si>
  <si>
    <t>SurvivalistStash</t>
  </si>
  <si>
    <t>SuspectExistenceFailure</t>
  </si>
  <si>
    <t>SwearJar</t>
  </si>
  <si>
    <t>SwivelChairAntics</t>
  </si>
  <si>
    <t>SymbolicWings</t>
  </si>
  <si>
    <t>SynchroVox</t>
  </si>
  <si>
    <t>TacticalRockPaperScissors</t>
  </si>
  <si>
    <t>TagTeamSuicide</t>
  </si>
  <si>
    <t>TakesTenToHold</t>
  </si>
  <si>
    <t>TalkyBookends</t>
  </si>
  <si>
    <t>TaserTagWeakness</t>
  </si>
  <si>
    <t>TastesLikeFeet</t>
  </si>
  <si>
    <t>TaxonomicTermConfusion</t>
  </si>
  <si>
    <t>TeacherParentRomance</t>
  </si>
  <si>
    <t>TeachersOutOfSchool</t>
  </si>
  <si>
    <t>TeamPrimaDonna</t>
  </si>
  <si>
    <t>TearsFromAStone</t>
  </si>
  <si>
    <t>TechnologyLevels</t>
  </si>
  <si>
    <t>TeleportationRescue</t>
  </si>
  <si>
    <t>TellMeHowYouFight</t>
  </si>
  <si>
    <t>TemporaryPlatform</t>
  </si>
  <si>
    <t>TerminologyTitle</t>
  </si>
  <si>
    <t>Terraforming</t>
  </si>
  <si>
    <t>TerribleTicking</t>
  </si>
  <si>
    <t>TestesTest</t>
  </si>
  <si>
    <t>TetrisEffect</t>
  </si>
  <si>
    <t>ThankingTheViewer</t>
  </si>
  <si>
    <t>ThankTheMaker</t>
  </si>
  <si>
    <t>ThatPoorPlant</t>
  </si>
  <si>
    <t>ThatSatisfyingCrunch</t>
  </si>
  <si>
    <t>TheAntagonist</t>
  </si>
  <si>
    <t>TheArchmage</t>
  </si>
  <si>
    <t>TheBandMinusTheFace</t>
  </si>
  <si>
    <t>TheBattlestar</t>
  </si>
  <si>
    <t>TheBeforetimes</t>
  </si>
  <si>
    <t>TheBrideWithAPast</t>
  </si>
  <si>
    <t>TheCatfish</t>
  </si>
  <si>
    <t>TheChurch</t>
  </si>
  <si>
    <t>TheCollectorOfTheStrange</t>
  </si>
  <si>
    <t>TheCommiesMadeMeDoIt</t>
  </si>
  <si>
    <t>TheCrimeJob</t>
  </si>
  <si>
    <t>TheDarkArts</t>
  </si>
  <si>
    <t>TheDragonslayer</t>
  </si>
  <si>
    <t>TheEgo</t>
  </si>
  <si>
    <t>TheEiffelTowerEffect</t>
  </si>
  <si>
    <t>TheEndJustifiesTheMeans</t>
  </si>
  <si>
    <t>TheEvilEmpire</t>
  </si>
  <si>
    <t>TheForceIsStrongWithThisOne</t>
  </si>
  <si>
    <t>TheFourLoves</t>
  </si>
  <si>
    <t>TheGildedAge</t>
  </si>
  <si>
    <t>TheGimmick</t>
  </si>
  <si>
    <t>TheGoodGuysAlwaysWin</t>
  </si>
  <si>
    <t>TheHighKing</t>
  </si>
  <si>
    <t>TheId</t>
  </si>
  <si>
    <t>TheIntern</t>
  </si>
  <si>
    <t>TheInternetIsForCats</t>
  </si>
  <si>
    <t>TheKidsAreAmerican</t>
  </si>
  <si>
    <t>TheKrampus</t>
  </si>
  <si>
    <t>TheLanceOfLonginus</t>
  </si>
  <si>
    <t>TheLateMiddleAges</t>
  </si>
  <si>
    <t>TheLavaCavesOfNewYork</t>
  </si>
  <si>
    <t>TheLegendOfChekhov</t>
  </si>
  <si>
    <t>TheMagicComesBack</t>
  </si>
  <si>
    <t>TheMagocracy</t>
  </si>
  <si>
    <t>TheManBehindTheMonsters</t>
  </si>
  <si>
    <t>TheManIsKeepingUsDown</t>
  </si>
  <si>
    <t>TheManMakesTheWeapon</t>
  </si>
  <si>
    <t>TheMeddlingKidsAreUseless</t>
  </si>
  <si>
    <t>ThemeTuneRollCall</t>
  </si>
  <si>
    <t>TheMoralityMortalityEquation</t>
  </si>
  <si>
    <t>TheMoreYouKnow</t>
  </si>
  <si>
    <t>TheNoodleIncident</t>
  </si>
  <si>
    <t>TheOldCountry</t>
  </si>
  <si>
    <t>TheOmnipotent</t>
  </si>
  <si>
    <t>TheOmnipresent</t>
  </si>
  <si>
    <t>ThePaidForHarem</t>
  </si>
  <si>
    <t>ThePhilosopherKing</t>
  </si>
  <si>
    <t>ThePhoenix</t>
  </si>
  <si>
    <t>ThePictureCameWithTheFrame</t>
  </si>
  <si>
    <t>ThePowerOfTrust</t>
  </si>
  <si>
    <t>ThePresentsWereNeverFromSanta</t>
  </si>
  <si>
    <t>TheProblemWithFightingDeath</t>
  </si>
  <si>
    <t>TheProblemWithLicensedGames</t>
  </si>
  <si>
    <t>TheProudElite</t>
  </si>
  <si>
    <t>ThereCanOnlyBeOne</t>
  </si>
  <si>
    <t>ThereShouldBeALaw</t>
  </si>
  <si>
    <t>ThermalDissonance</t>
  </si>
  <si>
    <t>ThermometerGag</t>
  </si>
  <si>
    <t>TheRoast</t>
  </si>
  <si>
    <t>TheRoper</t>
  </si>
  <si>
    <t>TheSeries</t>
  </si>
  <si>
    <t>TheSeriesHasLeftReality</t>
  </si>
  <si>
    <t>TheShelfOfMovieLanguishment</t>
  </si>
  <si>
    <t>TheShortGuyWithGlasses</t>
  </si>
  <si>
    <t>TheSingingMute</t>
  </si>
  <si>
    <t>TheSneakyGuy</t>
  </si>
  <si>
    <t>TheSongRemainsTheSame</t>
  </si>
  <si>
    <t>TheSoulsaver</t>
  </si>
  <si>
    <t>TheStarsAreGoingOut</t>
  </si>
  <si>
    <t>TheStrongman</t>
  </si>
  <si>
    <t>TheSuperego</t>
  </si>
  <si>
    <t>TheTeamNormal</t>
  </si>
  <si>
    <t>TheTreacheryOfImages</t>
  </si>
  <si>
    <t>TheUbermensch</t>
  </si>
  <si>
    <t>TheUnblinking</t>
  </si>
  <si>
    <t>TheVeryDefinitelyFinalDungeon</t>
  </si>
  <si>
    <t>TheVillainMakesThePlot</t>
  </si>
  <si>
    <t>TheWarToEndAllWars</t>
  </si>
  <si>
    <t>TheWeirdSisters</t>
  </si>
  <si>
    <t>TheWickedStage</t>
  </si>
  <si>
    <t>TheWildHunt</t>
  </si>
  <si>
    <t>TheWindowOrTheStairs</t>
  </si>
  <si>
    <t>TheWorldMocksYourLoss</t>
  </si>
  <si>
    <t>TheyCallHimSword</t>
  </si>
  <si>
    <t>TheyLookLikeEveryoneElse</t>
  </si>
  <si>
    <t>TheyStoleOurAct</t>
  </si>
  <si>
    <t>ThiefBag</t>
  </si>
  <si>
    <t>ThievesGuild</t>
  </si>
  <si>
    <t>ThinChinOfSin</t>
  </si>
  <si>
    <t>ThirtyMinutesOrItsFree</t>
  </si>
  <si>
    <t>ThirtySecondsOverTokyo</t>
  </si>
  <si>
    <t>ThisExplainsSoMuch</t>
  </si>
  <si>
    <t>ThisIndexIsNotAnExample</t>
  </si>
  <si>
    <t>ThisIsNotAFloor</t>
  </si>
  <si>
    <t>ThisIsNoTimeForKnitting</t>
  </si>
  <si>
    <t>ThongOfShielding</t>
  </si>
  <si>
    <t>ThreeStoogesShoutOut</t>
  </si>
  <si>
    <t>ThresholdGuardian</t>
  </si>
  <si>
    <t>ThrowEmToTheWolves</t>
  </si>
  <si>
    <t>TickTockTerror</t>
  </si>
  <si>
    <t>TiedUpOnThePhone</t>
  </si>
  <si>
    <t>TimeAndRelativeDimensionsInSpace</t>
  </si>
  <si>
    <t>TimeFreezeTrollingSpree</t>
  </si>
  <si>
    <t>TimeMaster</t>
  </si>
  <si>
    <t>TimeToMove</t>
  </si>
  <si>
    <t>TimeToStepUpCommander</t>
  </si>
  <si>
    <t>TimeTravelersAreSpies</t>
  </si>
  <si>
    <t>TimeTravelEscape</t>
  </si>
  <si>
    <t>TimeTravelTropes</t>
  </si>
  <si>
    <t>TiredAfterTheSong</t>
  </si>
  <si>
    <t>TitleDropChapter</t>
  </si>
  <si>
    <t>TokenGirl</t>
  </si>
  <si>
    <t>TokyoTower</t>
  </si>
  <si>
    <t>TollBoothAntics</t>
  </si>
  <si>
    <t>TomatoSkunkStinkCure</t>
  </si>
  <si>
    <t>TonightSomeoneKisses</t>
  </si>
  <si>
    <t>TooCoolToLive</t>
  </si>
  <si>
    <t>TooDesperateToBePicky</t>
  </si>
  <si>
    <t>TooFunnyToBeEvil</t>
  </si>
  <si>
    <t>TooMuchAlike</t>
  </si>
  <si>
    <t>ToothyBird</t>
  </si>
  <si>
    <t>ToTheBatNoun</t>
  </si>
  <si>
    <t>ToughActToFollow</t>
  </si>
  <si>
    <t>TowerOfBabel</t>
  </si>
  <si>
    <t>TrackingShot</t>
  </si>
  <si>
    <t>TrademarkFavouriteFood</t>
  </si>
  <si>
    <t>TrailerParkTornadoMagnet</t>
  </si>
  <si>
    <t>TrainingTheGiftOfMagic</t>
  </si>
  <si>
    <t>Transfictionality</t>
  </si>
  <si>
    <t>TransformingVehicle</t>
  </si>
  <si>
    <t>TransgenderFetishization</t>
  </si>
  <si>
    <t>TransTribulations</t>
  </si>
  <si>
    <t>TreasureIsBiggerInFiction</t>
  </si>
  <si>
    <t>TreeTopTown</t>
  </si>
  <si>
    <t>TrenchcoatBrigade</t>
  </si>
  <si>
    <t>TrespassingHero</t>
  </si>
  <si>
    <t>TrialBalloonQuestion</t>
  </si>
  <si>
    <t>TripleShifter</t>
  </si>
  <si>
    <t>TropeOverdosed</t>
  </si>
  <si>
    <t>TruckDriversGearChange</t>
  </si>
  <si>
    <t>TrueCrime</t>
  </si>
  <si>
    <t>TrueLoveIsAKink</t>
  </si>
  <si>
    <t>TruthTellingSession</t>
  </si>
  <si>
    <t>TryEverything</t>
  </si>
  <si>
    <t>TunnelNetwork</t>
  </si>
  <si>
    <t>TunnelOfLove</t>
  </si>
  <si>
    <t>TurnYourHeadAndCough</t>
  </si>
  <si>
    <t>TurtleIsland</t>
  </si>
  <si>
    <t>TVHeadRobot</t>
  </si>
  <si>
    <t>TVTropesWillRuinYourLife</t>
  </si>
  <si>
    <t>TwentyFourHourPartyPeople</t>
  </si>
  <si>
    <t>TwinkleInTheEye</t>
  </si>
  <si>
    <t>TwinMaker</t>
  </si>
  <si>
    <t>UglySlavicWomen</t>
  </si>
  <si>
    <t>UltimateBlacksmith</t>
  </si>
  <si>
    <t>UmpteenthCustomer</t>
  </si>
  <si>
    <t>UncertifiedExpert</t>
  </si>
  <si>
    <t>UnConfession</t>
  </si>
  <si>
    <t>UnconventionalWeddingDress</t>
  </si>
  <si>
    <t>UndeadTaxExemption</t>
  </si>
  <si>
    <t>UnderageCasting</t>
  </si>
  <si>
    <t>UnderTheMistletoe</t>
  </si>
  <si>
    <t>UnderwaterFartGag</t>
  </si>
  <si>
    <t>UnexpectedlyAbandoned</t>
  </si>
  <si>
    <t>UnexpectedPositive</t>
  </si>
  <si>
    <t>UnfortunateItemSwap</t>
  </si>
  <si>
    <t>UnhappyMedium</t>
  </si>
  <si>
    <t>UnInstallment</t>
  </si>
  <si>
    <t>UniversalAmmunition</t>
  </si>
  <si>
    <t>UnknownRelative</t>
  </si>
  <si>
    <t>UnluckilyLucky</t>
  </si>
  <si>
    <t>UnmanlySecret</t>
  </si>
  <si>
    <t>UnmasquedWorld</t>
  </si>
  <si>
    <t>UnnecessaryMakeover</t>
  </si>
  <si>
    <t>Unreboot</t>
  </si>
  <si>
    <t>UnReveal</t>
  </si>
  <si>
    <t>UnscientificScience</t>
  </si>
  <si>
    <t>UntoUsASonAndDaughterAreBorn</t>
  </si>
  <si>
    <t>UpTheRealRabbitHole</t>
  </si>
  <si>
    <t>UpThroughTheRanks</t>
  </si>
  <si>
    <t>UsedToBeMoreSocial</t>
  </si>
  <si>
    <t>VagabondBuddies</t>
  </si>
  <si>
    <t>Valkyries</t>
  </si>
  <si>
    <t>VanishingVillage</t>
  </si>
  <si>
    <t>VanityLicencePlate</t>
  </si>
  <si>
    <t>Vaporware</t>
  </si>
  <si>
    <t>VaudevilleHook</t>
  </si>
  <si>
    <t>VengefulWidow</t>
  </si>
  <si>
    <t>ViciousVac</t>
  </si>
  <si>
    <t>VictoryByFirstBlood</t>
  </si>
  <si>
    <t>VideoGame</t>
  </si>
  <si>
    <t>VideoGameLives</t>
  </si>
  <si>
    <t>VideoInsideFilmOutside</t>
  </si>
  <si>
    <t>VillainEpisode</t>
  </si>
  <si>
    <t>VillainousFashionSense</t>
  </si>
  <si>
    <t>VillainousLament</t>
  </si>
  <si>
    <t>VillainTakesAnInterest</t>
  </si>
  <si>
    <t>VinylShatters</t>
  </si>
  <si>
    <t>ViolenceDiscretionShot</t>
  </si>
  <si>
    <t>VirginWhoreComplex</t>
  </si>
  <si>
    <t>VirtualCelebrity</t>
  </si>
  <si>
    <t>VirtualReality</t>
  </si>
  <si>
    <t>VisualKei</t>
  </si>
  <si>
    <t>VocalTagTeam</t>
  </si>
  <si>
    <t>VolatileSecondTierPosition</t>
  </si>
  <si>
    <t>VolumetricMouth</t>
  </si>
  <si>
    <t>WakeUpCallBoss</t>
  </si>
  <si>
    <t>WalkingTransplant</t>
  </si>
  <si>
    <t>WallJump</t>
  </si>
  <si>
    <t>WallOfText</t>
  </si>
  <si>
    <t>WallRun</t>
  </si>
  <si>
    <t>WanderingTheEarth</t>
  </si>
  <si>
    <t>WanderlustSong</t>
  </si>
  <si>
    <t>WantedASonInstead</t>
  </si>
  <si>
    <t>WarGod</t>
  </si>
  <si>
    <t>WasActuallyFriendly</t>
  </si>
  <si>
    <t>WasTooHardOnHim</t>
  </si>
  <si>
    <t>WatchTheWorldDie</t>
  </si>
  <si>
    <t>Watershed</t>
  </si>
  <si>
    <t>WeaknessTurnsHerOn</t>
  </si>
  <si>
    <t>WeaponTitle</t>
  </si>
  <si>
    <t>WeaponTombstone</t>
  </si>
  <si>
    <t>WeaponWieldsYou</t>
  </si>
  <si>
    <t>WeatherReportOpening</t>
  </si>
  <si>
    <t>WeddingEnhancedFertility</t>
  </si>
  <si>
    <t>WeddingsInJapan</t>
  </si>
  <si>
    <t>WeDidntStartTheFuhrer</t>
  </si>
  <si>
    <t>WeHaveForgottenThePhlebotinum</t>
  </si>
  <si>
    <t>WeirdAlEffect</t>
  </si>
  <si>
    <t>WeirdBeard</t>
  </si>
  <si>
    <t>WeJustNeedToWaitForRescue</t>
  </si>
  <si>
    <t>WelcomedToTheMasquerade</t>
  </si>
  <si>
    <t>WelcomeToCorneria</t>
  </si>
  <si>
    <t>WelcomeToTheRealWorld</t>
  </si>
  <si>
    <t>WelcomingSong</t>
  </si>
  <si>
    <t>WellSeeAboutThat</t>
  </si>
  <si>
    <t>WeOnlyHaveOneChance</t>
  </si>
  <si>
    <t>WerewolfThemeNaming</t>
  </si>
  <si>
    <t>WetForDry</t>
  </si>
  <si>
    <t>WeveGotCompany</t>
  </si>
  <si>
    <t>WeWinBecauseYouDidNot</t>
  </si>
  <si>
    <t>WhatAreYou</t>
  </si>
  <si>
    <t>WhatDoYouMeanItsNotDidactic</t>
  </si>
  <si>
    <t>WhatIsThisX</t>
  </si>
  <si>
    <t>WhatsInItForMe</t>
  </si>
  <si>
    <t>WheelchairAntics</t>
  </si>
  <si>
    <t>WheelchairWoobie</t>
  </si>
  <si>
    <t>WheelOFeet</t>
  </si>
  <si>
    <t>WhenItAllBegan</t>
  </si>
  <si>
    <t>WhenLifeGivesYouLemons</t>
  </si>
  <si>
    <t>WhereIsYourXNow</t>
  </si>
  <si>
    <t>Whitehall</t>
  </si>
  <si>
    <t>WhoNeedsEnemies</t>
  </si>
  <si>
    <t>WickedToymaker</t>
  </si>
  <si>
    <t>WillNotBeAVictim</t>
  </si>
  <si>
    <t>WilyWalrus</t>
  </si>
  <si>
    <t>WindowWatcher</t>
  </si>
  <si>
    <t>WinterRoyalLady</t>
  </si>
  <si>
    <t>WisePrince</t>
  </si>
  <si>
    <t>WitchClassic</t>
  </si>
  <si>
    <t>WithGreatPowerComesGreatResponsibility</t>
  </si>
  <si>
    <t>WizardingSchool</t>
  </si>
  <si>
    <t>WizardsFromOuterSpace</t>
  </si>
  <si>
    <t>WolvesAlwaysHowlAtTheMoon</t>
  </si>
  <si>
    <t>WordSalad</t>
  </si>
  <si>
    <t>WorldOfFunnyAnimals</t>
  </si>
  <si>
    <t>WorldOfSilence</t>
  </si>
  <si>
    <t>WorldsBestWarrior</t>
  </si>
  <si>
    <t>WorryingForTheWrongReason</t>
  </si>
  <si>
    <t>WorstWhateverEver</t>
  </si>
  <si>
    <t>WoundedHeroWeakerHelper</t>
  </si>
  <si>
    <t>WowingCthulhu</t>
  </si>
  <si>
    <t>WrongSideAllAlong</t>
  </si>
  <si>
    <t>XCalledTheyWantTheirYBack</t>
  </si>
  <si>
    <t>XMarksTheHero</t>
  </si>
  <si>
    <t>YaoiGuys</t>
  </si>
  <si>
    <t>YearX</t>
  </si>
  <si>
    <t>YellowBrickRoad</t>
  </si>
  <si>
    <t>YouCannotChangeTheFuture</t>
  </si>
  <si>
    <t>YouCantMakeAnOmelette</t>
  </si>
  <si>
    <t>YouDidTheRightThing</t>
  </si>
  <si>
    <t>YouGotGuts</t>
  </si>
  <si>
    <t>YouHave48Hours</t>
  </si>
  <si>
    <t>YouKilledMyMother</t>
  </si>
  <si>
    <t>YouKnowWhatTheySay</t>
  </si>
  <si>
    <t>YouKnowWhatTheySayAboutX</t>
  </si>
  <si>
    <t>YouKnowWhoSaidThat</t>
  </si>
  <si>
    <t>YouMightRememberMeFrom</t>
  </si>
  <si>
    <t>YoungAndInCharge</t>
  </si>
  <si>
    <t>YoungerMentorOlderDisciple</t>
  </si>
  <si>
    <t>YoungLoveVersusOldHate</t>
  </si>
  <si>
    <t>YourAnswerToEverything</t>
  </si>
  <si>
    <t>YoureDrinkingBreastMilk</t>
  </si>
  <si>
    <t>YoureNotMyMother</t>
  </si>
  <si>
    <t>YourHeartsDesire</t>
  </si>
  <si>
    <t>YourUniverseOrMine</t>
  </si>
  <si>
    <t>YuriGenre</t>
  </si>
  <si>
    <t>AbandonedLaboratory</t>
  </si>
  <si>
    <t>AbandonedPetInABox</t>
  </si>
  <si>
    <t>AbsoluteXenophobe</t>
  </si>
  <si>
    <t>AbstractEater</t>
  </si>
  <si>
    <t>AbsurdAltitude</t>
  </si>
  <si>
    <t>AbsurdlyYouthfulFather</t>
  </si>
  <si>
    <t>AbusiveMom</t>
  </si>
  <si>
    <t>AcademyOfAdventure</t>
  </si>
  <si>
    <t>ACatInAGangOfDogs</t>
  </si>
  <si>
    <t>AccentInterest</t>
  </si>
  <si>
    <t>AccentOnTheWrongSyllable</t>
  </si>
  <si>
    <t>AcceptableReligiousTargets</t>
  </si>
  <si>
    <t>AccidentalBargainingSkills</t>
  </si>
  <si>
    <t>AccidentalDiscovery</t>
  </si>
  <si>
    <t>AccidentalHandHold</t>
  </si>
  <si>
    <t>AcclaimedFlop</t>
  </si>
  <si>
    <t>AccuserOfTheBrethren</t>
  </si>
  <si>
    <t>AccuseTheWitness</t>
  </si>
  <si>
    <t>AchievementInIgnorance</t>
  </si>
  <si>
    <t>AchievementTestOfDestiny</t>
  </si>
  <si>
    <t>AcquiredErrorAtThePrinter</t>
  </si>
  <si>
    <t>ActionFigureSpeech</t>
  </si>
  <si>
    <t>AdaptationalContextChange</t>
  </si>
  <si>
    <t>AdaptationalDiversity</t>
  </si>
  <si>
    <t>AdaptationalMundanity</t>
  </si>
  <si>
    <t>AdaptationalNonsapience</t>
  </si>
  <si>
    <t>AddictiveMagic</t>
  </si>
  <si>
    <t>AddingInsultToInjury</t>
  </si>
  <si>
    <t>AdDissonance</t>
  </si>
  <si>
    <t>AdjustingYourGlasses</t>
  </si>
  <si>
    <t>Adminisphere</t>
  </si>
  <si>
    <t>ADogAteMyHomework</t>
  </si>
  <si>
    <t>AdorableAbomination</t>
  </si>
  <si>
    <t>AdoredByTheNetwork</t>
  </si>
  <si>
    <t>AdvancingBossOfDoom</t>
  </si>
  <si>
    <t>Adventure</t>
  </si>
  <si>
    <t>AesopEnforcer</t>
  </si>
  <si>
    <t>AFIS100Years100MovieQuotes</t>
  </si>
  <si>
    <t>AfterSchoolCleaningDuty</t>
  </si>
  <si>
    <t>AgeDownRomance</t>
  </si>
  <si>
    <t>AgeGapAlgebra</t>
  </si>
  <si>
    <t>AgelessBirthdayEpisode</t>
  </si>
  <si>
    <t>AgeProgressionSong</t>
  </si>
  <si>
    <t>AgreeToDisagree</t>
  </si>
  <si>
    <t>AirplaneOfLove</t>
  </si>
  <si>
    <t>AlbumTitleDrop</t>
  </si>
  <si>
    <t>AlcoholInducedStupidity</t>
  </si>
  <si>
    <t>ALessonInDefeat</t>
  </si>
  <si>
    <t>AlienFairFolk</t>
  </si>
  <si>
    <t>AlienHair</t>
  </si>
  <si>
    <t>AliensNeverInventedDemocracy</t>
  </si>
  <si>
    <t>ALighterShadeOfGray</t>
  </si>
  <si>
    <t>AllAmericanFace</t>
  </si>
  <si>
    <t>AllAPartOfTheJob</t>
  </si>
  <si>
    <t>AllChinesePeopleKnowKungFu</t>
  </si>
  <si>
    <t>AllDevouringBlackHoleLoanSharks</t>
  </si>
  <si>
    <t>AllDogsArePurebred</t>
  </si>
  <si>
    <t>AllElectionsAreSeriousBusiness</t>
  </si>
  <si>
    <t>AllergicToEvil</t>
  </si>
  <si>
    <t>AllergicToRoutine</t>
  </si>
  <si>
    <t>AllGaysLoveTheatre</t>
  </si>
  <si>
    <t>AllGhoulsSchool</t>
  </si>
  <si>
    <t>AllInTheManual</t>
  </si>
  <si>
    <t>AlliterativeList</t>
  </si>
  <si>
    <t>AllNationsAreSuperPowers</t>
  </si>
  <si>
    <t>AllTheoriesAreTrue</t>
  </si>
  <si>
    <t>AlluringAnglerfish</t>
  </si>
  <si>
    <t>AlmostFamousName</t>
  </si>
  <si>
    <t>AloneAmongFamilies</t>
  </si>
  <si>
    <t>AlreadyMetEveryone</t>
  </si>
  <si>
    <t>AlternateDimension</t>
  </si>
  <si>
    <t>AlternateHistoryNaziVictory</t>
  </si>
  <si>
    <t>AlternatePersonalityPunishment</t>
  </si>
  <si>
    <t>AlternativeRock</t>
  </si>
  <si>
    <t>AlwaysClose</t>
  </si>
  <si>
    <t>AlwaysMale</t>
  </si>
  <si>
    <t>AlwaysOnDuty</t>
  </si>
  <si>
    <t>AmbidextrousSprite</t>
  </si>
  <si>
    <t>AmbiguouslyAbsentParent</t>
  </si>
  <si>
    <t>AmbiguousRobots</t>
  </si>
  <si>
    <t>Americanization</t>
  </si>
  <si>
    <t>Americasia</t>
  </si>
  <si>
    <t>AmericaTakesOverTheWorld</t>
  </si>
  <si>
    <t>AmnesiacsAreInnocent</t>
  </si>
  <si>
    <t>AmuletOfConcentratedAwesome</t>
  </si>
  <si>
    <t>AnatomyArsenal</t>
  </si>
  <si>
    <t>AnchorsAway</t>
  </si>
  <si>
    <t>AncientAfrica</t>
  </si>
  <si>
    <t>AndManGrewProud</t>
  </si>
  <si>
    <t>AndThatLittleBoyWasMe</t>
  </si>
  <si>
    <t>AndThatWouldBeWrong</t>
  </si>
  <si>
    <t>AndThenISaid</t>
  </si>
  <si>
    <t>AndYourRewardIsClothes</t>
  </si>
  <si>
    <t>AndYourRewardIsEdible</t>
  </si>
  <si>
    <t>AndYouThoughtItWouldFail</t>
  </si>
  <si>
    <t>AngelsDevilsAndSquid</t>
  </si>
  <si>
    <t>AngelsPose</t>
  </si>
  <si>
    <t>AnimalEaredHeadband</t>
  </si>
  <si>
    <t>AnimalLover</t>
  </si>
  <si>
    <t>AnimalMecha</t>
  </si>
  <si>
    <t>AnimalSpeciesAccent</t>
  </si>
  <si>
    <t>AnimalSuperheroes</t>
  </si>
  <si>
    <t>AnimatedTattoo</t>
  </si>
  <si>
    <t>Animeland</t>
  </si>
  <si>
    <t>AnOfficerAndAGentleman</t>
  </si>
  <si>
    <t>AnomalousArt</t>
  </si>
  <si>
    <t>AnotherSideAnotherStory</t>
  </si>
  <si>
    <t>AntiAdvice</t>
  </si>
  <si>
    <t>AntiArmor</t>
  </si>
  <si>
    <t>AntiCavalry</t>
  </si>
  <si>
    <t>AntiMentor</t>
  </si>
  <si>
    <t>AntiPoopSocking</t>
  </si>
  <si>
    <t>AntiSmotherLoveTalk</t>
  </si>
  <si>
    <t>AntiTrueSight</t>
  </si>
  <si>
    <t>AnyoneRememberPogs</t>
  </si>
  <si>
    <t>AnythingYouCanDoICanDoBetter</t>
  </si>
  <si>
    <t>APCs</t>
  </si>
  <si>
    <t>ApesInSpace</t>
  </si>
  <si>
    <t>ApocalypseHitler</t>
  </si>
  <si>
    <t>ApocalypticGagOrder</t>
  </si>
  <si>
    <t>AppealToTradition</t>
  </si>
  <si>
    <t>AppleForTeacher</t>
  </si>
  <si>
    <t>Applicability</t>
  </si>
  <si>
    <t>AppropriatedTitle</t>
  </si>
  <si>
    <t>AprilFoolsDay</t>
  </si>
  <si>
    <t>ArabBeobleTalk</t>
  </si>
  <si>
    <t>ArbitraryEquipmentRestriction</t>
  </si>
  <si>
    <t>ArbitraryMaximumRange</t>
  </si>
  <si>
    <t>ArborealAbode</t>
  </si>
  <si>
    <t>ArchaeologicalArmsRace</t>
  </si>
  <si>
    <t>ArchEnemies</t>
  </si>
  <si>
    <t>ArchnemesisMom</t>
  </si>
  <si>
    <t>Arcology</t>
  </si>
  <si>
    <t>ArentYouForgettingSomeone</t>
  </si>
  <si>
    <t>AreYouSureYouWantToDoThat</t>
  </si>
  <si>
    <t>ArmedWithCanon</t>
  </si>
  <si>
    <t>ArmyOfTheAges</t>
  </si>
  <si>
    <t>ArtAttacker</t>
  </si>
  <si>
    <t>ArtefactOfDoom</t>
  </si>
  <si>
    <t>ArtifactAlias</t>
  </si>
  <si>
    <t>ArtificialAtmosphericActions</t>
  </si>
  <si>
    <t>ArtificialHumans</t>
  </si>
  <si>
    <t>ArtificialLimbsAreStronger</t>
  </si>
  <si>
    <t>ArtisticLicenceGunSafety</t>
  </si>
  <si>
    <t>ArtisticLicenseExplosives</t>
  </si>
  <si>
    <t>ArtisticLicenseOrnithology</t>
  </si>
  <si>
    <t>ArtisticLicenseTraditionalChristianity</t>
  </si>
  <si>
    <t>ArtMajorPhysics</t>
  </si>
  <si>
    <t>ArtReflectsPersonality</t>
  </si>
  <si>
    <t>ArtStyleDissonance</t>
  </si>
  <si>
    <t>AscendedFanFic</t>
  </si>
  <si>
    <t>AsLongAsThereIsOneMan</t>
  </si>
  <si>
    <t>AssInALionSkin</t>
  </si>
  <si>
    <t>AsymmetricDilemma</t>
  </si>
  <si>
    <t>AteHerGun</t>
  </si>
  <si>
    <t>AteTheSpoon</t>
  </si>
  <si>
    <t>AthensAndSparta</t>
  </si>
  <si>
    <t>ATrueStoryInMyUniverse</t>
  </si>
  <si>
    <t>AttackOnTheHeart</t>
  </si>
  <si>
    <t>AttentionDeficitOhShiny</t>
  </si>
  <si>
    <t>AudienceParticipationFailure</t>
  </si>
  <si>
    <t>AuthorPhobia</t>
  </si>
  <si>
    <t>AuthorVocabularyCalendar</t>
  </si>
  <si>
    <t>AutoTune</t>
  </si>
  <si>
    <t>AvantGardeMusic</t>
  </si>
  <si>
    <t>AwesomenessInducedAmnesia</t>
  </si>
  <si>
    <t>AWinnerIsYou</t>
  </si>
  <si>
    <t>BabyDollBaby</t>
  </si>
  <si>
    <t>BabyLanguage</t>
  </si>
  <si>
    <t>BabysFirstWords</t>
  </si>
  <si>
    <t>BackdoorPilot</t>
  </si>
  <si>
    <t>BackFromTheBrink</t>
  </si>
  <si>
    <t>Backmasking</t>
  </si>
  <si>
    <t>BadassArmFold</t>
  </si>
  <si>
    <t>BadEnding</t>
  </si>
  <si>
    <t>BadgesAndDogTags</t>
  </si>
  <si>
    <t>BagsOfLetters</t>
  </si>
  <si>
    <t>BakerStreetRegular</t>
  </si>
  <si>
    <t>BalancedHarem</t>
  </si>
  <si>
    <t>BalletEpisode</t>
  </si>
  <si>
    <t>BallisticBone</t>
  </si>
  <si>
    <t>BalloonBurstingBird</t>
  </si>
  <si>
    <t>BallsGag</t>
  </si>
  <si>
    <t>Bambification</t>
  </si>
  <si>
    <t>BandageWince</t>
  </si>
  <si>
    <t>BanditMook</t>
  </si>
  <si>
    <t>BanishingRitual</t>
  </si>
  <si>
    <t>BannisterSlide</t>
  </si>
  <si>
    <t>BanOnPolitics</t>
  </si>
  <si>
    <t>BarefootSage</t>
  </si>
  <si>
    <t>BaroqueMusic</t>
  </si>
  <si>
    <t>BastardAngst</t>
  </si>
  <si>
    <t>BatFamilyCrossover</t>
  </si>
  <si>
    <t>BathsAreFun</t>
  </si>
  <si>
    <t>BattleHarem</t>
  </si>
  <si>
    <t>BattleOfTheSexes</t>
  </si>
  <si>
    <t>BeardlessProtectionProgram</t>
  </si>
  <si>
    <t>BearyFriendly</t>
  </si>
  <si>
    <t>BeatCop</t>
  </si>
  <si>
    <t>BeatItByCompulsion</t>
  </si>
  <si>
    <t>BedFullOfWomen</t>
  </si>
  <si>
    <t>BeetleManiac</t>
  </si>
  <si>
    <t>BefriendingTheEnemy</t>
  </si>
  <si>
    <t>BeginWithAFinisher</t>
  </si>
  <si>
    <t>BeleagueredBoss</t>
  </si>
  <si>
    <t>BeleagueredChildhoodFriend</t>
  </si>
  <si>
    <t>BelievingYourOwnLies</t>
  </si>
  <si>
    <t>BeMyValentine</t>
  </si>
  <si>
    <t>BeneficialDisease</t>
  </si>
  <si>
    <t>BerserkerRage</t>
  </si>
  <si>
    <t>BestWoman</t>
  </si>
  <si>
    <t>BetaBaddie</t>
  </si>
  <si>
    <t>BetrayalInsurance</t>
  </si>
  <si>
    <t>BetterByADifferentName</t>
  </si>
  <si>
    <t>BewareTheCuteOnes</t>
  </si>
  <si>
    <t>BicepKiss</t>
  </si>
  <si>
    <t>BickeringCouplePeacefulCouple</t>
  </si>
  <si>
    <t>BigAnimeEyes</t>
  </si>
  <si>
    <t>BigBadSlippage</t>
  </si>
  <si>
    <t>BigBand</t>
  </si>
  <si>
    <t>BigBookOfWar</t>
  </si>
  <si>
    <t>BigDumbBody</t>
  </si>
  <si>
    <t>BigEgoHiddenDepths</t>
  </si>
  <si>
    <t>BigLittleSister</t>
  </si>
  <si>
    <t>BigScaryBlackMan</t>
  </si>
  <si>
    <t>BiographyAClef</t>
  </si>
  <si>
    <t>BirthdaySuitSurpriseParty</t>
  </si>
  <si>
    <t>BitingTheHandHumour</t>
  </si>
  <si>
    <t>BitterAlmonds</t>
  </si>
  <si>
    <t>Bizarchitecture</t>
  </si>
  <si>
    <t>BizarreHumanBiology</t>
  </si>
  <si>
    <t>BizarreInstrument</t>
  </si>
  <si>
    <t>BizarroEpisode</t>
  </si>
  <si>
    <t>BizarroWorld</t>
  </si>
  <si>
    <t>BlackBeltInOrigami</t>
  </si>
  <si>
    <t>BlackCapOfDeath</t>
  </si>
  <si>
    <t>BlackIndex</t>
  </si>
  <si>
    <t>BlackMagicianGirl</t>
  </si>
  <si>
    <t>BladeSpam</t>
  </si>
  <si>
    <t>BlindWithoutThem</t>
  </si>
  <si>
    <t>BloodStainedLetter</t>
  </si>
  <si>
    <t>BloodyBowelsOfHell</t>
  </si>
  <si>
    <t>BlueCollarWarlock</t>
  </si>
  <si>
    <t>BlunderCorrectingImpulse</t>
  </si>
  <si>
    <t>BoatLights</t>
  </si>
  <si>
    <t>BodyLanguage</t>
  </si>
  <si>
    <t>BondCreatures</t>
  </si>
  <si>
    <t>BonusBoss</t>
  </si>
  <si>
    <t>BoomInTheHand</t>
  </si>
  <si>
    <t>BoredWithInsanity</t>
  </si>
  <si>
    <t>BoringFailureHero</t>
  </si>
  <si>
    <t>BornInAnElevator</t>
  </si>
  <si>
    <t>BornIntoSlavery</t>
  </si>
  <si>
    <t>BornWinner</t>
  </si>
  <si>
    <t>BosssUnfavoriteEmployee</t>
  </si>
  <si>
    <t>BossWarningSiren</t>
  </si>
  <si>
    <t>Bowdlerised</t>
  </si>
  <si>
    <t>BoyNextDoor</t>
  </si>
  <si>
    <t>BrainCriticalMass</t>
  </si>
  <si>
    <t>BrainFreeze</t>
  </si>
  <si>
    <t>Brainwashing</t>
  </si>
  <si>
    <t>BrainyBrunet</t>
  </si>
  <si>
    <t>BreadMilkEggsSquick</t>
  </si>
  <si>
    <t>BreakoutPopHit</t>
  </si>
  <si>
    <t>BreaksTheFourthWall</t>
  </si>
  <si>
    <t>BreakTheBeliever</t>
  </si>
  <si>
    <t>BreathableLiquid</t>
  </si>
  <si>
    <t>BribingYourWayToVictory</t>
  </si>
  <si>
    <t>BritishBrevity</t>
  </si>
  <si>
    <t>BrokenTreasure</t>
  </si>
  <si>
    <t>Bromance</t>
  </si>
  <si>
    <t>BronxCheer</t>
  </si>
  <si>
    <t>BrownBagMask</t>
  </si>
  <si>
    <t>BucketHelmet</t>
  </si>
  <si>
    <t>BuffoonishTomcat</t>
  </si>
  <si>
    <t>BullfightBoss</t>
  </si>
  <si>
    <t>BullyMagnet</t>
  </si>
  <si>
    <t>BumpIntoConfrontation</t>
  </si>
  <si>
    <t>BuriedInAPileOfCorpses</t>
  </si>
  <si>
    <t>BurnerPhones</t>
  </si>
  <si>
    <t>BurningRubber</t>
  </si>
  <si>
    <t>BurnTheOrphanage</t>
  </si>
  <si>
    <t>BusmansVocabulary</t>
  </si>
  <si>
    <t>ButIDigress</t>
  </si>
  <si>
    <t>ButtBrand</t>
  </si>
  <si>
    <t>ButThatWouldBeWrong</t>
  </si>
  <si>
    <t>ButtonMashing</t>
  </si>
  <si>
    <t>ButWaitTheresMore</t>
  </si>
  <si>
    <t>BuzzingTheTower</t>
  </si>
  <si>
    <t>BuzzJob</t>
  </si>
  <si>
    <t>BuzzSawJaw</t>
  </si>
  <si>
    <t>BystanderEffect</t>
  </si>
  <si>
    <t>CainAndAbelAndSeth</t>
  </si>
  <si>
    <t>CaligulasHorse</t>
  </si>
  <si>
    <t>CallingOutForNotCalling</t>
  </si>
  <si>
    <t>CallMyName</t>
  </si>
  <si>
    <t>CallOnMe</t>
  </si>
  <si>
    <t>CameraObscurer</t>
  </si>
  <si>
    <t>CanCrushingCranium</t>
  </si>
  <si>
    <t>CandlelitRitual</t>
  </si>
  <si>
    <t>CannibalCauldron</t>
  </si>
  <si>
    <t>CannibalFilm</t>
  </si>
  <si>
    <t>CantLiveWithoutYou</t>
  </si>
  <si>
    <t>CantSeeADamnThing</t>
  </si>
  <si>
    <t>CapitalOffensive</t>
  </si>
  <si>
    <t>CaptainColorbeard</t>
  </si>
  <si>
    <t>CaptainObviousAesop</t>
  </si>
  <si>
    <t>CarcassSleepingBag</t>
  </si>
  <si>
    <t>CardboardBoxHome</t>
  </si>
  <si>
    <t>CardsOfPower</t>
  </si>
  <si>
    <t>CarnivoresAreMean</t>
  </si>
  <si>
    <t>CartoonlandTime</t>
  </si>
  <si>
    <t>CartoonyEyes</t>
  </si>
  <si>
    <t>Casanova</t>
  </si>
  <si>
    <t>CassandraGambit</t>
  </si>
  <si>
    <t>CastCalculus</t>
  </si>
  <si>
    <t>CastFromSanity</t>
  </si>
  <si>
    <t>CatchingSomeZs</t>
  </si>
  <si>
    <t>CatFolk</t>
  </si>
  <si>
    <t>CathedralClimax</t>
  </si>
  <si>
    <t>CatsAreSnarky</t>
  </si>
  <si>
    <t>CatStereotype</t>
  </si>
  <si>
    <t>CaveMouth</t>
  </si>
  <si>
    <t>CDs</t>
  </si>
  <si>
    <t>CelebrityPower</t>
  </si>
  <si>
    <t>CelestialBody</t>
  </si>
  <si>
    <t>ChainGang</t>
  </si>
  <si>
    <t>ChainLetter</t>
  </si>
  <si>
    <t>ChandlerAmericanTime</t>
  </si>
  <si>
    <t>ChangedForTheVideo</t>
  </si>
  <si>
    <t>ChaosIsEvil</t>
  </si>
  <si>
    <t>ChaosWhileTheyreNotLooking</t>
  </si>
  <si>
    <t>ChaoticGood</t>
  </si>
  <si>
    <t>CharacterCelebrityEndorsement</t>
  </si>
  <si>
    <t>CharactersAsDevice</t>
  </si>
  <si>
    <t>CharacterShield</t>
  </si>
  <si>
    <t>CharClone</t>
  </si>
  <si>
    <t>CharityMotivationSong</t>
  </si>
  <si>
    <t>ChekhovsTimeTravel</t>
  </si>
  <si>
    <t>ChewTheScenery</t>
  </si>
  <si>
    <t>ChildMage</t>
  </si>
  <si>
    <t>ChillOfUndeath</t>
  </si>
  <si>
    <t>ChocolateFrostedSugarBombs</t>
  </si>
  <si>
    <t>ChokepointGeography</t>
  </si>
  <si>
    <t>ChristmasEveryDay</t>
  </si>
  <si>
    <t>ChristmasInJuly</t>
  </si>
  <si>
    <t>ChuckingChalk</t>
  </si>
  <si>
    <t>CircleOfStandingStones</t>
  </si>
  <si>
    <t>CircumcisionAngst</t>
  </si>
  <si>
    <t>CityPeopleEatSushi</t>
  </si>
  <si>
    <t>CivilizedAnimal</t>
  </si>
  <si>
    <t>ClashingCousins</t>
  </si>
  <si>
    <t>ClaspYourHandsIfYouDeceive</t>
  </si>
  <si>
    <t>ClassicalMusicIsBoring</t>
  </si>
  <si>
    <t>ClassRepresentative</t>
  </si>
  <si>
    <t>ClassyCravat</t>
  </si>
  <si>
    <t>ClawingAtOwnThroat</t>
  </si>
  <si>
    <t>Cliche</t>
  </si>
  <si>
    <t>CloningGambit</t>
  </si>
  <si>
    <t>ClosetSublet</t>
  </si>
  <si>
    <t>ClownCarBase</t>
  </si>
  <si>
    <t>ClubStub</t>
  </si>
  <si>
    <t>CN171</t>
  </si>
  <si>
    <t>CoatCape</t>
  </si>
  <si>
    <t>CockroachesWillRuleTheEarth</t>
  </si>
  <si>
    <t>CoconutEffect</t>
  </si>
  <si>
    <t>CoinOnAStringTrick</t>
  </si>
  <si>
    <t>ColdNameMole</t>
  </si>
  <si>
    <t>ColonyShip</t>
  </si>
  <si>
    <t>ColorfulSong</t>
  </si>
  <si>
    <t>ColourCodedArmies</t>
  </si>
  <si>
    <t>CombatAndSupport</t>
  </si>
  <si>
    <t>ComedyGhetto</t>
  </si>
  <si>
    <t>ComicallyInvincibleHero</t>
  </si>
  <si>
    <t>ComicalNapDrool</t>
  </si>
  <si>
    <t>ComicSutra</t>
  </si>
  <si>
    <t>CommonKnowledge</t>
  </si>
  <si>
    <t>CommonplaceRare</t>
  </si>
  <si>
    <t>CommonTongue</t>
  </si>
  <si>
    <t>ComplainingAboutShowsYouDontWatch</t>
  </si>
  <si>
    <t>CompleteMonster</t>
  </si>
  <si>
    <t>ComplimentFishing</t>
  </si>
  <si>
    <t>CompressedAbstinence</t>
  </si>
  <si>
    <t>ConfirmationBias</t>
  </si>
  <si>
    <t>ConsolationPrize</t>
  </si>
  <si>
    <t>ConstructionCatcalls</t>
  </si>
  <si>
    <t>ContagiousPowers</t>
  </si>
  <si>
    <t>ContestedSequel</t>
  </si>
  <si>
    <t>ContinuityEditing</t>
  </si>
  <si>
    <t>ContractualBossImmunity</t>
  </si>
  <si>
    <t>ContractualImmortality</t>
  </si>
  <si>
    <t>ConvenientlyCommonKink</t>
  </si>
  <si>
    <t>ConvenientlyTimedGuard</t>
  </si>
  <si>
    <t>CoolBoard</t>
  </si>
  <si>
    <t>CoolCodeOfSource</t>
  </si>
  <si>
    <t>CopShow</t>
  </si>
  <si>
    <t>CopyProtection</t>
  </si>
  <si>
    <t>CorneredRattlesnake</t>
  </si>
  <si>
    <t>CorruptQuartermaster</t>
  </si>
  <si>
    <t>CosmeticAward</t>
  </si>
  <si>
    <t>CosmicEntity</t>
  </si>
  <si>
    <t>CosmicFlaw</t>
  </si>
  <si>
    <t>CourtroomDrama</t>
  </si>
  <si>
    <t>CozyVoiceForCatastrophes</t>
  </si>
  <si>
    <t>CrackDefeat</t>
  </si>
  <si>
    <t>CrackFic</t>
  </si>
  <si>
    <t>Crawl</t>
  </si>
  <si>
    <t>CrazyMemory</t>
  </si>
  <si>
    <t>CreatingLifeIsUnforeseen</t>
  </si>
  <si>
    <t>CreatorCouple</t>
  </si>
  <si>
    <t>CreatorRecovery</t>
  </si>
  <si>
    <t>CreatorsApathy</t>
  </si>
  <si>
    <t>CreditsPushback</t>
  </si>
  <si>
    <t>CreditsRoll</t>
  </si>
  <si>
    <t>CreepyCute</t>
  </si>
  <si>
    <t>CriticalAnnoyance</t>
  </si>
  <si>
    <t>CriticProof</t>
  </si>
  <si>
    <t>CrossCulturalHandshake</t>
  </si>
  <si>
    <t>CrossingTheLineTwice</t>
  </si>
  <si>
    <t>CrossoverCouple</t>
  </si>
  <si>
    <t>CrowdPleaser</t>
  </si>
  <si>
    <t>CryForTheDevil</t>
  </si>
  <si>
    <t>CryingAfterSex</t>
  </si>
  <si>
    <t>CrystalClearPicture</t>
  </si>
  <si>
    <t>CulturalCrossReference</t>
  </si>
  <si>
    <t>CupHolders</t>
  </si>
  <si>
    <t>CupidsArrow</t>
  </si>
  <si>
    <t>CuriosityCausesConversion</t>
  </si>
  <si>
    <t>CuriousAsAMonkey</t>
  </si>
  <si>
    <t>CursedItem</t>
  </si>
  <si>
    <t>CurtainsMatchTheWindow</t>
  </si>
  <si>
    <t>CuteGiant</t>
  </si>
  <si>
    <t>CutesyNameTown</t>
  </si>
  <si>
    <t>CuttingOffTheBranches</t>
  </si>
  <si>
    <t>CyberneticsWillEatYourSoul</t>
  </si>
  <si>
    <t>CynicIdealistDuo</t>
  </si>
  <si>
    <t>DadsCantCook</t>
  </si>
  <si>
    <t>DagwoodSandwich</t>
  </si>
  <si>
    <t>DamagedSoul</t>
  </si>
  <si>
    <t>DancingRoyalty</t>
  </si>
  <si>
    <t>DancingTheme</t>
  </si>
  <si>
    <t>DarkAgeOfSupernames</t>
  </si>
  <si>
    <t>DarkShepherd</t>
  </si>
  <si>
    <t>DashedPlotLine</t>
  </si>
  <si>
    <t>DateMyAvatar</t>
  </si>
  <si>
    <t>DayOfTheWeekName</t>
  </si>
  <si>
    <t>DB4</t>
  </si>
  <si>
    <t>DB5</t>
  </si>
  <si>
    <t>DeadbeatDad</t>
  </si>
  <si>
    <t>DeadSerious</t>
  </si>
  <si>
    <t>DeafComposer</t>
  </si>
  <si>
    <t>DearNegativeReader</t>
  </si>
  <si>
    <t>DeathAmnesia</t>
  </si>
  <si>
    <t>DeathAndTheMaiden</t>
  </si>
  <si>
    <t>DeathByAThousandCuts</t>
  </si>
  <si>
    <t>DeathByDepower</t>
  </si>
  <si>
    <t>DeathByRecognition</t>
  </si>
  <si>
    <t>DeathInAllDirections</t>
  </si>
  <si>
    <t>DeathIsASadThing</t>
  </si>
  <si>
    <t>DeathMountain</t>
  </si>
  <si>
    <t>DeathOrGloryAttack</t>
  </si>
  <si>
    <t>DeceptivelySimpleDemonstration</t>
  </si>
  <si>
    <t>DecliningPromotion</t>
  </si>
  <si>
    <t>DeconstructionCrossover</t>
  </si>
  <si>
    <t>DeepSleep</t>
  </si>
  <si>
    <t>DefendsAgainstTheirOwnKind</t>
  </si>
  <si>
    <t>DegradedBoss</t>
  </si>
  <si>
    <t>DelayingTheRescue</t>
  </si>
  <si>
    <t>DeLuca</t>
  </si>
  <si>
    <t>DelusionsOfLocalGrandeur</t>
  </si>
  <si>
    <t>DemandOverload</t>
  </si>
  <si>
    <t>DeMille</t>
  </si>
  <si>
    <t>DemonicInvaders</t>
  </si>
  <si>
    <t>DemotedMemories</t>
  </si>
  <si>
    <t>DenouementEpisode</t>
  </si>
  <si>
    <t>DependingOnTheArtist</t>
  </si>
  <si>
    <t>DepthOfField</t>
  </si>
  <si>
    <t>DescentIntoDarknessSong</t>
  </si>
  <si>
    <t>DesertBandits</t>
  </si>
  <si>
    <t>DesignItYourselfEquipment</t>
  </si>
  <si>
    <t>DestroyerDeity</t>
  </si>
  <si>
    <t>DetectiveFiction</t>
  </si>
  <si>
    <t>DeterminedDefeatist</t>
  </si>
  <si>
    <t>DeterminedHomesteadersChildren</t>
  </si>
  <si>
    <t>DeVoto</t>
  </si>
  <si>
    <t>DialogueTree</t>
  </si>
  <si>
    <t>DidISayThatOutLoud</t>
  </si>
  <si>
    <t>DidntWeUseThisJokeAlready</t>
  </si>
  <si>
    <t>DidYouSeeThatToo</t>
  </si>
  <si>
    <t>DiesDifferentlyInTheAdaptation</t>
  </si>
  <si>
    <t>DigitizedHacker</t>
  </si>
  <si>
    <t>DimeNovel</t>
  </si>
  <si>
    <t>DingDongTheWitchIsDead</t>
  </si>
  <si>
    <t>DinnerDeformation</t>
  </si>
  <si>
    <t>DinosaurDoggieBone</t>
  </si>
  <si>
    <t>DirectionlessDriver</t>
  </si>
  <si>
    <t>DirectorTrademark</t>
  </si>
  <si>
    <t>DirtyBomb</t>
  </si>
  <si>
    <t>DisabledCharacterDisabledActor</t>
  </si>
  <si>
    <t>DisappearingBullets</t>
  </si>
  <si>
    <t>DiscOneFinalDungeon</t>
  </si>
  <si>
    <t>DiscreditedTrope</t>
  </si>
  <si>
    <t>DiseasedName</t>
  </si>
  <si>
    <t>DishonoredDead</t>
  </si>
  <si>
    <t>DisownedAdaptation</t>
  </si>
  <si>
    <t>DispelMagic</t>
  </si>
  <si>
    <t>DistinctDoubleAlbum</t>
  </si>
  <si>
    <t>DistractedByTheShiny</t>
  </si>
  <si>
    <t>DividedForPublication</t>
  </si>
  <si>
    <t>DivineConflict</t>
  </si>
  <si>
    <t>DivinelyAppearingDemons</t>
  </si>
  <si>
    <t>DivineRightOfKings</t>
  </si>
  <si>
    <t>DJs</t>
  </si>
  <si>
    <t>DoAnythingSoldier</t>
  </si>
  <si>
    <t>DoesNotKnowHowToSayThanks</t>
  </si>
  <si>
    <t>DonaldDuck</t>
  </si>
  <si>
    <t>DontAnswerThat</t>
  </si>
  <si>
    <t>DontAskJustRun</t>
  </si>
  <si>
    <t>DontSaySuchStupidThings</t>
  </si>
  <si>
    <t>DoomAsTestPrize</t>
  </si>
  <si>
    <t>DoomedSupermarketDisplay</t>
  </si>
  <si>
    <t>DoomTroopers</t>
  </si>
  <si>
    <t>DoorToBefore</t>
  </si>
  <si>
    <t>DoppelgangerAttack</t>
  </si>
  <si>
    <t>DorkAge</t>
  </si>
  <si>
    <t>DorkInASweater</t>
  </si>
  <si>
    <t>DorkKnight</t>
  </si>
  <si>
    <t>DoubleEdgedAnswer</t>
  </si>
  <si>
    <t>DoubleStandardRapeSciFi</t>
  </si>
  <si>
    <t>DoWellButNotPerfect</t>
  </si>
  <si>
    <t>DragonsAreDivine</t>
  </si>
  <si>
    <t>DramaClub</t>
  </si>
  <si>
    <t>DramaticDownstageTurn</t>
  </si>
  <si>
    <t>DramaticEntrance</t>
  </si>
  <si>
    <t>DrGenericius</t>
  </si>
  <si>
    <t>DrinkBasedCharacterization</t>
  </si>
  <si>
    <t>DrivingTest</t>
  </si>
  <si>
    <t>DropPod</t>
  </si>
  <si>
    <t>DrumBathing</t>
  </si>
  <si>
    <t>DrumRollPlease</t>
  </si>
  <si>
    <t>DubText</t>
  </si>
  <si>
    <t>DudeShesALesbian</t>
  </si>
  <si>
    <t>DuelingWorks</t>
  </si>
  <si>
    <t>DuetOfDifferences</t>
  </si>
  <si>
    <t>DumbassTeenageSon</t>
  </si>
  <si>
    <t>DungeonCrawling</t>
  </si>
  <si>
    <t>DungeonMaster</t>
  </si>
  <si>
    <t>DungeonMastersGirlfriend</t>
  </si>
  <si>
    <t>DungeonPunk</t>
  </si>
  <si>
    <t>DyingVocalChange</t>
  </si>
  <si>
    <t>DysonSphere</t>
  </si>
  <si>
    <t>EarnYourTitle</t>
  </si>
  <si>
    <t>EarthDrift</t>
  </si>
  <si>
    <t>EarthIsABattlefield</t>
  </si>
  <si>
    <t>EasterEggs</t>
  </si>
  <si>
    <t>EastwardEndeavor</t>
  </si>
  <si>
    <t>EatingContest</t>
  </si>
  <si>
    <t>EatingMachine</t>
  </si>
  <si>
    <t>EatingShoes</t>
  </si>
  <si>
    <t>Ecchi</t>
  </si>
  <si>
    <t>EducationalShort</t>
  </si>
  <si>
    <t>EducationalSong</t>
  </si>
  <si>
    <t>EdutainmentShow</t>
  </si>
  <si>
    <t>EitherWorldDominationOrSomethingAboutBananas</t>
  </si>
  <si>
    <t>ElderlyBlueHairedLady</t>
  </si>
  <si>
    <t>EldritchHorror</t>
  </si>
  <si>
    <t>ElectiveUnintelligible</t>
  </si>
  <si>
    <t>ElectronicTelepathy</t>
  </si>
  <si>
    <t>ElementalMagic</t>
  </si>
  <si>
    <t>ElementalRockPaperScissors</t>
  </si>
  <si>
    <t>ElementalShapeshifter</t>
  </si>
  <si>
    <t>ElephantsChild</t>
  </si>
  <si>
    <t>ElevatorButtonsMash</t>
  </si>
  <si>
    <t>ElevatorConference</t>
  </si>
  <si>
    <t>ElevatorFloorAnnouncement</t>
  </si>
  <si>
    <t>EliteFour</t>
  </si>
  <si>
    <t>EmbarrassingRescue</t>
  </si>
  <si>
    <t>EmbarrassingSuperpower</t>
  </si>
  <si>
    <t>EmbarrassmentPlot</t>
  </si>
  <si>
    <t>EmergencyMultifaithPrayer</t>
  </si>
  <si>
    <t>Emoticon</t>
  </si>
  <si>
    <t>EmotionalRegression</t>
  </si>
  <si>
    <t>EmpathyPet</t>
  </si>
  <si>
    <t>EmphasisOnTheWrongSyllable</t>
  </si>
  <si>
    <t>EmphasizeEverything</t>
  </si>
  <si>
    <t>EndangeredSpecies</t>
  </si>
  <si>
    <t>EndOfTheWorldSpecial</t>
  </si>
  <si>
    <t>EnemyDetectingRadar</t>
  </si>
  <si>
    <t>EnemyOfMyEnemy</t>
  </si>
  <si>
    <t>EnergyBall</t>
  </si>
  <si>
    <t>EnergyBow</t>
  </si>
  <si>
    <t>EnergyWeapons</t>
  </si>
  <si>
    <t>EnjoKosai</t>
  </si>
  <si>
    <t>EntitledBitch</t>
  </si>
  <si>
    <t>EnvironmentSpecificActionFigure</t>
  </si>
  <si>
    <t>EpicBattleBoredom</t>
  </si>
  <si>
    <t>EpiphanyComeback</t>
  </si>
  <si>
    <t>EpisodeDiscussionScene</t>
  </si>
  <si>
    <t>EpisodeTitleCard</t>
  </si>
  <si>
    <t>EpisodeZeroTheBeginning</t>
  </si>
  <si>
    <t>EscalatingPunchline</t>
  </si>
  <si>
    <t>EscapeCall</t>
  </si>
  <si>
    <t>EscapeConvenientBoat</t>
  </si>
  <si>
    <t>EscapistCharacter</t>
  </si>
  <si>
    <t>EstablishingCharacterMusic</t>
  </si>
  <si>
    <t>EstrogenBrigade</t>
  </si>
  <si>
    <t>EthnicMenialLabour</t>
  </si>
  <si>
    <t>Eucatastrophe</t>
  </si>
  <si>
    <t>EvenBeggarsWontChooseIt</t>
  </si>
  <si>
    <t>EveryEpisodeEnding</t>
  </si>
  <si>
    <t>EveryoneHatesFruitCakes</t>
  </si>
  <si>
    <t>EveryoneHatesMath</t>
  </si>
  <si>
    <t>EveryoneIsChristianAtChristmas</t>
  </si>
  <si>
    <t>EverythingHasRhythm</t>
  </si>
  <si>
    <t>EverythingIsBetterWithDinosaurs</t>
  </si>
  <si>
    <t>EverythingsBetterWithPlushies</t>
  </si>
  <si>
    <t>EverythingsPreciousWithPuppies</t>
  </si>
  <si>
    <t>EvilClown</t>
  </si>
  <si>
    <t>EvilDetectingAnimal</t>
  </si>
  <si>
    <t>EvilDiva</t>
  </si>
  <si>
    <t>EvilIsBurningHot</t>
  </si>
  <si>
    <t>EvilLaughter</t>
  </si>
  <si>
    <t>EvilRunningGood</t>
  </si>
  <si>
    <t>EvilScheme</t>
  </si>
  <si>
    <t>EvolvingCredits</t>
  </si>
  <si>
    <t>ExactlyWhatIMeantToSay</t>
  </si>
  <si>
    <t>ExcaliburInTheRust</t>
  </si>
  <si>
    <t>ExecutiveVeto</t>
  </si>
  <si>
    <t>ExpansionPackWorld</t>
  </si>
  <si>
    <t>ExpelledFromEveryOtherSchool</t>
  </si>
  <si>
    <t>ExperimentalArcheology</t>
  </si>
  <si>
    <t>ExplodingCigar</t>
  </si>
  <si>
    <t>ExposeTheVillainGetHisJob</t>
  </si>
  <si>
    <t>ExpositionCut</t>
  </si>
  <si>
    <t>ExtraDigits</t>
  </si>
  <si>
    <t>ExtraDimensionalShortcut</t>
  </si>
  <si>
    <t>ExtraordinarilyEmpoweredGirl</t>
  </si>
  <si>
    <t>ExtremelyProtectiveChild</t>
  </si>
  <si>
    <t>ExtremeOmnisexual</t>
  </si>
  <si>
    <t>ExtrudedBookProduct</t>
  </si>
  <si>
    <t>EyeAmWatchingYou</t>
  </si>
  <si>
    <t>EyeColourChange</t>
  </si>
  <si>
    <t>EyeRecall</t>
  </si>
  <si>
    <t>EyesAlwaysShut</t>
  </si>
  <si>
    <t>EyesOpen</t>
  </si>
  <si>
    <t>Face</t>
  </si>
  <si>
    <t>FacialCompositeFailure</t>
  </si>
  <si>
    <t>FadingIntoTheNextSong</t>
  </si>
  <si>
    <t>FairPlayWhodunit</t>
  </si>
  <si>
    <t>FairWeatherMentor</t>
  </si>
  <si>
    <t>FairyDevilmother</t>
  </si>
  <si>
    <t>FairyTaleFreeForAll</t>
  </si>
  <si>
    <t>FakeAssistedSuicide</t>
  </si>
  <si>
    <t>FakeCrossover</t>
  </si>
  <si>
    <t>FakeFaithHealer</t>
  </si>
  <si>
    <t>FakeHigh</t>
  </si>
  <si>
    <t>FakeMuscles</t>
  </si>
  <si>
    <t>FallingDamage</t>
  </si>
  <si>
    <t>FalseCause</t>
  </si>
  <si>
    <t>FalseFlagAttack</t>
  </si>
  <si>
    <t>FamilyEyeResemblance</t>
  </si>
  <si>
    <t>FamilyFriendlyStripClub</t>
  </si>
  <si>
    <t>FancyCamping</t>
  </si>
  <si>
    <t>FandomNod</t>
  </si>
  <si>
    <t>FanFiction</t>
  </si>
  <si>
    <t>FangThpeak</t>
  </si>
  <si>
    <t>FanOfUnderdog</t>
  </si>
  <si>
    <t>FantasticComedy</t>
  </si>
  <si>
    <t>FantasticFightingStyle</t>
  </si>
  <si>
    <t>FantasticFoxes</t>
  </si>
  <si>
    <t>FantasticFragility</t>
  </si>
  <si>
    <t>FantasticGhetto</t>
  </si>
  <si>
    <t>FantasticRadiationShielding</t>
  </si>
  <si>
    <t>FantasticShipPrefix</t>
  </si>
  <si>
    <t>FantasticTimeManagement</t>
  </si>
  <si>
    <t>FantasyAmericana</t>
  </si>
  <si>
    <t>FantasyConflictCounterpart</t>
  </si>
  <si>
    <t>FantasyMetals</t>
  </si>
  <si>
    <t>Fanvid</t>
  </si>
  <si>
    <t>FashionableEvil</t>
  </si>
  <si>
    <t>FatCamp</t>
  </si>
  <si>
    <t>FatteningTheVictim</t>
  </si>
  <si>
    <t>FauxdianSlip</t>
  </si>
  <si>
    <t>FavouritismFlipFlop</t>
  </si>
  <si>
    <t>FeatheredDragons</t>
  </si>
  <si>
    <t>FeedItWithFire</t>
  </si>
  <si>
    <t>FeedMe</t>
  </si>
  <si>
    <t>Feghoot</t>
  </si>
  <si>
    <t>FellAsleepCrying</t>
  </si>
  <si>
    <t>FemaleAngelMaleDemon</t>
  </si>
  <si>
    <t>FemaleMonsterSurprise</t>
  </si>
  <si>
    <t>FemmeFatales</t>
  </si>
  <si>
    <t>FictionalGenevaConventions</t>
  </si>
  <si>
    <t>FictionalPainting</t>
  </si>
  <si>
    <t>FictionFiveHundred</t>
  </si>
  <si>
    <t>FictionIsntFair</t>
  </si>
  <si>
    <t>FighterMageThief</t>
  </si>
  <si>
    <t>FightFurYourRightToParty</t>
  </si>
  <si>
    <t>FightingGame</t>
  </si>
  <si>
    <t>FightingInThePlayground</t>
  </si>
  <si>
    <t>FightingSpirit</t>
  </si>
  <si>
    <t>FileMixup</t>
  </si>
  <si>
    <t>FillItWithFlowers</t>
  </si>
  <si>
    <t>FilmAtEleven</t>
  </si>
  <si>
    <t>FilmFelons</t>
  </si>
  <si>
    <t>FilmSeries</t>
  </si>
  <si>
    <t>FilmsOfThe1980s</t>
  </si>
  <si>
    <t>FinalBossPreview</t>
  </si>
  <si>
    <t>FingerForcedSmile</t>
  </si>
  <si>
    <t>FingerMuzzle</t>
  </si>
  <si>
    <t>Fireballs</t>
  </si>
  <si>
    <t>FireIceLightning</t>
  </si>
  <si>
    <t>FirstBlood</t>
  </si>
  <si>
    <t>FirstPersonCamera</t>
  </si>
  <si>
    <t>FirstPetStory</t>
  </si>
  <si>
    <t>FisticuffProvokingComment</t>
  </si>
  <si>
    <t>FisticuffsBoss</t>
  </si>
  <si>
    <t>FiveTemperamentEnsemble</t>
  </si>
  <si>
    <t>FixItInPost</t>
  </si>
  <si>
    <t>FlameWar</t>
  </si>
  <si>
    <t>FlashbackBackBack</t>
  </si>
  <si>
    <t>FlashbackEffect</t>
  </si>
  <si>
    <t>FlashMobCoverup</t>
  </si>
  <si>
    <t>FlatWorld</t>
  </si>
  <si>
    <t>FlatYes</t>
  </si>
  <si>
    <t>FleetingDemographicRule</t>
  </si>
  <si>
    <t>FlexingThoseNonBiceps</t>
  </si>
  <si>
    <t>FlightStrengthHeart</t>
  </si>
  <si>
    <t>FlowerFromTheMountaintop</t>
  </si>
  <si>
    <t>FlowersInHerHair</t>
  </si>
  <si>
    <t>FlunkyBoss</t>
  </si>
  <si>
    <t>FlyingWeapon</t>
  </si>
  <si>
    <t>FlyInTheSoup</t>
  </si>
  <si>
    <t>FogFeet</t>
  </si>
  <si>
    <t>FoodChains</t>
  </si>
  <si>
    <t>FootballFightSong</t>
  </si>
  <si>
    <t>FootnoteFever</t>
  </si>
  <si>
    <t>ForbiddenFriendship</t>
  </si>
  <si>
    <t>ForbiddenRomance</t>
  </si>
  <si>
    <t>ForcedIntoTheirSundayBest</t>
  </si>
  <si>
    <t>ForcedTutorial</t>
  </si>
  <si>
    <t>ForceField</t>
  </si>
  <si>
    <t>ForceFieldCage</t>
  </si>
  <si>
    <t>ForciblyOuted</t>
  </si>
  <si>
    <t>ForeignLanguageTheme</t>
  </si>
  <si>
    <t>ForeignMoneyIsProofOfGuilt</t>
  </si>
  <si>
    <t>ForeignRulingClass</t>
  </si>
  <si>
    <t>ForensicDrama</t>
  </si>
  <si>
    <t>Foreshadow</t>
  </si>
  <si>
    <t>ForgivenessRequiresDeath</t>
  </si>
  <si>
    <t>ForgotAboutTheMindReader</t>
  </si>
  <si>
    <t>ForgotICouldChangeTheRules</t>
  </si>
  <si>
    <t>ForgotICouldFly</t>
  </si>
  <si>
    <t>ForgottenChildhoodFriend</t>
  </si>
  <si>
    <t>ForgottenSuperweapon</t>
  </si>
  <si>
    <t>ForgotTheDisability</t>
  </si>
  <si>
    <t>ForgotToFeedTheMonster</t>
  </si>
  <si>
    <t>FormatSpecificJoke</t>
  </si>
  <si>
    <t>FormerFriendsPhoto</t>
  </si>
  <si>
    <t>FormulaicMagic</t>
  </si>
  <si>
    <t>FossilRevival</t>
  </si>
  <si>
    <t>FoundTheKillerLostTheMurderer</t>
  </si>
  <si>
    <t>FourLegsGoodTwoLegsBetter</t>
  </si>
  <si>
    <t>FourOneNineScam</t>
  </si>
  <si>
    <t>FoxNewsLiberal</t>
  </si>
  <si>
    <t>FoxyVixen</t>
  </si>
  <si>
    <t>FramedFaceOpening</t>
  </si>
  <si>
    <t>FranchiseDrivenRetitling</t>
  </si>
  <si>
    <t>FrankenX</t>
  </si>
  <si>
    <t>Franks2000InchTV</t>
  </si>
  <si>
    <t>FreakyElectronicMusic</t>
  </si>
  <si>
    <t>FreakyFuneralForms</t>
  </si>
  <si>
    <t>FreePrizeAtTheBottom</t>
  </si>
  <si>
    <t>FreeSamplePlotCoupon</t>
  </si>
  <si>
    <t>FriendOfMaskedSelf</t>
  </si>
  <si>
    <t>FriendshipAsCourtship</t>
  </si>
  <si>
    <t>FromStrayToPet</t>
  </si>
  <si>
    <t>FrozenInTime</t>
  </si>
  <si>
    <t>FullContactMagic</t>
  </si>
  <si>
    <t>FullyAbsorbedFinale</t>
  </si>
  <si>
    <t>FullyEmbracedFiend</t>
  </si>
  <si>
    <t>FunWithPalindromes</t>
  </si>
  <si>
    <t>FuumaShuriken</t>
  </si>
  <si>
    <t>GameplayAndStorySegregation</t>
  </si>
  <si>
    <t>GameShowHost</t>
  </si>
  <si>
    <t>GameWithinAGame</t>
  </si>
  <si>
    <t>GarageRock</t>
  </si>
  <si>
    <t>GayGuyDiesFirst</t>
  </si>
  <si>
    <t>Geas</t>
  </si>
  <si>
    <t>GeckoEnding</t>
  </si>
  <si>
    <t>GeekyAnalogy</t>
  </si>
  <si>
    <t>GemstoneAssault</t>
  </si>
  <si>
    <t>GenderedOutfit</t>
  </si>
  <si>
    <t>GenerationShips</t>
  </si>
  <si>
    <t>GenericName</t>
  </si>
  <si>
    <t>GeniusThriller</t>
  </si>
  <si>
    <t>GenreBuster</t>
  </si>
  <si>
    <t>GenreLaunch</t>
  </si>
  <si>
    <t>GenrePopularizer</t>
  </si>
  <si>
    <t>GenreTurningPoint</t>
  </si>
  <si>
    <t>GeorgeWashingtonSleptHere</t>
  </si>
  <si>
    <t>GettingTheBabyToSleep</t>
  </si>
  <si>
    <t>GhostMemory</t>
  </si>
  <si>
    <t>GhostSong</t>
  </si>
  <si>
    <t>GiantAnimalWorship</t>
  </si>
  <si>
    <t>GiantFootprintReveal</t>
  </si>
  <si>
    <t>GiantRobot</t>
  </si>
  <si>
    <t>GirlsStareAtSceneryBoysStareAtGirls</t>
  </si>
  <si>
    <t>GISSyndrome</t>
  </si>
  <si>
    <t>GiveChaseWithAngryNatives</t>
  </si>
  <si>
    <t>GlassesAndPonytailCoverup</t>
  </si>
  <si>
    <t>GlassesGirl</t>
  </si>
  <si>
    <t>GlassSlipper</t>
  </si>
  <si>
    <t>GoalOrientedEvolution</t>
  </si>
  <si>
    <t>GodIsLoveSongs</t>
  </si>
  <si>
    <t>GodIsNeutral</t>
  </si>
  <si>
    <t>GodJob</t>
  </si>
  <si>
    <t>GoesHorriblyWrong</t>
  </si>
  <si>
    <t>GogglesDoSomethingUseful</t>
  </si>
  <si>
    <t>GoingHomeAgain</t>
  </si>
  <si>
    <t>GoingToSeeTheElephant</t>
  </si>
  <si>
    <t>GonkyFemme</t>
  </si>
  <si>
    <t>GonnaFlyNowMontage</t>
  </si>
  <si>
    <t>GonzoJournalism</t>
  </si>
  <si>
    <t>GoodBadBugs</t>
  </si>
  <si>
    <t>GoodColoursEvilColours</t>
  </si>
  <si>
    <t>GoodLipsEvilJaws</t>
  </si>
  <si>
    <t>GoodOldFashionedFisticuffs</t>
  </si>
  <si>
    <t>GoodOldRobot</t>
  </si>
  <si>
    <t>GoodPaysBetter</t>
  </si>
  <si>
    <t>GoodProstheticEvilProsthetic</t>
  </si>
  <si>
    <t>GoodTwin</t>
  </si>
  <si>
    <t>GoOutWithABang</t>
  </si>
  <si>
    <t>GorgeousGreek</t>
  </si>
  <si>
    <t>Gotterdammerung</t>
  </si>
  <si>
    <t>GradeSchoolCEO</t>
  </si>
  <si>
    <t>GraduateFromTheStory</t>
  </si>
  <si>
    <t>GraduationForEveryone</t>
  </si>
  <si>
    <t>GrandVizier</t>
  </si>
  <si>
    <t>GrannyClassic</t>
  </si>
  <si>
    <t>GraphicNovel</t>
  </si>
  <si>
    <t>GratuitousIambicPentameter</t>
  </si>
  <si>
    <t>GratuitousPanning</t>
  </si>
  <si>
    <t>GratuitousPrincess</t>
  </si>
  <si>
    <t>GratuitousYiddish</t>
  </si>
  <si>
    <t>GravityIsOnlyATheory</t>
  </si>
  <si>
    <t>GrenadeSpam</t>
  </si>
  <si>
    <t>GreyingMorality</t>
  </si>
  <si>
    <t>GrimDark</t>
  </si>
  <si>
    <t>GrimyWater</t>
  </si>
  <si>
    <t>GrizzledVeteran</t>
  </si>
  <si>
    <t>GroundhogPeggySue</t>
  </si>
  <si>
    <t>GroundPunch</t>
  </si>
  <si>
    <t>Groupie</t>
  </si>
  <si>
    <t>GrowsOnTrees</t>
  </si>
  <si>
    <t>GuardsMustBeCrazy</t>
  </si>
  <si>
    <t>GuileHeroine</t>
  </si>
  <si>
    <t>GuiltyPleasure</t>
  </si>
  <si>
    <t>GuinnessEpisode</t>
  </si>
  <si>
    <t>GullibleLemmings</t>
  </si>
  <si>
    <t>GunsVsSwords</t>
  </si>
  <si>
    <t>GymClassHell</t>
  </si>
  <si>
    <t>Hachimaki</t>
  </si>
  <si>
    <t>Hackette</t>
  </si>
  <si>
    <t>HadToBeSharp</t>
  </si>
  <si>
    <t>HaggisIsHorrible</t>
  </si>
  <si>
    <t>HailfirePeaks</t>
  </si>
  <si>
    <t>HairOfGold</t>
  </si>
  <si>
    <t>HairstyleMalfunction</t>
  </si>
  <si>
    <t>HalloweenSpecial</t>
  </si>
  <si>
    <t>HammerspacePoliceForce</t>
  </si>
  <si>
    <t>HandGun</t>
  </si>
  <si>
    <t>HandWaving</t>
  </si>
  <si>
    <t>HappinessInMindControl</t>
  </si>
  <si>
    <t>HarbingerOfAssKicking</t>
  </si>
  <si>
    <t>HaremSeeker</t>
  </si>
  <si>
    <t>HarmlessVoltage</t>
  </si>
  <si>
    <t>HarpOfFemininity</t>
  </si>
  <si>
    <t>HashtagForLaughs</t>
  </si>
  <si>
    <t>HatesBeingCalledCute</t>
  </si>
  <si>
    <t>HaveYouComeToGloat</t>
  </si>
  <si>
    <t>HeadBob</t>
  </si>
  <si>
    <t>HealingPotion</t>
  </si>
  <si>
    <t>HealingSpring</t>
  </si>
  <si>
    <t>HealItWithWater</t>
  </si>
  <si>
    <t>HearMeTheMoney</t>
  </si>
  <si>
    <t>HeavenSeeker</t>
  </si>
  <si>
    <t>HeavyMeta</t>
  </si>
  <si>
    <t>HeavyMithril</t>
  </si>
  <si>
    <t>HeelFaceTown</t>
  </si>
  <si>
    <t>HeIsAllGrownUp</t>
  </si>
  <si>
    <t>HelicopterPack</t>
  </si>
  <si>
    <t>HellSeeker</t>
  </si>
  <si>
    <t>HerbivoresAreFriendly</t>
  </si>
  <si>
    <t>HereditaryHomosexuality</t>
  </si>
  <si>
    <t>HeritageFaceTurn</t>
  </si>
  <si>
    <t>Hero</t>
  </si>
  <si>
    <t>Heroes</t>
  </si>
  <si>
    <t>HeroicAlbino</t>
  </si>
  <si>
    <t>HeroicHost</t>
  </si>
  <si>
    <t>HeroismIncentive</t>
  </si>
  <si>
    <t>HeyItsThatSound</t>
  </si>
  <si>
    <t>HiddenHarasser</t>
  </si>
  <si>
    <t>HiddenTrack</t>
  </si>
  <si>
    <t>HideYourGays</t>
  </si>
  <si>
    <t>HighFiveLeftHanging</t>
  </si>
  <si>
    <t>HighSchoolRocks</t>
  </si>
  <si>
    <t>HighSpeedBattle</t>
  </si>
  <si>
    <t>HighSpeedTrainReroute</t>
  </si>
  <si>
    <t>HighUpIceUp</t>
  </si>
  <si>
    <t>Hikkikomori</t>
  </si>
  <si>
    <t>HippieJesus</t>
  </si>
  <si>
    <t>HisHeartWillGoOn</t>
  </si>
  <si>
    <t>HisQuirkLivesOn</t>
  </si>
  <si>
    <t>HistoricalCharactersFictionalRelative</t>
  </si>
  <si>
    <t>HistoricalFantasy</t>
  </si>
  <si>
    <t>HistoricalHilarity</t>
  </si>
  <si>
    <t>HistorysCrimeWave</t>
  </si>
  <si>
    <t>HoldMyGlasses</t>
  </si>
  <si>
    <t>Hollywood</t>
  </si>
  <si>
    <t>HollywoodBeautyStandards</t>
  </si>
  <si>
    <t>HollywoodChameleons</t>
  </si>
  <si>
    <t>HollywoodEconomics</t>
  </si>
  <si>
    <t>HollywoodWebCam</t>
  </si>
  <si>
    <t>HolodeckMalfunction</t>
  </si>
  <si>
    <t>HolographicInterface</t>
  </si>
  <si>
    <t>HomeVersionSoundtrackReplacement</t>
  </si>
  <si>
    <t>HonestyIsTheBestPolicy</t>
  </si>
  <si>
    <t>HonoraryAunt</t>
  </si>
  <si>
    <t>HoodOrnamentHottie</t>
  </si>
  <si>
    <t>HornyScientist</t>
  </si>
  <si>
    <t>HorrorFilms</t>
  </si>
  <si>
    <t>HospitalityForHeroes</t>
  </si>
  <si>
    <t>HostageForMcGuffin</t>
  </si>
  <si>
    <t>HostileAnimatronics</t>
  </si>
  <si>
    <t>HotBlade</t>
  </si>
  <si>
    <t>HotMenAtWork</t>
  </si>
  <si>
    <t>HouseRules</t>
  </si>
  <si>
    <t>HoverBoard</t>
  </si>
  <si>
    <t>HoverTank</t>
  </si>
  <si>
    <t>HowIsThatEvenPossible</t>
  </si>
  <si>
    <t>HowManyAllOfThem</t>
  </si>
  <si>
    <t>HowUnscientific</t>
  </si>
  <si>
    <t>HugAndComment</t>
  </si>
  <si>
    <t>HumanHardDrive</t>
  </si>
  <si>
    <t>HumanityIsSuperior</t>
  </si>
  <si>
    <t>HumanKnot</t>
  </si>
  <si>
    <t>HumanlikeHandAnatomy</t>
  </si>
  <si>
    <t>HumansAreDiplomats</t>
  </si>
  <si>
    <t>HumansAreSuperior</t>
  </si>
  <si>
    <t>HumanTrafficking</t>
  </si>
  <si>
    <t>HumorDissonance</t>
  </si>
  <si>
    <t>HurricaneKick</t>
  </si>
  <si>
    <t>HurricaneOfAphorisms</t>
  </si>
  <si>
    <t>HypnoTrinket</t>
  </si>
  <si>
    <t>Hypochondriac</t>
  </si>
  <si>
    <t>HypocriteHasAPoint</t>
  </si>
  <si>
    <t>HypotheticalCasting</t>
  </si>
  <si>
    <t>IAmNotAGun</t>
  </si>
  <si>
    <t>IBelieveThatYouBelieveIt</t>
  </si>
  <si>
    <t>ICommaNoun</t>
  </si>
  <si>
    <t>IconicLogo</t>
  </si>
  <si>
    <t>IdenticalGranddaughter</t>
  </si>
  <si>
    <t>IdentityAbsorption</t>
  </si>
  <si>
    <t>IdentityImpersonator</t>
  </si>
  <si>
    <t>IFeelGuiltyYouTakeIt</t>
  </si>
  <si>
    <t>IForgotICouldFly</t>
  </si>
  <si>
    <t>IgnorantMinion</t>
  </si>
  <si>
    <t>IgnoredEnemy</t>
  </si>
  <si>
    <t>IGotBigger</t>
  </si>
  <si>
    <t>IJustKnew</t>
  </si>
  <si>
    <t>IJustWriteTheThing</t>
  </si>
  <si>
    <t>Illuminati</t>
  </si>
  <si>
    <t>IMadeCopies</t>
  </si>
  <si>
    <t>ImageSource</t>
  </si>
  <si>
    <t>ImagineTheAudienceNaked</t>
  </si>
  <si>
    <t>ImmortalLifeIsCheap</t>
  </si>
  <si>
    <t>ImMrFuturePopCultureReference</t>
  </si>
  <si>
    <t>ImmuneToFate</t>
  </si>
  <si>
    <t>ImmunityDisability</t>
  </si>
  <si>
    <t>ImpassableDesert</t>
  </si>
  <si>
    <t>ImplausibleHairColor</t>
  </si>
  <si>
    <t>ImplausibleSynchrony</t>
  </si>
  <si>
    <t>ImpossibleInsurance</t>
  </si>
  <si>
    <t>ImpossibleTaskInstantlyAccomplished</t>
  </si>
  <si>
    <t>ImpossiblyTackyClothing</t>
  </si>
  <si>
    <t>ImpracticalMusicalInstrumentSkills</t>
  </si>
  <si>
    <t>ImprobableAntidote</t>
  </si>
  <si>
    <t>ImprobableChopsticksSkill</t>
  </si>
  <si>
    <t>ImprobablyLowIQ</t>
  </si>
  <si>
    <t>ImprobablyQuickComaRecovery</t>
  </si>
  <si>
    <t>ImprovisedCatapult</t>
  </si>
  <si>
    <t>ImprovisedScrewdriver</t>
  </si>
  <si>
    <t>ImYourWorstNightmare</t>
  </si>
  <si>
    <t>InbredAndEvil</t>
  </si>
  <si>
    <t>IncessantChorus</t>
  </si>
  <si>
    <t>InconvenientItch</t>
  </si>
  <si>
    <t>IncorrectAnimalNoise</t>
  </si>
  <si>
    <t>IndestructibilityMontage</t>
  </si>
  <si>
    <t>IneffectualDeathThreat</t>
  </si>
  <si>
    <t>IneptTalentShowContestant</t>
  </si>
  <si>
    <t>InertialDampening</t>
  </si>
  <si>
    <t>INever</t>
  </si>
  <si>
    <t>InfallibleBabble</t>
  </si>
  <si>
    <t>InfiniteFlashlight</t>
  </si>
  <si>
    <t>InformedConversation</t>
  </si>
  <si>
    <t>InformedKindness</t>
  </si>
  <si>
    <t>InformedLoner</t>
  </si>
  <si>
    <t>InheritanceBacklash</t>
  </si>
  <si>
    <t>InhumanResources</t>
  </si>
  <si>
    <t>InopportuneVoiceCracking</t>
  </si>
  <si>
    <t>InsaneProprietor</t>
  </si>
  <si>
    <t>InsanityImmunity</t>
  </si>
  <si>
    <t>InspectorOblivious</t>
  </si>
  <si>
    <t>InspectorZenigata</t>
  </si>
  <si>
    <t>InstantAwesomeJustAddNinja</t>
  </si>
  <si>
    <t>InstantCosplaySurprise</t>
  </si>
  <si>
    <t>InstantFlightJustAddSpinning</t>
  </si>
  <si>
    <t>InstantIndexJustAddWater</t>
  </si>
  <si>
    <t>InstantMysteryJustDeleteScene</t>
  </si>
  <si>
    <t>InstantPeopleJustAddWater</t>
  </si>
  <si>
    <t>InterclassRomance</t>
  </si>
  <si>
    <t>InterimVillain</t>
  </si>
  <si>
    <t>InternalMonologue</t>
  </si>
  <si>
    <t>InternetIncorporated</t>
  </si>
  <si>
    <t>InterrogationMontage</t>
  </si>
  <si>
    <t>InterruptedByTheEnd</t>
  </si>
  <si>
    <t>IntimateHaircut</t>
  </si>
  <si>
    <t>IntriguedByHumanity</t>
  </si>
  <si>
    <t>IntrinsicVow</t>
  </si>
  <si>
    <t>InventingTheWheel</t>
  </si>
  <si>
    <t>InverseDialogueDeathRule</t>
  </si>
  <si>
    <t>InverseLawOfFertility</t>
  </si>
  <si>
    <t>InverseNinjaLaw</t>
  </si>
  <si>
    <t>InvincibleClassicCar</t>
  </si>
  <si>
    <t>InvisibilityFlicker</t>
  </si>
  <si>
    <t>InvisibleCelebrityGuest</t>
  </si>
  <si>
    <t>InvisibleJerkass</t>
  </si>
  <si>
    <t>Invocation</t>
  </si>
  <si>
    <t>IRememberBecause</t>
  </si>
  <si>
    <t>IronyAsSheIsCast</t>
  </si>
  <si>
    <t>IsNothingSacred</t>
  </si>
  <si>
    <t>IstanbulNotConstantinople</t>
  </si>
  <si>
    <t>ItCantBeHelped</t>
  </si>
  <si>
    <t>ItHasBeenAnHonour</t>
  </si>
  <si>
    <t>ItMakesAsMuchSenseInContext</t>
  </si>
  <si>
    <t>ItsAlwaysSpring</t>
  </si>
  <si>
    <t>IveGotAnXAndImNotAfraidToUseIt</t>
  </si>
  <si>
    <t>IVs</t>
  </si>
  <si>
    <t>IWasBornReady</t>
  </si>
  <si>
    <t>IWasHavingSuchANiceDream</t>
  </si>
  <si>
    <t>IWasJustPassingThrough</t>
  </si>
  <si>
    <t>IWasNamedMyName</t>
  </si>
  <si>
    <t>IWasQuiteTheLooker</t>
  </si>
  <si>
    <t>IWasToldThereWouldBeCake</t>
  </si>
  <si>
    <t>IWillTearYourArmsOff</t>
  </si>
  <si>
    <t>Jaccuse</t>
  </si>
  <si>
    <t>JackhammeredConversation</t>
  </si>
  <si>
    <t>JadeColouredGlasses</t>
  </si>
  <si>
    <t>Japandering</t>
  </si>
  <si>
    <t>JerkWithTheHeartOfAJerk</t>
  </si>
  <si>
    <t>JesusWasCrazy</t>
  </si>
  <si>
    <t>JigglePhysics</t>
  </si>
  <si>
    <t>JokeExhaustion</t>
  </si>
  <si>
    <t>JoustingLance</t>
  </si>
  <si>
    <t>JudicialWig</t>
  </si>
  <si>
    <t>Juggalo</t>
  </si>
  <si>
    <t>Juggernaut</t>
  </si>
  <si>
    <t>JumpedOffTheSlipperySlope</t>
  </si>
  <si>
    <t>JumpedTheShark</t>
  </si>
  <si>
    <t>JumpingTheGenderBarrier</t>
  </si>
  <si>
    <t>JuryOfTheDamned</t>
  </si>
  <si>
    <t>JustForFun</t>
  </si>
  <si>
    <t>JustForTheHeliOfIt</t>
  </si>
  <si>
    <t>JustGivingOrders</t>
  </si>
  <si>
    <t>JusticeWillPrevail</t>
  </si>
  <si>
    <t>JustSoStory</t>
  </si>
  <si>
    <t>JustTakeThePoster</t>
  </si>
  <si>
    <t>JustTestingYou</t>
  </si>
  <si>
    <t>JustTheFirstCitizen</t>
  </si>
  <si>
    <t>JustTheIntroductionToTheOpposites</t>
  </si>
  <si>
    <t>JustWokeUpThatWay</t>
  </si>
  <si>
    <t>JuvenileHell</t>
  </si>
  <si>
    <t>KaizoTrap</t>
  </si>
  <si>
    <t>KangaroosRepresentAustralia</t>
  </si>
  <si>
    <t>KarmaMeter</t>
  </si>
  <si>
    <t>KatanasAreBetter</t>
  </si>
  <si>
    <t>Kawaiiko</t>
  </si>
  <si>
    <t>Keigo</t>
  </si>
  <si>
    <t>KiAttack</t>
  </si>
  <si>
    <t>KidnappedDoctor</t>
  </si>
  <si>
    <t>KidsShouldntWatchHorrorFilms</t>
  </si>
  <si>
    <t>KidsVersusAdults</t>
  </si>
  <si>
    <t>KidsWildernessEpic</t>
  </si>
  <si>
    <t>KidWithTheRemoteControl</t>
  </si>
  <si>
    <t>KilledByTheAdaptation</t>
  </si>
  <si>
    <t>KillingIntent</t>
  </si>
  <si>
    <t>KillItThroughItsStomach</t>
  </si>
  <si>
    <t>KiManipulation</t>
  </si>
  <si>
    <t>KimonoIsTraditional</t>
  </si>
  <si>
    <t>KingInTheMountain</t>
  </si>
  <si>
    <t>KissingTheGround</t>
  </si>
  <si>
    <t>KissingWarmUp</t>
  </si>
  <si>
    <t>KissUpTheArm</t>
  </si>
  <si>
    <t>KooshBomb</t>
  </si>
  <si>
    <t>LaBruce</t>
  </si>
  <si>
    <t>LadyInAPowerSuit</t>
  </si>
  <si>
    <t>LadyLegionnaireWear</t>
  </si>
  <si>
    <t>LampshadedTheObscureReference</t>
  </si>
  <si>
    <t>LandOfDragons</t>
  </si>
  <si>
    <t>LandOfFaerie</t>
  </si>
  <si>
    <t>LastDance</t>
  </si>
  <si>
    <t>LastDayToLive</t>
  </si>
  <si>
    <t>LastNoteHilarity</t>
  </si>
  <si>
    <t>LastOfItsKind</t>
  </si>
  <si>
    <t>LastPlaceYouLook</t>
  </si>
  <si>
    <t>LastWishMarriage</t>
  </si>
  <si>
    <t>LavaSurfing</t>
  </si>
  <si>
    <t>LawOfAlienNames</t>
  </si>
  <si>
    <t>LawOfConservationOfNormality</t>
  </si>
  <si>
    <t>LawOfInversePaternity</t>
  </si>
  <si>
    <t>LazyAlias</t>
  </si>
  <si>
    <t>LazyBackup</t>
  </si>
  <si>
    <t>LeaderFormsTheHead</t>
  </si>
  <si>
    <t>LeaningOnTheFurniture</t>
  </si>
  <si>
    <t>LeastRhymableWord</t>
  </si>
  <si>
    <t>LeavingFoodForSanta</t>
  </si>
  <si>
    <t>LeFou</t>
  </si>
  <si>
    <t>LegacyHero</t>
  </si>
  <si>
    <t>LegacyLaunch</t>
  </si>
  <si>
    <t>LegacyOfService</t>
  </si>
  <si>
    <t>LegacyOfTheChosen</t>
  </si>
  <si>
    <t>LegendaryImpostor</t>
  </si>
  <si>
    <t>LesbianRomance</t>
  </si>
  <si>
    <t>LesserStar</t>
  </si>
  <si>
    <t>LethalJokeCharacter</t>
  </si>
  <si>
    <t>LetsMockTheMonsters</t>
  </si>
  <si>
    <t>LetTheBullyWin</t>
  </si>
  <si>
    <t>LevelAte</t>
  </si>
  <si>
    <t>LevelGrinding</t>
  </si>
  <si>
    <t>LevelUp</t>
  </si>
  <si>
    <t>LicensedPinballTables</t>
  </si>
  <si>
    <t>LightAndMirrorsPuzzle</t>
  </si>
  <si>
    <t>LightGirlDarkBoy</t>
  </si>
  <si>
    <t>LightHairedSwimmer</t>
  </si>
  <si>
    <t>LightningFireJuxtaposition</t>
  </si>
  <si>
    <t>LightNovel</t>
  </si>
  <si>
    <t>LightswitchSurprise</t>
  </si>
  <si>
    <t>LikeADaughterToMe</t>
  </si>
  <si>
    <t>LikeAGodToMe</t>
  </si>
  <si>
    <t>LikeThatShowButWithMecha</t>
  </si>
  <si>
    <t>LimpAndLivid</t>
  </si>
  <si>
    <t>LintValue</t>
  </si>
  <si>
    <t>LionsAndTigersAndHumansOhMy</t>
  </si>
  <si>
    <t>LiterallyLaughableQuestion</t>
  </si>
  <si>
    <t>LittleGreenManInACan</t>
  </si>
  <si>
    <t>LittleKnownFacts</t>
  </si>
  <si>
    <t>LiveActionCartoon</t>
  </si>
  <si>
    <t>LivingBodysuit</t>
  </si>
  <si>
    <t>LivingCrashpad</t>
  </si>
  <si>
    <t>LivingShip</t>
  </si>
  <si>
    <t>LocalReference</t>
  </si>
  <si>
    <t>LockedDoor</t>
  </si>
  <si>
    <t>LockedOutOfTheFight</t>
  </si>
  <si>
    <t>LoggingOntoTheFourthWall</t>
  </si>
  <si>
    <t>LogicalLatecomer</t>
  </si>
  <si>
    <t>LogoGag</t>
  </si>
  <si>
    <t>LongestPregnancyEver</t>
  </si>
  <si>
    <t>LongSpeechTeaTime</t>
  </si>
  <si>
    <t>LongStory</t>
  </si>
  <si>
    <t>LookWhatICanDoNow</t>
  </si>
  <si>
    <t>LooseCanon</t>
  </si>
  <si>
    <t>LordErrorProne</t>
  </si>
  <si>
    <t>LordOfTheOcean</t>
  </si>
  <si>
    <t>LoserFriendPuzzlesOutsiders</t>
  </si>
  <si>
    <t>LouCypher</t>
  </si>
  <si>
    <t>LovesToHearThemScream</t>
  </si>
  <si>
    <t>LoveToHate</t>
  </si>
  <si>
    <t>LuckyNumberSeven</t>
  </si>
  <si>
    <t>Luvvies</t>
  </si>
  <si>
    <t>MachoMachoMan</t>
  </si>
  <si>
    <t>MadDreamer</t>
  </si>
  <si>
    <t>MadeMyselfSad</t>
  </si>
  <si>
    <t>MagazineDecay</t>
  </si>
  <si>
    <t>MageTower</t>
  </si>
  <si>
    <t>MagiBabble</t>
  </si>
  <si>
    <t>MagicalFlutist</t>
  </si>
  <si>
    <t>MagicalSociety</t>
  </si>
  <si>
    <t>MagicalUnderpinningsOfReality</t>
  </si>
  <si>
    <t>MagicAmpersand</t>
  </si>
  <si>
    <t>MagicAndPowers</t>
  </si>
  <si>
    <t>MagicianDetective</t>
  </si>
  <si>
    <t>MagicLibrarian</t>
  </si>
  <si>
    <t>MagicMisfire</t>
  </si>
  <si>
    <t>MagikarpPower</t>
  </si>
  <si>
    <t>MagnificentSevenSamurai</t>
  </si>
  <si>
    <t>Maid</t>
  </si>
  <si>
    <t>MaidCorps</t>
  </si>
  <si>
    <t>MakeTheDogTestify</t>
  </si>
  <si>
    <t>MakingUseOfTheTwin</t>
  </si>
  <si>
    <t>MaleToFemaleUniversalAdaptor</t>
  </si>
  <si>
    <t>MalevolentMutilation</t>
  </si>
  <si>
    <t>MammothsMeanIceAge</t>
  </si>
  <si>
    <t>ManInABikini</t>
  </si>
  <si>
    <t>ManInARubberSuit</t>
  </si>
  <si>
    <t>ManlyManAndSensitiveGuy</t>
  </si>
  <si>
    <t>ManOfKryptonite</t>
  </si>
  <si>
    <t>ManslaughterProvocation</t>
  </si>
  <si>
    <t>MarathonBoss</t>
  </si>
  <si>
    <t>MarkOfTheSupernatural</t>
  </si>
  <si>
    <t>MarriedInTheFuture</t>
  </si>
  <si>
    <t>MartialMedic</t>
  </si>
  <si>
    <t>MassEmpoweringEvent</t>
  </si>
  <si>
    <t>MassivelyNumberedSiblings</t>
  </si>
  <si>
    <t>MassResurrection</t>
  </si>
  <si>
    <t>MassSuperEmpoweringEvent</t>
  </si>
  <si>
    <t>MayflyDecemberFriendship</t>
  </si>
  <si>
    <t>MayorOfAGhostTown</t>
  </si>
  <si>
    <t>MayTheFarceBeWithYou</t>
  </si>
  <si>
    <t>McBain</t>
  </si>
  <si>
    <t>McCarty</t>
  </si>
  <si>
    <t>McCluskey</t>
  </si>
  <si>
    <t>McCormick</t>
  </si>
  <si>
    <t>McKay</t>
  </si>
  <si>
    <t>MeaningfulReleaseDate</t>
  </si>
  <si>
    <t>MeanwhileBackAtThe</t>
  </si>
  <si>
    <t>MeatPuppets</t>
  </si>
  <si>
    <t>MechanicalAbomination</t>
  </si>
  <si>
    <t>MechanicalMuscles</t>
  </si>
  <si>
    <t>MedleyOverture</t>
  </si>
  <si>
    <t>MeetMyGoodFriendsLeftyAndRighty</t>
  </si>
  <si>
    <t>MegaCrossover</t>
  </si>
  <si>
    <t>MegaMaelstrom</t>
  </si>
  <si>
    <t>MegaMealChallenge</t>
  </si>
  <si>
    <t>MelismaticVocals</t>
  </si>
  <si>
    <t>MellowFellow</t>
  </si>
  <si>
    <t>MelodramaticPause</t>
  </si>
  <si>
    <t>MemeticMolester</t>
  </si>
  <si>
    <t>MemorialPhoto</t>
  </si>
  <si>
    <t>MemoryTropes</t>
  </si>
  <si>
    <t>MenAreBetterThanWomen</t>
  </si>
  <si>
    <t>MenAreGenericWomenAreSpecial</t>
  </si>
  <si>
    <t>MenGetOldWomenGetReplaced</t>
  </si>
  <si>
    <t>MentalHandicapMoralDeficiency</t>
  </si>
  <si>
    <t>MentorsNewHope</t>
  </si>
  <si>
    <t>MerchantPrince</t>
  </si>
  <si>
    <t>MercifulMinion</t>
  </si>
  <si>
    <t>MergedReality</t>
  </si>
  <si>
    <t>MergerOfSouls</t>
  </si>
  <si>
    <t>MermaidArcEmergence</t>
  </si>
  <si>
    <t>Meta</t>
  </si>
  <si>
    <t>Metal</t>
  </si>
  <si>
    <t>MeteorMove</t>
  </si>
  <si>
    <t>MI6</t>
  </si>
  <si>
    <t>Microts</t>
  </si>
  <si>
    <t>MidairMotionShot</t>
  </si>
  <si>
    <t>MiddleAges</t>
  </si>
  <si>
    <t>MilkingTheMonster</t>
  </si>
  <si>
    <t>MilkyWhiteEyes</t>
  </si>
  <si>
    <t>MillenniumBug</t>
  </si>
  <si>
    <t>MindControlConspiracy</t>
  </si>
  <si>
    <t>MindMeld</t>
  </si>
  <si>
    <t>MindPrison</t>
  </si>
  <si>
    <t>MindReading</t>
  </si>
  <si>
    <t>MinimalistRun</t>
  </si>
  <si>
    <t>MinionManipulatedIntoVillainy</t>
  </si>
  <si>
    <t>MiniSeries</t>
  </si>
  <si>
    <t>MinorityPoliceOfficer</t>
  </si>
  <si>
    <t>MinorKidroduction</t>
  </si>
  <si>
    <t>MinstrelShow</t>
  </si>
  <si>
    <t>MirrorBoss</t>
  </si>
  <si>
    <t>MirrorCrackingUgly</t>
  </si>
  <si>
    <t>MirrorsReflectEverything</t>
  </si>
  <si>
    <t>MirrorWorld</t>
  </si>
  <si>
    <t>MischiefForPunishment</t>
  </si>
  <si>
    <t>Misogyny</t>
  </si>
  <si>
    <t>MissExposition</t>
  </si>
  <si>
    <t>MissionPackSequel</t>
  </si>
  <si>
    <t>MistakenForApocalypse</t>
  </si>
  <si>
    <t>MistakenForDog</t>
  </si>
  <si>
    <t>MistakenForGranite</t>
  </si>
  <si>
    <t>MistakenForPervert</t>
  </si>
  <si>
    <t>MistakenForSuicidal</t>
  </si>
  <si>
    <t>MistakenMessage</t>
  </si>
  <si>
    <t>MixAndMatch</t>
  </si>
  <si>
    <t>MkVI</t>
  </si>
  <si>
    <t>MobileFactory</t>
  </si>
  <si>
    <t>MobileMenace</t>
  </si>
  <si>
    <t>MockMeal</t>
  </si>
  <si>
    <t>ModelCouple</t>
  </si>
  <si>
    <t>ModernizedGod</t>
  </si>
  <si>
    <t>MoleMen</t>
  </si>
  <si>
    <t>MonaLisaSmile</t>
  </si>
  <si>
    <t>Mondo</t>
  </si>
  <si>
    <t>MoneyMakingShot</t>
  </si>
  <si>
    <t>MonsterFacade</t>
  </si>
  <si>
    <t>MonsterHeel</t>
  </si>
  <si>
    <t>MonsterSuit</t>
  </si>
  <si>
    <t>MonsterTown</t>
  </si>
  <si>
    <t>MonstrosityEqualsWeakness</t>
  </si>
  <si>
    <t>MontyHallProblem</t>
  </si>
  <si>
    <t>MonumentalView</t>
  </si>
  <si>
    <t>MoodRingEyes</t>
  </si>
  <si>
    <t>MookDepletion</t>
  </si>
  <si>
    <t>MoonLogicPuzzle</t>
  </si>
  <si>
    <t>MoralityDial</t>
  </si>
  <si>
    <t>MoralPragmatist</t>
  </si>
  <si>
    <t>MoreCriminalsThanTargets</t>
  </si>
  <si>
    <t>MoreHypnotizableThanHeThinks</t>
  </si>
  <si>
    <t>MosesInTheBullrushes</t>
  </si>
  <si>
    <t>MostCommonCardGame</t>
  </si>
  <si>
    <t>MotherFBomb</t>
  </si>
  <si>
    <t>MotherhoodIsSuperior</t>
  </si>
  <si>
    <t>MotherOfAThousandYoung</t>
  </si>
  <si>
    <t>MotherShip</t>
  </si>
  <si>
    <t>MothMenace</t>
  </si>
  <si>
    <t>MotifMerger</t>
  </si>
  <si>
    <t>MotionBlur</t>
  </si>
  <si>
    <t>MotivatedByFear</t>
  </si>
  <si>
    <t>MouseHole</t>
  </si>
  <si>
    <t>MovingBuildings</t>
  </si>
  <si>
    <t>MP40s</t>
  </si>
  <si>
    <t>MP5K</t>
  </si>
  <si>
    <t>MPs</t>
  </si>
  <si>
    <t>MuckingInTheMud</t>
  </si>
  <si>
    <t>MultilingualSong</t>
  </si>
  <si>
    <t>MultipleChoiceFuture</t>
  </si>
  <si>
    <t>MultipurposeMonoculturedCrop</t>
  </si>
  <si>
    <t>MultipurposeTongue</t>
  </si>
  <si>
    <t>MultiTakeCut</t>
  </si>
  <si>
    <t>MumblingBrando</t>
  </si>
  <si>
    <t>MuppetCameo</t>
  </si>
  <si>
    <t>MurderArsonAndJaywalking</t>
  </si>
  <si>
    <t>MurderBallad</t>
  </si>
  <si>
    <t>MurderBySuicide</t>
  </si>
  <si>
    <t>MurderMakesYouCrazy</t>
  </si>
  <si>
    <t>MurderMystery</t>
  </si>
  <si>
    <t>MurderousMask</t>
  </si>
  <si>
    <t>MushroomCloud</t>
  </si>
  <si>
    <t>MusicToInvadePolandTo</t>
  </si>
  <si>
    <t>MusicVideoCreditsSequence</t>
  </si>
  <si>
    <t>MusicVideoSyndrome</t>
  </si>
  <si>
    <t>MustacheTwirlingVillain</t>
  </si>
  <si>
    <t>MustStateIfYoureACop</t>
  </si>
  <si>
    <t>MutagenicGoo</t>
  </si>
  <si>
    <t>Mutant</t>
  </si>
  <si>
    <t>MutantDraftBoard</t>
  </si>
  <si>
    <t>MutualDisadvantage</t>
  </si>
  <si>
    <t>MutuallyUnequalRelationship</t>
  </si>
  <si>
    <t>MyHorseIsAMotorbike</t>
  </si>
  <si>
    <t>MyleneFarmer</t>
  </si>
  <si>
    <t>MyRealDaddy</t>
  </si>
  <si>
    <t>MyselfMyAvatar</t>
  </si>
  <si>
    <t>NaginatasAreFeminine</t>
  </si>
  <si>
    <t>NamedWeapon</t>
  </si>
  <si>
    <t>NameFaceName</t>
  </si>
  <si>
    <t>NameOne</t>
  </si>
  <si>
    <t>NameOrderConfusion</t>
  </si>
  <si>
    <t>NarratingThePresent</t>
  </si>
  <si>
    <t>NatureIsNotAToy</t>
  </si>
  <si>
    <t>NecessaryFail</t>
  </si>
  <si>
    <t>NecktieHeadband</t>
  </si>
  <si>
    <t>NegateYourOwnSacrifice</t>
  </si>
  <si>
    <t>Neologism</t>
  </si>
  <si>
    <t>NeonSignHideout</t>
  </si>
  <si>
    <t>Nerdgasm</t>
  </si>
  <si>
    <t>NerdyNasalness</t>
  </si>
  <si>
    <t>NeutralityBacklash</t>
  </si>
  <si>
    <t>NeverWakeUpASleepwalker</t>
  </si>
  <si>
    <t>NeverWasThisUniverse</t>
  </si>
  <si>
    <t>NeverWinTheLottery</t>
  </si>
  <si>
    <t>NewAndImproved</t>
  </si>
  <si>
    <t>NewEden</t>
  </si>
  <si>
    <t>NewEngland</t>
  </si>
  <si>
    <t>NewsBroadcast</t>
  </si>
  <si>
    <t>NewspaperComic</t>
  </si>
  <si>
    <t>NewWaveMusic</t>
  </si>
  <si>
    <t>NewWaveScienceFiction</t>
  </si>
  <si>
    <t>NiceMice</t>
  </si>
  <si>
    <t>NightNurse</t>
  </si>
  <si>
    <t>NinjaBrat</t>
  </si>
  <si>
    <t>NinjaLog</t>
  </si>
  <si>
    <t>NinjaProp</t>
  </si>
  <si>
    <t>NoAdequatePunishment</t>
  </si>
  <si>
    <t>NoBackwardsCompatibilityInTheFuture</t>
  </si>
  <si>
    <t>NobleProfession</t>
  </si>
  <si>
    <t>NoBloodTies</t>
  </si>
  <si>
    <t>NoEyeInMagic</t>
  </si>
  <si>
    <t>NoFameNoWealthNoService</t>
  </si>
  <si>
    <t>NoGravityForYou</t>
  </si>
  <si>
    <t>NoHelpIsComing</t>
  </si>
  <si>
    <t>NoHitWonder</t>
  </si>
  <si>
    <t>NoIntelligentLifeHere</t>
  </si>
  <si>
    <t>NoMoreLies</t>
  </si>
  <si>
    <t>NonActionDressRip</t>
  </si>
  <si>
    <t>NoNeedForNames</t>
  </si>
  <si>
    <t>NonHumanUndead</t>
  </si>
  <si>
    <t>NoPlaceForAWarrior</t>
  </si>
  <si>
    <t>NoProductSafetyStandards</t>
  </si>
  <si>
    <t>NoQuarter</t>
  </si>
  <si>
    <t>NordicNoir</t>
  </si>
  <si>
    <t>NostrilShot</t>
  </si>
  <si>
    <t>NoStuntDouble</t>
  </si>
  <si>
    <t>NotAnAct</t>
  </si>
  <si>
    <t>NotBad</t>
  </si>
  <si>
    <t>NotBigEnoughForTheTwoOfUs</t>
  </si>
  <si>
    <t>NotEvenBotheringWithAnExcuse</t>
  </si>
  <si>
    <t>NothingButSkinAndBones</t>
  </si>
  <si>
    <t>NoTimeToThink</t>
  </si>
  <si>
    <t>NotImportantToThisEpisodeCamp</t>
  </si>
  <si>
    <t>NotMyLuckyDay</t>
  </si>
  <si>
    <t>NotNowBernard</t>
  </si>
  <si>
    <t>NotNowWereTooBusyCryingOverYou</t>
  </si>
  <si>
    <t>NotReallyABirthScene</t>
  </si>
  <si>
    <t>NotTheIntendedUse</t>
  </si>
  <si>
    <t>NowBuyTheMerchandise</t>
  </si>
  <si>
    <t>NoYouHangUpFirst</t>
  </si>
  <si>
    <t>NumbersStations</t>
  </si>
  <si>
    <t>OathboundPower</t>
  </si>
  <si>
    <t>ObliviouslyBeautiful</t>
  </si>
  <si>
    <t>ObliviousToHisOwnDescription</t>
  </si>
  <si>
    <t>ObliviousToTheirOwnDescription</t>
  </si>
  <si>
    <t>ObstructiveZealot</t>
  </si>
  <si>
    <t>ObviousBeta</t>
  </si>
  <si>
    <t>ObviousRulePatch</t>
  </si>
  <si>
    <t>ObviousSecondChoice</t>
  </si>
  <si>
    <t>OceanicAirlines</t>
  </si>
  <si>
    <t>OddJobGods</t>
  </si>
  <si>
    <t>OddlyNamedSequel</t>
  </si>
  <si>
    <t>OddlyShapedSword</t>
  </si>
  <si>
    <t>OfficialCosplayGear</t>
  </si>
  <si>
    <t>OfficialPresidentialTransport</t>
  </si>
  <si>
    <t>OffscreenRebuilding</t>
  </si>
  <si>
    <t>OffTheChart</t>
  </si>
  <si>
    <t>OffTheGrid</t>
  </si>
  <si>
    <t>OffTheTable</t>
  </si>
  <si>
    <t>OhWait</t>
  </si>
  <si>
    <t>OhWaitThisIsMyGroceryList</t>
  </si>
  <si>
    <t>OldDog</t>
  </si>
  <si>
    <t>OlderThanDirt</t>
  </si>
  <si>
    <t>OlderThanFeudalism</t>
  </si>
  <si>
    <t>OlderThanSteam</t>
  </si>
  <si>
    <t>OlderThanTelevision</t>
  </si>
  <si>
    <t>OlderThanYouThink</t>
  </si>
  <si>
    <t>OldFriendNewGender</t>
  </si>
  <si>
    <t>OldMediaPlayingCatchUp</t>
  </si>
  <si>
    <t>OldSchoolDogfighting</t>
  </si>
  <si>
    <t>OnceAcceptableTargets</t>
  </si>
  <si>
    <t>OneDropRule</t>
  </si>
  <si>
    <t>OneMansTrashIsAnothersTreasure</t>
  </si>
  <si>
    <t>OneOfTheseIsNotLikeTheOthers</t>
  </si>
  <si>
    <t>OnePersonOnePower</t>
  </si>
  <si>
    <t>OneProductPlanet</t>
  </si>
  <si>
    <t>OneShotCharacter</t>
  </si>
  <si>
    <t>OneTrueThreesome</t>
  </si>
  <si>
    <t>OneWheeledWonder</t>
  </si>
  <si>
    <t>OnlyFatalToAdults</t>
  </si>
  <si>
    <t>OnlyICanMakeItGo</t>
  </si>
  <si>
    <t>OnlyInAmerica</t>
  </si>
  <si>
    <t>OnlyOneAfterlife</t>
  </si>
  <si>
    <t>OnlyOneFindsItFun</t>
  </si>
  <si>
    <t>OnlyOneMeAllowedRightNow</t>
  </si>
  <si>
    <t>OnlyTheCreatorDoesItRight</t>
  </si>
  <si>
    <t>OnlyTheKnowledgableMayPass</t>
  </si>
  <si>
    <t>OnTheNext</t>
  </si>
  <si>
    <t>OpaqueLenses</t>
  </si>
  <si>
    <t>OpenAndShut</t>
  </si>
  <si>
    <t>OpenDoorOpening</t>
  </si>
  <si>
    <t>OpeningCreditsCastParty</t>
  </si>
  <si>
    <t>OpeningShoutOut</t>
  </si>
  <si>
    <t>OpenSesame</t>
  </si>
  <si>
    <t>OpenShirtTaunt</t>
  </si>
  <si>
    <t>OperatorIncompatibility</t>
  </si>
  <si>
    <t>OpinionChangingDream</t>
  </si>
  <si>
    <t>OrangeAndBlueContrast</t>
  </si>
  <si>
    <t>OrangeAndBlueMorality</t>
  </si>
  <si>
    <t>OrderedToDie</t>
  </si>
  <si>
    <t>OrderVsChaos</t>
  </si>
  <si>
    <t>OrgasmicallyDelicious</t>
  </si>
  <si>
    <t>OriginalPositionFallacy</t>
  </si>
  <si>
    <t>OrMyNameIsnt</t>
  </si>
  <si>
    <t>OrnamentalWeapon</t>
  </si>
  <si>
    <t>Oubliette</t>
  </si>
  <si>
    <t>OurAncestorsAreSuperheroes</t>
  </si>
  <si>
    <t>OurCentaursAreDifferent</t>
  </si>
  <si>
    <t>OurDarkMatterIsMysterious</t>
  </si>
  <si>
    <t>OurGryphonsAreDifferent</t>
  </si>
  <si>
    <t>OurSpiritsAreDifferent</t>
  </si>
  <si>
    <t>OutdatedHeroVsImprovedSociety</t>
  </si>
  <si>
    <t>OutGivingBirthBackInTwoMinutes</t>
  </si>
  <si>
    <t>OutgrowingTheChildishName</t>
  </si>
  <si>
    <t>OutOfSightOutOfMind</t>
  </si>
  <si>
    <t>OutsideContextVillain</t>
  </si>
  <si>
    <t>OutsideInsideSlur</t>
  </si>
  <si>
    <t>OverallsAndGingham</t>
  </si>
  <si>
    <t>OvercomeWithDesire</t>
  </si>
  <si>
    <t>OverDrive</t>
  </si>
  <si>
    <t>OverlyLongHug</t>
  </si>
  <si>
    <t>OverlyPolitePals</t>
  </si>
  <si>
    <t>OverlyPreparedGag</t>
  </si>
  <si>
    <t>OverTheShoulder</t>
  </si>
  <si>
    <t>OverzealousUnderling</t>
  </si>
  <si>
    <t>PacifismBackfire</t>
  </si>
  <si>
    <t>PacifistDojo</t>
  </si>
  <si>
    <t>PackagedAsOtherMedium</t>
  </si>
  <si>
    <t>PaedophilePriest</t>
  </si>
  <si>
    <t>PaintingTheFrostOnWindows</t>
  </si>
  <si>
    <t>PainToTheAss</t>
  </si>
  <si>
    <t>PairTheSuitors</t>
  </si>
  <si>
    <t>PaleFemalesDarkMales</t>
  </si>
  <si>
    <t>PalmBloodletting</t>
  </si>
  <si>
    <t>Pantomime</t>
  </si>
  <si>
    <t>PaperKeyRetrievalTrick</t>
  </si>
  <si>
    <t>PaperPeople</t>
  </si>
  <si>
    <t>PariahPrisoner</t>
  </si>
  <si>
    <t>ParodyName</t>
  </si>
  <si>
    <t>PassingNotesInClass</t>
  </si>
  <si>
    <t>PassiveRescue</t>
  </si>
  <si>
    <t>PatchworkKids</t>
  </si>
  <si>
    <t>PatchworkMap</t>
  </si>
  <si>
    <t>PayingInCoins</t>
  </si>
  <si>
    <t>PeekABogeyman</t>
  </si>
  <si>
    <t>PeelingPotatoes</t>
  </si>
  <si>
    <t>PenultimateOutburst</t>
  </si>
  <si>
    <t>PeopleFarm</t>
  </si>
  <si>
    <t>PeopleZoo</t>
  </si>
  <si>
    <t>PepperSneeze</t>
  </si>
  <si>
    <t>PerilousPlay</t>
  </si>
  <si>
    <t>PersonalMook</t>
  </si>
  <si>
    <t>PersonalSpaceInvader</t>
  </si>
  <si>
    <t>PervertRevengeMode</t>
  </si>
  <si>
    <t>PetMonstrosity</t>
  </si>
  <si>
    <t>PetRat</t>
  </si>
  <si>
    <t>PGExplosives</t>
  </si>
  <si>
    <t>PhantomZonePicture</t>
  </si>
  <si>
    <t>PhlebotinumHandlingRequirements</t>
  </si>
  <si>
    <t>PhlebotinumMuncher</t>
  </si>
  <si>
    <t>PhlebotinumPills</t>
  </si>
  <si>
    <t>PhysicalGods</t>
  </si>
  <si>
    <t>PhysicalReligion</t>
  </si>
  <si>
    <t>PickedFlowersAreDead</t>
  </si>
  <si>
    <t>PiecemealFundsTransfer</t>
  </si>
  <si>
    <t>PillarsOfMoralCharacter</t>
  </si>
  <si>
    <t>PilotEpisode</t>
  </si>
  <si>
    <t>Pinball</t>
  </si>
  <si>
    <t>PinballGag</t>
  </si>
  <si>
    <t>PinkProductPloy</t>
  </si>
  <si>
    <t>PintSizePowerhouse</t>
  </si>
  <si>
    <t>PiratesVersusNinjas</t>
  </si>
  <si>
    <t>PitbullDatesPuppy</t>
  </si>
  <si>
    <t>Pixelation</t>
  </si>
  <si>
    <t>PlanetaryNation</t>
  </si>
  <si>
    <t>PlantMooks</t>
  </si>
  <si>
    <t>PlayfulOtter</t>
  </si>
  <si>
    <t>PlaygroundSong</t>
  </si>
  <si>
    <t>PlayingGamesAtWork</t>
  </si>
  <si>
    <t>PlayingGod</t>
  </si>
  <si>
    <t>PlayingPictionary</t>
  </si>
  <si>
    <t>PlayingWith</t>
  </si>
  <si>
    <t>PlaysGreatEthnics</t>
  </si>
  <si>
    <t>PlayWithinAPlay</t>
  </si>
  <si>
    <t>PleaseSubscribeToOurChannel</t>
  </si>
  <si>
    <t>PleasurePlanet</t>
  </si>
  <si>
    <t>PlotDrivingSecret</t>
  </si>
  <si>
    <t>PlotImmunity</t>
  </si>
  <si>
    <t>PlotSensitiveButton</t>
  </si>
  <si>
    <t>PlugNPlayFriends</t>
  </si>
  <si>
    <t>PlutoIsExpendable</t>
  </si>
  <si>
    <t>PointAndLaughShow</t>
  </si>
  <si>
    <t>PointlessDoomsdayDevice</t>
  </si>
  <si>
    <t>Polyglot</t>
  </si>
  <si>
    <t>PonziScheme</t>
  </si>
  <si>
    <t>PopcornOnTheCob</t>
  </si>
  <si>
    <t>PopPunk</t>
  </si>
  <si>
    <t>PossibleWar</t>
  </si>
  <si>
    <t>PostApocalyptic</t>
  </si>
  <si>
    <t>PosthumousCollaboration</t>
  </si>
  <si>
    <t>PostInjuryDeskJob</t>
  </si>
  <si>
    <t>PostModernMagick</t>
  </si>
  <si>
    <t>PostMortemConversion</t>
  </si>
  <si>
    <t>PostRobberyTrauma</t>
  </si>
  <si>
    <t>PotteryBarnPoor</t>
  </si>
  <si>
    <t>PowderGag</t>
  </si>
  <si>
    <t>PoweredArmour</t>
  </si>
  <si>
    <t>PowerLevels</t>
  </si>
  <si>
    <t>PowerOfHate</t>
  </si>
  <si>
    <t>PowerOfRock</t>
  </si>
  <si>
    <t>PowerPop</t>
  </si>
  <si>
    <t>PowersDoTheFighting</t>
  </si>
  <si>
    <t>PowerSource</t>
  </si>
  <si>
    <t>PowerStrainBlackout</t>
  </si>
  <si>
    <t>PowerUp</t>
  </si>
  <si>
    <t>PracticalCurrency</t>
  </si>
  <si>
    <t>PracticallyDifferentGenerations</t>
  </si>
  <si>
    <t>PracticallyJoker</t>
  </si>
  <si>
    <t>Pratfall</t>
  </si>
  <si>
    <t>PreApprovedSermon</t>
  </si>
  <si>
    <t>Precognition</t>
  </si>
  <si>
    <t>PredatorsAreMean</t>
  </si>
  <si>
    <t>PreemptiveApology</t>
  </si>
  <si>
    <t>PreferJailToTheProtagonist</t>
  </si>
  <si>
    <t>PrefersRawMeat</t>
  </si>
  <si>
    <t>PrefersRocksToPillows</t>
  </si>
  <si>
    <t>PrematurelyGreyHaired</t>
  </si>
  <si>
    <t>PrepositionalPhraseEqualsCoolness</t>
  </si>
  <si>
    <t>PrepositionsAreNotToEndSentencesWith</t>
  </si>
  <si>
    <t>PrequelInTheLostAge</t>
  </si>
  <si>
    <t>PreSacrificeFinalGoodbye</t>
  </si>
  <si>
    <t>PresentPeeking</t>
  </si>
  <si>
    <t>PresentTenseNarrative</t>
  </si>
  <si>
    <t>PrettyFreeloader</t>
  </si>
  <si>
    <t>PrimaryColorChampion</t>
  </si>
  <si>
    <t>PrincessPhase</t>
  </si>
  <si>
    <t>PrincessProtagonist</t>
  </si>
  <si>
    <t>PrisonEpisode</t>
  </si>
  <si>
    <t>PrivatelyOwnedSociety</t>
  </si>
  <si>
    <t>PrivateMilitaryCompany</t>
  </si>
  <si>
    <t>ProductionNickname</t>
  </si>
  <si>
    <t>PromiseMeYouWontX</t>
  </si>
  <si>
    <t>PromotedToOpeningCredits</t>
  </si>
  <si>
    <t>PromotedToOpeningTitles</t>
  </si>
  <si>
    <t>PropagandaPiece</t>
  </si>
  <si>
    <t>PropertyLine</t>
  </si>
  <si>
    <t>ProphecyArmor</t>
  </si>
  <si>
    <t>ProudWarriorRaceGirl</t>
  </si>
  <si>
    <t>ProvokeMeTaunt</t>
  </si>
  <si>
    <t>PsychicChildren</t>
  </si>
  <si>
    <t>PsychicStatic</t>
  </si>
  <si>
    <t>PsychoSidekick</t>
  </si>
  <si>
    <t>PsychoSoldier</t>
  </si>
  <si>
    <t>PuddleCoveringChivalry</t>
  </si>
  <si>
    <t>PullingTheRugOut</t>
  </si>
  <si>
    <t>PummelDuel</t>
  </si>
  <si>
    <t>PunishedWithUgly</t>
  </si>
  <si>
    <t>PunnyHeadlines</t>
  </si>
  <si>
    <t>PunnyTitle</t>
  </si>
  <si>
    <t>PunyEarthling</t>
  </si>
  <si>
    <t>PuppetPermutation</t>
  </si>
  <si>
    <t>PurpleEyes</t>
  </si>
  <si>
    <t>PurposeDrivenImmortality</t>
  </si>
  <si>
    <t>PutOnTheBus</t>
  </si>
  <si>
    <t>PuttingThePalInPrincipal</t>
  </si>
  <si>
    <t>PuttingThePeeInPool</t>
  </si>
  <si>
    <t>QualityOverQuantity</t>
  </si>
  <si>
    <t>QueerAsTropes</t>
  </si>
  <si>
    <t>QueerCharacterQueerActor</t>
  </si>
  <si>
    <t>QuestToTheWest</t>
  </si>
  <si>
    <t>QuirkyGirlQuirkyTux</t>
  </si>
  <si>
    <t>QuotingMyself</t>
  </si>
  <si>
    <t>RaceFilm</t>
  </si>
  <si>
    <t>RackFocus</t>
  </si>
  <si>
    <t>RadishCure</t>
  </si>
  <si>
    <t>RaidersOfTheLostParody</t>
  </si>
  <si>
    <t>RailroadToHorizon</t>
  </si>
  <si>
    <t>RainbowMotif</t>
  </si>
  <si>
    <t>RainbowPimpGear</t>
  </si>
  <si>
    <t>RaisedByRobots</t>
  </si>
  <si>
    <t>RaisedLighterTribute</t>
  </si>
  <si>
    <t>RamenSlurp</t>
  </si>
  <si>
    <t>RampingShot</t>
  </si>
  <si>
    <t>RandomNumberGod</t>
  </si>
  <si>
    <t>RandomTransportation</t>
  </si>
  <si>
    <t>RangedEmergencyWeapon</t>
  </si>
  <si>
    <t>RareGun</t>
  </si>
  <si>
    <t>RascallyRaccoon</t>
  </si>
  <si>
    <t>RashEquilibrium</t>
  </si>
  <si>
    <t>RavensAndCrows</t>
  </si>
  <si>
    <t>RealFakeDoor</t>
  </si>
  <si>
    <t>RealityBreakingParadox</t>
  </si>
  <si>
    <t>ReallyFondOfSleeping</t>
  </si>
  <si>
    <t>RealMenHateSugar</t>
  </si>
  <si>
    <t>RealSoonNow</t>
  </si>
  <si>
    <t>RealVehicleReveal</t>
  </si>
  <si>
    <t>RearWindowHomage</t>
  </si>
  <si>
    <t>ReasonBeforeHonor</t>
  </si>
  <si>
    <t>ReasoningWithGod</t>
  </si>
  <si>
    <t>ReasonWhyYouSuckSpeech</t>
  </si>
  <si>
    <t>RecapEpisode</t>
  </si>
  <si>
    <t>ReceivedPronunciation</t>
  </si>
  <si>
    <t>RecoverySequence</t>
  </si>
  <si>
    <t>RedArmbandOfLeadership</t>
  </si>
  <si>
    <t>RedHeadedHero</t>
  </si>
  <si>
    <t>RedHerringShirt</t>
  </si>
  <si>
    <t>RedSkiesCrossover</t>
  </si>
  <si>
    <t>ReflectingLaser</t>
  </si>
  <si>
    <t>ReflexiveRemarkOfReverence</t>
  </si>
  <si>
    <t>RefusalOfTheSecondCall</t>
  </si>
  <si>
    <t>RegalRuff</t>
  </si>
  <si>
    <t>RegimeChange</t>
  </si>
  <si>
    <t>RegionalSpeciality</t>
  </si>
  <si>
    <t>RelationshipVoiceActor</t>
  </si>
  <si>
    <t>ReleasingFromThePromise</t>
  </si>
  <si>
    <t>ReligiousRussianRoulette</t>
  </si>
  <si>
    <t>ReligiousStereotype</t>
  </si>
  <si>
    <t>ReluctantRuler</t>
  </si>
  <si>
    <t>RememberedTooLate</t>
  </si>
  <si>
    <t>RemovedAchillesHeel</t>
  </si>
  <si>
    <t>RenamedTheSame</t>
  </si>
  <si>
    <t>RenownedSelectiveMentor</t>
  </si>
  <si>
    <t>RepressedMemories</t>
  </si>
  <si>
    <t>RequiredSecondaryPower</t>
  </si>
  <si>
    <t>ReReleaseSoundtrack</t>
  </si>
  <si>
    <t>ReroutedFromHeaven</t>
  </si>
  <si>
    <t>RescueReversal</t>
  </si>
  <si>
    <t>ResentfulGuardian</t>
  </si>
  <si>
    <t>ResidualSelfImage</t>
  </si>
  <si>
    <t>ResurrectedForAJob</t>
  </si>
  <si>
    <t>ResurrectionTeleportation</t>
  </si>
  <si>
    <t>RetConned</t>
  </si>
  <si>
    <t>RetiredGunslinger</t>
  </si>
  <si>
    <t>RetractableWeapon</t>
  </si>
  <si>
    <t>Retreaux</t>
  </si>
  <si>
    <t>RetroactivePrecognition</t>
  </si>
  <si>
    <t>ReunionVow</t>
  </si>
  <si>
    <t>Reveal</t>
  </si>
  <si>
    <t>Reveille</t>
  </si>
  <si>
    <t>RevengeSVP</t>
  </si>
  <si>
    <t>ReverseRelationshipReveal</t>
  </si>
  <si>
    <t>ReviewIronicEcho</t>
  </si>
  <si>
    <t>RevivalByCommercialization</t>
  </si>
  <si>
    <t>ReviveKillsZombie</t>
  </si>
  <si>
    <t>RiceBurner</t>
  </si>
  <si>
    <t>RichardNixonTheUsedCarSalesman</t>
  </si>
  <si>
    <t>RichJerk</t>
  </si>
  <si>
    <t>RiddlingSphinx</t>
  </si>
  <si>
    <t>RidiculousExchangeRates</t>
  </si>
  <si>
    <t>RidiculouslyLongPhoneNumber</t>
  </si>
  <si>
    <t>RightHandHottie</t>
  </si>
  <si>
    <t>RingworldPlanet</t>
  </si>
  <si>
    <t>RipVanTinkle</t>
  </si>
  <si>
    <t>RisingConflict</t>
  </si>
  <si>
    <t>RitualMagic</t>
  </si>
  <si>
    <t>RitualsAndCeremonies</t>
  </si>
  <si>
    <t>RivalDojos</t>
  </si>
  <si>
    <t>RivalFinalBoss</t>
  </si>
  <si>
    <t>RivalScienceTeams</t>
  </si>
  <si>
    <t>RobotAthlete</t>
  </si>
  <si>
    <t>Roboteching</t>
  </si>
  <si>
    <t>RoboticSpouse</t>
  </si>
  <si>
    <t>RobotReligion</t>
  </si>
  <si>
    <t>RobotsThinkFaster</t>
  </si>
  <si>
    <t>RobotUprising</t>
  </si>
  <si>
    <t>Rockabilly</t>
  </si>
  <si>
    <t>RockAndRoll</t>
  </si>
  <si>
    <t>RocketBoots</t>
  </si>
  <si>
    <t>RockTrio</t>
  </si>
  <si>
    <t>RolePlayingGame</t>
  </si>
  <si>
    <t>RollOutTheRedCarpet</t>
  </si>
  <si>
    <t>RomanceNovel</t>
  </si>
  <si>
    <t>RomanticismVsEnlightenment</t>
  </si>
  <si>
    <t>RomanticSpoonfeeding</t>
  </si>
  <si>
    <t>RonTheDeathEater</t>
  </si>
  <si>
    <t>RookieRedRanger</t>
  </si>
  <si>
    <t>RoswellIncident</t>
  </si>
  <si>
    <t>RoswellThatEndsWell</t>
  </si>
  <si>
    <t>RotatingArcs</t>
  </si>
  <si>
    <t>RottenRoboticReplacement</t>
  </si>
  <si>
    <t>RPGMechanicsVerse</t>
  </si>
  <si>
    <t>RubberBandHistory</t>
  </si>
  <si>
    <t>RubberFace</t>
  </si>
  <si>
    <t>RubberForeheadAlien</t>
  </si>
  <si>
    <t>RubeGoldbergMachine</t>
  </si>
  <si>
    <t>RuleOfAwesome</t>
  </si>
  <si>
    <t>RuleOfCute</t>
  </si>
  <si>
    <t>RuleOfEmpathy</t>
  </si>
  <si>
    <t>RuleOfGlamorous</t>
  </si>
  <si>
    <t>RuleOfTwo</t>
  </si>
  <si>
    <t>RulesOfTheRoad</t>
  </si>
  <si>
    <t>RunsOnIgnorance</t>
  </si>
  <si>
    <t>RunTheGauntlet</t>
  </si>
  <si>
    <t>RuPaul</t>
  </si>
  <si>
    <t>SacredLanguage</t>
  </si>
  <si>
    <t>SadBollywoodWedding</t>
  </si>
  <si>
    <t>SafetyWorst</t>
  </si>
  <si>
    <t>SageLoveInterest</t>
  </si>
  <si>
    <t>SaiGuy</t>
  </si>
  <si>
    <t>SailorsPonytail</t>
  </si>
  <si>
    <t>SandIsWater</t>
  </si>
  <si>
    <t>Santabomination</t>
  </si>
  <si>
    <t>SapientCetaceans</t>
  </si>
  <si>
    <t>SapientSteed</t>
  </si>
  <si>
    <t>SavageWolf</t>
  </si>
  <si>
    <t>SaveBothWorlds</t>
  </si>
  <si>
    <t>SavedByThePhlebotinum</t>
  </si>
  <si>
    <t>SawStarWars27Times</t>
  </si>
  <si>
    <t>ScareCampaign</t>
  </si>
  <si>
    <t>ScaryShadowFakeout</t>
  </si>
  <si>
    <t>ScarySurpriseParty</t>
  </si>
  <si>
    <t>ScenicRoute</t>
  </si>
  <si>
    <t>Schemer</t>
  </si>
  <si>
    <t>SchoolFestival</t>
  </si>
  <si>
    <t>SchoolIdol</t>
  </si>
  <si>
    <t>SchoolNewspaperNewshound</t>
  </si>
  <si>
    <t>SchoolShooting</t>
  </si>
  <si>
    <t>SchrodingersGun</t>
  </si>
  <si>
    <t>ScienceCocktail</t>
  </si>
  <si>
    <t>ScienceHerosBabeAssistant</t>
  </si>
  <si>
    <t>SciFiNameBuzzwords</t>
  </si>
  <si>
    <t>ScrapHeapHero</t>
  </si>
  <si>
    <t>ScreeningTheCall</t>
  </si>
  <si>
    <t>ScrewTheRulesIHaveANuke</t>
  </si>
  <si>
    <t>ScrewTheRulesItsTheApocalypse</t>
  </si>
  <si>
    <t>ScriptSwap</t>
  </si>
  <si>
    <t>ScriptWank</t>
  </si>
  <si>
    <t>SeahorseSteed</t>
  </si>
  <si>
    <t>SealedOrders</t>
  </si>
  <si>
    <t>SeashellBra</t>
  </si>
  <si>
    <t>SeasonalMotif</t>
  </si>
  <si>
    <t>SeasonalRot</t>
  </si>
  <si>
    <t>SecretArt</t>
  </si>
  <si>
    <t>SecretIdentityApathy</t>
  </si>
  <si>
    <t>SecretIngredient</t>
  </si>
  <si>
    <t>SeekerWhiteBloodCells</t>
  </si>
  <si>
    <t>SeeNoEvilHearNoEvil</t>
  </si>
  <si>
    <t>SeesawCatapult</t>
  </si>
  <si>
    <t>SeizeThem</t>
  </si>
  <si>
    <t>SelectiveGravity</t>
  </si>
  <si>
    <t>SelectiveSlaughter</t>
  </si>
  <si>
    <t>SelfBotchedCatchPhrase</t>
  </si>
  <si>
    <t>SelfDefeatingProphecy</t>
  </si>
  <si>
    <t>SelfGuardingPhlebotinum</t>
  </si>
  <si>
    <t>SelfInsert</t>
  </si>
  <si>
    <t>SelfProclaimedLiar</t>
  </si>
  <si>
    <t>SelfSacrificeScheme</t>
  </si>
  <si>
    <t>SendInTheClones</t>
  </si>
  <si>
    <t>SeniorCreep</t>
  </si>
  <si>
    <t>SeniorSleepCycle</t>
  </si>
  <si>
    <t>SentientPhlebotinum</t>
  </si>
  <si>
    <t>SentimentalDrunk</t>
  </si>
  <si>
    <t>SeparatedFromTheAdults</t>
  </si>
  <si>
    <t>SequelDisplacement</t>
  </si>
  <si>
    <t>SequenceBreaking</t>
  </si>
  <si>
    <t>SequentialArtist</t>
  </si>
  <si>
    <t>SequentialBoss</t>
  </si>
  <si>
    <t>SerialKillers</t>
  </si>
  <si>
    <t>SeriesFranchise</t>
  </si>
  <si>
    <t>SeriesMascot</t>
  </si>
  <si>
    <t>ServantRace</t>
  </si>
  <si>
    <t>SettingIntroductionSong</t>
  </si>
  <si>
    <t>SevenDirtyWords</t>
  </si>
  <si>
    <t>SexForProduct</t>
  </si>
  <si>
    <t>SexIsCool</t>
  </si>
  <si>
    <t>SexIsInteresting</t>
  </si>
  <si>
    <t>SexistUsedCarSalesman</t>
  </si>
  <si>
    <t>SexMagic</t>
  </si>
  <si>
    <t>SexyJester</t>
  </si>
  <si>
    <t>SexySchoolwoman</t>
  </si>
  <si>
    <t>SexySpectacles</t>
  </si>
  <si>
    <t>ShamCeremony</t>
  </si>
  <si>
    <t>ShamelessFanserviceGuy</t>
  </si>
  <si>
    <t>ShapeshiftersDoItForAChange</t>
  </si>
  <si>
    <t>ShapeshiftingFailure</t>
  </si>
  <si>
    <t>SharkTunnel</t>
  </si>
  <si>
    <t>SharpshooterFallacy</t>
  </si>
  <si>
    <t>SheWillComeForMe</t>
  </si>
  <si>
    <t>ShieldsAreUseless</t>
  </si>
  <si>
    <t>ShiftingTheBurdenOfProof</t>
  </si>
  <si>
    <t>ShiftingVoiceOfMadness</t>
  </si>
  <si>
    <t>ShipOutOfWater</t>
  </si>
  <si>
    <t>ShipperWithAnAgenda</t>
  </si>
  <si>
    <t>ShockJock</t>
  </si>
  <si>
    <t>ShockwaveClap</t>
  </si>
  <si>
    <t>ShoddyShindig</t>
  </si>
  <si>
    <t>Shonen</t>
  </si>
  <si>
    <t>ShonenHair</t>
  </si>
  <si>
    <t>ShootingLessonsFromYourParents</t>
  </si>
  <si>
    <t>ShopClass</t>
  </si>
  <si>
    <t>ShortLivedLeadership</t>
  </si>
  <si>
    <t>ShortTitles</t>
  </si>
  <si>
    <t>ShotgunDance</t>
  </si>
  <si>
    <t>ShowAccuracyToyAccuracy</t>
  </si>
  <si>
    <t>ShowingOffThePerilousPowerSource</t>
  </si>
  <si>
    <t>SiblingSwitchSquick</t>
  </si>
  <si>
    <t>SickCaptiveScam</t>
  </si>
  <si>
    <t>SickeningSweethearts</t>
  </si>
  <si>
    <t>Sidequest</t>
  </si>
  <si>
    <t>SighOfLove</t>
  </si>
  <si>
    <t>SilentFilm</t>
  </si>
  <si>
    <t>SilentFilms</t>
  </si>
  <si>
    <t>SilentOffer</t>
  </si>
  <si>
    <t>SilentPartner</t>
  </si>
  <si>
    <t>SimilarItemConfusion</t>
  </si>
  <si>
    <t>SimulationGame</t>
  </si>
  <si>
    <t>SingleStanzaSong</t>
  </si>
  <si>
    <t>SinisterScimitar</t>
  </si>
  <si>
    <t>SirensAreMermaids</t>
  </si>
  <si>
    <t>SitCom</t>
  </si>
  <si>
    <t>SittingDucks</t>
  </si>
  <si>
    <t>SkeletonGovernment</t>
  </si>
  <si>
    <t>SketchySuccessor</t>
  </si>
  <si>
    <t>SkinshipGrope</t>
  </si>
  <si>
    <t>SkyCell</t>
  </si>
  <si>
    <t>SkyNet</t>
  </si>
  <si>
    <t>SleeperAgent</t>
  </si>
  <si>
    <t>SleeperShip</t>
  </si>
  <si>
    <t>SleepLearning</t>
  </si>
  <si>
    <t>SleepModeSize</t>
  </si>
  <si>
    <t>SliceAndDiceSwordsmanship</t>
  </si>
  <si>
    <t>SlicesDicesAndMakesJulienneFries</t>
  </si>
  <si>
    <t>SlidingScaleOfAnimalCast</t>
  </si>
  <si>
    <t>SlidingScaleOfBeauty</t>
  </si>
  <si>
    <t>SlidingScaleOfCynicismVsIdealism</t>
  </si>
  <si>
    <t>SlidingScaleOfFourthWallHardness</t>
  </si>
  <si>
    <t>SlidingScaleOfLeadershipResponsibility</t>
  </si>
  <si>
    <t>SlidingScaleOfSillinessVsSeriousness</t>
  </si>
  <si>
    <t>SlidingScaleOfUnavoidableVersusUnforgivable</t>
  </si>
  <si>
    <t>SlidingScaleOfVillainEffectiveness</t>
  </si>
  <si>
    <t>SlidingScaleOfVillainThreat</t>
  </si>
  <si>
    <t>SlipperyMacGuffin</t>
  </si>
  <si>
    <t>Slogans</t>
  </si>
  <si>
    <t>SmallAnnoyingCreature</t>
  </si>
  <si>
    <t>SmallTowns</t>
  </si>
  <si>
    <t>SmithOfTheYard</t>
  </si>
  <si>
    <t>SmokingGunControl</t>
  </si>
  <si>
    <t>Smurfing</t>
  </si>
  <si>
    <t>SnarkingThanks</t>
  </si>
  <si>
    <t>SNKBoss</t>
  </si>
  <si>
    <t>SnubByOmission</t>
  </si>
  <si>
    <t>Soaperizing</t>
  </si>
  <si>
    <t>SobriquetSexSwitch</t>
  </si>
  <si>
    <t>SoccerHatingAmericans</t>
  </si>
  <si>
    <t>SocialCircleFiller</t>
  </si>
  <si>
    <t>SockPuppet</t>
  </si>
  <si>
    <t>SoCrazyItMustBeTrue</t>
  </si>
  <si>
    <t>SolarCPR</t>
  </si>
  <si>
    <t>SolarFlareDisaster</t>
  </si>
  <si>
    <t>SolarSail</t>
  </si>
  <si>
    <t>SomeDexterityRequired</t>
  </si>
  <si>
    <t>SomeNuttyPublicityStunt</t>
  </si>
  <si>
    <t>SomewhereSong</t>
  </si>
  <si>
    <t>SommelierSpeak</t>
  </si>
  <si>
    <t>SongParody</t>
  </si>
  <si>
    <t>SongsOfSolace</t>
  </si>
  <si>
    <t>SonOfAnApe</t>
  </si>
  <si>
    <t>SoOnceAgainTheDayIsSaved</t>
  </si>
  <si>
    <t>SorcerersApprenticePlot</t>
  </si>
  <si>
    <t>SorrowfulStutter</t>
  </si>
  <si>
    <t>SorryImLate</t>
  </si>
  <si>
    <t>SortingAlgorithmOfDeadness</t>
  </si>
  <si>
    <t>SoulsavingCrusader</t>
  </si>
  <si>
    <t>SoupIsMedicine</t>
  </si>
  <si>
    <t>SouthAsianTerrorists</t>
  </si>
  <si>
    <t>SpaceCadetAcademy</t>
  </si>
  <si>
    <t>SpaceColdWar</t>
  </si>
  <si>
    <t>SpaceNavy</t>
  </si>
  <si>
    <t>SpacePeople</t>
  </si>
  <si>
    <t>SpaceRomans</t>
  </si>
  <si>
    <t>SpaceSailing</t>
  </si>
  <si>
    <t>SparingTheAces</t>
  </si>
  <si>
    <t>SpeakTruthToPower</t>
  </si>
  <si>
    <t>SpecialEditionTitle</t>
  </si>
  <si>
    <t>SpecialEffects</t>
  </si>
  <si>
    <t>SpectatorCasualty</t>
  </si>
  <si>
    <t>SpeedBlitz</t>
  </si>
  <si>
    <t>SpeedDating</t>
  </si>
  <si>
    <t>Speedrun</t>
  </si>
  <si>
    <t>SpellMyNameWithABlank</t>
  </si>
  <si>
    <t>SphereEyes</t>
  </si>
  <si>
    <t>SphereOfDestruction</t>
  </si>
  <si>
    <t>SpikeBallsOfDoom</t>
  </si>
  <si>
    <t>SpiritualLicensee</t>
  </si>
  <si>
    <t>SpitShake</t>
  </si>
  <si>
    <t>SplitDiopter</t>
  </si>
  <si>
    <t>SpontaneousSkeetShooting</t>
  </si>
  <si>
    <t>SpoofedWithTheirOwnWords</t>
  </si>
  <si>
    <t>SpoofingInTheRain</t>
  </si>
  <si>
    <t>SpoonBending</t>
  </si>
  <si>
    <t>SportsStory</t>
  </si>
  <si>
    <t>SportsWidow</t>
  </si>
  <si>
    <t>SpyCouple</t>
  </si>
  <si>
    <t>SpySatellite</t>
  </si>
  <si>
    <t>StageMoney</t>
  </si>
  <si>
    <t>StageParent</t>
  </si>
  <si>
    <t>StandardBleedingSpots</t>
  </si>
  <si>
    <t>StandardEvilOrganizationSquad</t>
  </si>
  <si>
    <t>StandardHumanSpaceship</t>
  </si>
  <si>
    <t>StandardizedLeader</t>
  </si>
  <si>
    <t>StandardizedSitcomHousing</t>
  </si>
  <si>
    <t>StandardOfficeSetting</t>
  </si>
  <si>
    <t>StandardStarshipScuffle</t>
  </si>
  <si>
    <t>StandingInTheHall</t>
  </si>
  <si>
    <t>StandUpComedy</t>
  </si>
  <si>
    <t>StarfishRobots</t>
  </si>
  <si>
    <t>StarstruckSpeechless</t>
  </si>
  <si>
    <t>StarterEquipment</t>
  </si>
  <si>
    <t>StaticElectricity</t>
  </si>
  <si>
    <t>StationIdent</t>
  </si>
  <si>
    <t>StealingTheHandicappedSpot</t>
  </si>
  <si>
    <t>StealthBasedMission</t>
  </si>
  <si>
    <t>SteamAndFlameFactory</t>
  </si>
  <si>
    <t>StepUp</t>
  </si>
  <si>
    <t>StillFightingTheCivilWar</t>
  </si>
  <si>
    <t>StillSucksThumb</t>
  </si>
  <si>
    <t>StillTheLeader</t>
  </si>
  <si>
    <t>StockCharacters</t>
  </si>
  <si>
    <t>StockShoujoBullyingTactics</t>
  </si>
  <si>
    <t>StockShticks</t>
  </si>
  <si>
    <t>StockStarSystems</t>
  </si>
  <si>
    <t>StockVisualMetaphors</t>
  </si>
  <si>
    <t>StolenByStayingStill</t>
  </si>
  <si>
    <t>StomachOfHolding</t>
  </si>
  <si>
    <t>StompyMooks</t>
  </si>
  <si>
    <t>StonePunk</t>
  </si>
  <si>
    <t>StopHavingFunGuy</t>
  </si>
  <si>
    <t>StopHelpingMe</t>
  </si>
  <si>
    <t>StopMotionAnimation</t>
  </si>
  <si>
    <t>StoryBranchFavoritism</t>
  </si>
  <si>
    <t>StrappedToARocket</t>
  </si>
  <si>
    <t>StrawConservative</t>
  </si>
  <si>
    <t>StrawPolitical</t>
  </si>
  <si>
    <t>StrayAnimalStory</t>
  </si>
  <si>
    <t>StrongAndSkilled</t>
  </si>
  <si>
    <t>StudentTeacherRomance</t>
  </si>
  <si>
    <t>StudioChatter</t>
  </si>
  <si>
    <t>StuffedIntoALocker</t>
  </si>
  <si>
    <t>StumbledIntoThePlot</t>
  </si>
  <si>
    <t>StupidBoss</t>
  </si>
  <si>
    <t>StupidFuturePeople</t>
  </si>
  <si>
    <t>StupidNeutral</t>
  </si>
  <si>
    <t>StupidScientist</t>
  </si>
  <si>
    <t>StutteringIntoEloquence</t>
  </si>
  <si>
    <t>SubvertedPunchline</t>
  </si>
  <si>
    <t>SubvertedSuspicionAesop</t>
  </si>
  <si>
    <t>SubwaysSuck</t>
  </si>
  <si>
    <t>SuccessSymbiosis</t>
  </si>
  <si>
    <t>SuckingInLines</t>
  </si>
  <si>
    <t>SuddenDeath</t>
  </si>
  <si>
    <t>SuddenlyBilingual</t>
  </si>
  <si>
    <t>SuddenlyEthnicity</t>
  </si>
  <si>
    <t>SuggestedBy</t>
  </si>
  <si>
    <t>SuicidalPacifist</t>
  </si>
  <si>
    <t>SuicideNote</t>
  </si>
  <si>
    <t>SuicidePill</t>
  </si>
  <si>
    <t>SummonEverymanHero</t>
  </si>
  <si>
    <t>SunkCostFallacy</t>
  </si>
  <si>
    <t>SunkenCity</t>
  </si>
  <si>
    <t>SuperBreath</t>
  </si>
  <si>
    <t>SuperDetailedFightNarration</t>
  </si>
  <si>
    <t>SuperFamilyTeam</t>
  </si>
  <si>
    <t>SuperFlyReflexes</t>
  </si>
  <si>
    <t>SuperGroup</t>
  </si>
  <si>
    <t>SuperheroPrevalenceStages</t>
  </si>
  <si>
    <t>SuperIdentikit</t>
  </si>
  <si>
    <t>SupermanSubstitute</t>
  </si>
  <si>
    <t>SupernaturalAngst</t>
  </si>
  <si>
    <t>SupernaturallyDeliciousAndNutritious</t>
  </si>
  <si>
    <t>SuperpoweredAlterEgo</t>
  </si>
  <si>
    <t>SuperPowersForADay</t>
  </si>
  <si>
    <t>SuperRobotGenre</t>
  </si>
  <si>
    <t>SuperSentaiStance</t>
  </si>
  <si>
    <t>SuperSexOrgans</t>
  </si>
  <si>
    <t>SuperstitionEpisode</t>
  </si>
  <si>
    <t>Superweapon</t>
  </si>
  <si>
    <t>SuperweaponSuspenseSubversion</t>
  </si>
  <si>
    <t>SuplexFinisher</t>
  </si>
  <si>
    <t>SupportingTheMonsterLovedOne</t>
  </si>
  <si>
    <t>SurpriseSantaEncounter</t>
  </si>
  <si>
    <t>SurprisinglySuperToughThing</t>
  </si>
  <si>
    <t>SurrealSymbolicHeads</t>
  </si>
  <si>
    <t>SurrealThemeTune</t>
  </si>
  <si>
    <t>SwallowedAFly</t>
  </si>
  <si>
    <t>SweetBaker</t>
  </si>
  <si>
    <t>SweetheartSipping</t>
  </si>
  <si>
    <t>SwiperNoSwiping</t>
  </si>
  <si>
    <t>SwipeYourBladeOff</t>
  </si>
  <si>
    <t>SwordAndSorcerer</t>
  </si>
  <si>
    <t>SwordAndSorcery</t>
  </si>
  <si>
    <t>SwordBeam</t>
  </si>
  <si>
    <t>SwordOfDamocles</t>
  </si>
  <si>
    <t>SymbolicMutilation</t>
  </si>
  <si>
    <t>SymbologyResearchFailure</t>
  </si>
  <si>
    <t>TabletopGame</t>
  </si>
  <si>
    <t>TailfinWalking</t>
  </si>
  <si>
    <t>TakeCover</t>
  </si>
  <si>
    <t>TakeTheThirdOption</t>
  </si>
  <si>
    <t>TakingALevelInBadass</t>
  </si>
  <si>
    <t>TalkingApplianceSidekick</t>
  </si>
  <si>
    <t>TalkingLightbulb</t>
  </si>
  <si>
    <t>TalkingToYourself</t>
  </si>
  <si>
    <t>TalksLikeASimile</t>
  </si>
  <si>
    <t>TamponRun</t>
  </si>
  <si>
    <t>TankTreadMecha</t>
  </si>
  <si>
    <t>Tanuki</t>
  </si>
  <si>
    <t>TargetAudience</t>
  </si>
  <si>
    <t>TarnishingTheirOwnBeauty</t>
  </si>
  <si>
    <t>TeamRocketWins</t>
  </si>
  <si>
    <t>TeasingFromBehindTheLanguageBarrier</t>
  </si>
  <si>
    <t>TechnicolorEyes</t>
  </si>
  <si>
    <t>TechnicolorFire</t>
  </si>
  <si>
    <t>TechnicolorNinja</t>
  </si>
  <si>
    <t>TechnicolorToxin</t>
  </si>
  <si>
    <t>TeenageMutantNinjaTurtles</t>
  </si>
  <si>
    <t>TeenieWeenie</t>
  </si>
  <si>
    <t>TeensLoveShopping</t>
  </si>
  <si>
    <t>TelecomTree</t>
  </si>
  <si>
    <t>TelepathicSpacemen</t>
  </si>
  <si>
    <t>TeleportationMisfire</t>
  </si>
  <si>
    <t>TeleportGun</t>
  </si>
  <si>
    <t>TelevisuallyTransmittedDisease</t>
  </si>
  <si>
    <t>TemporalSickness</t>
  </si>
  <si>
    <t>TemporaryBulkChange</t>
  </si>
  <si>
    <t>TennisBoss</t>
  </si>
  <si>
    <t>TentacleRope</t>
  </si>
  <si>
    <t>ThatOneLevel</t>
  </si>
  <si>
    <t>The47Society</t>
  </si>
  <si>
    <t>TheAdventureContinues</t>
  </si>
  <si>
    <t>TheAhnold</t>
  </si>
  <si>
    <t>TheAntiGod</t>
  </si>
  <si>
    <t>TheBard</t>
  </si>
  <si>
    <t>TheBear</t>
  </si>
  <si>
    <t>TheBlackDudeDiesFirst</t>
  </si>
  <si>
    <t>TheBodyPartsThatMustNotBeNamed</t>
  </si>
  <si>
    <t>TheBreakfastPlot</t>
  </si>
  <si>
    <t>TheBurlesqueOfVenus</t>
  </si>
  <si>
    <t>TheCaptivityNarrative</t>
  </si>
  <si>
    <t>TheCivilWar</t>
  </si>
  <si>
    <t>TheCouch</t>
  </si>
  <si>
    <t>TheCreon</t>
  </si>
  <si>
    <t>TheCSIEffect</t>
  </si>
  <si>
    <t>TheDescendantsOfCain</t>
  </si>
  <si>
    <t>TheDilbertPrinciple</t>
  </si>
  <si>
    <t>TheDocumentary</t>
  </si>
  <si>
    <t>TheDollEpisode</t>
  </si>
  <si>
    <t>TheDutifulDaughter</t>
  </si>
  <si>
    <t>TheFlorenceNightingaleEffect</t>
  </si>
  <si>
    <t>TheFonzie</t>
  </si>
  <si>
    <t>TheForce</t>
  </si>
  <si>
    <t>TheFourGods</t>
  </si>
  <si>
    <t>TheFriendNoOneLikes</t>
  </si>
  <si>
    <t>TheGenericGirl</t>
  </si>
  <si>
    <t>TheGMIsACheatingBastard</t>
  </si>
  <si>
    <t>TheGreatPoliticalMessUp</t>
  </si>
  <si>
    <t>TheGreatWall</t>
  </si>
  <si>
    <t>TheGroup</t>
  </si>
  <si>
    <t>TheHardHat</t>
  </si>
  <si>
    <t>TheHypocrite</t>
  </si>
  <si>
    <t>TheInquisitorGeneral</t>
  </si>
  <si>
    <t>TheissTitillationTheory</t>
  </si>
  <si>
    <t>TheKingOfDance</t>
  </si>
  <si>
    <t>TheLabRat</t>
  </si>
  <si>
    <t>TheLadysFavor</t>
  </si>
  <si>
    <t>TheLastOfHisKind</t>
  </si>
  <si>
    <t>TheLestrade</t>
  </si>
  <si>
    <t>TheLightfooted</t>
  </si>
  <si>
    <t>TheLoveSlapOfEpiphany</t>
  </si>
  <si>
    <t>TheMadnessPlace</t>
  </si>
  <si>
    <t>TheManWithNoName</t>
  </si>
  <si>
    <t>TheMarvelousDeer</t>
  </si>
  <si>
    <t>TheMessiah</t>
  </si>
  <si>
    <t>TheMetricSystemIsHereToStay</t>
  </si>
  <si>
    <t>TheNameless</t>
  </si>
  <si>
    <t>TheNativeRival</t>
  </si>
  <si>
    <t>TheNecromancer</t>
  </si>
  <si>
    <t>TheOldCon</t>
  </si>
  <si>
    <t>TheOldGods</t>
  </si>
  <si>
    <t>TheOnlyBeliever</t>
  </si>
  <si>
    <t>TheOrder</t>
  </si>
  <si>
    <t>TheOughties</t>
  </si>
  <si>
    <t>ThePaladin</t>
  </si>
  <si>
    <t>ThePampas</t>
  </si>
  <si>
    <t>TheParody</t>
  </si>
  <si>
    <t>ThePoorlyChosenOne</t>
  </si>
  <si>
    <t>ThePoorMansSubstitute</t>
  </si>
  <si>
    <t>ThePowerOfCreation</t>
  </si>
  <si>
    <t>ThePreCodeEra</t>
  </si>
  <si>
    <t>TheQuarterback</t>
  </si>
  <si>
    <t>TherapyBackfire</t>
  </si>
  <si>
    <t>ThereAreNoAdults</t>
  </si>
  <si>
    <t>TheRedMage</t>
  </si>
  <si>
    <t>TheRepublic</t>
  </si>
  <si>
    <t>TheResistance</t>
  </si>
  <si>
    <t>TheResolutionWillNotBeTelevised</t>
  </si>
  <si>
    <t>TheRoadie</t>
  </si>
  <si>
    <t>TheseQuestionsThree</t>
  </si>
  <si>
    <t>TheseusShipParadox</t>
  </si>
  <si>
    <t>TheShowGoesHollywood</t>
  </si>
  <si>
    <t>TheSmartGirl</t>
  </si>
  <si>
    <t>TheSmartOne</t>
  </si>
  <si>
    <t>TheSomethingForce</t>
  </si>
  <si>
    <t>TheTetrisEffect</t>
  </si>
  <si>
    <t>TheThreeCertaintiesInLife</t>
  </si>
  <si>
    <t>TheThreeTrials</t>
  </si>
  <si>
    <t>TheTimeTravellersDilemma</t>
  </si>
  <si>
    <t>TheTourney</t>
  </si>
  <si>
    <t>TheTysonZone</t>
  </si>
  <si>
    <t>TheUnHug</t>
  </si>
  <si>
    <t>TheUnmasking</t>
  </si>
  <si>
    <t>TheVillainWins</t>
  </si>
  <si>
    <t>TheVJDayKiss</t>
  </si>
  <si>
    <t>TheWallsHaveEyes</t>
  </si>
  <si>
    <t>TheWarJustBefore</t>
  </si>
  <si>
    <t>TheWatcher</t>
  </si>
  <si>
    <t>TheyCallMeMrTibbs</t>
  </si>
  <si>
    <t>TheyStillBelongToUsLecture</t>
  </si>
  <si>
    <t>TheyveComeSoFarSong</t>
  </si>
  <si>
    <t>TheyWereHoldingYouBack</t>
  </si>
  <si>
    <t>TheZelig</t>
  </si>
  <si>
    <t>ThievesCant</t>
  </si>
  <si>
    <t>ThingOMeter</t>
  </si>
  <si>
    <t>ThinlyVeiledDubCountryChange</t>
  </si>
  <si>
    <t>ThirdEye</t>
  </si>
  <si>
    <t>ThirdPartyStopsAttack</t>
  </si>
  <si>
    <t>ThirdPersonFlashback</t>
  </si>
  <si>
    <t>ThirtyPiecesOfSilver</t>
  </si>
  <si>
    <t>ThisBillboardNeedsSomeSalt</t>
  </si>
  <si>
    <t>ThisIsACompetition</t>
  </si>
  <si>
    <t>ThisIsASong</t>
  </si>
  <si>
    <t>ThisIsNotMyLifeToTake</t>
  </si>
  <si>
    <t>ThisIsYourSong</t>
  </si>
  <si>
    <t>ThoseTwoActors</t>
  </si>
  <si>
    <t>ThoughtAversionFailure</t>
  </si>
  <si>
    <t>ThoughtBubble</t>
  </si>
  <si>
    <t>ThoughtControlledPower</t>
  </si>
  <si>
    <t>ThoughtYouWereDead</t>
  </si>
  <si>
    <t>ThousandOrigamiCranes</t>
  </si>
  <si>
    <t>ThreateningMediator</t>
  </si>
  <si>
    <t>ThreeDimensionalEpisode</t>
  </si>
  <si>
    <t>ThreeLawsOfRobotics</t>
  </si>
  <si>
    <t>ThreePlusFiveMakeFour</t>
  </si>
  <si>
    <t>ThreePlusTwo</t>
  </si>
  <si>
    <t>ThreeShorts</t>
  </si>
  <si>
    <t>ThreeSuccessfulGenerations</t>
  </si>
  <si>
    <t>ThroneMadeOfX</t>
  </si>
  <si>
    <t>ThudAndBlunder</t>
  </si>
  <si>
    <t>ThunderingHerd</t>
  </si>
  <si>
    <t>TickingClock</t>
  </si>
  <si>
    <t>TickTockTune</t>
  </si>
  <si>
    <t>TidallyLockedPlanet</t>
  </si>
  <si>
    <t>TightsUnderShorts</t>
  </si>
  <si>
    <t>TimeParadox</t>
  </si>
  <si>
    <t>TimeTravellersAreSpies</t>
  </si>
  <si>
    <t>TinCanYouHearMeNow</t>
  </si>
  <si>
    <t>TinyHeadedBehemoth</t>
  </si>
  <si>
    <t>Title1</t>
  </si>
  <si>
    <t>ToBeContinuedRightNow</t>
  </si>
  <si>
    <t>ToiletPaperSubstitute</t>
  </si>
  <si>
    <t>ToiletPaperTrail</t>
  </si>
  <si>
    <t>TokenMiniMoe</t>
  </si>
  <si>
    <t>Tokusatsu</t>
  </si>
  <si>
    <t>ToMakeALongStoryShort</t>
  </si>
  <si>
    <t>TomesOfProphecyAndFate</t>
  </si>
  <si>
    <t>ToonTransformation</t>
  </si>
  <si>
    <t>TooPowerfulToLive</t>
  </si>
  <si>
    <t>TooQuirkyToLose</t>
  </si>
  <si>
    <t>TooSlow</t>
  </si>
  <si>
    <t>ToothbrushFloorScrubbing</t>
  </si>
  <si>
    <t>ToothFairy</t>
  </si>
  <si>
    <t>TopDownView</t>
  </si>
  <si>
    <t>TopTenList</t>
  </si>
  <si>
    <t>TopWife</t>
  </si>
  <si>
    <t>TourGuideGag</t>
  </si>
  <si>
    <t>TournamentPlay</t>
  </si>
  <si>
    <t>ToWinWithoutFighting</t>
  </si>
  <si>
    <t>ToxicInc</t>
  </si>
  <si>
    <t>TradeSnark</t>
  </si>
  <si>
    <t>TragicFlaw</t>
  </si>
  <si>
    <t>Transformers</t>
  </si>
  <si>
    <t>Transhumanism</t>
  </si>
  <si>
    <t>TranslationWithAnAgenda</t>
  </si>
  <si>
    <t>TransplantedCharacterFic</t>
  </si>
  <si>
    <t>TrapDoorFail</t>
  </si>
  <si>
    <t>TrappedWithTheTherapySession</t>
  </si>
  <si>
    <t>TravelingPipeBulge</t>
  </si>
  <si>
    <t>TreacherousQuestGiver</t>
  </si>
  <si>
    <t>TriadsAndTongs</t>
  </si>
  <si>
    <t>TrialByOrdeal</t>
  </si>
  <si>
    <t>TrialOfTheMysticalJury</t>
  </si>
  <si>
    <t>TricksterGirlfriend</t>
  </si>
  <si>
    <t>TricksterTwins</t>
  </si>
  <si>
    <t>TrillingRs</t>
  </si>
  <si>
    <t>TripodTerror</t>
  </si>
  <si>
    <t>TropeCoTropeOfTheWeek</t>
  </si>
  <si>
    <t>TropeTrigger</t>
  </si>
  <si>
    <t>TroubledAbuser</t>
  </si>
  <si>
    <t>TroubleFollowsYouHome</t>
  </si>
  <si>
    <t>TrueArt</t>
  </si>
  <si>
    <t>TrueColors</t>
  </si>
  <si>
    <t>TrueCraftsman</t>
  </si>
  <si>
    <t>TrueLoveAutoCorrect</t>
  </si>
  <si>
    <t>TrueLoveIsExceptional</t>
  </si>
  <si>
    <t>TrueNeutral</t>
  </si>
  <si>
    <t>TrueSight</t>
  </si>
  <si>
    <t>TVNeverLies</t>
  </si>
  <si>
    <t>TwentyPercentMoreAwesome</t>
  </si>
  <si>
    <t>TwinTropes</t>
  </si>
  <si>
    <t>TwoGamersOnACouch</t>
  </si>
  <si>
    <t>TwoHeadedCoin</t>
  </si>
  <si>
    <t>TwoOutOfThreeAintBad</t>
  </si>
  <si>
    <t>TwoRightsMakeAWrong</t>
  </si>
  <si>
    <t>TyingUpRomanticLooseEnds</t>
  </si>
  <si>
    <t>UltimateAuthorityMayor</t>
  </si>
  <si>
    <t>UltimateFinalExam</t>
  </si>
  <si>
    <t>UnbalancedByRivalsKid</t>
  </si>
  <si>
    <t>UncertainAudience</t>
  </si>
  <si>
    <t>UncoveringRelationshipStatus</t>
  </si>
  <si>
    <t>UndefeatableLittleVillage</t>
  </si>
  <si>
    <t>UndergroundComics</t>
  </si>
  <si>
    <t>UnderwaterCity</t>
  </si>
  <si>
    <t>UnderwearOfPower</t>
  </si>
  <si>
    <t>UnexpectedGenreChange</t>
  </si>
  <si>
    <t>UnfitForGreatness</t>
  </si>
  <si>
    <t>UnguidedLabTour</t>
  </si>
  <si>
    <t>UnicornsAreSacred</t>
  </si>
  <si>
    <t>UninhibitedMusclePower</t>
  </si>
  <si>
    <t>UnintentionallySympathetic</t>
  </si>
  <si>
    <t>UnintentionallyUnsympathetic</t>
  </si>
  <si>
    <t>UnitedSpaceOfAmerica</t>
  </si>
  <si>
    <t>UniversalAdaptorCast</t>
  </si>
  <si>
    <t>UniversalDriversLicence</t>
  </si>
  <si>
    <t>UniverseBible</t>
  </si>
  <si>
    <t>UnknownPhenomenon</t>
  </si>
  <si>
    <t>UnlockingTheTalent</t>
  </si>
  <si>
    <t>UnnaturallyLoopingLocation</t>
  </si>
  <si>
    <t>UnnecessaryTimePrecision</t>
  </si>
  <si>
    <t>UnpleasantParentReveal</t>
  </si>
  <si>
    <t>UnpredictableResults</t>
  </si>
  <si>
    <t>UnpronounceableAlias</t>
  </si>
  <si>
    <t>UnscrewedSaltShaker</t>
  </si>
  <si>
    <t>UnseenNoMore</t>
  </si>
  <si>
    <t>UnstableGeneticCode</t>
  </si>
  <si>
    <t>UnwantedGlassesPlot</t>
  </si>
  <si>
    <t>UnwantedRevival</t>
  </si>
  <si>
    <t>UnwillingRoboticization</t>
  </si>
  <si>
    <t>Unwinnable</t>
  </si>
  <si>
    <t>UpperClassEquestrian</t>
  </si>
  <si>
    <t>UselessAccessory</t>
  </si>
  <si>
    <t>UselessBystanderParent</t>
  </si>
  <si>
    <t>UselessSecurityCamera</t>
  </si>
  <si>
    <t>UselessWithoutPowers</t>
  </si>
  <si>
    <t>UsurpingSanta</t>
  </si>
  <si>
    <t>UtilityMagic</t>
  </si>
  <si>
    <t>VainSorcerer</t>
  </si>
  <si>
    <t>ValuesResonance</t>
  </si>
  <si>
    <t>Vampire</t>
  </si>
  <si>
    <t>VampireApocalypse</t>
  </si>
  <si>
    <t>VampireFiction</t>
  </si>
  <si>
    <t>VampireMusicals</t>
  </si>
  <si>
    <t>VampireWerewolfLoveTriangle</t>
  </si>
  <si>
    <t>VariableMix</t>
  </si>
  <si>
    <t>VariantChess</t>
  </si>
  <si>
    <t>VariationsOnAThemeSong</t>
  </si>
  <si>
    <t>VegetarianCarnivore</t>
  </si>
  <si>
    <t>VehicularThemeNaming</t>
  </si>
  <si>
    <t>VengeanceDenied</t>
  </si>
  <si>
    <t>VenusIsWet</t>
  </si>
  <si>
    <t>VerbalBackpedaling</t>
  </si>
  <si>
    <t>VerbalTicName</t>
  </si>
  <si>
    <t>VictoryGuidedAmnesia</t>
  </si>
  <si>
    <t>VictoryPose</t>
  </si>
  <si>
    <t>VideoCollage</t>
  </si>
  <si>
    <t>VideoGames</t>
  </si>
  <si>
    <t>VillainBallMagnet</t>
  </si>
  <si>
    <t>VillainGloating</t>
  </si>
  <si>
    <t>VillainousCrossdresser</t>
  </si>
  <si>
    <t>VillainousVirtues</t>
  </si>
  <si>
    <t>ViolenceIsNotAnOption</t>
  </si>
  <si>
    <t>VirginityFlag</t>
  </si>
  <si>
    <t>VirtualDangerDenial</t>
  </si>
  <si>
    <t>VisibleSilence</t>
  </si>
  <si>
    <t>VisualNovel</t>
  </si>
  <si>
    <t>VocalMinority</t>
  </si>
  <si>
    <t>VoiceActor</t>
  </si>
  <si>
    <t>VoiceForTheVoiceless</t>
  </si>
  <si>
    <t>VoiceoverTranslation</t>
  </si>
  <si>
    <t>VoluntaryTransformation</t>
  </si>
  <si>
    <t>VotOcksent</t>
  </si>
  <si>
    <t>WackyFratboyHijinks</t>
  </si>
  <si>
    <t>WackyGuy</t>
  </si>
  <si>
    <t>WagerSlave</t>
  </si>
  <si>
    <t>WaitingSkeleton</t>
  </si>
  <si>
    <t>WalkingOutOnTheShow</t>
  </si>
  <si>
    <t>WalkLikeAnEgyptian</t>
  </si>
  <si>
    <t>Wallbonking</t>
  </si>
  <si>
    <t>WantedAGenderConformingChild</t>
  </si>
  <si>
    <t>WarmHeartedWalrus</t>
  </si>
  <si>
    <t>WarpZone</t>
  </si>
  <si>
    <t>WarriorPrincess</t>
  </si>
  <si>
    <t>WateringDown</t>
  </si>
  <si>
    <t>Watsonian</t>
  </si>
  <si>
    <t>WaveOfBabies</t>
  </si>
  <si>
    <t>WeakerTwinSavesTheDay</t>
  </si>
  <si>
    <t>WeakToFire</t>
  </si>
  <si>
    <t>WeaponsGradeVocabulary</t>
  </si>
  <si>
    <t>WeAreTeamCannonFodder</t>
  </si>
  <si>
    <t>WebVideo</t>
  </si>
  <si>
    <t>WeComeInPeace</t>
  </si>
  <si>
    <t>WeddingRingDefense</t>
  </si>
  <si>
    <t>WedlockBlock</t>
  </si>
  <si>
    <t>WeekendInventor</t>
  </si>
  <si>
    <t>WeHardlyKnewYou</t>
  </si>
  <si>
    <t>WeightAndSwitch</t>
  </si>
  <si>
    <t>WeirdWeather</t>
  </si>
  <si>
    <t>WelcomeBackTraitor</t>
  </si>
  <si>
    <t>WellDoneDaughterGirl</t>
  </si>
  <si>
    <t>WentToTheGreatXInTheSky</t>
  </si>
  <si>
    <t>WesternAnimationOfThe2010s</t>
  </si>
  <si>
    <t>WeWillWearArmorInTheFuture</t>
  </si>
  <si>
    <t>WhatDoTheyFearEpisode</t>
  </si>
  <si>
    <t>WhatHeSaid</t>
  </si>
  <si>
    <t>WhatIsGoingOn</t>
  </si>
  <si>
    <t>WhatMeasureIsANonSuper</t>
  </si>
  <si>
    <t>WhatsHeGotThatIAintGot</t>
  </si>
  <si>
    <t>WhatTheHeckIsAnAglet</t>
  </si>
  <si>
    <t>WhatTheHellCostumingDepartment</t>
  </si>
  <si>
    <t>WhatWereTheySellingAgain</t>
  </si>
  <si>
    <t>WhatYearIsIt</t>
  </si>
  <si>
    <t>WhereTheresAWillTheresAStickyNote</t>
  </si>
  <si>
    <t>WhiteAndBlackMorality</t>
  </si>
  <si>
    <t>WhiteDudeBlackDude</t>
  </si>
  <si>
    <t>WhiteMagic</t>
  </si>
  <si>
    <t>Whodunit</t>
  </si>
  <si>
    <t>WhoEvenNeedsABrain</t>
  </si>
  <si>
    <t>WhyWouldAnyoneTakeHimBack</t>
  </si>
  <si>
    <t>WidelySpacedJailBars</t>
  </si>
  <si>
    <t>WildcardExcuse</t>
  </si>
  <si>
    <t>WinBackTheCrowd</t>
  </si>
  <si>
    <t>WindmillScenery</t>
  </si>
  <si>
    <t>WingMan</t>
  </si>
  <si>
    <t>WingPull</t>
  </si>
  <si>
    <t>WinkDing</t>
  </si>
  <si>
    <t>WiseOldFolkFacade</t>
  </si>
  <si>
    <t>WistfulAmnesia</t>
  </si>
  <si>
    <t>WitchHunter</t>
  </si>
  <si>
    <t>WithGreatPower</t>
  </si>
  <si>
    <t>WithGreatPowerComesGreatOpposition</t>
  </si>
  <si>
    <t>WithholdingTheBigGood</t>
  </si>
  <si>
    <t>WithholdingTheirName</t>
  </si>
  <si>
    <t>WithinParameters</t>
  </si>
  <si>
    <t>WithMyDyingBreathISummonYou</t>
  </si>
  <si>
    <t>WMG</t>
  </si>
  <si>
    <t>WomanOnFire</t>
  </si>
  <si>
    <t>WomenPreferStrongMen</t>
  </si>
  <si>
    <t>WordsCanBreakMyBones</t>
  </si>
  <si>
    <t>WordSchmord</t>
  </si>
  <si>
    <t>WorfBarrage</t>
  </si>
  <si>
    <t>WorkplaceRomance</t>
  </si>
  <si>
    <t>WorldOfMysteries</t>
  </si>
  <si>
    <t>WorldOfNoGrandparents</t>
  </si>
  <si>
    <t>WorldOfWeirdness</t>
  </si>
  <si>
    <t>WorldShapes</t>
  </si>
  <si>
    <t>WorldsShortestBook</t>
  </si>
  <si>
    <t>WorldsSmallestViolin</t>
  </si>
  <si>
    <t>WorldTour</t>
  </si>
  <si>
    <t>WorseWithContext</t>
  </si>
  <si>
    <t>WoundLicking</t>
  </si>
  <si>
    <t>WrestlingMonster</t>
  </si>
  <si>
    <t>WrestlingPsychology</t>
  </si>
  <si>
    <t>WriterRevolt</t>
  </si>
  <si>
    <t>WritingLines</t>
  </si>
  <si>
    <t>WrongParachuteGag</t>
  </si>
  <si>
    <t>WrongTimeTravelSavvy</t>
  </si>
  <si>
    <t>WTHCostumingDepartment</t>
  </si>
  <si>
    <t>XenoNucleicAcid</t>
  </si>
  <si>
    <t>XMustNotWin</t>
  </si>
  <si>
    <t>YellowSashOfPower</t>
  </si>
  <si>
    <t>YeOldeButcheredEnglish</t>
  </si>
  <si>
    <t>YetAnotherStupidDeath</t>
  </si>
  <si>
    <t>YinYangBomb</t>
  </si>
  <si>
    <t>YinYangClash</t>
  </si>
  <si>
    <t>YouAlwaysHearTheBullet</t>
  </si>
  <si>
    <t>YouCantGetYeFlask</t>
  </si>
  <si>
    <t>YouCantMissIt</t>
  </si>
  <si>
    <t>YouDidEverythingYouCould</t>
  </si>
  <si>
    <t>YouDontWantToKnow</t>
  </si>
  <si>
    <t>YouGetWhatYouPayFor</t>
  </si>
  <si>
    <t>YouKnowWhatToDo</t>
  </si>
  <si>
    <t>YouMakeMeSick</t>
  </si>
  <si>
    <t>YoungEntrepreneur</t>
  </si>
  <si>
    <t>YoungerThanHeLooks</t>
  </si>
  <si>
    <t>YourBrainWontBeMuchOfAMeal</t>
  </si>
  <si>
    <t>YourFavourite</t>
  </si>
  <si>
    <t>YourMoneyIsNoGoodHere</t>
  </si>
  <si>
    <t>YouSquared</t>
  </si>
  <si>
    <t>YouWillBeAssimilated</t>
  </si>
  <si>
    <t>ZanyCartoon</t>
  </si>
  <si>
    <t>ZebrasAreJustStripedHorses</t>
  </si>
  <si>
    <t>ZeroChops</t>
  </si>
  <si>
    <t>AbandonedByTheCavalry</t>
  </si>
  <si>
    <t>AbandonedCatchphrase</t>
  </si>
  <si>
    <t>AbandonTheDisabled</t>
  </si>
  <si>
    <t>AbbottAndCostelloMeetFrankenstein</t>
  </si>
  <si>
    <t>AbridgedForChildren</t>
  </si>
  <si>
    <t>AbridgedSeries</t>
  </si>
  <si>
    <t>AbstractScale</t>
  </si>
  <si>
    <t>AbsurdityAscendant</t>
  </si>
  <si>
    <t>AbsurdlyHugePopulation</t>
  </si>
  <si>
    <t>AbsurdlyLongWait</t>
  </si>
  <si>
    <t>AbsurdlyPowerfulSchoolJurisdiction</t>
  </si>
  <si>
    <t>AccentDepundent</t>
  </si>
  <si>
    <t>AccidentalArt</t>
  </si>
  <si>
    <t>AccidentalDanceCraze</t>
  </si>
  <si>
    <t>AccidentallyCorrectZoology</t>
  </si>
  <si>
    <t>AccidentalRhyme</t>
  </si>
  <si>
    <t>AccidentalTickleTorture</t>
  </si>
  <si>
    <t>AccidentalVentriloquism</t>
  </si>
  <si>
    <t>AchievementMockery</t>
  </si>
  <si>
    <t>AcidAttack</t>
  </si>
  <si>
    <t>AcquaintedWithEmergencyServices</t>
  </si>
  <si>
    <t>ActBreak</t>
  </si>
  <si>
    <t>ActingInTheDark</t>
  </si>
  <si>
    <t>ActionFashionista</t>
  </si>
  <si>
    <t>ActionFigureFileCard</t>
  </si>
  <si>
    <t>ActionGenre</t>
  </si>
  <si>
    <t>ActionHoggingOpening</t>
  </si>
  <si>
    <t>ActionisedSequel</t>
  </si>
  <si>
    <t>ActiveCamouflage</t>
  </si>
  <si>
    <t>ActorExistenceLimbo</t>
  </si>
  <si>
    <t>ActuallyFourMooks</t>
  </si>
  <si>
    <t>AdamAndEve</t>
  </si>
  <si>
    <t>AdamSmithHatesYourGuts</t>
  </si>
  <si>
    <t>AdaptationalAbomination</t>
  </si>
  <si>
    <t>AdaptationalDistillation</t>
  </si>
  <si>
    <t>AdaptationalExplanationExtrication</t>
  </si>
  <si>
    <t>AdaptationalLateAppearance</t>
  </si>
  <si>
    <t>AdaptationalOriginConnection</t>
  </si>
  <si>
    <t>AdaptationalRomance</t>
  </si>
  <si>
    <t>AdaptationCombination</t>
  </si>
  <si>
    <t>AdaptiveArmor</t>
  </si>
  <si>
    <t>AddictiveForeignSoapOpera</t>
  </si>
  <si>
    <t>AdjacentToThisCompleteBreakfast</t>
  </si>
  <si>
    <t>AdjustableCensorship</t>
  </si>
  <si>
    <t>AdoptAServant</t>
  </si>
  <si>
    <t>AdoptionIsNotAnOption</t>
  </si>
  <si>
    <t>AdoptTheFood</t>
  </si>
  <si>
    <t>ADR</t>
  </si>
  <si>
    <t>Adultery</t>
  </si>
  <si>
    <t>AdultsAreMoreAnthropomorphic</t>
  </si>
  <si>
    <t>AdvancedAncientHumans</t>
  </si>
  <si>
    <t>AdventureTowns</t>
  </si>
  <si>
    <t>AffairBlameTheBastard</t>
  </si>
  <si>
    <t>AffairLetters</t>
  </si>
  <si>
    <t>AffluentAscetic</t>
  </si>
  <si>
    <t>AFIS100Years100Songs</t>
  </si>
  <si>
    <t>AfroBeat</t>
  </si>
  <si>
    <t>AfterlifeWelcome</t>
  </si>
  <si>
    <t>AfterTheCredits</t>
  </si>
  <si>
    <t>AG36</t>
  </si>
  <si>
    <t>AgainstTheSettingSun</t>
  </si>
  <si>
    <t>AggressiveSubmissive</t>
  </si>
  <si>
    <t>AGirlAndHerX</t>
  </si>
  <si>
    <t>AGirlInEveryPort</t>
  </si>
  <si>
    <t>AGodIsYou</t>
  </si>
  <si>
    <t>AgonyBooth</t>
  </si>
  <si>
    <t>AI</t>
  </si>
  <si>
    <t>AICronym</t>
  </si>
  <si>
    <t>AirborneMook</t>
  </si>
  <si>
    <t>AirborneMooks</t>
  </si>
  <si>
    <t>AirFictionOne</t>
  </si>
  <si>
    <t>AirstripOne</t>
  </si>
  <si>
    <t>AirVentInfiltration</t>
  </si>
  <si>
    <t>AlanFridge</t>
  </si>
  <si>
    <t>AlbumIntroTrack</t>
  </si>
  <si>
    <t>AlFranken</t>
  </si>
  <si>
    <t>AlienAnimals</t>
  </si>
  <si>
    <t>AliensLoveHumanFood</t>
  </si>
  <si>
    <t>AliensNeverInventedTheWheel</t>
  </si>
  <si>
    <t>AlienSpaceBats</t>
  </si>
  <si>
    <t>AlikeAndAntitheticalAdversaries</t>
  </si>
  <si>
    <t>AlistairCampbell</t>
  </si>
  <si>
    <t>AllADream</t>
  </si>
  <si>
    <t>AllAsiansLookAlike</t>
  </si>
  <si>
    <t>AllBalloonsHaveHelium</t>
  </si>
  <si>
    <t>AllCheeringAllTheTime</t>
  </si>
  <si>
    <t>AllDeathsFinal</t>
  </si>
  <si>
    <t>AllegedlyFreeGame</t>
  </si>
  <si>
    <t>AllEncompassingMantle</t>
  </si>
  <si>
    <t>AllFictionIsRealSomewhere</t>
  </si>
  <si>
    <t>AllFirstPersonNarratorsWriteLikeNovelists</t>
  </si>
  <si>
    <t>AllGenesAreCodominant</t>
  </si>
  <si>
    <t>AllGuitarsAreStratocasters</t>
  </si>
  <si>
    <t>AllianceOfAlternates</t>
  </si>
  <si>
    <t>AllJapaneseSwordsAreKatanas</t>
  </si>
  <si>
    <t>AllSwordsAreTheSame</t>
  </si>
  <si>
    <t>AllThePresidentsMen</t>
  </si>
  <si>
    <t>AloofOlderBrother</t>
  </si>
  <si>
    <t>AlphaAndBetaWolves</t>
  </si>
  <si>
    <t>AlphaCouple</t>
  </si>
  <si>
    <t>AlphaStrike</t>
  </si>
  <si>
    <t>AlternateCalendar</t>
  </si>
  <si>
    <t>AlternateCharacterReading</t>
  </si>
  <si>
    <t>AlternateContinuities</t>
  </si>
  <si>
    <t>AlternateHistoryWank</t>
  </si>
  <si>
    <t>AlternateIdenitiyAmnesia</t>
  </si>
  <si>
    <t>AlternateLandmarkHistory</t>
  </si>
  <si>
    <t>AlternateReality</t>
  </si>
  <si>
    <t>AlternateTechline</t>
  </si>
  <si>
    <t>AlternativeCalendar</t>
  </si>
  <si>
    <t>AlternativeContinuity</t>
  </si>
  <si>
    <t>AlternativeCountry</t>
  </si>
  <si>
    <t>AlternativeNumberSystem</t>
  </si>
  <si>
    <t>AltumVidetur</t>
  </si>
  <si>
    <t>AlwaysAChildToParent</t>
  </si>
  <si>
    <t>AlwaysFemale</t>
  </si>
  <si>
    <t>AlwaysWantedToSayThat</t>
  </si>
  <si>
    <t>AMagicContractComesWithAKiss</t>
  </si>
  <si>
    <t>AmateurPhotographer</t>
  </si>
  <si>
    <t>AmazinglyEmbarrassingParent</t>
  </si>
  <si>
    <t>AmazingTechnicolorBattlefield</t>
  </si>
  <si>
    <t>AmazingTechnicolourPopulation</t>
  </si>
  <si>
    <t>AmbiguouslyChristian</t>
  </si>
  <si>
    <t>AmbiguouslyRelated</t>
  </si>
  <si>
    <t>AmenBreak</t>
  </si>
  <si>
    <t>AmericaIsStillAColony</t>
  </si>
  <si>
    <t>AmericansHateTingle</t>
  </si>
  <si>
    <t>AmericaOnline</t>
  </si>
  <si>
    <t>AMi</t>
  </si>
  <si>
    <t>AmnesiacGod</t>
  </si>
  <si>
    <t>AmnesiaEpisode</t>
  </si>
  <si>
    <t>AMotherToHerMen</t>
  </si>
  <si>
    <t>Anabasis</t>
  </si>
  <si>
    <t>AnachronisticAnimal</t>
  </si>
  <si>
    <t>AnachronisticOrphanage</t>
  </si>
  <si>
    <t>AnatomyAnomaly</t>
  </si>
  <si>
    <t>AndAllIGotWasThisLousyTShirt</t>
  </si>
  <si>
    <t>AndItWorked</t>
  </si>
  <si>
    <t>AndNinetyNineCents</t>
  </si>
  <si>
    <t>AndYouThoughtItWasReal</t>
  </si>
  <si>
    <t>AndZoidberg</t>
  </si>
  <si>
    <t>AngelFaceDemonFace</t>
  </si>
  <si>
    <t>AngerIsNotEnough</t>
  </si>
  <si>
    <t>ANiceChianti</t>
  </si>
  <si>
    <t>AnIceGun</t>
  </si>
  <si>
    <t>AnimalReligion</t>
  </si>
  <si>
    <t>AnimalsFearNeutering</t>
  </si>
  <si>
    <t>AnimalsHateHer</t>
  </si>
  <si>
    <t>AnimalsSeeInMonochrome</t>
  </si>
  <si>
    <t>AnimalTitle</t>
  </si>
  <si>
    <t>AnimatedAnthology</t>
  </si>
  <si>
    <t>AnimatedMusicVideo</t>
  </si>
  <si>
    <t>AnimeCatholicism</t>
  </si>
  <si>
    <t>AnimeThemeSong</t>
  </si>
  <si>
    <t>AnitaEkberg</t>
  </si>
  <si>
    <t>AnnouncerChatter</t>
  </si>
  <si>
    <t>AnnoyingBackgroundEvent</t>
  </si>
  <si>
    <t>AnnoyingVideoGameHelper</t>
  </si>
  <si>
    <t>AnonymousAuthor</t>
  </si>
  <si>
    <t>AnotherMansTerror</t>
  </si>
  <si>
    <t>AnsweringEcho</t>
  </si>
  <si>
    <t>AnswerSong</t>
  </si>
  <si>
    <t>AntennaAdjusting</t>
  </si>
  <si>
    <t>AnthropomorphicPersonifications</t>
  </si>
  <si>
    <t>AnthropomorphicRepresentation</t>
  </si>
  <si>
    <t>AnthropomorphicTransformation</t>
  </si>
  <si>
    <t>AnthropomorphizedAnatomy</t>
  </si>
  <si>
    <t>AntiFrustrationFeatures</t>
  </si>
  <si>
    <t>AntiGravity</t>
  </si>
  <si>
    <t>AntiHeroSubstitute</t>
  </si>
  <si>
    <t>AntiHumanAlliance</t>
  </si>
  <si>
    <t>AntiNihilist</t>
  </si>
  <si>
    <t>AntlionMonster</t>
  </si>
  <si>
    <t>APartyBetterKnownAsAnOrgy</t>
  </si>
  <si>
    <t>ApeShallNotKillApe</t>
  </si>
  <si>
    <t>APlagueOnBothYourHouses</t>
  </si>
  <si>
    <t>ApocalypseNot</t>
  </si>
  <si>
    <t>ApocalypticLogs</t>
  </si>
  <si>
    <t>AppealToAudacity</t>
  </si>
  <si>
    <t>AppealToFlattery</t>
  </si>
  <si>
    <t>AppealToNovelty</t>
  </si>
  <si>
    <t>AppetiteForApathy</t>
  </si>
  <si>
    <t>AppliedMathematics</t>
  </si>
  <si>
    <t>AppropriateAnimalAttire</t>
  </si>
  <si>
    <t>AProtagonistIsRyu</t>
  </si>
  <si>
    <t>ArachnidAppearanceAndAttire</t>
  </si>
  <si>
    <t>ArbitraryHeadcountLimit</t>
  </si>
  <si>
    <t>ArbitraryMinimumRange</t>
  </si>
  <si>
    <t>ArbitraryMissionRestriction</t>
  </si>
  <si>
    <t>ArbitraryScepticism</t>
  </si>
  <si>
    <t>Arc</t>
  </si>
  <si>
    <t>ArcadianInterlude</t>
  </si>
  <si>
    <t>ArchiveBinge</t>
  </si>
  <si>
    <t>ArcWord</t>
  </si>
  <si>
    <t>ArgumentumAdLapidem</t>
  </si>
  <si>
    <t>ArmedAltruism</t>
  </si>
  <si>
    <t>ArmiesAreUseless</t>
  </si>
  <si>
    <t>ArmsAndArmorThemeNaming</t>
  </si>
  <si>
    <t>ARockAndAHardPlace</t>
  </si>
  <si>
    <t>ARoundOfDrinksOnTheHouse</t>
  </si>
  <si>
    <t>ArrogantGodVsRagingMonster</t>
  </si>
  <si>
    <t>ArrogantKungFuGirl</t>
  </si>
  <si>
    <t>ArtBell</t>
  </si>
  <si>
    <t>ArtifactCollectionAgency</t>
  </si>
  <si>
    <t>ArtifactDomination</t>
  </si>
  <si>
    <t>ArtificialAfterlife</t>
  </si>
  <si>
    <t>ArtificialMeat</t>
  </si>
  <si>
    <t>ArtificialPerson</t>
  </si>
  <si>
    <t>ArtisticAge</t>
  </si>
  <si>
    <t>ArtisticLicenceLaw</t>
  </si>
  <si>
    <t>ArtisticLicencePharmacology</t>
  </si>
  <si>
    <t>ArtisticLicenseFilmSchool</t>
  </si>
  <si>
    <t>ArtisticLicenseFirearms</t>
  </si>
  <si>
    <t>ArtisticLicenseMathematics</t>
  </si>
  <si>
    <t>ArtisticLicenseSafety</t>
  </si>
  <si>
    <t>ArtistsAreNotArchitects</t>
  </si>
  <si>
    <t>AscendedDragon</t>
  </si>
  <si>
    <t>AsciiArt</t>
  </si>
  <si>
    <t>AshesToAshes</t>
  </si>
  <si>
    <t>AsianAnimation</t>
  </si>
  <si>
    <t>AsianBuckTeeth</t>
  </si>
  <si>
    <t>AsianRuneChant</t>
  </si>
  <si>
    <t>AsimovsThreeKindsOfScienceFiction</t>
  </si>
  <si>
    <t>AsLethalAsItNeedsToBe</t>
  </si>
  <si>
    <t>ASpyAtTheSpa</t>
  </si>
  <si>
    <t>AssemblyLineFastForward</t>
  </si>
  <si>
    <t>AssociationalMontage</t>
  </si>
  <si>
    <t>AssociationFallacy</t>
  </si>
  <si>
    <t>AstralFinale</t>
  </si>
  <si>
    <t>AstronomicalExchangeRate</t>
  </si>
  <si>
    <t>AStudyInScarlet</t>
  </si>
  <si>
    <t>ATapOnTheHead</t>
  </si>
  <si>
    <t>ATasteOfHisOwnMedicine</t>
  </si>
  <si>
    <t>AteHisHandgun</t>
  </si>
  <si>
    <t>AtlantisIsBoring</t>
  </si>
  <si>
    <t>AtlasInHisTent</t>
  </si>
  <si>
    <t>AtmosphereAbuse</t>
  </si>
  <si>
    <t>AtrociasAlias</t>
  </si>
  <si>
    <t>AttackOfThe50ftWhatever</t>
  </si>
  <si>
    <t>AttentionDeficitCreatorDisorder</t>
  </si>
  <si>
    <t>AttentionDeficitDisciple</t>
  </si>
  <si>
    <t>AttentionHarlot</t>
  </si>
  <si>
    <t>AttractivenessDiscrimination</t>
  </si>
  <si>
    <t>AttractivenessIsolation</t>
  </si>
  <si>
    <t>AudibleBlink</t>
  </si>
  <si>
    <t>AudienceMonologue</t>
  </si>
  <si>
    <t>AudioErotica</t>
  </si>
  <si>
    <t>Aurora</t>
  </si>
  <si>
    <t>AustralianMovies</t>
  </si>
  <si>
    <t>AuteurLicence</t>
  </si>
  <si>
    <t>AuthorAllusion</t>
  </si>
  <si>
    <t>AuthorOnBoard</t>
  </si>
  <si>
    <t>AuthorsOfQuote</t>
  </si>
  <si>
    <t>AutoeroticAsphyxiation</t>
  </si>
  <si>
    <t>AutomatedAutomobile</t>
  </si>
  <si>
    <t>AutomatonHorse</t>
  </si>
  <si>
    <t>AutomobilesAreAlien</t>
  </si>
  <si>
    <t>AwardBait</t>
  </si>
  <si>
    <t>AwardSnub</t>
  </si>
  <si>
    <t>AwesomeBackpack</t>
  </si>
  <si>
    <t>AwesomeButPractical</t>
  </si>
  <si>
    <t>AwesomeUnderwaterWorld</t>
  </si>
  <si>
    <t>AwkwardAbility</t>
  </si>
  <si>
    <t>AxisSally</t>
  </si>
  <si>
    <t>BabyBoomers</t>
  </si>
  <si>
    <t>BabyNewYear</t>
  </si>
  <si>
    <t>BabyPlanet</t>
  </si>
  <si>
    <t>BabySeeBabyDo</t>
  </si>
  <si>
    <t>BachmanTurnerOverdrive</t>
  </si>
  <si>
    <t>BackgroundBoss</t>
  </si>
  <si>
    <t>BackgroundMusicOverride</t>
  </si>
  <si>
    <t>BackpackCannon</t>
  </si>
  <si>
    <t>BackportedDevelopment</t>
  </si>
  <si>
    <t>BackstoryInvader</t>
  </si>
  <si>
    <t>BackwardsR</t>
  </si>
  <si>
    <t>BackyardWrestling</t>
  </si>
  <si>
    <t>BadassBass</t>
  </si>
  <si>
    <t>BadassBisexual</t>
  </si>
  <si>
    <t>BadassBlink</t>
  </si>
  <si>
    <t>BadassInCharge</t>
  </si>
  <si>
    <t>BadassLesbian</t>
  </si>
  <si>
    <t>BadassMentor</t>
  </si>
  <si>
    <t>BadassMindsThinkAlike</t>
  </si>
  <si>
    <t>BadassNickname</t>
  </si>
  <si>
    <t>BadassPilots</t>
  </si>
  <si>
    <t>BadEnd</t>
  </si>
  <si>
    <t>BadExportForYou</t>
  </si>
  <si>
    <t>BadGirl</t>
  </si>
  <si>
    <t>BadGuy</t>
  </si>
  <si>
    <t>BadImpressionists</t>
  </si>
  <si>
    <t>BadLuckCharm</t>
  </si>
  <si>
    <t>BadMoodAsAnExcuse</t>
  </si>
  <si>
    <t>BadOlBadger</t>
  </si>
  <si>
    <t>BadPowersBadPeople</t>
  </si>
  <si>
    <t>BandageBabe</t>
  </si>
  <si>
    <t>BandOfRelatives</t>
  </si>
  <si>
    <t>BandOfRobbers</t>
  </si>
  <si>
    <t>BandWagonTechnique</t>
  </si>
  <si>
    <t>BankruptcyBarrel</t>
  </si>
  <si>
    <t>BannedFromArgo</t>
  </si>
  <si>
    <t>BanOnAI</t>
  </si>
  <si>
    <t>BarcodeTattoo</t>
  </si>
  <si>
    <t>BarehandedBarBending</t>
  </si>
  <si>
    <t>BarelyTheSwimwear</t>
  </si>
  <si>
    <t>BarFight</t>
  </si>
  <si>
    <t>BaseBreakingCharacter</t>
  </si>
  <si>
    <t>BasedOnADream</t>
  </si>
  <si>
    <t>BassoProfondo</t>
  </si>
  <si>
    <t>BathroomBrawl</t>
  </si>
  <si>
    <t>BatmanAdventures</t>
  </si>
  <si>
    <t>BatPhone</t>
  </si>
  <si>
    <t>BattleBaton</t>
  </si>
  <si>
    <t>BattleInterruptingDuel</t>
  </si>
  <si>
    <t>BattleInTheCentreOfTheMind</t>
  </si>
  <si>
    <t>BattleRoyale</t>
  </si>
  <si>
    <t>BattleThemeMusic</t>
  </si>
  <si>
    <t>BavarianFireDrills</t>
  </si>
  <si>
    <t>BBW</t>
  </si>
  <si>
    <t>Beachcombing</t>
  </si>
  <si>
    <t>BeamOfEnlightenment</t>
  </si>
  <si>
    <t>BeardedLady</t>
  </si>
  <si>
    <t>BeardOfDisguise</t>
  </si>
  <si>
    <t>BeastInTheMaze</t>
  </si>
  <si>
    <t>BeautifulVoid</t>
  </si>
  <si>
    <t>BeBop</t>
  </si>
  <si>
    <t>BecameTheMask</t>
  </si>
  <si>
    <t>BecauseImJonesy</t>
  </si>
  <si>
    <t>BecauseYouCanCope</t>
  </si>
  <si>
    <t>BecomingPartOfTheImage</t>
  </si>
  <si>
    <t>BeefGate</t>
  </si>
  <si>
    <t>BeforeIChangeMyMind</t>
  </si>
  <si>
    <t>BeforeTheDarkTimes</t>
  </si>
  <si>
    <t>BeingGodIsHard</t>
  </si>
  <si>
    <t>BellyButtonless</t>
  </si>
  <si>
    <t>BenchedHero</t>
  </si>
  <si>
    <t>BenevolentMonsters</t>
  </si>
  <si>
    <t>BequeathedPower</t>
  </si>
  <si>
    <t>Berserker</t>
  </si>
  <si>
    <t>BerserkerButton</t>
  </si>
  <si>
    <t>BestedByTheInexperienced</t>
  </si>
  <si>
    <t>BestFriendManual</t>
  </si>
  <si>
    <t>BestOutOfInfinity</t>
  </si>
  <si>
    <t>BetterOnDVD</t>
  </si>
  <si>
    <t>BetterThanItSoundsFilm</t>
  </si>
  <si>
    <t>BetterToDieThanToBeKilled</t>
  </si>
  <si>
    <t>BewareOfTheNiceOnes</t>
  </si>
  <si>
    <t>BeyondRedemption</t>
  </si>
  <si>
    <t>BGM</t>
  </si>
  <si>
    <t>BiblesFromTheDead</t>
  </si>
  <si>
    <t>BifauxnenAndLadette</t>
  </si>
  <si>
    <t>BigBadassFamily</t>
  </si>
  <si>
    <t>BigBadDad</t>
  </si>
  <si>
    <t>BigBads</t>
  </si>
  <si>
    <t>BigBadWolf</t>
  </si>
  <si>
    <t>BigBeautifulMan</t>
  </si>
  <si>
    <t>BigBoard</t>
  </si>
  <si>
    <t>BigBoosHaunt</t>
  </si>
  <si>
    <t>BigDamnFireExit</t>
  </si>
  <si>
    <t>BigEyesLittleEyes</t>
  </si>
  <si>
    <t>BigFatFuture</t>
  </si>
  <si>
    <t>BigFoot</t>
  </si>
  <si>
    <t>BigFreakingGun</t>
  </si>
  <si>
    <t>BigGoods</t>
  </si>
  <si>
    <t>BigHam</t>
  </si>
  <si>
    <t>BigMonsterCuteName</t>
  </si>
  <si>
    <t>BigReveal</t>
  </si>
  <si>
    <t>BigWallOfWateryDoom</t>
  </si>
  <si>
    <t>BigWinSirens</t>
  </si>
  <si>
    <t>Bildungsroman</t>
  </si>
  <si>
    <t>BillboardEpic</t>
  </si>
  <si>
    <t>BillHickman</t>
  </si>
  <si>
    <t>BindingAncientTreaty</t>
  </si>
  <si>
    <t>BioArmor</t>
  </si>
  <si>
    <t>BioData</t>
  </si>
  <si>
    <t>Biomanipulation</t>
  </si>
  <si>
    <t>BiometricBypass</t>
  </si>
  <si>
    <t>BiotechIsBetter</t>
  </si>
  <si>
    <t>BishounenLine</t>
  </si>
  <si>
    <t>BitByBitTransformation</t>
  </si>
  <si>
    <t>BizarreAlienPsychology</t>
  </si>
  <si>
    <t>BlackBeadEyes</t>
  </si>
  <si>
    <t>BlackBerry</t>
  </si>
  <si>
    <t>BlackGirlDiesFirst</t>
  </si>
  <si>
    <t>BlackMage</t>
  </si>
  <si>
    <t>BlackMask</t>
  </si>
  <si>
    <t>BlacknailIsSuchAnUglyWord</t>
  </si>
  <si>
    <t>BlackSwordsAreBetter</t>
  </si>
  <si>
    <t>BladesBelowTheShoulder</t>
  </si>
  <si>
    <t>BlanketFort</t>
  </si>
  <si>
    <t>BlanketTugOWar</t>
  </si>
  <si>
    <t>BlaseBoast</t>
  </si>
  <si>
    <t>Blog</t>
  </si>
  <si>
    <t>BlondesAreEvil</t>
  </si>
  <si>
    <t>BlondGuysAreEvil</t>
  </si>
  <si>
    <t>BloodAndIceCreamTrilogy</t>
  </si>
  <si>
    <t>BloodIron</t>
  </si>
  <si>
    <t>BlowThatHorn</t>
  </si>
  <si>
    <t>BlueBeard</t>
  </si>
  <si>
    <t>Bluegrass</t>
  </si>
  <si>
    <t>Blues</t>
  </si>
  <si>
    <t>BlueScreenOfDeath</t>
  </si>
  <si>
    <t>BlueSkinnedSpaceBabe</t>
  </si>
  <si>
    <t>BMWs</t>
  </si>
  <si>
    <t>BobRossRib</t>
  </si>
  <si>
    <t>BoC</t>
  </si>
  <si>
    <t>BoDiddleyBeat</t>
  </si>
  <si>
    <t>BodyAndHost</t>
  </si>
  <si>
    <t>BodySled</t>
  </si>
  <si>
    <t>BogglesTheMind</t>
  </si>
  <si>
    <t>BokeAndTsukkomiRoutine</t>
  </si>
  <si>
    <t>BoldInflation</t>
  </si>
  <si>
    <t>BollywoodStarletDanceNumber</t>
  </si>
  <si>
    <t>BondBreaker</t>
  </si>
  <si>
    <t>BonusFeatureFailure</t>
  </si>
  <si>
    <t>BonusStage</t>
  </si>
  <si>
    <t>BookOfShadows</t>
  </si>
  <si>
    <t>BootsOfToughness</t>
  </si>
  <si>
    <t>BootstrappedLeitmotif</t>
  </si>
  <si>
    <t>BoPeep05</t>
  </si>
  <si>
    <t>BornDuringAStorm</t>
  </si>
  <si>
    <t>BornFromPlants</t>
  </si>
  <si>
    <t>BornInTheSaddle</t>
  </si>
  <si>
    <t>BornOfHeavenAndHell</t>
  </si>
  <si>
    <t>BornOfMagic</t>
  </si>
  <si>
    <t>BornUnderTheSail</t>
  </si>
  <si>
    <t>BoshinWar</t>
  </si>
  <si>
    <t>Boss</t>
  </si>
  <si>
    <t>BossFight</t>
  </si>
  <si>
    <t>BossInMooksClothing</t>
  </si>
  <si>
    <t>BossRemix</t>
  </si>
  <si>
    <t>BothOrderAndChaosAreDangerous</t>
  </si>
  <si>
    <t>BottledCool</t>
  </si>
  <si>
    <t>BottomlessBladder</t>
  </si>
  <si>
    <t>BottomOfTheBarrelJoke</t>
  </si>
  <si>
    <t>BourgeoisBumpkin</t>
  </si>
  <si>
    <t>BowledOver</t>
  </si>
  <si>
    <t>BowlingForRatings</t>
  </si>
  <si>
    <t>BoxedSet</t>
  </si>
  <si>
    <t>BoysLove</t>
  </si>
  <si>
    <t>BraggartBoss</t>
  </si>
  <si>
    <t>BraggingRightsReward</t>
  </si>
  <si>
    <t>BrainDrain</t>
  </si>
  <si>
    <t>BrandNamesAreBetter</t>
  </si>
  <si>
    <t>BrandNameTakeover</t>
  </si>
  <si>
    <t>BrattyTeenageGirl</t>
  </si>
  <si>
    <t>BrattyTeenageSon</t>
  </si>
  <si>
    <t>BreachingPod</t>
  </si>
  <si>
    <t>BreadAndCircus</t>
  </si>
  <si>
    <t>BreakableWeapons</t>
  </si>
  <si>
    <t>BreakawayAdvertisement</t>
  </si>
  <si>
    <t>BreakTheScientist</t>
  </si>
  <si>
    <t>BreatherBoss</t>
  </si>
  <si>
    <t>BrianDePalma</t>
  </si>
  <si>
    <t>BribedWithFood</t>
  </si>
  <si>
    <t>BrightReprise</t>
  </si>
  <si>
    <t>BrightSlap</t>
  </si>
  <si>
    <t>BritishRoyalGuard</t>
  </si>
  <si>
    <t>BritPop</t>
  </si>
  <si>
    <t>BroadcastLive</t>
  </si>
  <si>
    <t>BrokenEcho</t>
  </si>
  <si>
    <t>BrokenWinLossStreak</t>
  </si>
  <si>
    <t>BRoll</t>
  </si>
  <si>
    <t>BRollRebus</t>
  </si>
  <si>
    <t>BrotherhoodOfEvil</t>
  </si>
  <si>
    <t>BroughtHomeTheWrongKid</t>
  </si>
  <si>
    <t>BubbleGun</t>
  </si>
  <si>
    <t>BuddyCop</t>
  </si>
  <si>
    <t>BuddyCops</t>
  </si>
  <si>
    <t>BuildLikeAnEgyptian</t>
  </si>
  <si>
    <t>BuiltWithLego</t>
  </si>
  <si>
    <t>BulletProofBible</t>
  </si>
  <si>
    <t>BullyBulldog</t>
  </si>
  <si>
    <t>BumblingCop</t>
  </si>
  <si>
    <t>BumperSticker</t>
  </si>
  <si>
    <t>BunnyEaredLawyer</t>
  </si>
  <si>
    <t>BunnyGirl</t>
  </si>
  <si>
    <t>BuriedTreasure</t>
  </si>
  <si>
    <t>ButHeGetsTheJobDone</t>
  </si>
  <si>
    <t>ButIPlayOneOnTV</t>
  </si>
  <si>
    <t>ButYourWingsAreBeautiful</t>
  </si>
  <si>
    <t>ByronicHeroine</t>
  </si>
  <si>
    <t>CacophanyCoverUp</t>
  </si>
  <si>
    <t>CaffeineFailure</t>
  </si>
  <si>
    <t>CallReceptionArea</t>
  </si>
  <si>
    <t>CameraPerspectiveSwitch</t>
  </si>
  <si>
    <t>CampingEpisode</t>
  </si>
  <si>
    <t>CanadianMusic</t>
  </si>
  <si>
    <t>Cancellation</t>
  </si>
  <si>
    <t>CaninesGamblingInACardGame</t>
  </si>
  <si>
    <t>CannonFilms</t>
  </si>
  <si>
    <t>CannotConveySarcasm</t>
  </si>
  <si>
    <t>CanonFodder</t>
  </si>
  <si>
    <t>CanonMarchesOn</t>
  </si>
  <si>
    <t>CantCountBullets</t>
  </si>
  <si>
    <t>CantGrowUp</t>
  </si>
  <si>
    <t>CantUseStairs</t>
  </si>
  <si>
    <t>CanYouHearMeNow</t>
  </si>
  <si>
    <t>CapcomSequelStagnation</t>
  </si>
  <si>
    <t>CapeWings</t>
  </si>
  <si>
    <t>CapitalLettersAreMagic</t>
  </si>
  <si>
    <t>CapsLock</t>
  </si>
  <si>
    <t>CapsLockNumLockMissilesLock</t>
  </si>
  <si>
    <t>CaptainGeographic</t>
  </si>
  <si>
    <t>CaptainSpaceDefenderOfEarth</t>
  </si>
  <si>
    <t>CaptiveAudience</t>
  </si>
  <si>
    <t>CaptureAndReplicate</t>
  </si>
  <si>
    <t>CaptureTheFlag</t>
  </si>
  <si>
    <t>CareerKillers</t>
  </si>
  <si>
    <t>CarlaJeffery</t>
  </si>
  <si>
    <t>CarlOrff</t>
  </si>
  <si>
    <t>CarlosSotolongo</t>
  </si>
  <si>
    <t>CarRadioDispute</t>
  </si>
  <si>
    <t>CarRideGames</t>
  </si>
  <si>
    <t>CartoonCreature</t>
  </si>
  <si>
    <t>CartoonyTail</t>
  </si>
  <si>
    <t>CartridgesInFlight</t>
  </si>
  <si>
    <t>Casablanca</t>
  </si>
  <si>
    <t>CashCowFranchise</t>
  </si>
  <si>
    <t>CastFromCalories</t>
  </si>
  <si>
    <t>CastFromStomach</t>
  </si>
  <si>
    <t>CastFullOfRichPeople</t>
  </si>
  <si>
    <t>CastIncest</t>
  </si>
  <si>
    <t>CastOfExpies</t>
  </si>
  <si>
    <t>CastOfPersonifications</t>
  </si>
  <si>
    <t>Catapult</t>
  </si>
  <si>
    <t>CatDogDichotomy</t>
  </si>
  <si>
    <t>CategorismAsAPhobia</t>
  </si>
  <si>
    <t>CatlikeDragons</t>
  </si>
  <si>
    <t>CatSuit</t>
  </si>
  <si>
    <t>CaughtInTheRipple</t>
  </si>
  <si>
    <t>CaughtMonologuing</t>
  </si>
  <si>
    <t>CavalierCompetitor</t>
  </si>
  <si>
    <t>CaveBehindTheWaterfall</t>
  </si>
  <si>
    <t>Cavemen</t>
  </si>
  <si>
    <t>CavemenVersusAstronautsDebate</t>
  </si>
  <si>
    <t>CecilBeaton</t>
  </si>
  <si>
    <t>CedricTheEntertainer</t>
  </si>
  <si>
    <t>CeeLo</t>
  </si>
  <si>
    <t>CelebrationMiscalculation</t>
  </si>
  <si>
    <t>CelibacyHero</t>
  </si>
  <si>
    <t>CelibateEccentricGenius</t>
  </si>
  <si>
    <t>CenterfoldGag</t>
  </si>
  <si>
    <t>Cephalothorax</t>
  </si>
  <si>
    <t>CerebusEnding</t>
  </si>
  <si>
    <t>ChadMichaelMurray</t>
  </si>
  <si>
    <t>ChainLightning</t>
  </si>
  <si>
    <t>ChainOfCorrections</t>
  </si>
  <si>
    <t>ChangingTheUncomfortableSubject</t>
  </si>
  <si>
    <t>ChannelHop</t>
  </si>
  <si>
    <t>Chaos</t>
  </si>
  <si>
    <t>ChaosArchitecture</t>
  </si>
  <si>
    <t>CharacterAlignment</t>
  </si>
  <si>
    <t>CharacterCheck</t>
  </si>
  <si>
    <t>CharacteristicClothingColors</t>
  </si>
  <si>
    <t>CharacteristicTrope</t>
  </si>
  <si>
    <t>CharacterLevel</t>
  </si>
  <si>
    <t>CharacterRerailment</t>
  </si>
  <si>
    <t>CharityWorkplaceCalendar</t>
  </si>
  <si>
    <t>CharlieAndTheChocolateParody</t>
  </si>
  <si>
    <t>ChasingAButterfly</t>
  </si>
  <si>
    <t>ChasteToons</t>
  </si>
  <si>
    <t>ChatRoulette</t>
  </si>
  <si>
    <t>CheatCode</t>
  </si>
  <si>
    <t>CheckovsGun</t>
  </si>
  <si>
    <t>CheckPoint</t>
  </si>
  <si>
    <t>CheckpointBluff</t>
  </si>
  <si>
    <t>CheerChant</t>
  </si>
  <si>
    <t>CheeseEatingSurrenderMonkey</t>
  </si>
  <si>
    <t>ChekhovGunman</t>
  </si>
  <si>
    <t>ChekhovsLegend</t>
  </si>
  <si>
    <t>ChekovsGag</t>
  </si>
  <si>
    <t>ChekovsSkill</t>
  </si>
  <si>
    <t>ChevalierVsRogue</t>
  </si>
  <si>
    <t>ChevyChase</t>
  </si>
  <si>
    <t>ChicAndAwe</t>
  </si>
  <si>
    <t>ChildishOlderSibling</t>
  </si>
  <si>
    <t>ChildMarriageVeto</t>
  </si>
  <si>
    <t>ChildOfRape</t>
  </si>
  <si>
    <t>ChildPopstar</t>
  </si>
  <si>
    <t>ChildrenInTow</t>
  </si>
  <si>
    <t>ChineseLaborers</t>
  </si>
  <si>
    <t>Chiptune</t>
  </si>
  <si>
    <t>ChivalricRomance</t>
  </si>
  <si>
    <t>ChoosingDeath</t>
  </si>
  <si>
    <t>ChopperOnStandby</t>
  </si>
  <si>
    <t>ChristieTime</t>
  </si>
  <si>
    <t>ChristmasCreep</t>
  </si>
  <si>
    <t>ChristopherPlummer</t>
  </si>
  <si>
    <t>ChunkySalsa</t>
  </si>
  <si>
    <t>Chupacabra</t>
  </si>
  <si>
    <t>CircassianBeauty</t>
  </si>
  <si>
    <t>CirclesOfHell</t>
  </si>
  <si>
    <t>CircularDefinition</t>
  </si>
  <si>
    <t>CircularReasoning</t>
  </si>
  <si>
    <t>CityGuards</t>
  </si>
  <si>
    <t>CityOfEverywhere</t>
  </si>
  <si>
    <t>CityOnTheWater</t>
  </si>
  <si>
    <t>CJ7s</t>
  </si>
  <si>
    <t>ClapperGag</t>
  </si>
  <si>
    <t>ClarkJohnson</t>
  </si>
  <si>
    <t>ClassicalMusicIsCool</t>
  </si>
  <si>
    <t>ClassicAntiHero</t>
  </si>
  <si>
    <t>CleanDubName</t>
  </si>
  <si>
    <t>CleaningThisGun</t>
  </si>
  <si>
    <t>ClingyAquaticLife</t>
  </si>
  <si>
    <t>ClingyMcGuffin</t>
  </si>
  <si>
    <t>ClocksOfControl</t>
  </si>
  <si>
    <t>CloneJesus</t>
  </si>
  <si>
    <t>ClosetPunishment</t>
  </si>
  <si>
    <t>Cloudcuckoolanguage</t>
  </si>
  <si>
    <t>CoatOverTheShoulder</t>
  </si>
  <si>
    <t>CobwebsOfDisuse</t>
  </si>
  <si>
    <t>CockneyRhymingSlang</t>
  </si>
  <si>
    <t>CodeOfHonor</t>
  </si>
  <si>
    <t>ColdSnap</t>
  </si>
  <si>
    <t>ColdTurkeysEverywhere</t>
  </si>
  <si>
    <t>CollateralAngst</t>
  </si>
  <si>
    <t>CollateralDamage</t>
  </si>
  <si>
    <t>CollectorsEdition</t>
  </si>
  <si>
    <t>CollegeHumor</t>
  </si>
  <si>
    <t>CollegeRadio</t>
  </si>
  <si>
    <t>ColorCodedWizardry</t>
  </si>
  <si>
    <t>ColorfulThemeNaming</t>
  </si>
  <si>
    <t>ColourfulThemeNaming</t>
  </si>
  <si>
    <t>CombatAestheticist</t>
  </si>
  <si>
    <t>CombatReferee</t>
  </si>
  <si>
    <t>CombatStiletto</t>
  </si>
  <si>
    <t>CombatTentacle</t>
  </si>
  <si>
    <t>CombatUninterruptus</t>
  </si>
  <si>
    <t>ComeBackWrong</t>
  </si>
  <si>
    <t>ComicallyIneptHealing</t>
  </si>
  <si>
    <t>ComicBooks</t>
  </si>
  <si>
    <t>ComicRolePlay</t>
  </si>
  <si>
    <t>CommercialBreakCliffhanger</t>
  </si>
  <si>
    <t>CommercialPopUp</t>
  </si>
  <si>
    <t>CommercialSwitcheroo</t>
  </si>
  <si>
    <t>CommonCrossover</t>
  </si>
  <si>
    <t>CommonHollywoodSexTraits</t>
  </si>
  <si>
    <t>CommonLawMarriage</t>
  </si>
  <si>
    <t>CommunicationsExpert</t>
  </si>
  <si>
    <t>CompetencePorn</t>
  </si>
  <si>
    <t>CompetitiveBalance</t>
  </si>
  <si>
    <t>ComplainingAboutComplaining</t>
  </si>
  <si>
    <t>ComplainingAboutPeopleNotLikingTheShow</t>
  </si>
  <si>
    <t>ComplainingAboutThingsYouHaventPaidFor</t>
  </si>
  <si>
    <t>CompromisingMemoirs</t>
  </si>
  <si>
    <t>ComputerizedJudicialSystem</t>
  </si>
  <si>
    <t>ConceiveAndKill</t>
  </si>
  <si>
    <t>ConditionalPowers</t>
  </si>
  <si>
    <t>ConductingTheCarnage</t>
  </si>
  <si>
    <t>ConfessionDeferred</t>
  </si>
  <si>
    <t>ConfidenceSabotage</t>
  </si>
  <si>
    <t>ConfoundThemWithKindness</t>
  </si>
  <si>
    <t>ConfrontingTheImposter</t>
  </si>
  <si>
    <t>ConsciousHipHop</t>
  </si>
  <si>
    <t>ConsequenceCombo</t>
  </si>
  <si>
    <t>ConservationOfCompetence</t>
  </si>
  <si>
    <t>ConspiracyPlacement</t>
  </si>
  <si>
    <t>ConspiracyRedemption</t>
  </si>
  <si>
    <t>ConsummationCounterfeit</t>
  </si>
  <si>
    <t>ContainerCling</t>
  </si>
  <si>
    <t>ContentWarning</t>
  </si>
  <si>
    <t>ContestWinnerCameo</t>
  </si>
  <si>
    <t>Continuity</t>
  </si>
  <si>
    <t>ContinuityCreep</t>
  </si>
  <si>
    <t>ContinuityRebooter</t>
  </si>
  <si>
    <t>ContractualGag</t>
  </si>
  <si>
    <t>Contrast</t>
  </si>
  <si>
    <t>ContrastingSequelProtagonist</t>
  </si>
  <si>
    <t>ControversyProofImage</t>
  </si>
  <si>
    <t>ConvectionSmonvection</t>
  </si>
  <si>
    <t>ConvenientEnemyBase</t>
  </si>
  <si>
    <t>ConvenientlyEmptyBuildings</t>
  </si>
  <si>
    <t>ConvenientlyTimedBroadcast</t>
  </si>
  <si>
    <t>ConvenientReplacementCharacter</t>
  </si>
  <si>
    <t>ConvenientWeaknessPlacement</t>
  </si>
  <si>
    <t>ConverseError</t>
  </si>
  <si>
    <t>CoolButImpractical</t>
  </si>
  <si>
    <t>CoolButStupid</t>
  </si>
  <si>
    <t>CoolCat</t>
  </si>
  <si>
    <t>CoolKey</t>
  </si>
  <si>
    <t>CopBoyfriend</t>
  </si>
  <si>
    <t>CorruptCops</t>
  </si>
  <si>
    <t>CorruptCorporateExecuctive</t>
  </si>
  <si>
    <t>CorruptCorporateExecutives</t>
  </si>
  <si>
    <t>Costumer</t>
  </si>
  <si>
    <t>CouldHaveBeenAContender</t>
  </si>
  <si>
    <t>CouldNotSpitItOut</t>
  </si>
  <si>
    <t>CountdownSequence</t>
  </si>
  <si>
    <t>CounterZany</t>
  </si>
  <si>
    <t>CountingSheep</t>
  </si>
  <si>
    <t>CountryCousin</t>
  </si>
  <si>
    <t>CoverAlbum</t>
  </si>
  <si>
    <t>CoveredInGrunge</t>
  </si>
  <si>
    <t>CoversAlwaysSpoil</t>
  </si>
  <si>
    <t>CoverSong</t>
  </si>
  <si>
    <t>CoverUpPurchase</t>
  </si>
  <si>
    <t>CrackingUp</t>
  </si>
  <si>
    <t>CrackIsCheaper</t>
  </si>
  <si>
    <t>CrackPairing</t>
  </si>
  <si>
    <t>CradlingTheirKill</t>
  </si>
  <si>
    <t>CraniumCompartment</t>
  </si>
  <si>
    <t>CraterPower</t>
  </si>
  <si>
    <t>CrazySane</t>
  </si>
  <si>
    <t>CreationMyth</t>
  </si>
  <si>
    <t>CreatorPreferredAdaptation</t>
  </si>
  <si>
    <t>CreatorsOddball</t>
  </si>
  <si>
    <t>CreatorWarnerBros</t>
  </si>
  <si>
    <t>CreekMoment</t>
  </si>
  <si>
    <t>CreepyHighPitchedVoice</t>
  </si>
  <si>
    <t>CreepyNun</t>
  </si>
  <si>
    <t>CreepyOrderly</t>
  </si>
  <si>
    <t>CrimeDoesNotPay</t>
  </si>
  <si>
    <t>CrimeFiction</t>
  </si>
  <si>
    <t>CrimeReconstruction</t>
  </si>
  <si>
    <t>CriminalConvention</t>
  </si>
  <si>
    <t>CrissCrossAttack</t>
  </si>
  <si>
    <t>CriticalHesitationBlunder</t>
  </si>
  <si>
    <t>CriticalHit</t>
  </si>
  <si>
    <t>CrossCulturalKerfuffle</t>
  </si>
  <si>
    <t>CrossCut</t>
  </si>
  <si>
    <t>CrossDressingVoice</t>
  </si>
  <si>
    <t>CrossdressingVoices</t>
  </si>
  <si>
    <t>CrossReferencedTitles</t>
  </si>
  <si>
    <t>CrowdedCastShot</t>
  </si>
  <si>
    <t>CrownShapedHead</t>
  </si>
  <si>
    <t>CrowsAndRavens</t>
  </si>
  <si>
    <t>CrusadingWidow</t>
  </si>
  <si>
    <t>CrushedLikeAGrape</t>
  </si>
  <si>
    <t>CrushParade</t>
  </si>
  <si>
    <t>CrutchCharacter</t>
  </si>
  <si>
    <t>CryingIndian</t>
  </si>
  <si>
    <t>CrypticConversations</t>
  </si>
  <si>
    <t>CubsCueProtectiveParent</t>
  </si>
  <si>
    <t>CueOClock</t>
  </si>
  <si>
    <t>CultureJustifiesAnything</t>
  </si>
  <si>
    <t>CuriousQualmsOfConscience</t>
  </si>
  <si>
    <t>CurrentEventsBlog</t>
  </si>
  <si>
    <t>CurtainsMatchTheWindows</t>
  </si>
  <si>
    <t>Cutaway</t>
  </si>
  <si>
    <t>CuteApproachesCamera</t>
  </si>
  <si>
    <t>CuteAsABouncingBetty</t>
  </si>
  <si>
    <t>CuteButTroubled</t>
  </si>
  <si>
    <t>CuteGlassesBoy</t>
  </si>
  <si>
    <t>CuteGlassesGirl</t>
  </si>
  <si>
    <t>CuttingTheGordianKnot</t>
  </si>
  <si>
    <t>CutToSex</t>
  </si>
  <si>
    <t>CyberNinja</t>
  </si>
  <si>
    <t>CycleOfVengeance</t>
  </si>
  <si>
    <t>DabneyColeman</t>
  </si>
  <si>
    <t>DadsOffFightingInTheWar</t>
  </si>
  <si>
    <t>DaintyLittleBalletDancers</t>
  </si>
  <si>
    <t>Dakka</t>
  </si>
  <si>
    <t>DamageSponge</t>
  </si>
  <si>
    <t>DamnedByAFoolsPraise</t>
  </si>
  <si>
    <t>DamningWithFaintPraise</t>
  </si>
  <si>
    <t>DamnWithFaintPraise</t>
  </si>
  <si>
    <t>DamselFightAndFlightResponse</t>
  </si>
  <si>
    <t>DamselScrappy</t>
  </si>
  <si>
    <t>DancinInTheRuins</t>
  </si>
  <si>
    <t>DangerInTheGalacticCore</t>
  </si>
  <si>
    <t>DangerousBackswing</t>
  </si>
  <si>
    <t>DannyJacobs</t>
  </si>
  <si>
    <t>DanteAlighieri</t>
  </si>
  <si>
    <t>DarkAndTroubledBackstory</t>
  </si>
  <si>
    <t>DarkerAndGrittier</t>
  </si>
  <si>
    <t>DarkHorseSibling</t>
  </si>
  <si>
    <t>DarkLadyAndBlackKnight</t>
  </si>
  <si>
    <t>DarkMagic</t>
  </si>
  <si>
    <t>DarkSide</t>
  </si>
  <si>
    <t>DarkWave</t>
  </si>
  <si>
    <t>DatePeepers</t>
  </si>
  <si>
    <t>DavidSchmoeller</t>
  </si>
  <si>
    <t>DawsonBabies</t>
  </si>
  <si>
    <t>DaycareNightmare</t>
  </si>
  <si>
    <t>DayInTheLimelight</t>
  </si>
  <si>
    <t>DaytimeDramaQueen</t>
  </si>
  <si>
    <t>DC25</t>
  </si>
  <si>
    <t>DeadDrop</t>
  </si>
  <si>
    <t>DeadEndJob</t>
  </si>
  <si>
    <t>DeadEndRoom</t>
  </si>
  <si>
    <t>DeadlyBook</t>
  </si>
  <si>
    <t>DeadlyLunge</t>
  </si>
  <si>
    <t>DeadTVRemoteGag</t>
  </si>
  <si>
    <t>Death</t>
  </si>
  <si>
    <t>DeathByDeaging</t>
  </si>
  <si>
    <t>DeathBySighOfRelief</t>
  </si>
  <si>
    <t>DeathIsALoser</t>
  </si>
  <si>
    <t>DeathlyPallor</t>
  </si>
  <si>
    <t>DeathMetal</t>
  </si>
  <si>
    <t>DeathOfTheHypoteneuse</t>
  </si>
  <si>
    <t>DeathSport</t>
  </si>
  <si>
    <t>DeathTropes</t>
  </si>
  <si>
    <t>DeborahKerr</t>
  </si>
  <si>
    <t>DebtDetester</t>
  </si>
  <si>
    <t>DecadeDissonance</t>
  </si>
  <si>
    <t>DecemberRomance</t>
  </si>
  <si>
    <t>DeceptivelyHumanRobot</t>
  </si>
  <si>
    <t>DecisionDarts</t>
  </si>
  <si>
    <t>DeclarativeFinger</t>
  </si>
  <si>
    <t>Deconstruct</t>
  </si>
  <si>
    <t>DeconstructionFic</t>
  </si>
  <si>
    <t>DecontaminationShower</t>
  </si>
  <si>
    <t>DecoyProtagnoist</t>
  </si>
  <si>
    <t>DeepBreathRevealsTension</t>
  </si>
  <si>
    <t>DefacementInsult</t>
  </si>
  <si>
    <t>DefeatedAndTrophified</t>
  </si>
  <si>
    <t>DefeatMeansExplosion</t>
  </si>
  <si>
    <t>DefenceMechanismSuperpower</t>
  </si>
  <si>
    <t>DefenselessTransports</t>
  </si>
  <si>
    <t>DehumanizingInsult</t>
  </si>
  <si>
    <t>DeLauer</t>
  </si>
  <si>
    <t>DelayedCasuality</t>
  </si>
  <si>
    <t>DeliberatelyTriggeringTheTrap</t>
  </si>
  <si>
    <t>DeliberateMonochrome</t>
  </si>
  <si>
    <t>DeliberateUnderPerformance</t>
  </si>
  <si>
    <t>DeliriousMisidentification</t>
  </si>
  <si>
    <t>DeliveryGuy</t>
  </si>
  <si>
    <t>DeLorean</t>
  </si>
  <si>
    <t>DemonicallyPossessed</t>
  </si>
  <si>
    <t>DemonicPossesion</t>
  </si>
  <si>
    <t>DemonKingNobunaga</t>
  </si>
  <si>
    <t>DennisRodman</t>
  </si>
  <si>
    <t>DenyingTheDeadParentsSins</t>
  </si>
  <si>
    <t>DePowered</t>
  </si>
  <si>
    <t>Deprogram</t>
  </si>
  <si>
    <t>DerailedFairyTale</t>
  </si>
  <si>
    <t>DeRega</t>
  </si>
  <si>
    <t>DesertIsland</t>
  </si>
  <si>
    <t>DesignatedMonkey</t>
  </si>
  <si>
    <t>DeskSweepOfPassion</t>
  </si>
  <si>
    <t>DestinationHostUnreachable</t>
  </si>
  <si>
    <t>DestinedBystander</t>
  </si>
  <si>
    <t>DestructibleProjectiles</t>
  </si>
  <si>
    <t>DestructionPorn</t>
  </si>
  <si>
    <t>DestructiveTeleportation</t>
  </si>
  <si>
    <t>DetachableBlades</t>
  </si>
  <si>
    <t>DetentionEpisode</t>
  </si>
  <si>
    <t>DeterioratesIntoGibberish</t>
  </si>
  <si>
    <t>DeterminedDoctor</t>
  </si>
  <si>
    <t>Detournement</t>
  </si>
  <si>
    <t>DeviousDolphins</t>
  </si>
  <si>
    <t>DeVito</t>
  </si>
  <si>
    <t>DeWinter</t>
  </si>
  <si>
    <t>Dhampir</t>
  </si>
  <si>
    <t>DI</t>
  </si>
  <si>
    <t>DiCaprio</t>
  </si>
  <si>
    <t>DickCheney</t>
  </si>
  <si>
    <t>DidDoTheResearch</t>
  </si>
  <si>
    <t>DiedLaughing</t>
  </si>
  <si>
    <t>DiegeticMusic</t>
  </si>
  <si>
    <t>DifferentInEveryEpisode</t>
  </si>
  <si>
    <t>DifferentlyDressedDuplicates</t>
  </si>
  <si>
    <t>DifferentlyPoweredIndividuals</t>
  </si>
  <si>
    <t>DifferentStatesOfAmerica</t>
  </si>
  <si>
    <t>DifficultyLevels</t>
  </si>
  <si>
    <t>DifficultySpike</t>
  </si>
  <si>
    <t>DigitalPinballTables</t>
  </si>
  <si>
    <t>DigitalPiracyIsOkay</t>
  </si>
  <si>
    <t>DinnerTheatre</t>
  </si>
  <si>
    <t>DireBeast</t>
  </si>
  <si>
    <t>DirectorDisplacement</t>
  </si>
  <si>
    <t>DirtyRap</t>
  </si>
  <si>
    <t>DirtySocialTricks</t>
  </si>
  <si>
    <t>DisabilityNegatingSuperpower</t>
  </si>
  <si>
    <t>DisabledBadass</t>
  </si>
  <si>
    <t>DiSalle</t>
  </si>
  <si>
    <t>DisasterDemocracy</t>
  </si>
  <si>
    <t>DiseaseByAnyOtherName</t>
  </si>
  <si>
    <t>DisguiseTropes</t>
  </si>
  <si>
    <t>DislikesTheNewGuy</t>
  </si>
  <si>
    <t>DismissingACompliment</t>
  </si>
  <si>
    <t>DisneyVillianDeath</t>
  </si>
  <si>
    <t>DisposableSuperheroMaker</t>
  </si>
  <si>
    <t>DisproportionateCelebration</t>
  </si>
  <si>
    <t>DisproportionateReward</t>
  </si>
  <si>
    <t>DissensionRemorse</t>
  </si>
  <si>
    <t>DittoFighter</t>
  </si>
  <si>
    <t>DiVA</t>
  </si>
  <si>
    <t>DivideByZero</t>
  </si>
  <si>
    <t>DivingKick</t>
  </si>
  <si>
    <t>DivorceIsOnlyTemporary</t>
  </si>
  <si>
    <t>DoctorJekyllAndMisterJackDaniels</t>
  </si>
  <si>
    <t>DoctorsOrders</t>
  </si>
  <si>
    <t>DodgeThis</t>
  </si>
  <si>
    <t>DoesNotCompute</t>
  </si>
  <si>
    <t>DoesNotLikeWomen</t>
  </si>
  <si>
    <t>DoesntKnowTheirOwnBirthday</t>
  </si>
  <si>
    <t>DoesntLikeBeingTouched</t>
  </si>
  <si>
    <t>DoingItWrong</t>
  </si>
  <si>
    <t>DoItYourselfPlumbingProject</t>
  </si>
  <si>
    <t>DomCom</t>
  </si>
  <si>
    <t>DominoRevelation</t>
  </si>
  <si>
    <t>DoNotAttempt</t>
  </si>
  <si>
    <t>DoNotCallMeSir</t>
  </si>
  <si>
    <t>DontEatAndSwim</t>
  </si>
  <si>
    <t>DontYouLikeIt</t>
  </si>
  <si>
    <t>DoomedUpgrade</t>
  </si>
  <si>
    <t>DoomsdayClock</t>
  </si>
  <si>
    <t>DoorSlamOfRage</t>
  </si>
  <si>
    <t>DoorstepBaby</t>
  </si>
  <si>
    <t>DooWopProgression</t>
  </si>
  <si>
    <t>DotingGrandparent</t>
  </si>
  <si>
    <t>DoubleAct</t>
  </si>
  <si>
    <t>DoubleDontKnow</t>
  </si>
  <si>
    <t>DoubleEntendres</t>
  </si>
  <si>
    <t>DoubleJump</t>
  </si>
  <si>
    <t>DoubleX</t>
  </si>
  <si>
    <t>DownToTheLastMatch</t>
  </si>
  <si>
    <t>Doylist</t>
  </si>
  <si>
    <t>DraconicAbomination</t>
  </si>
  <si>
    <t>DraconicHumanoid</t>
  </si>
  <si>
    <t>DragonAncestry</t>
  </si>
  <si>
    <t>DragonGod</t>
  </si>
  <si>
    <t>DragonHisFeet</t>
  </si>
  <si>
    <t>Drama</t>
  </si>
  <si>
    <t>DrawSwordDrawBlood</t>
  </si>
  <si>
    <t>DreadZeppelin</t>
  </si>
  <si>
    <t>DreamStealer</t>
  </si>
  <si>
    <t>DressedToHeal</t>
  </si>
  <si>
    <t>DressUpEpisode</t>
  </si>
  <si>
    <t>DrippingDisturbance</t>
  </si>
  <si>
    <t>DroppedAfterThePilot</t>
  </si>
  <si>
    <t>DrowningHerSorrows</t>
  </si>
  <si>
    <t>DrowningUnwantedPets</t>
  </si>
  <si>
    <t>DuBrow</t>
  </si>
  <si>
    <t>DuckTalesTheGoldenGoose</t>
  </si>
  <si>
    <t>DudeInDistress</t>
  </si>
  <si>
    <t>DudeNotIronic</t>
  </si>
  <si>
    <t>DudeWhereIsMyRespect</t>
  </si>
  <si>
    <t>DuelingMessiahs</t>
  </si>
  <si>
    <t>DuellingMovies</t>
  </si>
  <si>
    <t>DugInDeeper</t>
  </si>
  <si>
    <t>DumbassNoMore</t>
  </si>
  <si>
    <t>DumbCrooks</t>
  </si>
  <si>
    <t>DumpedViaTextMessage</t>
  </si>
  <si>
    <t>DumpStat</t>
  </si>
  <si>
    <t>DungeonBasedEconomy</t>
  </si>
  <si>
    <t>DuPont</t>
  </si>
  <si>
    <t>DustbinSchool</t>
  </si>
  <si>
    <t>DutchCourage</t>
  </si>
  <si>
    <t>DutchFilms</t>
  </si>
  <si>
    <t>DutifulChild</t>
  </si>
  <si>
    <t>DVDs</t>
  </si>
  <si>
    <t>DyingConfessionOfLove</t>
  </si>
  <si>
    <t>DyingLikeAnimals</t>
  </si>
  <si>
    <t>DyingToBeReplaced</t>
  </si>
  <si>
    <t>DyingWish</t>
  </si>
  <si>
    <t>EarlyAdaptationWeirdness</t>
  </si>
  <si>
    <t>EarlyBirdBoss</t>
  </si>
  <si>
    <t>EarlyFilms</t>
  </si>
  <si>
    <t>EarNotch</t>
  </si>
  <si>
    <t>EarsAsHair</t>
  </si>
  <si>
    <t>EarthquakeMachine</t>
  </si>
  <si>
    <t>EasilyConvicted</t>
  </si>
  <si>
    <t>EasilyEmbarrassedYoungster</t>
  </si>
  <si>
    <t>EasilyImpressed</t>
  </si>
  <si>
    <t>EasingIntoTheAdventure</t>
  </si>
  <si>
    <t>EasternZodiac</t>
  </si>
  <si>
    <t>EastIndies</t>
  </si>
  <si>
    <t>EasyImpersonation</t>
  </si>
  <si>
    <t>EasyListening</t>
  </si>
  <si>
    <t>EatingOptional</t>
  </si>
  <si>
    <t>EatingPetFood</t>
  </si>
  <si>
    <t>EatMyDust</t>
  </si>
  <si>
    <t>EdgeGravity</t>
  </si>
  <si>
    <t>EditorialSynaesthesia</t>
  </si>
  <si>
    <t>EditorialSynesthesia</t>
  </si>
  <si>
    <t>Edutainment</t>
  </si>
  <si>
    <t>EffectiveKnockoff</t>
  </si>
  <si>
    <t>EffeminateMisogynisticGuy</t>
  </si>
  <si>
    <t>EggMcGuffin</t>
  </si>
  <si>
    <t>EightAndAHalf</t>
  </si>
  <si>
    <t>EitherOrProphecy</t>
  </si>
  <si>
    <t>Elders</t>
  </si>
  <si>
    <t>ElectricJellyfish</t>
  </si>
  <si>
    <t>ElectronicMusic</t>
  </si>
  <si>
    <t>ElegantGothicLolita</t>
  </si>
  <si>
    <t>ElementalAbsorption</t>
  </si>
  <si>
    <t>ElementalPunch</t>
  </si>
  <si>
    <t>ElevatorGag</t>
  </si>
  <si>
    <t>ElevatorSchool</t>
  </si>
  <si>
    <t>EleventhHour</t>
  </si>
  <si>
    <t>EleventyZillion</t>
  </si>
  <si>
    <t>Elfeminate</t>
  </si>
  <si>
    <t>EliWhitney</t>
  </si>
  <si>
    <t>EloquentInHerNativeTongue</t>
  </si>
  <si>
    <t>Elseworld</t>
  </si>
  <si>
    <t>Elseworlds</t>
  </si>
  <si>
    <t>ElvesVersusDwarves</t>
  </si>
  <si>
    <t>ElvisHasLeftThePlanet</t>
  </si>
  <si>
    <t>EmancipatedChild</t>
  </si>
  <si>
    <t>EmbarrassingInitials</t>
  </si>
  <si>
    <t>EmbodimentOfVice</t>
  </si>
  <si>
    <t>EmergencyWeapon</t>
  </si>
  <si>
    <t>EmergentHuman</t>
  </si>
  <si>
    <t>EmiliaMcCarthy</t>
  </si>
  <si>
    <t>EmissaryFromTheDivine</t>
  </si>
  <si>
    <t>EmoKid</t>
  </si>
  <si>
    <t>EmoMusic</t>
  </si>
  <si>
    <t>EmotionalMaturityIsPhysicalMaturity</t>
  </si>
  <si>
    <t>EmotionBomb</t>
  </si>
  <si>
    <t>EmotionControl</t>
  </si>
  <si>
    <t>EmptyEyes</t>
  </si>
  <si>
    <t>EmptyRoomPsych</t>
  </si>
  <si>
    <t>EmptyRoomUntilTheTrap</t>
  </si>
  <si>
    <t>EmptySwimmingPoolDive</t>
  </si>
  <si>
    <t>EMTs</t>
  </si>
  <si>
    <t>EndingAversion</t>
  </si>
  <si>
    <t>EndingTropes</t>
  </si>
  <si>
    <t>EndOfEpisodeSilliness</t>
  </si>
  <si>
    <t>EnemiesWithDeath</t>
  </si>
  <si>
    <t>EnemySummoner</t>
  </si>
  <si>
    <t>EnergizerBunny</t>
  </si>
  <si>
    <t>EnergyBlasts</t>
  </si>
  <si>
    <t>EnergyDonation</t>
  </si>
  <si>
    <t>EnergyEconomy</t>
  </si>
  <si>
    <t>EngagingChevrons</t>
  </si>
  <si>
    <t>EnigmaticEmpoweringEntity</t>
  </si>
  <si>
    <t>EnlightenedSelfInterest</t>
  </si>
  <si>
    <t>EnlightenmentSuperpower</t>
  </si>
  <si>
    <t>EnmityWithAnObject</t>
  </si>
  <si>
    <t>EnRouteSumUp</t>
  </si>
  <si>
    <t>Ensembles</t>
  </si>
  <si>
    <t>EnterEponymous</t>
  </si>
  <si>
    <t>EpicMount</t>
  </si>
  <si>
    <t>EpicShipOnShipAction</t>
  </si>
  <si>
    <t>EpisodeOnAPlane</t>
  </si>
  <si>
    <t>Epistolary</t>
  </si>
  <si>
    <t>EquippableAlly</t>
  </si>
  <si>
    <t>EraSpecificPersonality</t>
  </si>
  <si>
    <t>EroticLiterature</t>
  </si>
  <si>
    <t>Es</t>
  </si>
  <si>
    <t>EscapeSequence</t>
  </si>
  <si>
    <t>EsotericMotif</t>
  </si>
  <si>
    <t>EternalRecurrance</t>
  </si>
  <si>
    <t>EtherealWhiteDress</t>
  </si>
  <si>
    <t>EtiquetteNazi</t>
  </si>
  <si>
    <t>EvenBadMenHaveLovedOnes</t>
  </si>
  <si>
    <t>EvenBetterSequel</t>
  </si>
  <si>
    <t>EvenEvilHasStandars</t>
  </si>
  <si>
    <t>EverybodyHatesMath</t>
  </si>
  <si>
    <t>EverybodyLovesZeus</t>
  </si>
  <si>
    <t>EveryDeviceIsASwissArmyKnife</t>
  </si>
  <si>
    <t>EveryGirlIsCuterWithHairDecs</t>
  </si>
  <si>
    <t>EveryoneHasLotsOfSex</t>
  </si>
  <si>
    <t>EveryoneKnewAlready</t>
  </si>
  <si>
    <t>EveryoneKnowsMorseCode</t>
  </si>
  <si>
    <t>EverythingBreaks</t>
  </si>
  <si>
    <t>EverythingExceptMostThings</t>
  </si>
  <si>
    <t>EverythingIsBetterWithPenguins</t>
  </si>
  <si>
    <t>EverythingIsBetterWithPrincesses</t>
  </si>
  <si>
    <t>EverythingIsBetterWithSpinning</t>
  </si>
  <si>
    <t>EverythingsBigInTexas</t>
  </si>
  <si>
    <t>EverythingsMessierWithPigs</t>
  </si>
  <si>
    <t>EverythingsWorseWithBears</t>
  </si>
  <si>
    <t>EverythingTalks</t>
  </si>
  <si>
    <t>EvilBanker</t>
  </si>
  <si>
    <t>Evildar</t>
  </si>
  <si>
    <t>EvilDetectingCat</t>
  </si>
  <si>
    <t>EvilDrugCompany</t>
  </si>
  <si>
    <t>EvilEyeshadow</t>
  </si>
  <si>
    <t>EvilImperialist</t>
  </si>
  <si>
    <t>EvilIsDumb</t>
  </si>
  <si>
    <t>EvilIsEasy</t>
  </si>
  <si>
    <t>EvilIsSterile</t>
  </si>
  <si>
    <t>EvilKnockoffs</t>
  </si>
  <si>
    <t>EvilMayor</t>
  </si>
  <si>
    <t>EvilMinion</t>
  </si>
  <si>
    <t>EvilOverlordListCellblockA</t>
  </si>
  <si>
    <t>EvilPatriarch</t>
  </si>
  <si>
    <t>EvilPuppeteer</t>
  </si>
  <si>
    <t>EvilStepmother</t>
  </si>
  <si>
    <t>EvilVizier</t>
  </si>
  <si>
    <t>EvilVsOblivion</t>
  </si>
  <si>
    <t>EvolutionPowerup</t>
  </si>
  <si>
    <t>EvolvingTrope</t>
  </si>
  <si>
    <t>ExactlyAsPlanned</t>
  </si>
  <si>
    <t>ExasperatedPerp</t>
  </si>
  <si>
    <t>ExcitedEpisodeTitle</t>
  </si>
  <si>
    <t>ExcitedTitleTwoPartEpisodeName</t>
  </si>
  <si>
    <t>ExpansionPack</t>
  </si>
  <si>
    <t>ExpensiveGlassOfCrap</t>
  </si>
  <si>
    <t>ExperiencePoints</t>
  </si>
  <si>
    <t>ExploitingTheFourthWall</t>
  </si>
  <si>
    <t>ExplorerOutfit</t>
  </si>
  <si>
    <t>ExplosiveBarrels</t>
  </si>
  <si>
    <t>ExplosiveBreeders</t>
  </si>
  <si>
    <t>ExplosiveResults</t>
  </si>
  <si>
    <t>ExpositionAlreadyCovered</t>
  </si>
  <si>
    <t>ExpositionBomb</t>
  </si>
  <si>
    <t>ExpositionIntuition</t>
  </si>
  <si>
    <t>ExpositoryThemeSong</t>
  </si>
  <si>
    <t>ExpressiveHair</t>
  </si>
  <si>
    <t>ExtendedDisarmingSequence</t>
  </si>
  <si>
    <t>ExtendoBoxingGlove</t>
  </si>
  <si>
    <t>ExternalConsistency</t>
  </si>
  <si>
    <t>ExternallyValidatedProphecy</t>
  </si>
  <si>
    <t>ExtraLongEpisode</t>
  </si>
  <si>
    <t>ExtraordinaryWorldOrdinaryProblems</t>
  </si>
  <si>
    <t>ExtraParentConception</t>
  </si>
  <si>
    <t>ExtremelyLengthyCreation</t>
  </si>
  <si>
    <t>ExtremeSpeculativeStratification</t>
  </si>
  <si>
    <t>EyeColorChange</t>
  </si>
  <si>
    <t>EyeOfHorusMeansEgypt</t>
  </si>
  <si>
    <t>EyeShock</t>
  </si>
  <si>
    <t>EyesOffTheRoad</t>
  </si>
  <si>
    <t>EyeTropes</t>
  </si>
  <si>
    <t>EyeTwitch</t>
  </si>
  <si>
    <t>Fabio</t>
  </si>
  <si>
    <t>FaceDeathWithDiginty</t>
  </si>
  <si>
    <t>FaceDesk</t>
  </si>
  <si>
    <t>FaceHeelDoorSlam</t>
  </si>
  <si>
    <t>FaceRealization</t>
  </si>
  <si>
    <t>FaceTime</t>
  </si>
  <si>
    <t>FacialProfiling</t>
  </si>
  <si>
    <t>FairyInABottle</t>
  </si>
  <si>
    <t>FakeAustralian</t>
  </si>
  <si>
    <t>FakeCharity</t>
  </si>
  <si>
    <t>FakeConfession</t>
  </si>
  <si>
    <t>FakeCutie</t>
  </si>
  <si>
    <t>FakeGerman</t>
  </si>
  <si>
    <t>FakePlatform</t>
  </si>
  <si>
    <t>FakeRadioShowAlbum</t>
  </si>
  <si>
    <t>FakeSpecialAttack</t>
  </si>
  <si>
    <t>FakingAnotherPersonsIllness</t>
  </si>
  <si>
    <t>FallbackMarriagePact</t>
  </si>
  <si>
    <t>FallenAngels</t>
  </si>
  <si>
    <t>FallenCupid</t>
  </si>
  <si>
    <t>FallingIntoJail</t>
  </si>
  <si>
    <t>FalseCrucible</t>
  </si>
  <si>
    <t>FalseMemories</t>
  </si>
  <si>
    <t>FalseReassurances</t>
  </si>
  <si>
    <t>FalseStart</t>
  </si>
  <si>
    <t>FamilialCannibalismSurprise</t>
  </si>
  <si>
    <t>Familicide</t>
  </si>
  <si>
    <t>FamilyDrama</t>
  </si>
  <si>
    <t>FanaticalFire</t>
  </si>
  <si>
    <t>FanCommunityNicknames</t>
  </si>
  <si>
    <t>FanDislikedExplanation</t>
  </si>
  <si>
    <t>FandomNickname</t>
  </si>
  <si>
    <t>FandomSpecificPlot</t>
  </si>
  <si>
    <t>FanHater</t>
  </si>
  <si>
    <t>FanMob</t>
  </si>
  <si>
    <t>FanserviceCover</t>
  </si>
  <si>
    <t>FantasticFaunaCounterpart</t>
  </si>
  <si>
    <t>FantasticFireworks</t>
  </si>
  <si>
    <t>FantasticFruitsAndVegetables</t>
  </si>
  <si>
    <t>FantasticMeasurementSystem</t>
  </si>
  <si>
    <t>FantasticMount</t>
  </si>
  <si>
    <t>FantasticSapientSpecies</t>
  </si>
  <si>
    <t>FantasticScience</t>
  </si>
  <si>
    <t>FantasyAllAlong</t>
  </si>
  <si>
    <t>FantasyCounterpart</t>
  </si>
  <si>
    <t>FantasyCounterpartAppliance</t>
  </si>
  <si>
    <t>FantasyCounterpartReligion</t>
  </si>
  <si>
    <t>FantasyForbiddingMother</t>
  </si>
  <si>
    <t>FarSideIsland</t>
  </si>
  <si>
    <t>FashionBasedRelationshipCue</t>
  </si>
  <si>
    <t>FashionMagazine</t>
  </si>
  <si>
    <t>FastForwardMechanic</t>
  </si>
  <si>
    <t>FatAdmirer</t>
  </si>
  <si>
    <t>FatalAttractor</t>
  </si>
  <si>
    <t>FatBitch</t>
  </si>
  <si>
    <t>FatCat</t>
  </si>
  <si>
    <t>FatFlex</t>
  </si>
  <si>
    <t>FatherlyScientist</t>
  </si>
  <si>
    <t>FaustianBargain</t>
  </si>
  <si>
    <t>FauxActionGuy</t>
  </si>
  <si>
    <t>FauxAdventureStory</t>
  </si>
  <si>
    <t>FauxlosophicalNarration</t>
  </si>
  <si>
    <t>FauxPaw</t>
  </si>
  <si>
    <t>FauxtivationalPoster</t>
  </si>
  <si>
    <t>FavoritismFlipFlop</t>
  </si>
  <si>
    <t>FearOfTheUnknown</t>
  </si>
  <si>
    <t>FearsomeCritters</t>
  </si>
  <si>
    <t>FearsomeCrittersOfAmericanFolklore</t>
  </si>
  <si>
    <t>Featurization</t>
  </si>
  <si>
    <t>FedericoFellini</t>
  </si>
  <si>
    <t>FeedByExample</t>
  </si>
  <si>
    <t>FemaleEmpowermentSong</t>
  </si>
  <si>
    <t>FemaleFelineMaleMutt</t>
  </si>
  <si>
    <t>FetishFuel</t>
  </si>
  <si>
    <t>FeudalJapan</t>
  </si>
  <si>
    <t>FictionalDisability</t>
  </si>
  <si>
    <t>FictionalGreetingsAndFarewells</t>
  </si>
  <si>
    <t>FictionalProvince</t>
  </si>
  <si>
    <t>FictionalZodiac</t>
  </si>
  <si>
    <t>FictionIsNotFair</t>
  </si>
  <si>
    <t>FidelCastro</t>
  </si>
  <si>
    <t>FieldOfBlades</t>
  </si>
  <si>
    <t>FieldTripToThePast</t>
  </si>
  <si>
    <t>FightingDownMemoryLane</t>
  </si>
  <si>
    <t>FightingTheLancer</t>
  </si>
  <si>
    <t>FightsLikeANormal</t>
  </si>
  <si>
    <t>FightUnscene</t>
  </si>
  <si>
    <t>FilibusterFreefall</t>
  </si>
  <si>
    <t>Film</t>
  </si>
  <si>
    <t>FilmHalloween4TheReturnOfMichaelMyers</t>
  </si>
  <si>
    <t>FilmsOfThe2010s</t>
  </si>
  <si>
    <t>FilmTaken</t>
  </si>
  <si>
    <t>FilthyFun</t>
  </si>
  <si>
    <t>FinalBossNewDimension</t>
  </si>
  <si>
    <t>FinalBoy</t>
  </si>
  <si>
    <t>FinalDeath</t>
  </si>
  <si>
    <t>FindersRulers</t>
  </si>
  <si>
    <t>FindOutNextTime</t>
  </si>
  <si>
    <t>FingerLickinEvil</t>
  </si>
  <si>
    <t>FingerLickingPoison</t>
  </si>
  <si>
    <t>FireAndIceLoveTriangle</t>
  </si>
  <si>
    <t>FireIsRed</t>
  </si>
  <si>
    <t>FiremansSafetyNet</t>
  </si>
  <si>
    <t>FireOfComfort</t>
  </si>
  <si>
    <t>FirstContactFarmer</t>
  </si>
  <si>
    <t>FirstContactFauxPas</t>
  </si>
  <si>
    <t>FirstDiscFinalBoss</t>
  </si>
  <si>
    <t>FirstFriend</t>
  </si>
  <si>
    <t>FirstGirlAfterAll</t>
  </si>
  <si>
    <t>FirstGrayHair</t>
  </si>
  <si>
    <t>FirstInstallmentWeirdness</t>
  </si>
  <si>
    <t>FirstInstallmentWins</t>
  </si>
  <si>
    <t>First-Kiss</t>
  </si>
  <si>
    <t>FirstLawOfGenderBending</t>
  </si>
  <si>
    <t>FirstPerson</t>
  </si>
  <si>
    <t>FirstRunSyndication</t>
  </si>
  <si>
    <t>FishPerson</t>
  </si>
  <si>
    <t>FissionMailed</t>
  </si>
  <si>
    <t>FiveAcesCheater</t>
  </si>
  <si>
    <t>FiveManBandConcert</t>
  </si>
  <si>
    <t>FiveSecondsForeshadowing</t>
  </si>
  <si>
    <t>FixedFloorFighting</t>
  </si>
  <si>
    <t>FlamingArrows</t>
  </si>
  <si>
    <t>FlamingSkull</t>
  </si>
  <si>
    <t>FlamingSkulls</t>
  </si>
  <si>
    <t>Flanderisation</t>
  </si>
  <si>
    <t>Flanderized</t>
  </si>
  <si>
    <t>FlarePistol</t>
  </si>
  <si>
    <t>FlashbackToCatchphrase</t>
  </si>
  <si>
    <t>FlashMob</t>
  </si>
  <si>
    <t>FleetingPassionateHobbies</t>
  </si>
  <si>
    <t>FleshVersusSteel</t>
  </si>
  <si>
    <t>FlintstoneTheming</t>
  </si>
  <si>
    <t>FlipPersonality</t>
  </si>
  <si>
    <t>FloatingInABubble</t>
  </si>
  <si>
    <t>Flood</t>
  </si>
  <si>
    <t>FloralMotifs</t>
  </si>
  <si>
    <t>FlourishCapeInFrontOfFace</t>
  </si>
  <si>
    <t>FloweryCurses</t>
  </si>
  <si>
    <t>FluffyDryCat</t>
  </si>
  <si>
    <t>FluorescentFootprints</t>
  </si>
  <si>
    <t>FlushTheEvidence</t>
  </si>
  <si>
    <t>FlyingCarpet</t>
  </si>
  <si>
    <t>FlyingPostman</t>
  </si>
  <si>
    <t>FlyOrDie</t>
  </si>
  <si>
    <t>FocalLength</t>
  </si>
  <si>
    <t>FollowupFailure</t>
  </si>
  <si>
    <t>FoodEatsYou</t>
  </si>
  <si>
    <t>FoodInterrogation</t>
  </si>
  <si>
    <t>FoodSongsAreFunny</t>
  </si>
  <si>
    <t>FooFu</t>
  </si>
  <si>
    <t>FoolForLove</t>
  </si>
  <si>
    <t>FoolsMap</t>
  </si>
  <si>
    <t>ForbiddenHoliday</t>
  </si>
  <si>
    <t>ForebodingArchitecture</t>
  </si>
  <si>
    <t>ForeignCurseWord</t>
  </si>
  <si>
    <t>ForeignerForADay</t>
  </si>
  <si>
    <t>ForeignersWriteBackwards</t>
  </si>
  <si>
    <t>ForeignPeopleAreSexy</t>
  </si>
  <si>
    <t>ForeignReScore</t>
  </si>
  <si>
    <t>ForeignSoundingGibberish</t>
  </si>
  <si>
    <t>ForensicPhlebotinum</t>
  </si>
  <si>
    <t>ForestRanger</t>
  </si>
  <si>
    <t>ForEverythingThereIsAFirstTime</t>
  </si>
  <si>
    <t>ForgedByTheGods</t>
  </si>
  <si>
    <t>ForgedLetter</t>
  </si>
  <si>
    <t>ForgettableCharacter</t>
  </si>
  <si>
    <t>ForgingTheWill</t>
  </si>
  <si>
    <t>ForgoneConclusion</t>
  </si>
  <si>
    <t>ForgottenAesop</t>
  </si>
  <si>
    <t>ForgottenFriendNewFoe</t>
  </si>
  <si>
    <t>FormerBigot</t>
  </si>
  <si>
    <t>ForTheGreaterGood</t>
  </si>
  <si>
    <t>FoulFlower</t>
  </si>
  <si>
    <t>FoundingDay</t>
  </si>
  <si>
    <t>FountainOfExpies</t>
  </si>
  <si>
    <t>FourthWallBreaking</t>
  </si>
  <si>
    <t>FourthWallGreeting</t>
  </si>
  <si>
    <t>FourthWallInDisguise</t>
  </si>
  <si>
    <t>FoxChickenGrainPuzzle</t>
  </si>
  <si>
    <t>FrameBreak</t>
  </si>
  <si>
    <t>FranchiseKiller</t>
  </si>
  <si>
    <t>FrancoBelgianComics</t>
  </si>
  <si>
    <t>FrankensteinMonster</t>
  </si>
  <si>
    <t>Freakonomics</t>
  </si>
  <si>
    <t>FreakyFriday</t>
  </si>
  <si>
    <t>FreakyFridaySabotage</t>
  </si>
  <si>
    <t>FreeFallRomance</t>
  </si>
  <si>
    <t>FreeingTheGenie</t>
  </si>
  <si>
    <t>FreezeSneeze</t>
  </si>
  <si>
    <t>FrenchNewWave</t>
  </si>
  <si>
    <t>FrequentlyBrokenUnbreakableVow</t>
  </si>
  <si>
    <t>FrictionBurn</t>
  </si>
  <si>
    <t>FrictionlessReentry</t>
  </si>
  <si>
    <t>FridayNightDeathSlot</t>
  </si>
  <si>
    <t>Fridge</t>
  </si>
  <si>
    <t>FriendlyFireIndex</t>
  </si>
  <si>
    <t>FriendlyFireproof</t>
  </si>
  <si>
    <t>FriendlyNeighborhoodSpider</t>
  </si>
  <si>
    <t>FriendlyNeighbourhoodVampire</t>
  </si>
  <si>
    <t>FriendlyZombie</t>
  </si>
  <si>
    <t>FriendTurnedRival</t>
  </si>
  <si>
    <t>FriendVsLover</t>
  </si>
  <si>
    <t>FriendZone</t>
  </si>
  <si>
    <t>FrillyUpgrade</t>
  </si>
  <si>
    <t>FtM</t>
  </si>
  <si>
    <t>FullFrontalAttack</t>
  </si>
  <si>
    <t>FullFrontalNudity</t>
  </si>
  <si>
    <t>FullyDressedCartoonAnimal</t>
  </si>
  <si>
    <t>Fundamentalist</t>
  </si>
  <si>
    <t>FuneikAccent</t>
  </si>
  <si>
    <t>FunnelCloudJourney</t>
  </si>
  <si>
    <t>FunnyAnimalAnatomy</t>
  </si>
  <si>
    <t>FunnyCharacterBoringActor</t>
  </si>
  <si>
    <t>FunnyMoments</t>
  </si>
  <si>
    <t>FunnyTerrainCrossSection</t>
  </si>
  <si>
    <t>FunnyTShirt</t>
  </si>
  <si>
    <t>FunnyXRay</t>
  </si>
  <si>
    <t>FunSize</t>
  </si>
  <si>
    <t>FuryOfAchilles</t>
  </si>
  <si>
    <t>FutureFamousPeople</t>
  </si>
  <si>
    <t>FuturePrimitive</t>
  </si>
  <si>
    <t>FuturisticTechIndex</t>
  </si>
  <si>
    <t>FuzzTherapy</t>
  </si>
  <si>
    <t>G36K</t>
  </si>
  <si>
    <t>GaiasRevenge</t>
  </si>
  <si>
    <t>GaiasVengence</t>
  </si>
  <si>
    <t>GambitSpeedChess</t>
  </si>
  <si>
    <t>GamblersFallacy</t>
  </si>
  <si>
    <t>GameBook</t>
  </si>
  <si>
    <t>GameMod</t>
  </si>
  <si>
    <t>GameOfNim</t>
  </si>
  <si>
    <t>GameplayGuidedAmnesia</t>
  </si>
  <si>
    <t>GameShows</t>
  </si>
  <si>
    <t>GangsOfNewYork</t>
  </si>
  <si>
    <t>GangstaRap</t>
  </si>
  <si>
    <t>GarageSale</t>
  </si>
  <si>
    <t>GarbageHideout</t>
  </si>
  <si>
    <t>GarbargeHideout</t>
  </si>
  <si>
    <t>GardenHoseSquirtSurprise</t>
  </si>
  <si>
    <t>GarlicIsAbhorrent</t>
  </si>
  <si>
    <t>GaryCooper</t>
  </si>
  <si>
    <t>GatelessGhetto</t>
  </si>
  <si>
    <t>GateOfTruth</t>
  </si>
  <si>
    <t>GatheringSteam</t>
  </si>
  <si>
    <t>GattlingGood</t>
  </si>
  <si>
    <t>GayBar</t>
  </si>
  <si>
    <t>GayGroomInAWhiteTux</t>
  </si>
  <si>
    <t>GayNineties</t>
  </si>
  <si>
    <t>Gaze</t>
  </si>
  <si>
    <t>GenCon</t>
  </si>
  <si>
    <t>GenderBenderAngst</t>
  </si>
  <si>
    <t>GenderDynamicsIndex</t>
  </si>
  <si>
    <t>GenderLift</t>
  </si>
  <si>
    <t>GenderRarityValue</t>
  </si>
  <si>
    <t>GenderSwap</t>
  </si>
  <si>
    <t>GenderTraitor</t>
  </si>
  <si>
    <t>GenderVocabularySlip</t>
  </si>
  <si>
    <t>GendoPose</t>
  </si>
  <si>
    <t>GeneralBadass</t>
  </si>
  <si>
    <t>GenerationalMagicDecline</t>
  </si>
  <si>
    <t>GenericCopBadges</t>
  </si>
  <si>
    <t>GenericistGovernment</t>
  </si>
  <si>
    <t>GeniusBreedingAct</t>
  </si>
  <si>
    <t>GenkiBoy</t>
  </si>
  <si>
    <t>GenocideDilemma</t>
  </si>
  <si>
    <t>GenreAnthology</t>
  </si>
  <si>
    <t>GenreBlending</t>
  </si>
  <si>
    <t>GenreCodifier</t>
  </si>
  <si>
    <t>GenreWhiplash</t>
  </si>
  <si>
    <t>GentlemanRankers</t>
  </si>
  <si>
    <t>GenuineImposter</t>
  </si>
  <si>
    <t>GeodesicCast</t>
  </si>
  <si>
    <t>GeoIP</t>
  </si>
  <si>
    <t>GermanHumor</t>
  </si>
  <si>
    <t>GermanHumour</t>
  </si>
  <si>
    <t>GetTheSensation</t>
  </si>
  <si>
    <t>GhostFiction</t>
  </si>
  <si>
    <t>GhostPirates</t>
  </si>
  <si>
    <t>GiantWaistRibbon</t>
  </si>
  <si>
    <t>GibberingGenius</t>
  </si>
  <si>
    <t>GiftShake</t>
  </si>
  <si>
    <t>GilbertAdler</t>
  </si>
  <si>
    <t>GimmickMatches</t>
  </si>
  <si>
    <t>GirlPowered</t>
  </si>
  <si>
    <t>GirlShowGhetto</t>
  </si>
  <si>
    <t>GirlsNightOutEpisode</t>
  </si>
  <si>
    <t>GirlsWithMustaches</t>
  </si>
  <si>
    <t>GiveHerANormalLife</t>
  </si>
  <si>
    <t>GivingThePointerFinger</t>
  </si>
  <si>
    <t>GivingTheSwordToANoob</t>
  </si>
  <si>
    <t>Gladiator</t>
  </si>
  <si>
    <t>GladiatorRevolt</t>
  </si>
  <si>
    <t>GlamMetal</t>
  </si>
  <si>
    <t>Glamor</t>
  </si>
  <si>
    <t>GlassCanon</t>
  </si>
  <si>
    <t>GlassJawReferee</t>
  </si>
  <si>
    <t>GlassOfChianti</t>
  </si>
  <si>
    <t>GlobalCurrency</t>
  </si>
  <si>
    <t>GlowingFlora</t>
  </si>
  <si>
    <t>GlowingGem</t>
  </si>
  <si>
    <t>GlurgeAddict</t>
  </si>
  <si>
    <t>GM1</t>
  </si>
  <si>
    <t>GMPC</t>
  </si>
  <si>
    <t>GodIsDispleased</t>
  </si>
  <si>
    <t>GodlikeGamer</t>
  </si>
  <si>
    <t>GodMode</t>
  </si>
  <si>
    <t>GodNeedsPrayerBadly</t>
  </si>
  <si>
    <t>GodwinsLawOfTimeTravel</t>
  </si>
  <si>
    <t>GogglesDoSomething</t>
  </si>
  <si>
    <t>GoingCosmic</t>
  </si>
  <si>
    <t>GoingThroughTheMotions</t>
  </si>
  <si>
    <t>GoldenAge</t>
  </si>
  <si>
    <t>GoldenAgeOfPorn</t>
  </si>
  <si>
    <t>GoldenGlobe</t>
  </si>
  <si>
    <t>GoldenGlobes</t>
  </si>
  <si>
    <t>GoldSilverCopperStandard</t>
  </si>
  <si>
    <t>GoMadFromRevelation</t>
  </si>
  <si>
    <t>GoNagaiSideburns</t>
  </si>
  <si>
    <t>GoneMadFromTheIsolation</t>
  </si>
  <si>
    <t>GoneMadFromTheRevelation</t>
  </si>
  <si>
    <t>GonnaNeedABiggerWarrant</t>
  </si>
  <si>
    <t>GonnaNeedMoreTrope</t>
  </si>
  <si>
    <t>GoodGirlGoneBad</t>
  </si>
  <si>
    <t>GoodGun</t>
  </si>
  <si>
    <t>GoodnessEqualsBeauty</t>
  </si>
  <si>
    <t>GoodOldBoy</t>
  </si>
  <si>
    <t>GoodParent</t>
  </si>
  <si>
    <t>GoodRunningEvil</t>
  </si>
  <si>
    <t>GoodVersusEvil</t>
  </si>
  <si>
    <t>GooglingTheNewAcquaintance</t>
  </si>
  <si>
    <t>GooGooGetup</t>
  </si>
  <si>
    <t>GoOnWithoutMe</t>
  </si>
  <si>
    <t>GordianKnot</t>
  </si>
  <si>
    <t>GordonHunt</t>
  </si>
  <si>
    <t>GordonLiu</t>
  </si>
  <si>
    <t>GospelMusic</t>
  </si>
  <si>
    <t>GothicLiterature</t>
  </si>
  <si>
    <t>GottaHaveItGonnaStealIt</t>
  </si>
  <si>
    <t>GovermentConspiracy</t>
  </si>
  <si>
    <t>GovernmentCoverup</t>
  </si>
  <si>
    <t>GovernmentInExile</t>
  </si>
  <si>
    <t>GradeSystemSnark</t>
  </si>
  <si>
    <t>GradualGrinder</t>
  </si>
  <si>
    <t>GraffitiTown</t>
  </si>
  <si>
    <t>GrahamGreene</t>
  </si>
  <si>
    <t>GrahamNorton</t>
  </si>
  <si>
    <t>GrandmasRecipe</t>
  </si>
  <si>
    <t>GranolaGuy</t>
  </si>
  <si>
    <t>GrapplingGun</t>
  </si>
  <si>
    <t>GrapplingWithGrapplingRules</t>
  </si>
  <si>
    <t>GraspTheSun</t>
  </si>
  <si>
    <t>GratuitousAnimalSidekick</t>
  </si>
  <si>
    <t>GratuitousSpecialEffects</t>
  </si>
  <si>
    <t>GravityMaster</t>
  </si>
  <si>
    <t>GreatBallsOfFire</t>
  </si>
  <si>
    <t>GreatBigLibraryOfEverything</t>
  </si>
  <si>
    <t>GreekLetterRanks</t>
  </si>
  <si>
    <t>GreekMythology</t>
  </si>
  <si>
    <t>GreenRock</t>
  </si>
  <si>
    <t>GreenScreen</t>
  </si>
  <si>
    <t>GrillingPyrotechnics</t>
  </si>
  <si>
    <t>GrillingTheNewbie</t>
  </si>
  <si>
    <t>GroinKick</t>
  </si>
  <si>
    <t>GrossOutComedy</t>
  </si>
  <si>
    <t>GroundedForLife</t>
  </si>
  <si>
    <t>GroundPound</t>
  </si>
  <si>
    <t>GruntingOrgasm</t>
  </si>
  <si>
    <t>GSG9</t>
  </si>
  <si>
    <t>GuardianOfTheMultiverse</t>
  </si>
  <si>
    <t>GuestStarPartyMember</t>
  </si>
  <si>
    <t>GunAndSword</t>
  </si>
  <si>
    <t>GunsAndGunplayTropes</t>
  </si>
  <si>
    <t>GunStar</t>
  </si>
  <si>
    <t>GymClassRopeClimb</t>
  </si>
  <si>
    <t>HadakaApron</t>
  </si>
  <si>
    <t>HairAntennae</t>
  </si>
  <si>
    <t>HairColorDissonance</t>
  </si>
  <si>
    <t>HairColorSpoiler</t>
  </si>
  <si>
    <t>HairDecs</t>
  </si>
  <si>
    <t>Halfling</t>
  </si>
  <si>
    <t>HalfSiblingAngst</t>
  </si>
  <si>
    <t>HalfTheWomanSheUsedToBe</t>
  </si>
  <si>
    <t>HammerspaceHideaway</t>
  </si>
  <si>
    <t>HammerTime</t>
  </si>
  <si>
    <t>HandBehindHead</t>
  </si>
  <si>
    <t>HandGag</t>
  </si>
  <si>
    <t>HandHidingSleeves</t>
  </si>
  <si>
    <t>HandsPlayInTheater</t>
  </si>
  <si>
    <t>HangingUpOnTheGrimReaper</t>
  </si>
  <si>
    <t>HangsALampshade</t>
  </si>
  <si>
    <t>HardcorePunk</t>
  </si>
  <si>
    <t>HaremComedy</t>
  </si>
  <si>
    <t>HaremGenre</t>
  </si>
  <si>
    <t>HarlanEllison</t>
  </si>
  <si>
    <t>HarmfulToTouch</t>
  </si>
  <si>
    <t>HarmonyVsDiscipline</t>
  </si>
  <si>
    <t>HatAndCoatShot</t>
  </si>
  <si>
    <t>HatesMySecretIdentity</t>
  </si>
  <si>
    <t>HatOfFlight</t>
  </si>
  <si>
    <t>HatOfPower</t>
  </si>
  <si>
    <t>HatPull</t>
  </si>
  <si>
    <t>HaughtyHelp</t>
  </si>
  <si>
    <t>HauntedFetter</t>
  </si>
  <si>
    <t>HavingABlast</t>
  </si>
  <si>
    <t>HeadAndHipPose</t>
  </si>
  <si>
    <t>HeadHat</t>
  </si>
  <si>
    <t>HeadInABox</t>
  </si>
  <si>
    <t>HeadInAVise</t>
  </si>
  <si>
    <t>HeadScratcher</t>
  </si>
  <si>
    <t>HeAlsoDid</t>
  </si>
  <si>
    <t>HealTheCutie</t>
  </si>
  <si>
    <t>HealthyCountryAir</t>
  </si>
  <si>
    <t>HealthyInHeaven</t>
  </si>
  <si>
    <t>HeartTrauma</t>
  </si>
  <si>
    <t>HeatVision</t>
  </si>
  <si>
    <t>HeavensDevils</t>
  </si>
  <si>
    <t>HeavenVersusHell</t>
  </si>
  <si>
    <t>HeavyVoice</t>
  </si>
  <si>
    <t>HeelFaceMole</t>
  </si>
  <si>
    <t>HeelFaceReturn</t>
  </si>
  <si>
    <t>HeGetsBetter</t>
  </si>
  <si>
    <t>HeinzHybrid</t>
  </si>
  <si>
    <t>HeirToTheDojo</t>
  </si>
  <si>
    <t>HeistFilm</t>
  </si>
  <si>
    <t>HelenHayes</t>
  </si>
  <si>
    <t>HelicopterHair</t>
  </si>
  <si>
    <t>HeliCritter</t>
  </si>
  <si>
    <t>HellIsWar</t>
  </si>
  <si>
    <t>HelloInsertNameHere</t>
  </si>
  <si>
    <t>HelpFaceTurn</t>
  </si>
  <si>
    <t>HelpfulMook</t>
  </si>
  <si>
    <t>HelpHelpTrappedInTitleFactory</t>
  </si>
  <si>
    <t>HelpingWouldBeKillstealing</t>
  </si>
  <si>
    <t>HeManAndTheMastersOfTheUniverse</t>
  </si>
  <si>
    <t>Henway</t>
  </si>
  <si>
    <t>HereThereBeDragons</t>
  </si>
  <si>
    <t>HereWeHoAgain</t>
  </si>
  <si>
    <t>HeritageDisconnect</t>
  </si>
  <si>
    <t>HermeticMagic</t>
  </si>
  <si>
    <t>HeroAcademy</t>
  </si>
  <si>
    <t>HeroDoesPublicService</t>
  </si>
  <si>
    <t>HeroesForHire</t>
  </si>
  <si>
    <t>HeroesPreferRedheads</t>
  </si>
  <si>
    <t>HeroesUnlimited</t>
  </si>
  <si>
    <t>HeroesWithBadPublicity</t>
  </si>
  <si>
    <t>HeroForADay</t>
  </si>
  <si>
    <t>HeroicAmbidexterity</t>
  </si>
  <si>
    <t>HeroicHeelizationSpeech</t>
  </si>
  <si>
    <t>HeroicRussianEmigre</t>
  </si>
  <si>
    <t>HeroicTeamRevolt</t>
  </si>
  <si>
    <t>HeroLookingForGroup</t>
  </si>
  <si>
    <t>HeroRivalBaddieTeamUp</t>
  </si>
  <si>
    <t>HerosFirstRescue</t>
  </si>
  <si>
    <t>HesGotLegs</t>
  </si>
  <si>
    <t>HesOkay</t>
  </si>
  <si>
    <t>HeyItsThatPlace</t>
  </si>
  <si>
    <t>HiddenBuxom</t>
  </si>
  <si>
    <t>HighDiveHijinks</t>
  </si>
  <si>
    <t>HighOnCatnip</t>
  </si>
  <si>
    <t>HipHopSoul</t>
  </si>
  <si>
    <t>HippieBus</t>
  </si>
  <si>
    <t>HippyTeacher</t>
  </si>
  <si>
    <t>HiredGun</t>
  </si>
  <si>
    <t>HistoricalGenderFlip</t>
  </si>
  <si>
    <t>HistoricalPublicDomainCharacter</t>
  </si>
  <si>
    <t>HitmanWithAHeartOfGold</t>
  </si>
  <si>
    <t>HitPoints</t>
  </si>
  <si>
    <t>HitSoHardTheCalendarFeltIt</t>
  </si>
  <si>
    <t>HiveCasteSystem</t>
  </si>
  <si>
    <t>HK33s</t>
  </si>
  <si>
    <t>HK45</t>
  </si>
  <si>
    <t>HK91</t>
  </si>
  <si>
    <t>HoistByYourOwnPetard</t>
  </si>
  <si>
    <t>HoistyByHisOwnPetard</t>
  </si>
  <si>
    <t>HoldingBackThePhlebotinum</t>
  </si>
  <si>
    <t>HoldingYourShoulderMeansInjury</t>
  </si>
  <si>
    <t>HoldOnToMyHat</t>
  </si>
  <si>
    <t>HoldTheUnsolicitedIngredient</t>
  </si>
  <si>
    <t>HoldUpYourScore</t>
  </si>
  <si>
    <t>HolidayVolunteering</t>
  </si>
  <si>
    <t>HollywoodChameleon</t>
  </si>
  <si>
    <t>HollywoodCuisine</t>
  </si>
  <si>
    <t>HollywoodGeek</t>
  </si>
  <si>
    <t>HollywoodGiftwrap</t>
  </si>
  <si>
    <t>HollywoodMedievalJapan</t>
  </si>
  <si>
    <t>HollywoodPsychology</t>
  </si>
  <si>
    <t>HollywoodUgly</t>
  </si>
  <si>
    <t>Holodeck</t>
  </si>
  <si>
    <t>HolographicDisguise</t>
  </si>
  <si>
    <t>HolyPipeOrgan</t>
  </si>
  <si>
    <t>HolywoodAtheist</t>
  </si>
  <si>
    <t>Homelessness</t>
  </si>
  <si>
    <t>HomeOfMonsters</t>
  </si>
  <si>
    <t>HometownHero</t>
  </si>
  <si>
    <t>HomingBoulders</t>
  </si>
  <si>
    <t>HomingLaser</t>
  </si>
  <si>
    <t>HonestCop</t>
  </si>
  <si>
    <t>HonorableElephant</t>
  </si>
  <si>
    <t>HonoraryPrincess</t>
  </si>
  <si>
    <t>HonoraryTrueCompanion</t>
  </si>
  <si>
    <t>HonorayUncle</t>
  </si>
  <si>
    <t>HonorIsFairPlay</t>
  </si>
  <si>
    <t>HonourAmongThieves</t>
  </si>
  <si>
    <t>HornAttack</t>
  </si>
  <si>
    <t>HornyDemons</t>
  </si>
  <si>
    <t>HorribleInHindsight</t>
  </si>
  <si>
    <t>Horrorscope</t>
  </si>
  <si>
    <t>HorseOfADifferentColour</t>
  </si>
  <si>
    <t>HospitalParadiso</t>
  </si>
  <si>
    <t>HostageHandlerHuddle</t>
  </si>
  <si>
    <t>HotDrinkCure</t>
  </si>
  <si>
    <t>HotSauceDrinking</t>
  </si>
  <si>
    <t>HotSpringsEpisode</t>
  </si>
  <si>
    <t>HouseAmnesia</t>
  </si>
  <si>
    <t>HouseFey</t>
  </si>
  <si>
    <t>HouseMusic</t>
  </si>
  <si>
    <t>HousePseudonym</t>
  </si>
  <si>
    <t>HoverBike</t>
  </si>
  <si>
    <t>HoverSkates</t>
  </si>
  <si>
    <t>HowAboutASmile</t>
  </si>
  <si>
    <t>HowDidWeGetBackHome</t>
  </si>
  <si>
    <t>HowIWroteThisArticleArticle</t>
  </si>
  <si>
    <t>HowYouSay</t>
  </si>
  <si>
    <t>HSM2</t>
  </si>
  <si>
    <t>HSM3</t>
  </si>
  <si>
    <t>HubLevel</t>
  </si>
  <si>
    <t>HulksCooldownHugCorollary</t>
  </si>
  <si>
    <t>HumanCalculator</t>
  </si>
  <si>
    <t>HumanDoorstop</t>
  </si>
  <si>
    <t>HumanFurnitureIsAPainInTheTail</t>
  </si>
  <si>
    <t>HumanityCameFromSpace</t>
  </si>
  <si>
    <t>HumanitysWake</t>
  </si>
  <si>
    <t>HumanlikeAnimalAging</t>
  </si>
  <si>
    <t>HumanoidAlien</t>
  </si>
  <si>
    <t>HumanoidAnimals</t>
  </si>
  <si>
    <t>HumanoidFemaleAnimal</t>
  </si>
  <si>
    <t>HumanPackMule</t>
  </si>
  <si>
    <t>HumansAdvanceSwiftly</t>
  </si>
  <si>
    <t>HumansAreAverage</t>
  </si>
  <si>
    <t>HumansNeedAliens</t>
  </si>
  <si>
    <t>HumansNeedsAliens</t>
  </si>
  <si>
    <t>HumanSnowball</t>
  </si>
  <si>
    <t>HumbleBeginnings</t>
  </si>
  <si>
    <t>HumbleBrag</t>
  </si>
  <si>
    <t>Hummer2</t>
  </si>
  <si>
    <t>HybridOverkillAvoidance</t>
  </si>
  <si>
    <t>HypeBacklash</t>
  </si>
  <si>
    <t>HypercompotentSidekick</t>
  </si>
  <si>
    <t>HypnoticHead</t>
  </si>
  <si>
    <t>Hypocrisy</t>
  </si>
  <si>
    <t>HypocriticalFandom</t>
  </si>
  <si>
    <t>IAmDyingPleaseTakeMyMacguffin</t>
  </si>
  <si>
    <t>IAmHumanitarian</t>
  </si>
  <si>
    <t>IAmNotMyMother</t>
  </si>
  <si>
    <t>IAmYourWorstNightmare</t>
  </si>
  <si>
    <t>IBangedYourMum</t>
  </si>
  <si>
    <t>ICanLiveWithThat</t>
  </si>
  <si>
    <t>ICantDoThisByMyself</t>
  </si>
  <si>
    <t>ICantReachIt</t>
  </si>
  <si>
    <t>ICBMs</t>
  </si>
  <si>
    <t>IcePalace</t>
  </si>
  <si>
    <t>IcePerson</t>
  </si>
  <si>
    <t>IconicScene</t>
  </si>
  <si>
    <t>IconicSongRequest</t>
  </si>
  <si>
    <t>IcyGrayEyes</t>
  </si>
  <si>
    <t>IdealIllnessImmunity</t>
  </si>
  <si>
    <t>IdealisedSex</t>
  </si>
  <si>
    <t>IdenticalTwinMistake</t>
  </si>
  <si>
    <t>IdentityConcealmentDisposal</t>
  </si>
  <si>
    <t>IdentityCrisis</t>
  </si>
  <si>
    <t>IDidntTellYouBecauseYoudBeUnhappy</t>
  </si>
  <si>
    <t>IdiosyncraticCoverArt</t>
  </si>
  <si>
    <t>Idiosyncrazy</t>
  </si>
  <si>
    <t>IdiotBll</t>
  </si>
  <si>
    <t>IdiotCrows</t>
  </si>
  <si>
    <t>IdleAnimation</t>
  </si>
  <si>
    <t>IDoNotSpeakNonverbal</t>
  </si>
  <si>
    <t>IfICanOnlyMove</t>
  </si>
  <si>
    <t>IfIDontReturn</t>
  </si>
  <si>
    <t>IfItsYouItsOK</t>
  </si>
  <si>
    <t>IfItWasFunnyTheFirstTime</t>
  </si>
  <si>
    <t>IFoughtTheLawAndTheLawWon</t>
  </si>
  <si>
    <t>IFoundYouLikeThis</t>
  </si>
  <si>
    <t>IfYouDieCanIHaveYourStuff</t>
  </si>
  <si>
    <t>IfYouEverDoAnythingToHurtHim</t>
  </si>
  <si>
    <t>IfYouThoughtThatWasBad</t>
  </si>
  <si>
    <t>IfYouWontIWill</t>
  </si>
  <si>
    <t>IGotARock</t>
  </si>
  <si>
    <t>IGotYouADrawer</t>
  </si>
  <si>
    <t>IgpayAtinlay</t>
  </si>
  <si>
    <t>IHaveNoIdeaWhatImDoing</t>
  </si>
  <si>
    <t>IHaveNothingToSayToThat</t>
  </si>
  <si>
    <t>IHaveToIronMyDog</t>
  </si>
  <si>
    <t>IHaveYourDaughter</t>
  </si>
  <si>
    <t>IHeardThat</t>
  </si>
  <si>
    <t>IIs</t>
  </si>
  <si>
    <t>IJustWantToBeHuman</t>
  </si>
  <si>
    <t>IKnowAGuyWhoKnowsAGuy</t>
  </si>
  <si>
    <t>IKnowYoureInTheSomewhereFight</t>
  </si>
  <si>
    <t>ILikeMyXLikeILikeMyY</t>
  </si>
  <si>
    <t>IllChild</t>
  </si>
  <si>
    <t>IllFatedFlowerbed</t>
  </si>
  <si>
    <t>IllMan</t>
  </si>
  <si>
    <t>IllogicalSafe</t>
  </si>
  <si>
    <t>ImageMacro</t>
  </si>
  <si>
    <t>ImaginedInnuendo</t>
  </si>
  <si>
    <t>ImBack</t>
  </si>
  <si>
    <t>IMDb</t>
  </si>
  <si>
    <t>ImGoingForACloserLook</t>
  </si>
  <si>
    <t>ImmortalHero</t>
  </si>
  <si>
    <t>ImmortalityBisexuality</t>
  </si>
  <si>
    <t>ImmortalsFearDeath</t>
  </si>
  <si>
    <t>ImpaledWithExtemePrejudice</t>
  </si>
  <si>
    <t>ImpendingClashShot</t>
  </si>
  <si>
    <t>ImpersonatinAnOfficer</t>
  </si>
  <si>
    <t>ImpersonationParadox</t>
  </si>
  <si>
    <t>ImperviousToBullets</t>
  </si>
  <si>
    <t>ImplacableWoman</t>
  </si>
  <si>
    <t>ImportantHairAccessory</t>
  </si>
  <si>
    <t>ImpossibleLeavening</t>
  </si>
  <si>
    <t>ImpossiblePickleJar</t>
  </si>
  <si>
    <t>ImpossiblyCompactFolding</t>
  </si>
  <si>
    <t>ImpossiblyMundaneExplanation</t>
  </si>
  <si>
    <t>ImpossiblyTallTower</t>
  </si>
  <si>
    <t>Impotence</t>
  </si>
  <si>
    <t>ImprovisedPlatform</t>
  </si>
  <si>
    <t>ImprovisedSail</t>
  </si>
  <si>
    <t>ImprovisedScattershot</t>
  </si>
  <si>
    <t>ImprovisedUmbrella</t>
  </si>
  <si>
    <t>InaneBlabbering</t>
  </si>
  <si>
    <t>InanimateCompetitor</t>
  </si>
  <si>
    <t>InappropriateRoleModel</t>
  </si>
  <si>
    <t>Inazuman</t>
  </si>
  <si>
    <t>IncestYayShipping</t>
  </si>
  <si>
    <t>IncrediblyInconvenientDeity</t>
  </si>
  <si>
    <t>Incubus</t>
  </si>
  <si>
    <t>InDefenceOfStoryTelling</t>
  </si>
  <si>
    <t>IndexOfGothicHorrorTropes</t>
  </si>
  <si>
    <t>IndoEuropeanAlienLanguage</t>
  </si>
  <si>
    <t>IndominusRex</t>
  </si>
  <si>
    <t>Industrial</t>
  </si>
  <si>
    <t>IndustrialMetal</t>
  </si>
  <si>
    <t>INeedNoLadders</t>
  </si>
  <si>
    <t>InexperiencedKiller</t>
  </si>
  <si>
    <t>InexplicableCulturalTies</t>
  </si>
  <si>
    <t>InfantSiblingJealousy</t>
  </si>
  <si>
    <t>InfectiousEnthusiasm</t>
  </si>
  <si>
    <t>InfernalParadise</t>
  </si>
  <si>
    <t>InferredSurvival</t>
  </si>
  <si>
    <t>InfinityMinusOneSword</t>
  </si>
  <si>
    <t>InformalEulogy</t>
  </si>
  <si>
    <t>InformationBroker</t>
  </si>
  <si>
    <t>InformedEquipment</t>
  </si>
  <si>
    <t>InformedPower</t>
  </si>
  <si>
    <t>InformedWrongness</t>
  </si>
  <si>
    <t>InhumanHuman</t>
  </si>
  <si>
    <t>InhumanlyBeautifulRace</t>
  </si>
  <si>
    <t>InItForLife</t>
  </si>
  <si>
    <t>InItsHourOfNeed</t>
  </si>
  <si>
    <t>InjuryBookend</t>
  </si>
  <si>
    <t>InnBetweenTheWorlds</t>
  </si>
  <si>
    <t>InnerMonologueConversation</t>
  </si>
  <si>
    <t>InnocentlyInsensitve</t>
  </si>
  <si>
    <t>InnSecurity</t>
  </si>
  <si>
    <t>InsaneNoMore</t>
  </si>
  <si>
    <t>InSceneTitleText</t>
  </si>
  <si>
    <t>InsectQueen</t>
  </si>
  <si>
    <t>InsideMan</t>
  </si>
  <si>
    <t>InsignificantBluePlanet</t>
  </si>
  <si>
    <t>InsomniaEpisode</t>
  </si>
  <si>
    <t>InstantAllegianceArtifact</t>
  </si>
  <si>
    <t>InstantAwesomeJustAddNinjas</t>
  </si>
  <si>
    <t>InstantBookDeal</t>
  </si>
  <si>
    <t>InstantDogend</t>
  </si>
  <si>
    <t>InstantHomeDelivery</t>
  </si>
  <si>
    <t>InstantKarma</t>
  </si>
  <si>
    <t>InstantMastery</t>
  </si>
  <si>
    <t>InstitutionalAllegianceConcealment</t>
  </si>
  <si>
    <t>InstructionalDialogue</t>
  </si>
  <si>
    <t>InstructionalTitle</t>
  </si>
  <si>
    <t>Instrumental</t>
  </si>
  <si>
    <t>InsultedAwake</t>
  </si>
  <si>
    <t>IntelligentForest</t>
  </si>
  <si>
    <t>IntercomVillainy</t>
  </si>
  <si>
    <t>InterfaceWithAFamiliarFace</t>
  </si>
  <si>
    <t>InternalDeathSquad</t>
  </si>
  <si>
    <t>InternationalCoproduction</t>
  </si>
  <si>
    <t>InternetCounterattack</t>
  </si>
  <si>
    <t>InternetTroll</t>
  </si>
  <si>
    <t>InTraining</t>
  </si>
  <si>
    <t>IntroductoryOpeningCredits</t>
  </si>
  <si>
    <t>InUniverseMarketing</t>
  </si>
  <si>
    <t>InvadedStatesOfAustralia</t>
  </si>
  <si>
    <t>InvadingRefugees</t>
  </si>
  <si>
    <t>InventedInvalid</t>
  </si>
  <si>
    <t>InvertedPortrait</t>
  </si>
  <si>
    <t>InvestigatorImpersonation</t>
  </si>
  <si>
    <t>InvincibilityPowerUp</t>
  </si>
  <si>
    <t>InvincibleMinorMinion</t>
  </si>
  <si>
    <t>InvisibilityInk</t>
  </si>
  <si>
    <t>InvisibleMeansUndodgeable</t>
  </si>
  <si>
    <t>InvisibleSubtleDifference</t>
  </si>
  <si>
    <t>InvisibleWall</t>
  </si>
  <si>
    <t>InvitedAsDinner</t>
  </si>
  <si>
    <t>Invoke</t>
  </si>
  <si>
    <t>IPod</t>
  </si>
  <si>
    <t>IProduct</t>
  </si>
  <si>
    <t>IQs</t>
  </si>
  <si>
    <t>IRememberItLikeItWasYesterday</t>
  </si>
  <si>
    <t>IrishCop</t>
  </si>
  <si>
    <t>IrishMob</t>
  </si>
  <si>
    <t>IronCurtain</t>
  </si>
  <si>
    <t>IronicInversion</t>
  </si>
  <si>
    <t>IrrelevantThesis</t>
  </si>
  <si>
    <t>ISayWhatISay</t>
  </si>
  <si>
    <t>IShallFightNoMoreForever</t>
  </si>
  <si>
    <t>IShouldHaveDoneThisYearsAgo</t>
  </si>
  <si>
    <t>ISOStandardHumanSpaceship</t>
  </si>
  <si>
    <t>IsThatWhatTheyAreCallingItNow</t>
  </si>
  <si>
    <t>ItemGet</t>
  </si>
  <si>
    <t>IThinkYouBrokeHer</t>
  </si>
  <si>
    <t>IThoughtEveryoneCouldDoThat</t>
  </si>
  <si>
    <t>IThoughtItWasForbidden</t>
  </si>
  <si>
    <t>ItIsDehumanising</t>
  </si>
  <si>
    <t>ItNeverGetsEasier</t>
  </si>
  <si>
    <t>ItsAllUpstairsFromHere</t>
  </si>
  <si>
    <t>ItsAlwaysSunnyInMiami</t>
  </si>
  <si>
    <t>ItsATrap</t>
  </si>
  <si>
    <t>ItsCuban</t>
  </si>
  <si>
    <t>ItsShortSoItSucks</t>
  </si>
  <si>
    <t>ItsTheSameNowItSucks</t>
  </si>
  <si>
    <t>ItWasThereISwear</t>
  </si>
  <si>
    <t>ItWasThereTheWholeTime</t>
  </si>
  <si>
    <t>ItWorksBestWithBullets</t>
  </si>
  <si>
    <t>ItWorksItself</t>
  </si>
  <si>
    <t>IVth</t>
  </si>
  <si>
    <t>IwoJimaShot</t>
  </si>
  <si>
    <t>IzchaksWrath</t>
  </si>
  <si>
    <t>JackUpWithPhlebotinum</t>
  </si>
  <si>
    <t>JackWhite</t>
  </si>
  <si>
    <t>JailBreak</t>
  </si>
  <si>
    <t>JAke</t>
  </si>
  <si>
    <t>JamesHorner</t>
  </si>
  <si>
    <t>JapaneseDialects</t>
  </si>
  <si>
    <t>JapaneseSchoolClub</t>
  </si>
  <si>
    <t>JapaneseSpirit</t>
  </si>
  <si>
    <t>JasonAndTheArgonauts</t>
  </si>
  <si>
    <t>JasonFrost</t>
  </si>
  <si>
    <t>JawsAttackParody</t>
  </si>
  <si>
    <t>JediMindTricks</t>
  </si>
  <si>
    <t>JelloBiafra</t>
  </si>
  <si>
    <t>JEremIaH</t>
  </si>
  <si>
    <t>Jerkasses</t>
  </si>
  <si>
    <t>Jerkasss</t>
  </si>
  <si>
    <t>JesusTheEarlyYears</t>
  </si>
  <si>
    <t>JewelersEyeLoupe</t>
  </si>
  <si>
    <t>Jewelry</t>
  </si>
  <si>
    <t>JG26</t>
  </si>
  <si>
    <t>JinPingMei</t>
  </si>
  <si>
    <t>JizzInMyPants</t>
  </si>
  <si>
    <t>Jobber</t>
  </si>
  <si>
    <t>JobMindsetInertia</t>
  </si>
  <si>
    <t>JoeSentMe</t>
  </si>
  <si>
    <t>JohnBarleycornAndFriends</t>
  </si>
  <si>
    <t>JoinsToFitIn</t>
  </si>
  <si>
    <t>JokeAndReceive</t>
  </si>
  <si>
    <t>JokeNameTag</t>
  </si>
  <si>
    <t>Joshikousei</t>
  </si>
  <si>
    <t>JudeLaw</t>
  </si>
  <si>
    <t>JudoChop</t>
  </si>
  <si>
    <t>JumpIllCatchYou</t>
  </si>
  <si>
    <t>JumpJetPack</t>
  </si>
  <si>
    <t>JumpOffTheSlipperySlope</t>
  </si>
  <si>
    <t>JungleGirl</t>
  </si>
  <si>
    <t>JungleJazz</t>
  </si>
  <si>
    <t>JustBusiness</t>
  </si>
  <si>
    <t>JustDoingMyJob</t>
  </si>
  <si>
    <t>JustLikeUs</t>
  </si>
  <si>
    <t>JustOneMoreLevel</t>
  </si>
  <si>
    <t>JustOneSecondOutOfSync</t>
  </si>
  <si>
    <t>JustSmileAndNod</t>
  </si>
  <si>
    <t>KangarooPouchRide</t>
  </si>
  <si>
    <t>KansaiRegionalAccent</t>
  </si>
  <si>
    <t>Kappa</t>
  </si>
  <si>
    <t>KaptenIndonesia</t>
  </si>
  <si>
    <t>KaramicDeath</t>
  </si>
  <si>
    <t>KarlMarx</t>
  </si>
  <si>
    <t>Karma</t>
  </si>
  <si>
    <t>KAs</t>
  </si>
  <si>
    <t>KateWalsh</t>
  </si>
  <si>
    <t>KayfabeMusic</t>
  </si>
  <si>
    <t>KeeperOfForbiddenKnowledge</t>
  </si>
  <si>
    <t>KidnappedWhileSleeping</t>
  </si>
  <si>
    <t>KidSamurai</t>
  </si>
  <si>
    <t>KillEnemiesToOpen</t>
  </si>
  <si>
    <t>KillerBees</t>
  </si>
  <si>
    <t>KillScreen</t>
  </si>
  <si>
    <t>KillTally</t>
  </si>
  <si>
    <t>KillTheCute</t>
  </si>
  <si>
    <t>KillTheMessenger</t>
  </si>
  <si>
    <t>KillUsBoth</t>
  </si>
  <si>
    <t>KindaBusy</t>
  </si>
  <si>
    <t>KingBobTheNth</t>
  </si>
  <si>
    <t>KingOfGames</t>
  </si>
  <si>
    <t>KingOfThieves</t>
  </si>
  <si>
    <t>KinslayingIsASpecialKindOfEvil</t>
  </si>
  <si>
    <t>KirbyDots</t>
  </si>
  <si>
    <t>Kirin</t>
  </si>
  <si>
    <t>KissingInATree</t>
  </si>
  <si>
    <t>KnifeStruggle</t>
  </si>
  <si>
    <t>KnockbackSlide</t>
  </si>
  <si>
    <t>KnockoutAmbush</t>
  </si>
  <si>
    <t>KnockoutPunch</t>
  </si>
  <si>
    <t>KnottyTentacles</t>
  </si>
  <si>
    <t>KnowsTheRopes</t>
  </si>
  <si>
    <t>KobayashiMaru</t>
  </si>
  <si>
    <t>KOed</t>
  </si>
  <si>
    <t>KOing</t>
  </si>
  <si>
    <t>KomaTora</t>
  </si>
  <si>
    <t>KonamiCode</t>
  </si>
  <si>
    <t>KoreanDrama</t>
  </si>
  <si>
    <t>KoreanWebtoons</t>
  </si>
  <si>
    <t>KP90s</t>
  </si>
  <si>
    <t>Krautrock</t>
  </si>
  <si>
    <t>KSC2</t>
  </si>
  <si>
    <t>KuKulxKlan</t>
  </si>
  <si>
    <t>KungFool</t>
  </si>
  <si>
    <t>LadderPhysics</t>
  </si>
  <si>
    <t>LadderTipping</t>
  </si>
  <si>
    <t>LadyAndTheTramp</t>
  </si>
  <si>
    <t>LadyMondegreen</t>
  </si>
  <si>
    <t>LaFleur</t>
  </si>
  <si>
    <t>LaGonda</t>
  </si>
  <si>
    <t>LameLastWords</t>
  </si>
  <si>
    <t>LaMerk</t>
  </si>
  <si>
    <t>Lancer</t>
  </si>
  <si>
    <t>LandmarkSale</t>
  </si>
  <si>
    <t>LandOfOneCity</t>
  </si>
  <si>
    <t>LanWorx</t>
  </si>
  <si>
    <t>LaserDisc</t>
  </si>
  <si>
    <t>LaserSword</t>
  </si>
  <si>
    <t>LastBulletBreath</t>
  </si>
  <si>
    <t>LastConfessionWins</t>
  </si>
  <si>
    <t>LastEpisodeThemeReprise</t>
  </si>
  <si>
    <t>LastLousyPoint</t>
  </si>
  <si>
    <t>LastPlanStanding</t>
  </si>
  <si>
    <t>LastResortTakeout</t>
  </si>
  <si>
    <t>LastSurvivorSuicide</t>
  </si>
  <si>
    <t>LastUnsmokedCigarette</t>
  </si>
  <si>
    <t>LauncherMove</t>
  </si>
  <si>
    <t>LaWanda</t>
  </si>
  <si>
    <t>LayeredMetropolis</t>
  </si>
  <si>
    <t>LayeredWorld</t>
  </si>
  <si>
    <t>LeadBassist</t>
  </si>
  <si>
    <t>LeadDetective</t>
  </si>
  <si>
    <t>LeadPoliceDetective</t>
  </si>
  <si>
    <t>LeapDay</t>
  </si>
  <si>
    <t>LearnedFromTheNews</t>
  </si>
  <si>
    <t>LeastIsFirst</t>
  </si>
  <si>
    <t>LeBell</t>
  </si>
  <si>
    <t>LedgeBats</t>
  </si>
  <si>
    <t>LedgeGravity</t>
  </si>
  <si>
    <t>LeeroyJinkins</t>
  </si>
  <si>
    <t>LeFranc</t>
  </si>
  <si>
    <t>LeftJustifiedFantasyMap</t>
  </si>
  <si>
    <t>LegacyImmortality</t>
  </si>
  <si>
    <t>LegacyVesselNaming</t>
  </si>
  <si>
    <t>Legend</t>
  </si>
  <si>
    <t>LegendOfTheFiveRings</t>
  </si>
  <si>
    <t>LEGOBodyParts</t>
  </si>
  <si>
    <t>Leitmotifs</t>
  </si>
  <si>
    <t>LensFlareCensor</t>
  </si>
  <si>
    <t>LethalJokeWeapon</t>
  </si>
  <si>
    <t>LetsHaveAnotherBaby</t>
  </si>
  <si>
    <t>LetteredSequel</t>
  </si>
  <si>
    <t>LetTheBossWin</t>
  </si>
  <si>
    <t>LewdLustChasteSex</t>
  </si>
  <si>
    <t>LeyLine</t>
  </si>
  <si>
    <t>LGBs</t>
  </si>
  <si>
    <t>LGBTAwakening</t>
  </si>
  <si>
    <t>LiesToChildren</t>
  </si>
  <si>
    <t>LifeDrain</t>
  </si>
  <si>
    <t>LifeMeter</t>
  </si>
  <si>
    <t>LightningGlare</t>
  </si>
  <si>
    <t>Lightworlder</t>
  </si>
  <si>
    <t>LikeMotherLikeDaughter</t>
  </si>
  <si>
    <t>LimeyGoesToHollywood</t>
  </si>
  <si>
    <t>LimitedReferencePools</t>
  </si>
  <si>
    <t>LimitedSpecialUltimateCollectorsEdition</t>
  </si>
  <si>
    <t>LimitedUseMagicalDevice</t>
  </si>
  <si>
    <t>LinearWarriorsQuadraticWizards</t>
  </si>
  <si>
    <t>LineBoil</t>
  </si>
  <si>
    <t>LiterallyPrizedPossession</t>
  </si>
  <si>
    <t>LiteralTrope</t>
  </si>
  <si>
    <t>LitteringIsNoBigDeal</t>
  </si>
  <si>
    <t>LittleBad</t>
  </si>
  <si>
    <t>LittleBigBrother</t>
  </si>
  <si>
    <t>LittleBoySeeksBigGirl</t>
  </si>
  <si>
    <t>LittleProfessorDialog</t>
  </si>
  <si>
    <t>LittleProfessorDialogue</t>
  </si>
  <si>
    <t>LiveActionRolePlay</t>
  </si>
  <si>
    <t>LiveActionTV</t>
  </si>
  <si>
    <t>LiveAlbum</t>
  </si>
  <si>
    <t>LiveButDelayed</t>
  </si>
  <si>
    <t>LiveMinkCoat</t>
  </si>
  <si>
    <t>LivingGasbag</t>
  </si>
  <si>
    <t>LivingHat</t>
  </si>
  <si>
    <t>LLLSDLaserControl</t>
  </si>
  <si>
    <t>LocalizedNameInANonLocalizedSetting</t>
  </si>
  <si>
    <t>LocardsTheory</t>
  </si>
  <si>
    <t>LocationDoubling</t>
  </si>
  <si>
    <t>LocationTitle</t>
  </si>
  <si>
    <t>LockAndKeyPuzzle</t>
  </si>
  <si>
    <t>LockAndLoad</t>
  </si>
  <si>
    <t>LockedInTheFreezer</t>
  </si>
  <si>
    <t>LockedUpAndLeftBehind</t>
  </si>
  <si>
    <t>LocomotiveLevel</t>
  </si>
  <si>
    <t>LogicalFallacy</t>
  </si>
  <si>
    <t>Lolicon</t>
  </si>
  <si>
    <t>LonerTurnedFriend</t>
  </si>
  <si>
    <t>LongDeadBadass</t>
  </si>
  <si>
    <t>LongLostUncleAesop</t>
  </si>
  <si>
    <t>LongRunnerCastTurnover</t>
  </si>
  <si>
    <t>LongRunnerLineup</t>
  </si>
  <si>
    <t>LongRunners</t>
  </si>
  <si>
    <t>LongRunningBookSeries</t>
  </si>
  <si>
    <t>LookalikeLovers</t>
  </si>
  <si>
    <t>LookingBusy</t>
  </si>
  <si>
    <t>LookMaIAmOnTV</t>
  </si>
  <si>
    <t>LooksWorthKillingFor</t>
  </si>
  <si>
    <t>LoonWithAHeartOfGold</t>
  </si>
  <si>
    <t>LoonyLaws</t>
  </si>
  <si>
    <t>LoopedLyrics</t>
  </si>
  <si>
    <t>LooselyBasedOnATrueStory</t>
  </si>
  <si>
    <t>LootDrama</t>
  </si>
  <si>
    <t>LopsidedDichotomy</t>
  </si>
  <si>
    <t>LoserDeity</t>
  </si>
  <si>
    <t>LoserLeavesTown</t>
  </si>
  <si>
    <t>LosingHorns</t>
  </si>
  <si>
    <t>LostEpisode</t>
  </si>
  <si>
    <t>LostInMediasRes</t>
  </si>
  <si>
    <t>LostSuperweapon</t>
  </si>
  <si>
    <t>LostTheTVRemote</t>
  </si>
  <si>
    <t>LostVoicePlot</t>
  </si>
  <si>
    <t>LostWoods</t>
  </si>
  <si>
    <t>LoudnessWar</t>
  </si>
  <si>
    <t>LoudspeakerTruck</t>
  </si>
  <si>
    <t>LouisPasteur</t>
  </si>
  <si>
    <t>LoungeSinger</t>
  </si>
  <si>
    <t>LoveAllegory</t>
  </si>
  <si>
    <t>LoveCanMakeYouGonk</t>
  </si>
  <si>
    <t>LoveChart</t>
  </si>
  <si>
    <t>LoveFloats</t>
  </si>
  <si>
    <t>LoveFreak</t>
  </si>
  <si>
    <t>LoveHotel</t>
  </si>
  <si>
    <t>LoveIsACrime</t>
  </si>
  <si>
    <t>LoveIsLikeReligion</t>
  </si>
  <si>
    <t>LoveRealization</t>
  </si>
  <si>
    <t>LoveRival</t>
  </si>
  <si>
    <t>LoverTugOfWar</t>
  </si>
  <si>
    <t>LoveWillLeadYouBack</t>
  </si>
  <si>
    <t>LoyalToThePosition</t>
  </si>
  <si>
    <t>LoyaltyMission</t>
  </si>
  <si>
    <t>LudicrousMeleeAccuracy</t>
  </si>
  <si>
    <t>LustfulMelt</t>
  </si>
  <si>
    <t>LyingInTheDirtTogether</t>
  </si>
  <si>
    <t>LyricalColdOpen</t>
  </si>
  <si>
    <t>LyricDissonance</t>
  </si>
  <si>
    <t>LyricSwap</t>
  </si>
  <si>
    <t>LyricVideo</t>
  </si>
  <si>
    <t>M4A1</t>
  </si>
  <si>
    <t>M60D</t>
  </si>
  <si>
    <t>MacArthur</t>
  </si>
  <si>
    <t>MacBooks</t>
  </si>
  <si>
    <t>Macgyverying</t>
  </si>
  <si>
    <t>MadameFortune</t>
  </si>
  <si>
    <t>MadBrass</t>
  </si>
  <si>
    <t>MadDictatorsHandsomeSon</t>
  </si>
  <si>
    <t>MadDogMorgan</t>
  </si>
  <si>
    <t>MadeForTV</t>
  </si>
  <si>
    <t>MadeInChina</t>
  </si>
  <si>
    <t>MadeOfAir</t>
  </si>
  <si>
    <t>MadeOfDiamond</t>
  </si>
  <si>
    <t>MadeOfTitanium</t>
  </si>
  <si>
    <t>MadeYouLook</t>
  </si>
  <si>
    <t>MadLibsDialogue</t>
  </si>
  <si>
    <t>MadLibsThrillerTitle</t>
  </si>
  <si>
    <t>MadProphet</t>
  </si>
  <si>
    <t>Mafia</t>
  </si>
  <si>
    <t>MageKiller</t>
  </si>
  <si>
    <t>MagicalClown</t>
  </si>
  <si>
    <t>MagicalFlautist</t>
  </si>
  <si>
    <t>MagicalGirlQueenlinessTest</t>
  </si>
  <si>
    <t>MagicalGothGirl</t>
  </si>
  <si>
    <t>MagicalGuardian</t>
  </si>
  <si>
    <t>MagicalGuide</t>
  </si>
  <si>
    <t>MagicallyBindingContract</t>
  </si>
  <si>
    <t>MagicallyRegeneratingClothing</t>
  </si>
  <si>
    <t>MagicByAnyOtherName</t>
  </si>
  <si>
    <t>MagicCompass</t>
  </si>
  <si>
    <t>MagicDance</t>
  </si>
  <si>
    <t>MagicEnhancement</t>
  </si>
  <si>
    <t>MagicFloppy</t>
  </si>
  <si>
    <t>MagicIsAMonsterMagnet</t>
  </si>
  <si>
    <t>MagicMissileStorm</t>
  </si>
  <si>
    <t>MagicMushroom</t>
  </si>
  <si>
    <t>MagicPrerequisite</t>
  </si>
  <si>
    <t>MagicTool</t>
  </si>
  <si>
    <t>MagicVersusTechnology</t>
  </si>
  <si>
    <t>MagnetHands</t>
  </si>
  <si>
    <t>MagneticMedium</t>
  </si>
  <si>
    <t>MagnetismManipulation</t>
  </si>
  <si>
    <t>MagnificentBitch</t>
  </si>
  <si>
    <t>MagnificentSeven</t>
  </si>
  <si>
    <t>MaidCafe</t>
  </si>
  <si>
    <t>MailmanVsDog</t>
  </si>
  <si>
    <t>MainCharacter</t>
  </si>
  <si>
    <t>MainstreamObscurity</t>
  </si>
  <si>
    <t>MakeRoomForTheNewPlot</t>
  </si>
  <si>
    <t>MakingTheChoiceForYou</t>
  </si>
  <si>
    <t>MaliciousMonitorLizard</t>
  </si>
  <si>
    <t>MalinAckerman</t>
  </si>
  <si>
    <t>MalMariee</t>
  </si>
  <si>
    <t>ManBehindTheCurtain</t>
  </si>
  <si>
    <t>MandatoryLine</t>
  </si>
  <si>
    <t>MangledCatchphrase</t>
  </si>
  <si>
    <t>Manhua</t>
  </si>
  <si>
    <t>ManiacTongue</t>
  </si>
  <si>
    <t>ManicPixieDream</t>
  </si>
  <si>
    <t>ManifestoMakingMalcontent</t>
  </si>
  <si>
    <t>ManInTheMoon</t>
  </si>
  <si>
    <t>ManMadeHouseFlood</t>
  </si>
  <si>
    <t>ManOfSteel</t>
  </si>
  <si>
    <t>ManOfTheCity</t>
  </si>
  <si>
    <t>ManOnTheStreetInterview</t>
  </si>
  <si>
    <t>MansBestFriend</t>
  </si>
  <si>
    <t>ManufacturingVictims</t>
  </si>
  <si>
    <t>ManySpiritsInsideOfOne</t>
  </si>
  <si>
    <t>MarathonLevel</t>
  </si>
  <si>
    <t>MarcelloMastroianni</t>
  </si>
  <si>
    <t>March</t>
  </si>
  <si>
    <t>MarchingMooksInSuits</t>
  </si>
  <si>
    <t>Marco3000LeaguesInSearchOfMother</t>
  </si>
  <si>
    <t>MarkedByTheSupernatural</t>
  </si>
  <si>
    <t>MarriageToAGod</t>
  </si>
  <si>
    <t>MarsWantsChocolate</t>
  </si>
  <si>
    <t>MarthDebutedInSmashBros</t>
  </si>
  <si>
    <t>MarvelCinematicUniverse</t>
  </si>
  <si>
    <t>MarvelUniverse</t>
  </si>
  <si>
    <t>MarvWolfman</t>
  </si>
  <si>
    <t>MarySueTopia</t>
  </si>
  <si>
    <t>MaryTzu</t>
  </si>
  <si>
    <t>MascotVillain</t>
  </si>
  <si>
    <t>MasculineLinesFeminineCurves</t>
  </si>
  <si>
    <t>MaskOfConfidence</t>
  </si>
  <si>
    <t>MasterOfNone</t>
  </si>
  <si>
    <t>MataHari</t>
  </si>
  <si>
    <t>MatchThreeGame</t>
  </si>
  <si>
    <t>MatrixHypothesis</t>
  </si>
  <si>
    <t>MatterOfLifeAndDeath</t>
  </si>
  <si>
    <t>MatureAnimalStory</t>
  </si>
  <si>
    <t>MayaAngelou</t>
  </si>
  <si>
    <t>MC2</t>
  </si>
  <si>
    <t>McAllister</t>
  </si>
  <si>
    <t>McAllsiter</t>
  </si>
  <si>
    <t>McCadden</t>
  </si>
  <si>
    <t>McCain</t>
  </si>
  <si>
    <t>McCarthy</t>
  </si>
  <si>
    <t>McCauley</t>
  </si>
  <si>
    <t>McCavity</t>
  </si>
  <si>
    <t>McClane</t>
  </si>
  <si>
    <t>McCord</t>
  </si>
  <si>
    <t>McGarricle</t>
  </si>
  <si>
    <t>McGavin</t>
  </si>
  <si>
    <t>McGill</t>
  </si>
  <si>
    <t>McIlroy</t>
  </si>
  <si>
    <t>McJob</t>
  </si>
  <si>
    <t>McKellen</t>
  </si>
  <si>
    <t>McLean</t>
  </si>
  <si>
    <t>McMahon</t>
  </si>
  <si>
    <t>McNess</t>
  </si>
  <si>
    <t>McQueen</t>
  </si>
  <si>
    <t>McRae</t>
  </si>
  <si>
    <t>McReynolds</t>
  </si>
  <si>
    <t>McWhorter</t>
  </si>
  <si>
    <t>Me262</t>
  </si>
  <si>
    <t>MeaningfulTitles</t>
  </si>
  <si>
    <t>MeanwhileScene</t>
  </si>
  <si>
    <t>MeasuringDay</t>
  </si>
  <si>
    <t>Mecha</t>
  </si>
  <si>
    <t>MechaExpansionPack</t>
  </si>
  <si>
    <t>MechanicalHorse</t>
  </si>
  <si>
    <t>MedalsForEveryone</t>
  </si>
  <si>
    <t>MediationBackfire</t>
  </si>
  <si>
    <t>MedievalPrehistory</t>
  </si>
  <si>
    <t>MeditatingUnderAWaterfall</t>
  </si>
  <si>
    <t>Medley</t>
  </si>
  <si>
    <t>MedleyExit</t>
  </si>
  <si>
    <t>MeetYourEarlyInstallmentWeirdness</t>
  </si>
  <si>
    <t>MegaMicrobes</t>
  </si>
  <si>
    <t>MegaphoneHanging</t>
  </si>
  <si>
    <t>MegaRecords</t>
  </si>
  <si>
    <t>MelancholyMusicalNumber</t>
  </si>
  <si>
    <t>MeltingPotNomenclature</t>
  </si>
  <si>
    <t>MemeticBystander</t>
  </si>
  <si>
    <t>MemeticHandGesture</t>
  </si>
  <si>
    <t>MemeticLoser</t>
  </si>
  <si>
    <t>MemorialStatue</t>
  </si>
  <si>
    <t>MenAreChildish</t>
  </si>
  <si>
    <t>MenBuyFromMarsWomenBuyFromVenus</t>
  </si>
  <si>
    <t>MenLikeDogsWomenLikeCats</t>
  </si>
  <si>
    <t>MentalHealthRecoveryArc</t>
  </si>
  <si>
    <t>MentorInQueerness</t>
  </si>
  <si>
    <t>MerchantCity</t>
  </si>
  <si>
    <t>MercurysWings</t>
  </si>
  <si>
    <t>MercyKillArrangement</t>
  </si>
  <si>
    <t>MetafictionalDevice</t>
  </si>
  <si>
    <t>MetaphysicalPlace</t>
  </si>
  <si>
    <t>MethuselahSyndrome</t>
  </si>
  <si>
    <t>MetroCard</t>
  </si>
  <si>
    <t>MichaelNesmith</t>
  </si>
  <si>
    <t>MiddleSchool</t>
  </si>
  <si>
    <t>MidflightWaterTouching</t>
  </si>
  <si>
    <t>MidnightSnack</t>
  </si>
  <si>
    <t>MidSuicideRegret</t>
  </si>
  <si>
    <t>MidwordRhyme</t>
  </si>
  <si>
    <t>MilesGoodman</t>
  </si>
  <si>
    <t>MilitaryAndWarfareTropes</t>
  </si>
  <si>
    <t>MilitaryLingo</t>
  </si>
  <si>
    <t>MilitaryScienceFiction</t>
  </si>
  <si>
    <t>MindGameShip</t>
  </si>
  <si>
    <t>MindHug</t>
  </si>
  <si>
    <t>MindRaped</t>
  </si>
  <si>
    <t>MindUploading</t>
  </si>
  <si>
    <t>MiniGolfEpisode</t>
  </si>
  <si>
    <t>MiniMook</t>
  </si>
  <si>
    <t>MinisculeRocking</t>
  </si>
  <si>
    <t>MiraSorvino</t>
  </si>
  <si>
    <t>MiseryLit</t>
  </si>
  <si>
    <t>MisplacedSorrow</t>
  </si>
  <si>
    <t>MissedMomentOfAwesome</t>
  </si>
  <si>
    <t>MissileLockOn</t>
  </si>
  <si>
    <t>MissYoYoKnickers</t>
  </si>
  <si>
    <t>MistakenForAnImpostor</t>
  </si>
  <si>
    <t>MistakenForExhibit</t>
  </si>
  <si>
    <t>MistakenForGods</t>
  </si>
  <si>
    <t>MistakenForSubculture</t>
  </si>
  <si>
    <t>MistakesAreNotTheEndOfTheWorld</t>
  </si>
  <si>
    <t>MisterXAndMisterY</t>
  </si>
  <si>
    <t>MistimedRevival</t>
  </si>
  <si>
    <t>MixedArchetypes</t>
  </si>
  <si>
    <t>MixtapeOfLove</t>
  </si>
  <si>
    <t>MkVII</t>
  </si>
  <si>
    <t>ModularEpilogue</t>
  </si>
  <si>
    <t>ModularFranchise</t>
  </si>
  <si>
    <t>MoeCouplet</t>
  </si>
  <si>
    <t>MohsScaleOfRockAndMetalHardness</t>
  </si>
  <si>
    <t>MomentOfLucidity</t>
  </si>
  <si>
    <t>MomLooksLikeASister</t>
  </si>
  <si>
    <t>MoneyGrinding</t>
  </si>
  <si>
    <t>MoneyMauling</t>
  </si>
  <si>
    <t>MonowheelMayhem</t>
  </si>
  <si>
    <t>MonsterHunter</t>
  </si>
  <si>
    <t>MonsterLord</t>
  </si>
  <si>
    <t>MonsterModesty</t>
  </si>
  <si>
    <t>MonstersAnonymous</t>
  </si>
  <si>
    <t>MonstrousGerms</t>
  </si>
  <si>
    <t>MonstrousMandibles</t>
  </si>
  <si>
    <t>MonstrousSeal</t>
  </si>
  <si>
    <t>MontageEndsTheVHS</t>
  </si>
  <si>
    <t>MoochingMaster</t>
  </si>
  <si>
    <t>MoodSwing</t>
  </si>
  <si>
    <t>MookMarches</t>
  </si>
  <si>
    <t>MookMobile</t>
  </si>
  <si>
    <t>MooseAreIdiots</t>
  </si>
  <si>
    <t>MoralityBallad</t>
  </si>
  <si>
    <t>More4</t>
  </si>
  <si>
    <t>MoreThanMeetsTheEye</t>
  </si>
  <si>
    <t>Morlocks</t>
  </si>
  <si>
    <t>MormonCinema</t>
  </si>
  <si>
    <t>MortonDowneyJr</t>
  </si>
  <si>
    <t>MosDef</t>
  </si>
  <si>
    <t>MostDangerousVideogame</t>
  </si>
  <si>
    <t>MostDefinitelyNotAccompanyingUs</t>
  </si>
  <si>
    <t>MostGamersAreMale</t>
  </si>
  <si>
    <t>MOther</t>
  </si>
  <si>
    <t>MotherLooksLikeASister</t>
  </si>
  <si>
    <t>MotherlySidePlait</t>
  </si>
  <si>
    <t>MotherNature</t>
  </si>
  <si>
    <t>MotherRussia</t>
  </si>
  <si>
    <t>MotionComic</t>
  </si>
  <si>
    <t>MotionlessMakeover</t>
  </si>
  <si>
    <t>MotionLines</t>
  </si>
  <si>
    <t>MotorVehicleTropes</t>
  </si>
  <si>
    <t>MourningClothes</t>
  </si>
  <si>
    <t>MouthFlaps</t>
  </si>
  <si>
    <t>MoveInTheFrozenTime</t>
  </si>
  <si>
    <t>Moviebob</t>
  </si>
  <si>
    <t>MP40</t>
  </si>
  <si>
    <t>MP5s</t>
  </si>
  <si>
    <t>MREs</t>
  </si>
  <si>
    <t>MsClaus</t>
  </si>
  <si>
    <t>MuggleAndMagicalLoveTriangle</t>
  </si>
  <si>
    <t>MuggleMageRomance</t>
  </si>
  <si>
    <t>Mukokuseki</t>
  </si>
  <si>
    <t>MulticulturalTeam</t>
  </si>
  <si>
    <t>MultiDirectionalBarrage</t>
  </si>
  <si>
    <t>MultidisciplinaryScientist</t>
  </si>
  <si>
    <t>MultiEthnicCrimeGang</t>
  </si>
  <si>
    <t>MultiformBalance</t>
  </si>
  <si>
    <t>MultiNationalCrew</t>
  </si>
  <si>
    <t>MultistageTeleport</t>
  </si>
  <si>
    <t>Munchkin</t>
  </si>
  <si>
    <t>Mundangerous</t>
  </si>
  <si>
    <t>MurderWater</t>
  </si>
  <si>
    <t>MusclesAreMeaningful</t>
  </si>
  <si>
    <t>MuseumOfBoredom</t>
  </si>
  <si>
    <t>Music</t>
  </si>
  <si>
    <t>MusicalNumber</t>
  </si>
  <si>
    <t>MusicalTheatre</t>
  </si>
  <si>
    <t>MusicalThemeNaming</t>
  </si>
  <si>
    <t>MusicAtSportingEvents</t>
  </si>
  <si>
    <t>MusicBoxIntervals</t>
  </si>
  <si>
    <t>MusicGenreDissonance</t>
  </si>
  <si>
    <t>MusicVideoOvershadowing</t>
  </si>
  <si>
    <t>MusicVideoTropes</t>
  </si>
  <si>
    <t>MustHaveLotsOfFreeTime</t>
  </si>
  <si>
    <t>MustLetThemGetAway</t>
  </si>
  <si>
    <t>MustMakeHerLaugh</t>
  </si>
  <si>
    <t>MutagenicFood</t>
  </si>
  <si>
    <t>MutualEnvy</t>
  </si>
  <si>
    <t>MutuallyFictional</t>
  </si>
  <si>
    <t>MutualMasquerade</t>
  </si>
  <si>
    <t>MyBloodRunsHot</t>
  </si>
  <si>
    <t>MyDeathIsOnlyTheBeginning</t>
  </si>
  <si>
    <t>MyLittlePhony</t>
  </si>
  <si>
    <t>MyLittlePonyFriendshipIsMagic</t>
  </si>
  <si>
    <t>MyNameIsQuestionMarks</t>
  </si>
  <si>
    <t>MysteriousAnimalSenses</t>
  </si>
  <si>
    <t>MysteriousCubeOfRubik</t>
  </si>
  <si>
    <t>MysteriousStranger</t>
  </si>
  <si>
    <t>Mystery</t>
  </si>
  <si>
    <t>MysteryArc</t>
  </si>
  <si>
    <t>MysteryMagnet</t>
  </si>
  <si>
    <t>MysteryWriterDetective</t>
  </si>
  <si>
    <t>MysticalWaif</t>
  </si>
  <si>
    <t>MythologyGags</t>
  </si>
  <si>
    <t>Mythopoeia</t>
  </si>
  <si>
    <t>MyWayOrTheHighway</t>
  </si>
  <si>
    <t>NaiveButSkilled</t>
  </si>
  <si>
    <t>Namedar</t>
  </si>
  <si>
    <t>NamesakeGag</t>
  </si>
  <si>
    <t>NamesToRunAwayFrom</t>
  </si>
  <si>
    <t>NamesToRunAwayFromVeryFast</t>
  </si>
  <si>
    <t>NameTron</t>
  </si>
  <si>
    <t>Nanobots</t>
  </si>
  <si>
    <t>NanoMachine</t>
  </si>
  <si>
    <t>Narration</t>
  </si>
  <si>
    <t>NarrativeDrivenNatureDocumentary</t>
  </si>
  <si>
    <t>NarrativeShapeshifting</t>
  </si>
  <si>
    <t>NationalAnimalStereotypes</t>
  </si>
  <si>
    <t>NativeAmericanCasino</t>
  </si>
  <si>
    <t>NaughtyIsGood</t>
  </si>
  <si>
    <t>NearDeathExperiencers</t>
  </si>
  <si>
    <t>NearKiss</t>
  </si>
  <si>
    <t>NearMisses</t>
  </si>
  <si>
    <t>Necronomicon</t>
  </si>
  <si>
    <t>NedKelly</t>
  </si>
  <si>
    <t>NeedleworkIsForOldPeople</t>
  </si>
  <si>
    <t>NEET</t>
  </si>
  <si>
    <t>NelsonMandela</t>
  </si>
  <si>
    <t>NeoNoir</t>
  </si>
  <si>
    <t>Nerdcore</t>
  </si>
  <si>
    <t>NerdsLoveToughSchoolwork</t>
  </si>
  <si>
    <t>NeurodiversityIsSupernatural</t>
  </si>
  <si>
    <t>NeutralEvil</t>
  </si>
  <si>
    <t>NeverLand</t>
  </si>
  <si>
    <t>NeverLendToAFriend</t>
  </si>
  <si>
    <t>NeverSendAnXToDoAYsJob</t>
  </si>
  <si>
    <t>NewBodyOldAbilities</t>
  </si>
  <si>
    <t>NewJackSwing</t>
  </si>
  <si>
    <t>NewQueerCinema</t>
  </si>
  <si>
    <t>NewsParody</t>
  </si>
  <si>
    <t>NewTechIsNotCheap</t>
  </si>
  <si>
    <t>NewWave</t>
  </si>
  <si>
    <t>NewWaveOfBritishHeavyMetal</t>
  </si>
  <si>
    <t>NewWeird</t>
  </si>
  <si>
    <t>NewYorkStories</t>
  </si>
  <si>
    <t>NeXT</t>
  </si>
  <si>
    <t>NextTierPowerUp</t>
  </si>
  <si>
    <t>NiceGal</t>
  </si>
  <si>
    <t>NiceGirls</t>
  </si>
  <si>
    <t>NiceJobBreakingItVillain</t>
  </si>
  <si>
    <t>NicheNetwork</t>
  </si>
  <si>
    <t>NickFrost</t>
  </si>
  <si>
    <t>NietzcheWannabe</t>
  </si>
  <si>
    <t>NightAndDayDuo</t>
  </si>
  <si>
    <t>Nightfall</t>
  </si>
  <si>
    <t>NightmareFodder</t>
  </si>
  <si>
    <t>NinjaCat</t>
  </si>
  <si>
    <t>NinjaLooting</t>
  </si>
  <si>
    <t>NinjaMaid</t>
  </si>
  <si>
    <t>NinjaRun</t>
  </si>
  <si>
    <t>NinjaSchool</t>
  </si>
  <si>
    <t>NippledAndDimed</t>
  </si>
  <si>
    <t>NoAnimosityInTheAfterlife</t>
  </si>
  <si>
    <t>NoBiologicalSex</t>
  </si>
  <si>
    <t>NobleConfederateSoldier</t>
  </si>
  <si>
    <t>NoCanOpener</t>
  </si>
  <si>
    <t>NoCartoonFish</t>
  </si>
  <si>
    <t>NoControlGroup</t>
  </si>
  <si>
    <t>NocturnalEmission</t>
  </si>
  <si>
    <t>NocturnalMooks</t>
  </si>
  <si>
    <t>NoHeterosexualSexAllowed</t>
  </si>
  <si>
    <t>NoHoldsBeatdown</t>
  </si>
  <si>
    <t>NoInnerFourthWall</t>
  </si>
  <si>
    <t>NoInsideVoice</t>
  </si>
  <si>
    <t>NoirEpisode</t>
  </si>
  <si>
    <t>NoiselessWalker</t>
  </si>
  <si>
    <t>NoisySexNextDoor</t>
  </si>
  <si>
    <t>NoLovesIntersect</t>
  </si>
  <si>
    <t>NonFatalExplosion</t>
  </si>
  <si>
    <t>NonFiction</t>
  </si>
  <si>
    <t>NonHumanHead</t>
  </si>
  <si>
    <t>NonIndicativeFirstEpisode</t>
  </si>
  <si>
    <t>NonLethalKO</t>
  </si>
  <si>
    <t>NonLinearCharacter</t>
  </si>
  <si>
    <t>NonLinearSequel</t>
  </si>
  <si>
    <t>NonLinearStory</t>
  </si>
  <si>
    <t>NonMammalianMammaries</t>
  </si>
  <si>
    <t>NonSequiturCausality</t>
  </si>
  <si>
    <t>NonSequiturFallacy</t>
  </si>
  <si>
    <t>NonStandardKiss</t>
  </si>
  <si>
    <t>NonstandardPrescription</t>
  </si>
  <si>
    <t>Noob</t>
  </si>
  <si>
    <t>NoodleImplement</t>
  </si>
  <si>
    <t>NoOffButton</t>
  </si>
  <si>
    <t>NoOntologicalnertia</t>
  </si>
  <si>
    <t>NoOSHAComliance</t>
  </si>
  <si>
    <t>NooYawk</t>
  </si>
  <si>
    <t>NoPoverty</t>
  </si>
  <si>
    <t>NormallyIWouldBeDeadByNow</t>
  </si>
  <si>
    <t>NoSelfBuffs</t>
  </si>
  <si>
    <t>NoSneakAttacks</t>
  </si>
  <si>
    <t>NoStatAtrophy</t>
  </si>
  <si>
    <t>NoSuchThingAsAlienPopCulture</t>
  </si>
  <si>
    <t>NoSuchThingAsWizardJesus</t>
  </si>
  <si>
    <t>NoSympathyForGrudgeholders</t>
  </si>
  <si>
    <t>NotableMusicVideos</t>
  </si>
  <si>
    <t>NotActuallyHisChild</t>
  </si>
  <si>
    <t>NotAgain</t>
  </si>
  <si>
    <t>NotAlwaysEvil</t>
  </si>
  <si>
    <t>NotBloodRelated</t>
  </si>
  <si>
    <t>NotCompensatingForAnything</t>
  </si>
  <si>
    <t>NoTechButHighTech</t>
  </si>
  <si>
    <t>NotesToSelf</t>
  </si>
  <si>
    <t>NotFunnyAnymore</t>
  </si>
  <si>
    <t>NothingAfterDeath</t>
  </si>
  <si>
    <t>NothingCanSaveUsNow</t>
  </si>
  <si>
    <t>NothingToSeeHere</t>
  </si>
  <si>
    <t>NotIfTheyEnjoyedItRationalisation</t>
  </si>
  <si>
    <t>NotInMyContract</t>
  </si>
  <si>
    <t>NotQuiteForever</t>
  </si>
  <si>
    <t>NotQuiteHuman</t>
  </si>
  <si>
    <t>NotRareOverThere</t>
  </si>
  <si>
    <t>NotReallyMarriedPlot</t>
  </si>
  <si>
    <t>NotSayingTheZWord</t>
  </si>
  <si>
    <t>NotScreenedForCritics</t>
  </si>
  <si>
    <t>NotSoCrazyAnymore</t>
  </si>
  <si>
    <t>NotSoFastBucko</t>
  </si>
  <si>
    <t>NotSoOmniscientAfterAll</t>
  </si>
  <si>
    <t>NotTheNessie</t>
  </si>
  <si>
    <t>NotYourProblem</t>
  </si>
  <si>
    <t>Novel</t>
  </si>
  <si>
    <t>NoWarpingZone</t>
  </si>
  <si>
    <t>NoYay</t>
  </si>
  <si>
    <t>NoyesFludde</t>
  </si>
  <si>
    <t>NPC</t>
  </si>
  <si>
    <t>NSFNet</t>
  </si>
  <si>
    <t>NuclearNullifier</t>
  </si>
  <si>
    <t>NumberOne</t>
  </si>
  <si>
    <t>NWordPrivilege</t>
  </si>
  <si>
    <t>Nymphomania</t>
  </si>
  <si>
    <t>ObfuscatedInterface</t>
  </si>
  <si>
    <t>ObliviousToHerOwnDescription</t>
  </si>
  <si>
    <t>ObliviousYoungerSibling</t>
  </si>
  <si>
    <t>ObservationOnOriginality</t>
  </si>
  <si>
    <t>ObsessedAreTheListmakers</t>
  </si>
  <si>
    <t>ObsessiveLoveLetter</t>
  </si>
  <si>
    <t>ObstructiveBureaucracy</t>
  </si>
  <si>
    <t>ObstructiveBureucrat</t>
  </si>
  <si>
    <t>ObstructiveLoveInterest</t>
  </si>
  <si>
    <t>ObviousJudas</t>
  </si>
  <si>
    <t>ObviousObjectCouldBeAnything</t>
  </si>
  <si>
    <t>ObviousWrappedGift</t>
  </si>
  <si>
    <t>OccultLawFirm</t>
  </si>
  <si>
    <t>OdangoHair</t>
  </si>
  <si>
    <t>OddJob</t>
  </si>
  <si>
    <t>OddlyCommonRarity</t>
  </si>
  <si>
    <t>OddlyOvertrainedSecurity</t>
  </si>
  <si>
    <t>OddManOut</t>
  </si>
  <si>
    <t>OddOrganUpTop</t>
  </si>
  <si>
    <t>OdeToFood</t>
  </si>
  <si>
    <t>OdeToIntoxication</t>
  </si>
  <si>
    <t>OedipalComplex</t>
  </si>
  <si>
    <t>OELManga</t>
  </si>
  <si>
    <t>OfficalCouple</t>
  </si>
  <si>
    <t>OfficialCoupleOrdealSyndrome</t>
  </si>
  <si>
    <t>OfficialFanSubmittedContent</t>
  </si>
  <si>
    <t>OffLikeAShot</t>
  </si>
  <si>
    <t>OffscreenRomance</t>
  </si>
  <si>
    <t>OffTheScale</t>
  </si>
  <si>
    <t>OffToSeeTheWizard</t>
  </si>
  <si>
    <t>OfThePeople</t>
  </si>
  <si>
    <t>OhCanada</t>
  </si>
  <si>
    <t>OhCrapFakeout</t>
  </si>
  <si>
    <t>OhMeAccentsSlipping</t>
  </si>
  <si>
    <t>OjouRinglets</t>
  </si>
  <si>
    <t>OlderThabTheyLook</t>
  </si>
  <si>
    <t>OlderThanRadio</t>
  </si>
  <si>
    <t>OldNewBorrowedAndBlue</t>
  </si>
  <si>
    <t>OldRetainers</t>
  </si>
  <si>
    <t>OLuckyMan</t>
  </si>
  <si>
    <t>OminousLegalPhraseTitle</t>
  </si>
  <si>
    <t>OminousMundanity</t>
  </si>
  <si>
    <t>Omnibus</t>
  </si>
  <si>
    <t>Omniscience</t>
  </si>
  <si>
    <t>OmniscientHero</t>
  </si>
  <si>
    <t>OncePerMovie</t>
  </si>
  <si>
    <t>OneBadMohter</t>
  </si>
  <si>
    <t>OneBigLie</t>
  </si>
  <si>
    <t>OneBuwwetWeft</t>
  </si>
  <si>
    <t>OneCharacterMultipleLives</t>
  </si>
  <si>
    <t>OneEpisodeWonder</t>
  </si>
  <si>
    <t>OneExtraMember</t>
  </si>
  <si>
    <t>OneForTheMoneyOneForTheArt</t>
  </si>
  <si>
    <t>OneGameForThePriceOfTwo</t>
  </si>
  <si>
    <t>OneHandedZweihander</t>
  </si>
  <si>
    <t>OneHeadShorter</t>
  </si>
  <si>
    <t>OneHeroHoldTheWeaksauce</t>
  </si>
  <si>
    <t>OneHundredPercentCompletion</t>
  </si>
  <si>
    <t>OneInAMillionChance</t>
  </si>
  <si>
    <t>OneLastFling</t>
  </si>
  <si>
    <t>OneManAttack</t>
  </si>
  <si>
    <t>OneNoteCook</t>
  </si>
  <si>
    <t>OneOfOurOwn</t>
  </si>
  <si>
    <t>OneOfTheseThingsIsNotLikeTheOthers</t>
  </si>
  <si>
    <t>OnePasswordAttemptEver</t>
  </si>
  <si>
    <t>OneSceneWonders</t>
  </si>
  <si>
    <t>OneShotRevisionism</t>
  </si>
  <si>
    <t>OneWayVisor</t>
  </si>
  <si>
    <t>OneWildNight</t>
  </si>
  <si>
    <t>OneWingAngel</t>
  </si>
  <si>
    <t>OneWordVocabulary</t>
  </si>
  <si>
    <t>Oni</t>
  </si>
  <si>
    <t>OnlyCoolPeopleMatter</t>
  </si>
  <si>
    <t>OnlyFleshIsSafe</t>
  </si>
  <si>
    <t>OnlyGoodPeopleMayPass</t>
  </si>
  <si>
    <t>OnlyHasSameSexAdmirers</t>
  </si>
  <si>
    <t>OnlyKnownByTheirNicknames</t>
  </si>
  <si>
    <t>OnlyLikeCanCutLike</t>
  </si>
  <si>
    <t>OnlyOne</t>
  </si>
  <si>
    <t>OnlyServesForLife</t>
  </si>
  <si>
    <t>OnlyTheAuthorCanSaveThemNow</t>
  </si>
  <si>
    <t>OnlyWorksOnce</t>
  </si>
  <si>
    <t>OnTheNextEpisodeOfCatchPhrase</t>
  </si>
  <si>
    <t>OohMeAccentsSlippin</t>
  </si>
  <si>
    <t>OpeningACanOfClones</t>
  </si>
  <si>
    <t>OpeningCredits</t>
  </si>
  <si>
    <t>OpeningGambit</t>
  </si>
  <si>
    <t>OpeningTheme</t>
  </si>
  <si>
    <t>OpinionMyopia</t>
  </si>
  <si>
    <t>OpinionOverride</t>
  </si>
  <si>
    <t>OppositeDay</t>
  </si>
  <si>
    <t>OppositeSexClone</t>
  </si>
  <si>
    <t>Oracle</t>
  </si>
  <si>
    <t>OralTradition</t>
  </si>
  <si>
    <t>OrcRaisedByElves</t>
  </si>
  <si>
    <t>OrderIsNotGood</t>
  </si>
  <si>
    <t>OrdinaryHighSchoolStudents</t>
  </si>
  <si>
    <t>OriginalCastPrecedent</t>
  </si>
  <si>
    <t>OriginalMan</t>
  </si>
  <si>
    <t>OriginsChapter</t>
  </si>
  <si>
    <t>OrlandoBloom</t>
  </si>
  <si>
    <t>OrphanedSeries</t>
  </si>
  <si>
    <t>OstentatiousSecret</t>
  </si>
  <si>
    <t>Ostinato</t>
  </si>
  <si>
    <t>OstrichHeadHiding</t>
  </si>
  <si>
    <t>OT3</t>
  </si>
  <si>
    <t>OtherCommonMusicVideoConcepts</t>
  </si>
  <si>
    <t>OTP</t>
  </si>
  <si>
    <t>OurBetterIsDifferent</t>
  </si>
  <si>
    <t>OurElvesAreDifferent</t>
  </si>
  <si>
    <t>OurGhoulsAreDifferent</t>
  </si>
  <si>
    <t>OurHydrasAreDifferent</t>
  </si>
  <si>
    <t>OurLadyOfSoundtrackSorrow</t>
  </si>
  <si>
    <t>OurMagesAreDifferent</t>
  </si>
  <si>
    <t>OurShowersAreDifferent</t>
  </si>
  <si>
    <t>OurSloganIsTerrible</t>
  </si>
  <si>
    <t>OurTitansAreDifferent</t>
  </si>
  <si>
    <t>OurWitchesAreDifferent</t>
  </si>
  <si>
    <t>OutdatedName</t>
  </si>
  <si>
    <t>OutGambit</t>
  </si>
  <si>
    <t>OutOfControlPopcorn</t>
  </si>
  <si>
    <t>OutOfJobIntoThePlot</t>
  </si>
  <si>
    <t>OutOfOrder</t>
  </si>
  <si>
    <t>OutOfTheShadowsReveal</t>
  </si>
  <si>
    <t>OVA</t>
  </si>
  <si>
    <t>OverAndUnderTheTop</t>
  </si>
  <si>
    <t>OvercomeTheirDifferences</t>
  </si>
  <si>
    <t>Overheating</t>
  </si>
  <si>
    <t>Overkill</t>
  </si>
  <si>
    <t>OverlyEmbarassingParents</t>
  </si>
  <si>
    <t>OverlyLiteralTranscription</t>
  </si>
  <si>
    <t>OverlyPrePreparedGag</t>
  </si>
  <si>
    <t>OverprotectiveFather</t>
  </si>
  <si>
    <t>OverTheShoulderMurderShot</t>
  </si>
  <si>
    <t>OverTheTopSecret</t>
  </si>
  <si>
    <t>OverworkedSleep</t>
  </si>
  <si>
    <t>OwlBeDamned</t>
  </si>
  <si>
    <t>OwlsAskWho</t>
  </si>
  <si>
    <t>OxymoronicBeing</t>
  </si>
  <si>
    <t>PA2</t>
  </si>
  <si>
    <t>PA3</t>
  </si>
  <si>
    <t>PaddedSumoGameplay</t>
  </si>
  <si>
    <t>PainfulPointyPufferfish</t>
  </si>
  <si>
    <t>PainPoweredLeap</t>
  </si>
  <si>
    <t>PaintItBlack</t>
  </si>
  <si>
    <t>PalatialSandcastle</t>
  </si>
  <si>
    <t>PaletteSwappedAlienFood</t>
  </si>
  <si>
    <t>PalmFistTap</t>
  </si>
  <si>
    <t>PalmOnCheekPose</t>
  </si>
  <si>
    <t>Panacea</t>
  </si>
  <si>
    <t>Panspermia</t>
  </si>
  <si>
    <t>PanzerKampfwagen</t>
  </si>
  <si>
    <t>PaperBagPopping</t>
  </si>
  <si>
    <t>PaperMaster</t>
  </si>
  <si>
    <t>Paperworkaholic</t>
  </si>
  <si>
    <t>ParadoxPerson</t>
  </si>
  <si>
    <t>ParallelPornTitle</t>
  </si>
  <si>
    <t>Paranoiac</t>
  </si>
  <si>
    <t>ParanormalEpisode</t>
  </si>
  <si>
    <t>ParanormalRomance</t>
  </si>
  <si>
    <t>ParaText</t>
  </si>
  <si>
    <t>PardonMeStewardessISpeakIambicPentameter</t>
  </si>
  <si>
    <t>ParentalTitleCharacterization</t>
  </si>
  <si>
    <t>ParentChildTeam</t>
  </si>
  <si>
    <t>ParentlyScientist</t>
  </si>
  <si>
    <t>ParentNeverCameBackFromTheStore</t>
  </si>
  <si>
    <t>ParentProducedProject</t>
  </si>
  <si>
    <t>ParentsForADay</t>
  </si>
  <si>
    <t>ParodyOfEvolution</t>
  </si>
  <si>
    <t>ParodyProductPlacement</t>
  </si>
  <si>
    <t>ParodyVideoGames</t>
  </si>
  <si>
    <t>Parricide</t>
  </si>
  <si>
    <t>PartiallyCivilizedAnimal</t>
  </si>
  <si>
    <t>PartsUnknown</t>
  </si>
  <si>
    <t>PartTimeHero</t>
  </si>
  <si>
    <t>PartyInMyPocket</t>
  </si>
  <si>
    <t>PartySchedulingGambit</t>
  </si>
  <si>
    <t>PassingJudgment</t>
  </si>
  <si>
    <t>PassionIsEvil</t>
  </si>
  <si>
    <t>PastInTheRearViewMirror</t>
  </si>
  <si>
    <t>PathOfMostResistance</t>
  </si>
  <si>
    <t>PatrollingMook</t>
  </si>
  <si>
    <t>PauperPatches</t>
  </si>
  <si>
    <t>PayingTheirDues</t>
  </si>
  <si>
    <t>PayToWin</t>
  </si>
  <si>
    <t>PeaceThroughSuperiorFirepower</t>
  </si>
  <si>
    <t>PeacockGirl</t>
  </si>
  <si>
    <t>PeakOil</t>
  </si>
  <si>
    <t>PelvicThrust</t>
  </si>
  <si>
    <t>PenPushingPresident</t>
  </si>
  <si>
    <t>PentUpPowerPeril</t>
  </si>
  <si>
    <t>PeoplePuppet</t>
  </si>
  <si>
    <t>PercussiveShutdown</t>
  </si>
  <si>
    <t>PerilousPowerSource</t>
  </si>
  <si>
    <t>PeriodDrama</t>
  </si>
  <si>
    <t>PeripheryHatedom</t>
  </si>
  <si>
    <t>PerishingAltRockVoice</t>
  </si>
  <si>
    <t>PerpetualExpression</t>
  </si>
  <si>
    <t>PerplexingPlurals</t>
  </si>
  <si>
    <t>PersonalBest</t>
  </si>
  <si>
    <t>PersonalGainHurts</t>
  </si>
  <si>
    <t>PersonalityBloodTypes</t>
  </si>
  <si>
    <t>PersonOfMassConstruction</t>
  </si>
  <si>
    <t>PersonsOfMassDestruction</t>
  </si>
  <si>
    <t>PestEpisode</t>
  </si>
  <si>
    <t>PetContestEpisode</t>
  </si>
  <si>
    <t>PetDressUp</t>
  </si>
  <si>
    <t>PetsVersusStrays</t>
  </si>
  <si>
    <t>Pheromones</t>
  </si>
  <si>
    <t>PhilosophicalParable</t>
  </si>
  <si>
    <t>Philosophy</t>
  </si>
  <si>
    <t>PhlebotinumBattery</t>
  </si>
  <si>
    <t>PhlebotinumDuJour</t>
  </si>
  <si>
    <t>PhlebotinumGirl</t>
  </si>
  <si>
    <t>PhlebotinumInducedStupidity</t>
  </si>
  <si>
    <t>PhlebotinumOverdose</t>
  </si>
  <si>
    <t>Phobia</t>
  </si>
  <si>
    <t>PhoningThePhantom</t>
  </si>
  <si>
    <t>PhotoprotoneutronTorpedo</t>
  </si>
  <si>
    <t>PhysicalHell</t>
  </si>
  <si>
    <t>PickingUpTheWrongBag</t>
  </si>
  <si>
    <t>PickUpBabesWithBabes</t>
  </si>
  <si>
    <t>PictureDay</t>
  </si>
  <si>
    <t>PiecesOfGod</t>
  </si>
  <si>
    <t>PieEyed</t>
  </si>
  <si>
    <t>PigeonDrop</t>
  </si>
  <si>
    <t>PileBunker</t>
  </si>
  <si>
    <t>PinkHeroine</t>
  </si>
  <si>
    <t>PiranhaPool</t>
  </si>
  <si>
    <t>PlaceboEurekaMoment</t>
  </si>
  <si>
    <t>PlacebotinumEffect</t>
  </si>
  <si>
    <t>PlaceOfPower</t>
  </si>
  <si>
    <t>PlagueOfGoodFortune</t>
  </si>
  <si>
    <t>PlanetaryParasite</t>
  </si>
  <si>
    <t>PlanetTerror</t>
  </si>
  <si>
    <t>PlatformHell</t>
  </si>
  <si>
    <t>PlatonicBoyGirlHeroes</t>
  </si>
  <si>
    <t>PlatonicKissing</t>
  </si>
  <si>
    <t>PlayByPostGames</t>
  </si>
  <si>
    <t>PlayedForComedy</t>
  </si>
  <si>
    <t>PlayerCharacters</t>
  </si>
  <si>
    <t>PlayerGuidedMissile</t>
  </si>
  <si>
    <t>PlayerPunch</t>
  </si>
  <si>
    <t>PlayerTic</t>
  </si>
  <si>
    <t>PlayerVersusPlayer</t>
  </si>
  <si>
    <t>PlayEveryDay</t>
  </si>
  <si>
    <t>PlayingAgainstTheType</t>
  </si>
  <si>
    <t>PlayingHamlet</t>
  </si>
  <si>
    <t>PlayingItStraight</t>
  </si>
  <si>
    <t>PlayingNiceForNow</t>
  </si>
  <si>
    <t>PlayingTheirOwnTwin</t>
  </si>
  <si>
    <t>PlayingWithPuppets</t>
  </si>
  <si>
    <t>PleaseDon</t>
  </si>
  <si>
    <t>PleaseDontGo</t>
  </si>
  <si>
    <t>Plot</t>
  </si>
  <si>
    <t>PlotArchaeology</t>
  </si>
  <si>
    <t>PlotDetour</t>
  </si>
  <si>
    <t>PlotDeviceAllAlong</t>
  </si>
  <si>
    <t>PlotHoles</t>
  </si>
  <si>
    <t>PlotPants</t>
  </si>
  <si>
    <t>PlumbersCrack</t>
  </si>
  <si>
    <t>Pluralses</t>
  </si>
  <si>
    <t>Poetry</t>
  </si>
  <si>
    <t>PointAndClickGame</t>
  </si>
  <si>
    <t>PointOfDivergence</t>
  </si>
  <si>
    <t>PoisonArrow</t>
  </si>
  <si>
    <t>PoliticalCartoon</t>
  </si>
  <si>
    <t>PoliticallyActivePrincess</t>
  </si>
  <si>
    <t>PolkaDotDisease</t>
  </si>
  <si>
    <t>Pollyanna</t>
  </si>
  <si>
    <t>PoopingFood</t>
  </si>
  <si>
    <t>PoorPredictableRock</t>
  </si>
  <si>
    <t>Pop</t>
  </si>
  <si>
    <t>PopCulture</t>
  </si>
  <si>
    <t>PopCultureIsolation</t>
  </si>
  <si>
    <t>PopCultureSymbology</t>
  </si>
  <si>
    <t>Popeye</t>
  </si>
  <si>
    <t>PopularityPower</t>
  </si>
  <si>
    <t>PopularSayingBut</t>
  </si>
  <si>
    <t>PopUpTrivia</t>
  </si>
  <si>
    <t>Porno</t>
  </si>
  <si>
    <t>PornTropes</t>
  </si>
  <si>
    <t>PossessionEqualsMastery</t>
  </si>
  <si>
    <t>PosthumousNarrator</t>
  </si>
  <si>
    <t>PostPunk</t>
  </si>
  <si>
    <t>PostSex</t>
  </si>
  <si>
    <t>PotCallingTheKettleBlack</t>
  </si>
  <si>
    <t>PotentialApplications</t>
  </si>
  <si>
    <t>PoundsAreDoggyPrison</t>
  </si>
  <si>
    <t>PovertyForComedy</t>
  </si>
  <si>
    <t>Power</t>
  </si>
  <si>
    <t>PowerCorrupts</t>
  </si>
  <si>
    <t>PowerfulButInaccurate</t>
  </si>
  <si>
    <t>PowerGlow</t>
  </si>
  <si>
    <t>PowerMakesYourVoiceDeep</t>
  </si>
  <si>
    <t>PowerMetal</t>
  </si>
  <si>
    <t>PowerOfTheGodHand</t>
  </si>
  <si>
    <t>PowerOfTheStorm</t>
  </si>
  <si>
    <t>PowerOfTheSun</t>
  </si>
  <si>
    <t>PowerOverhaul</t>
  </si>
  <si>
    <t>PowerPalms</t>
  </si>
  <si>
    <t>PowerPeversionPotential</t>
  </si>
  <si>
    <t>PowersuitMonkey</t>
  </si>
  <si>
    <t>PowerUpgradingDeformation</t>
  </si>
  <si>
    <t>PowerUpLetdown</t>
  </si>
  <si>
    <t>PPSh</t>
  </si>
  <si>
    <t>PragmaticVillain</t>
  </si>
  <si>
    <t>PraisingShowsYouDontWatch</t>
  </si>
  <si>
    <t>PrankInjuries</t>
  </si>
  <si>
    <t>PrecisionSwearStrike</t>
  </si>
  <si>
    <t>PrecursorHeroes</t>
  </si>
  <si>
    <t>PredationIsNatural</t>
  </si>
  <si>
    <t>PredatorPastiche</t>
  </si>
  <si>
    <t>PredestinationParadox</t>
  </si>
  <si>
    <t>PregnancyMakesYouCrazy</t>
  </si>
  <si>
    <t>PrematureAggravation</t>
  </si>
  <si>
    <t>PrematureEmpowerment</t>
  </si>
  <si>
    <t>PrematureEulogy</t>
  </si>
  <si>
    <t>PreMeeting</t>
  </si>
  <si>
    <t>PrenatalPossessions</t>
  </si>
  <si>
    <t>PreOrderBonus</t>
  </si>
  <si>
    <t>PresidentSuperhero</t>
  </si>
  <si>
    <t>PreTitlesSequence</t>
  </si>
  <si>
    <t>PrettyFreeloaders</t>
  </si>
  <si>
    <t>PrettyPrincessPowerhouse</t>
  </si>
  <si>
    <t>PrettySpryForADeadGuy</t>
  </si>
  <si>
    <t>PreViolenceLaughter</t>
  </si>
  <si>
    <t>PricelessPaperweight</t>
  </si>
  <si>
    <t>PrimateVersusReptile</t>
  </si>
  <si>
    <t>PrimeDirective</t>
  </si>
  <si>
    <t>PrivateDefective</t>
  </si>
  <si>
    <t>PrivateInvestigator</t>
  </si>
  <si>
    <t>PrivilegedRival</t>
  </si>
  <si>
    <t>Producers</t>
  </si>
  <si>
    <t>ProductPromotionParade</t>
  </si>
  <si>
    <t>ProjectileKiss</t>
  </si>
  <si>
    <t>ProjectileSpell</t>
  </si>
  <si>
    <t>PromIsForStraightKids</t>
  </si>
  <si>
    <t>PromotedUpstairs</t>
  </si>
  <si>
    <t>PromotionalConsideration</t>
  </si>
  <si>
    <t>PromotionToLoveInterest</t>
  </si>
  <si>
    <t>ProneToSunburn</t>
  </si>
  <si>
    <t>ProofByExamples</t>
  </si>
  <si>
    <t>ProportionalAging</t>
  </si>
  <si>
    <t>ProportionalArticleImportance</t>
  </si>
  <si>
    <t>ProsecutorsFallacy</t>
  </si>
  <si>
    <t>ProtagonistAndFriends</t>
  </si>
  <si>
    <t>ProtagonistsJourneyToVillain</t>
  </si>
  <si>
    <t>ProtagonistTitleFallacy</t>
  </si>
  <si>
    <t>ProtagonistWithoutAPast</t>
  </si>
  <si>
    <t>ProtectionFromEditors</t>
  </si>
  <si>
    <t>ProtectionRacket</t>
  </si>
  <si>
    <t>ProtocolPeril</t>
  </si>
  <si>
    <t>ProudMerchantRace</t>
  </si>
  <si>
    <t>ProudToBeANerd</t>
  </si>
  <si>
    <t>ProWrestlingEpisode</t>
  </si>
  <si>
    <t>ProxyWar</t>
  </si>
  <si>
    <t>PSA</t>
  </si>
  <si>
    <t>PsychedelicRock</t>
  </si>
  <si>
    <t>PsychoCopReturns</t>
  </si>
  <si>
    <t>PsychoEx</t>
  </si>
  <si>
    <t>PsychoExBoyfriend</t>
  </si>
  <si>
    <t>PsychologicalCombat</t>
  </si>
  <si>
    <t>PsychosForHire</t>
  </si>
  <si>
    <t>PsychosomaticSuperpowerOutage</t>
  </si>
  <si>
    <t>PsychoticSmile</t>
  </si>
  <si>
    <t>PuffOfLogic</t>
  </si>
  <si>
    <t>PullThePlug</t>
  </si>
  <si>
    <t>Pun?from=Main.IncrediblyLamePun</t>
  </si>
  <si>
    <t>Punchline</t>
  </si>
  <si>
    <t>PunchPunchUhOh</t>
  </si>
  <si>
    <t>PunyParachute</t>
  </si>
  <si>
    <t>PuppetQueen</t>
  </si>
  <si>
    <t>PuppyEyes</t>
  </si>
  <si>
    <t>PurelyAestheticGender</t>
  </si>
  <si>
    <t>PurposelyOverpowered</t>
  </si>
  <si>
    <t>PutOnABusToHell</t>
  </si>
  <si>
    <t>PutYourGunDownAndStepAway</t>
  </si>
  <si>
    <t>PuzzlingPlatypus</t>
  </si>
  <si>
    <t>PX70</t>
  </si>
  <si>
    <t>PyjamaCladHero</t>
  </si>
  <si>
    <t>Pyrokinesis</t>
  </si>
  <si>
    <t>QuakingWithFear</t>
  </si>
  <si>
    <t>QuantityVsQuality</t>
  </si>
  <si>
    <t>QueenBee</t>
  </si>
  <si>
    <t>Queerbaiting</t>
  </si>
  <si>
    <t>QueerEye</t>
  </si>
  <si>
    <t>QuestForAWish</t>
  </si>
  <si>
    <t>QuickDrawDecision</t>
  </si>
  <si>
    <t>QuirkyUkulele</t>
  </si>
  <si>
    <t>QuiveringEyes</t>
  </si>
  <si>
    <t>QuoteOverdosed</t>
  </si>
  <si>
    <t>QuotesFitForATrailer</t>
  </si>
  <si>
    <t>R160A</t>
  </si>
  <si>
    <t>R160B</t>
  </si>
  <si>
    <t>RabbitSeasonDuckSeason</t>
  </si>
  <si>
    <t>RaceTraitor</t>
  </si>
  <si>
    <t>RacialRemnant</t>
  </si>
  <si>
    <t>RacingGhost</t>
  </si>
  <si>
    <t>RadioDrama</t>
  </si>
  <si>
    <t>RagdollPhysics</t>
  </si>
  <si>
    <t>RageAgainstTheRefelection</t>
  </si>
  <si>
    <t>RaimiVision</t>
  </si>
  <si>
    <t>RainbowLite</t>
  </si>
  <si>
    <t>RaisedByRival</t>
  </si>
  <si>
    <t>RAndB</t>
  </si>
  <si>
    <t>RandolphScott</t>
  </si>
  <si>
    <t>RandomEvent</t>
  </si>
  <si>
    <t>RandomlyGeneratedLevels</t>
  </si>
  <si>
    <t>RandomlyGifted</t>
  </si>
  <si>
    <t>RandomlyReversedLetters</t>
  </si>
  <si>
    <t>RankedByIQ</t>
  </si>
  <si>
    <t>RankInflation</t>
  </si>
  <si>
    <t>RapeByFraud</t>
  </si>
  <si>
    <t>RapidDNATest</t>
  </si>
  <si>
    <t>RapidFireInterrupting</t>
  </si>
  <si>
    <t>RapidFireNailBiting</t>
  </si>
  <si>
    <t>RapidFireShutUp</t>
  </si>
  <si>
    <t>RareMoney</t>
  </si>
  <si>
    <t>RatedMForMoney</t>
  </si>
  <si>
    <t>RatKing</t>
  </si>
  <si>
    <t>RazorSharpHand</t>
  </si>
  <si>
    <t>RE5</t>
  </si>
  <si>
    <t>RE58</t>
  </si>
  <si>
    <t>ReactorBoss</t>
  </si>
  <si>
    <t>ReadingForeignSignsOutLoud</t>
  </si>
  <si>
    <t>ReadingsBlewUpTheScale</t>
  </si>
  <si>
    <t>RealFakeWedding</t>
  </si>
  <si>
    <t>RealityBleed</t>
  </si>
  <si>
    <t>RealityShowGenreBlindness</t>
  </si>
  <si>
    <t>RealLifeSuperPowers</t>
  </si>
  <si>
    <t>RealMenCanCook</t>
  </si>
  <si>
    <t>RealPersonFic</t>
  </si>
  <si>
    <t>RealTimeStrategy</t>
  </si>
  <si>
    <t>ReavealingCoverUp</t>
  </si>
  <si>
    <t>RecliningVenus</t>
  </si>
  <si>
    <t>Recursion</t>
  </si>
  <si>
    <t>RecycledAnimation</t>
  </si>
  <si>
    <t>RecycledPlot</t>
  </si>
  <si>
    <t>RecycledProp</t>
  </si>
  <si>
    <t>RedBoxingGloves</t>
  </si>
  <si>
    <t>Redemption</t>
  </si>
  <si>
    <t>RedemptionPromotion</t>
  </si>
  <si>
    <t>RedHarvest</t>
  </si>
  <si>
    <t>RedHeadedStepchild</t>
  </si>
  <si>
    <t>RedheadsAreUncool</t>
  </si>
  <si>
    <t>RedMage</t>
  </si>
  <si>
    <t>Redneck</t>
  </si>
  <si>
    <t>RedOnesGoFaster</t>
  </si>
  <si>
    <t>RedStapler</t>
  </si>
  <si>
    <t>RedsWithRockets</t>
  </si>
  <si>
    <t>RedundantRomanceAttempt</t>
  </si>
  <si>
    <t>RedWireBlueWire</t>
  </si>
  <si>
    <t>RefittedForSequel</t>
  </si>
  <si>
    <t>ReformedRake</t>
  </si>
  <si>
    <t>ReformulatedGame</t>
  </si>
  <si>
    <t>RefrigeratorAmbush</t>
  </si>
  <si>
    <t>RefugeeFromTime</t>
  </si>
  <si>
    <t>RefusingTheCall</t>
  </si>
  <si>
    <t>RegencyEngland</t>
  </si>
  <si>
    <t>RegeneX</t>
  </si>
  <si>
    <t>Reggae</t>
  </si>
  <si>
    <t>ReiAyanamiExpy</t>
  </si>
  <si>
    <t>ReinforcedTrope</t>
  </si>
  <si>
    <t>ReinventingTheTelephone</t>
  </si>
  <si>
    <t>RejectionRitual</t>
  </si>
  <si>
    <t>RelatedInAdaptation</t>
  </si>
  <si>
    <t>RelationshipCeiling</t>
  </si>
  <si>
    <t>RelationshipWritingFumble</t>
  </si>
  <si>
    <t>RelegatedMentor</t>
  </si>
  <si>
    <t>ReligiousEdutainment</t>
  </si>
  <si>
    <t>ReluctantFanserviceGuy</t>
  </si>
  <si>
    <t>ReluctantGift</t>
  </si>
  <si>
    <t>RememberThatYouTrustMe</t>
  </si>
  <si>
    <t>ReminderFailure</t>
  </si>
  <si>
    <t>ReminderOfImpossibility</t>
  </si>
  <si>
    <t>RenegadeOperation</t>
  </si>
  <si>
    <t>RennyHarlin</t>
  </si>
  <si>
    <t>RepeatedForEmphasis</t>
  </si>
  <si>
    <t>ReplacementMooks</t>
  </si>
  <si>
    <t>ReportingName</t>
  </si>
  <si>
    <t>Rescue</t>
  </si>
  <si>
    <t>RescueHug</t>
  </si>
  <si>
    <t>RespawnPoint</t>
  </si>
  <si>
    <t>RestorationComedy</t>
  </si>
  <si>
    <t>ResurrectTheVillain</t>
  </si>
  <si>
    <t>RetailRiot</t>
  </si>
  <si>
    <t>Retconjuration</t>
  </si>
  <si>
    <t>RetroactiveContinuity</t>
  </si>
  <si>
    <t>RetroactiveLegacy</t>
  </si>
  <si>
    <t>RetroactiveWish</t>
  </si>
  <si>
    <t>RetroFuturistic</t>
  </si>
  <si>
    <t>RetroGaming</t>
  </si>
  <si>
    <t>ReveantZombie</t>
  </si>
  <si>
    <t>RevengeBallad</t>
  </si>
  <si>
    <t>RevengeOfTheNerd</t>
  </si>
  <si>
    <t>RevengeRomance</t>
  </si>
  <si>
    <t>RevengeTropes</t>
  </si>
  <si>
    <t>ReverseHarem</t>
  </si>
  <si>
    <t>ReverseSlipperySlopeFallacy</t>
  </si>
  <si>
    <t>ReviewsAreTheGospel</t>
  </si>
  <si>
    <t>RevisitingTheColdCase</t>
  </si>
  <si>
    <t>RevolutionariesWhoDontDoAnything</t>
  </si>
  <si>
    <t>RevolvingDoorRevolution</t>
  </si>
  <si>
    <t>RhythmTypewriter</t>
  </si>
  <si>
    <t>RichBastard</t>
  </si>
  <si>
    <t>RiddleOfTheSphinx</t>
  </si>
  <si>
    <t>RidiculousFutureSequelization</t>
  </si>
  <si>
    <t>RidiculouslySuccessfulFutureSelf</t>
  </si>
  <si>
    <t>RighteousRabbit</t>
  </si>
  <si>
    <t>RightHandedLeftHandedGuns</t>
  </si>
  <si>
    <t>RightHandIguana</t>
  </si>
  <si>
    <t>RightOutOfMyClothes</t>
  </si>
  <si>
    <t>RingOldies</t>
  </si>
  <si>
    <t>RiotGrrrl</t>
  </si>
  <si>
    <t>RiseOfZitboy</t>
  </si>
  <si>
    <t>RiskingTheKing</t>
  </si>
  <si>
    <t>Rival</t>
  </si>
  <si>
    <t>RiverOfMadness</t>
  </si>
  <si>
    <t>RoadKill</t>
  </si>
  <si>
    <t>RoadshowTheatricalRelease</t>
  </si>
  <si>
    <t>RoaringRapids</t>
  </si>
  <si>
    <t>RobberBaron</t>
  </si>
  <si>
    <t>Robeast</t>
  </si>
  <si>
    <t>RobertFrost</t>
  </si>
  <si>
    <t>RoboShip</t>
  </si>
  <si>
    <t>RobotApocalypse</t>
  </si>
  <si>
    <t>Robotech</t>
  </si>
  <si>
    <t>RobotMaster</t>
  </si>
  <si>
    <t>RobotRebellion</t>
  </si>
  <si>
    <t>RobotsAreJustBetter</t>
  </si>
  <si>
    <t>RocBirds</t>
  </si>
  <si>
    <t>RockFallsEverybodyDies</t>
  </si>
  <si>
    <t>RockOfLimitlessWater</t>
  </si>
  <si>
    <t>RocksFallEverybodyDies</t>
  </si>
  <si>
    <t>RockSteady</t>
  </si>
  <si>
    <t>RockThemeNaming</t>
  </si>
  <si>
    <t>RodandReelRepurposed</t>
  </si>
  <si>
    <t>RodentOfUnusualSize</t>
  </si>
  <si>
    <t>RogerEbert</t>
  </si>
  <si>
    <t>RogueProtagonist</t>
  </si>
  <si>
    <t>RoleReprise</t>
  </si>
  <si>
    <t>RoleReversal</t>
  </si>
  <si>
    <t>RollingAttack</t>
  </si>
  <si>
    <t>RollingBoulder</t>
  </si>
  <si>
    <t>RomanceAndSexualitySeparation</t>
  </si>
  <si>
    <t>RomanceArc</t>
  </si>
  <si>
    <t>RomanticArc</t>
  </si>
  <si>
    <t>RomanticAsexual</t>
  </si>
  <si>
    <t>RomanticFusion</t>
  </si>
  <si>
    <t>RomanticInterest</t>
  </si>
  <si>
    <t>RoseHairedSweetie</t>
  </si>
  <si>
    <t>RoundaboutShot</t>
  </si>
  <si>
    <t>RoundRobin</t>
  </si>
  <si>
    <t>RoyalCruiser</t>
  </si>
  <si>
    <t>RoyalInbreeding</t>
  </si>
  <si>
    <t>RoyalSchool</t>
  </si>
  <si>
    <t>RoyaltiesHeir</t>
  </si>
  <si>
    <t>RoyaltySuperPower</t>
  </si>
  <si>
    <t>RPGEpisode</t>
  </si>
  <si>
    <t>RubberBandAI</t>
  </si>
  <si>
    <t>RubberHoseLimbs</t>
  </si>
  <si>
    <t>RubberyWorld</t>
  </si>
  <si>
    <t>RubbingItIn</t>
  </si>
  <si>
    <t>RuleOfCreepy</t>
  </si>
  <si>
    <t>RuleZero</t>
  </si>
  <si>
    <t>RunAndGun</t>
  </si>
  <si>
    <t>RunawayFiancee</t>
  </si>
  <si>
    <t>RunningGags</t>
  </si>
  <si>
    <t>RussellTovey</t>
  </si>
  <si>
    <t>RussiaIsWestern</t>
  </si>
  <si>
    <t>RussianFashion</t>
  </si>
  <si>
    <t>RussianHumour</t>
  </si>
  <si>
    <t>RuthlessForeignGangster</t>
  </si>
  <si>
    <t>SabotageToDiscredit</t>
  </si>
  <si>
    <t>Sabotutor</t>
  </si>
  <si>
    <t>SacredFirstKiss</t>
  </si>
  <si>
    <t>SacrificalLamb</t>
  </si>
  <si>
    <t>SadisticGameShow</t>
  </si>
  <si>
    <t>SafetyInIndifference</t>
  </si>
  <si>
    <t>SaidBookism</t>
  </si>
  <si>
    <t>SaintBernardRescue</t>
  </si>
  <si>
    <t>SameClothesDifferentYear</t>
  </si>
  <si>
    <t>SameFaceDifferentName</t>
  </si>
  <si>
    <t>SameLanuageDub</t>
  </si>
  <si>
    <t>SampledUp</t>
  </si>
  <si>
    <t>SandBridgeAtLowTide</t>
  </si>
  <si>
    <t>SanityMeter</t>
  </si>
  <si>
    <t>SantaCon</t>
  </si>
  <si>
    <t>SantasExistenceClause</t>
  </si>
  <si>
    <t>SapientEatSapient</t>
  </si>
  <si>
    <t>SapientPet</t>
  </si>
  <si>
    <t>Sarashi</t>
  </si>
  <si>
    <t>SaturdayMorningKidsShow</t>
  </si>
  <si>
    <t>SavageSpikedWeapons</t>
  </si>
  <si>
    <t>SavedByATerriblePerformance</t>
  </si>
  <si>
    <t>SavedByTheCoffin</t>
  </si>
  <si>
    <t>SavedByThePunishment</t>
  </si>
  <si>
    <t>SavedFromDevelopmentHell</t>
  </si>
  <si>
    <t>SaveTheOrphanage</t>
  </si>
  <si>
    <t>SayItWithHearts</t>
  </si>
  <si>
    <t>ScantronPicture</t>
  </si>
  <si>
    <t>Scapegoat</t>
  </si>
  <si>
    <t>ScapegoatCreator</t>
  </si>
  <si>
    <t>ScarredEquipment</t>
  </si>
  <si>
    <t>ScaryBlackMen</t>
  </si>
  <si>
    <t>ScaryStitches</t>
  </si>
  <si>
    <t>ScavengersAreScum</t>
  </si>
  <si>
    <t>SceneOfWonder</t>
  </si>
  <si>
    <t>SceneTransition</t>
  </si>
  <si>
    <t>ScenicTourLevel</t>
  </si>
  <si>
    <t>Schadenfreude</t>
  </si>
  <si>
    <t>SchizoContinuity</t>
  </si>
  <si>
    <t>SchoolForScheming</t>
  </si>
  <si>
    <t>SchoolNurse</t>
  </si>
  <si>
    <t>SchoolSavedMyLife</t>
  </si>
  <si>
    <t>SchoolStudyMedia</t>
  </si>
  <si>
    <t>SchroedingersButterfly</t>
  </si>
  <si>
    <t>ScienceDestroysMagic</t>
  </si>
  <si>
    <t>ScienceFictionFilms</t>
  </si>
  <si>
    <t>SciFiKitchenSink</t>
  </si>
  <si>
    <t>ScissorsCutsRock</t>
  </si>
  <si>
    <t>ScorchedEarth</t>
  </si>
  <si>
    <t>ScoringPoints</t>
  </si>
  <si>
    <t>ScottJoplin</t>
  </si>
  <si>
    <t>ScoundrelCode</t>
  </si>
  <si>
    <t>ScratchDamage</t>
  </si>
  <si>
    <t>ScreamingPlaneBaby</t>
  </si>
  <si>
    <t>ScreamMyName</t>
  </si>
  <si>
    <t>ScreenJunkies</t>
  </si>
  <si>
    <t>ScrewballSerum</t>
  </si>
  <si>
    <t>ScrewedThePooch</t>
  </si>
  <si>
    <t>ScrewLearningIHavePhlebotinum</t>
  </si>
  <si>
    <t>ScrewPolitenessImDisabled</t>
  </si>
  <si>
    <t>ScrewThisIAmOuttaHere</t>
  </si>
  <si>
    <t>ScriptBreaking</t>
  </si>
  <si>
    <t>ScriptedBattle</t>
  </si>
  <si>
    <t>ScriptFic</t>
  </si>
  <si>
    <t>ScriptReadingDoors</t>
  </si>
  <si>
    <t>SculptedPhysique</t>
  </si>
  <si>
    <t>ScunthorpeProblem</t>
  </si>
  <si>
    <t>SeahorsesAreDragons</t>
  </si>
  <si>
    <t>SeaHurtchin</t>
  </si>
  <si>
    <t>SealedEvilInATeddyBear</t>
  </si>
  <si>
    <t>SEALs</t>
  </si>
  <si>
    <t>SeaMonsters</t>
  </si>
  <si>
    <t>SeaSparrow</t>
  </si>
  <si>
    <t>SeaStories</t>
  </si>
  <si>
    <t>SecondaryColorNemesis</t>
  </si>
  <si>
    <t>SecondarySexualCharacteristics</t>
  </si>
  <si>
    <t>SecondChapterCliffhanger</t>
  </si>
  <si>
    <t>SecondEpisodeIntroduction</t>
  </si>
  <si>
    <t>SecondEpisodeMorning</t>
  </si>
  <si>
    <t>SecondHourSuperpower</t>
  </si>
  <si>
    <t>SecondPrize</t>
  </si>
  <si>
    <t>SecondSuperIdentity</t>
  </si>
  <si>
    <t>SecondVerseCurse</t>
  </si>
  <si>
    <t>SecondYearProtagonist</t>
  </si>
  <si>
    <t>SecretAdmirer</t>
  </si>
  <si>
    <t>SecretIdentityChangeTrick</t>
  </si>
  <si>
    <t>SecretIdentityVocalShift</t>
  </si>
  <si>
    <t>SecretLevel</t>
  </si>
  <si>
    <t>SecretlySelfish</t>
  </si>
  <si>
    <t>SecretProjectRefugeeFamily</t>
  </si>
  <si>
    <t>SecretSanta</t>
  </si>
  <si>
    <t>SecretTestOfThievingSkill</t>
  </si>
  <si>
    <t>SecretWord</t>
  </si>
  <si>
    <t>SeductiveMummy</t>
  </si>
  <si>
    <t>SeizeHim</t>
  </si>
  <si>
    <t>SelectiveCondemnation</t>
  </si>
  <si>
    <t>SelectiveHistoricalArmory</t>
  </si>
  <si>
    <t>SelectiveHistoricalArmoury</t>
  </si>
  <si>
    <t>SelectiveMemory</t>
  </si>
  <si>
    <t>SelectiveSqueamishnessSuppression</t>
  </si>
  <si>
    <t>SelfDeprecatingHumour</t>
  </si>
  <si>
    <t>SelfDestruct</t>
  </si>
  <si>
    <t>SelfDestructSequence</t>
  </si>
  <si>
    <t>SelfEmpowermentAnthem</t>
  </si>
  <si>
    <t>SelfFulfillingProphecies</t>
  </si>
  <si>
    <t>SelfInjury</t>
  </si>
  <si>
    <t>SelfMadeWoman</t>
  </si>
  <si>
    <t>SelfPoisoningGambit</t>
  </si>
  <si>
    <t>SelfReferentialHumor</t>
  </si>
  <si>
    <t>SellingTheShow</t>
  </si>
  <si>
    <t>SemiSonic</t>
  </si>
  <si>
    <t>SenpaiKouhai</t>
  </si>
  <si>
    <t>SensitiveGuy</t>
  </si>
  <si>
    <t>SensorCharacter</t>
  </si>
  <si>
    <t>Sentai</t>
  </si>
  <si>
    <t>SentimentalMusicCue</t>
  </si>
  <si>
    <t>SentOffToWorkForRelatives</t>
  </si>
  <si>
    <t>SequelDecay</t>
  </si>
  <si>
    <t>SequelFirst</t>
  </si>
  <si>
    <t>SequelNumberSnarl</t>
  </si>
  <si>
    <t>SequelSong</t>
  </si>
  <si>
    <t>SerialKiiler</t>
  </si>
  <si>
    <t>SerialProstheses</t>
  </si>
  <si>
    <t>SeriesEstablishingMoment</t>
  </si>
  <si>
    <t>SeriesGoal</t>
  </si>
  <si>
    <t>SeriesMinusSeriesCore</t>
  </si>
  <si>
    <t>SetPiecePuzzle</t>
  </si>
  <si>
    <t>SetRightWhatOnceWasWrong</t>
  </si>
  <si>
    <t>SetSwitchSong</t>
  </si>
  <si>
    <t>SetTheWorldOnFire</t>
  </si>
  <si>
    <t>SevenBasicConflicts</t>
  </si>
  <si>
    <t>SexDrugsAndRocknroll</t>
  </si>
  <si>
    <t>SexGoddess</t>
  </si>
  <si>
    <t>SexShifter</t>
  </si>
  <si>
    <t>SexualInnuendo</t>
  </si>
  <si>
    <t>SexyNurse</t>
  </si>
  <si>
    <t>ShakespeareanActors</t>
  </si>
  <si>
    <t>ShakespeareInFiction</t>
  </si>
  <si>
    <t>ShakespearianActors</t>
  </si>
  <si>
    <t>ShallowLoveInterest</t>
  </si>
  <si>
    <t>ShamefulShrinking</t>
  </si>
  <si>
    <t>ShamefulSourceOfKnowledge</t>
  </si>
  <si>
    <t>ShamWedding</t>
  </si>
  <si>
    <t>ShapeshifterMashup</t>
  </si>
  <si>
    <t>ShapeshifterVisualCue</t>
  </si>
  <si>
    <t>ShapeshiftingLover</t>
  </si>
  <si>
    <t>ShapingYourAttacks</t>
  </si>
  <si>
    <t>SharedLifeMeter</t>
  </si>
  <si>
    <t>SheathStrike</t>
  </si>
  <si>
    <t>ShedTheFamilyName</t>
  </si>
  <si>
    <t>ShelleyLong</t>
  </si>
  <si>
    <t>ShereKhan</t>
  </si>
  <si>
    <t>ShesBack</t>
  </si>
  <si>
    <t>ShesNotMyGirlfriend</t>
  </si>
  <si>
    <t>Shinigami</t>
  </si>
  <si>
    <t>ShippingBedDeath</t>
  </si>
  <si>
    <t>ShipToShipCombat</t>
  </si>
  <si>
    <t>ShirtlessCaptive</t>
  </si>
  <si>
    <t>ShockSite</t>
  </si>
  <si>
    <t>ShockwaveStomp</t>
  </si>
  <si>
    <t>Shoegazing</t>
  </si>
  <si>
    <t>ShoehornedFirstLetter</t>
  </si>
  <si>
    <t>ShoeSizeAngst</t>
  </si>
  <si>
    <t>Shojo</t>
  </si>
  <si>
    <t>ShooOutTheNewGuy</t>
  </si>
  <si>
    <t>ShootingAtYourOwnProjectiles</t>
  </si>
  <si>
    <t>ShootTheMageFirst</t>
  </si>
  <si>
    <t>ShopliftAndDie</t>
  </si>
  <si>
    <t>Shoplifting</t>
  </si>
  <si>
    <t>ShortLivedBigImpact</t>
  </si>
  <si>
    <t>ShortRangeGuyLongRangeGuy</t>
  </si>
  <si>
    <t>ShortStory</t>
  </si>
  <si>
    <t>ShowRunner</t>
  </si>
  <si>
    <t>ShowTheirWork</t>
  </si>
  <si>
    <t>Showtime</t>
  </si>
  <si>
    <t>ShyBladder</t>
  </si>
  <si>
    <t>ShyFingerTwiddling</t>
  </si>
  <si>
    <t>SicklyProdigy</t>
  </si>
  <si>
    <t>SidekickGlassCeiling</t>
  </si>
  <si>
    <t>SidekickGraduationsStick</t>
  </si>
  <si>
    <t>SidelinedProtagonistCrossover</t>
  </si>
  <si>
    <t>SiegfriedAndRoy</t>
  </si>
  <si>
    <t>SilentMajority</t>
  </si>
  <si>
    <t>SilentProtagonist</t>
  </si>
  <si>
    <t>SillyAnimalSound</t>
  </si>
  <si>
    <t>SillyMeGesture</t>
  </si>
  <si>
    <t>SimplePlan</t>
  </si>
  <si>
    <t>SimulatedUrbanCombatArea</t>
  </si>
  <si>
    <t>SincerestFormOfFlattery</t>
  </si>
  <si>
    <t>SingleGuySeeksMostPopularGirl</t>
  </si>
  <si>
    <t>SingleMom</t>
  </si>
  <si>
    <t>SinglePaletteTown</t>
  </si>
  <si>
    <t>SinglePreceptReligion</t>
  </si>
  <si>
    <t>SingleServingConcert</t>
  </si>
  <si>
    <t>SingleTaskRobot</t>
  </si>
  <si>
    <t>SingleUseShield</t>
  </si>
  <si>
    <t>SinInvitesPossession</t>
  </si>
  <si>
    <t>SirVerbALot</t>
  </si>
  <si>
    <t>SissyFight</t>
  </si>
  <si>
    <t>SisterhoodEliminatesCreep</t>
  </si>
  <si>
    <t>SisterTrope</t>
  </si>
  <si>
    <t>SitchSexuality</t>
  </si>
  <si>
    <t>SitOnTheCamera</t>
  </si>
  <si>
    <t>SituationalSword</t>
  </si>
  <si>
    <t>SixtyFiveEpisodeCartoon</t>
  </si>
  <si>
    <t>SixtyMinutes</t>
  </si>
  <si>
    <t>SizeShifting</t>
  </si>
  <si>
    <t>Ska</t>
  </si>
  <si>
    <t>SkeletonInTheCloset</t>
  </si>
  <si>
    <t>SkinWalker</t>
  </si>
  <si>
    <t>SkiResortEpisode</t>
  </si>
  <si>
    <t>SkullCups</t>
  </si>
  <si>
    <t>SkyDuMont</t>
  </si>
  <si>
    <t>SkyMovies</t>
  </si>
  <si>
    <t>SlapOnTheWristNuke</t>
  </si>
  <si>
    <t>SlasherHorror</t>
  </si>
  <si>
    <t>SlayingMantis</t>
  </si>
  <si>
    <t>SleepDeprivationPunishment</t>
  </si>
  <si>
    <t>SleepingWithTheFishes</t>
  </si>
  <si>
    <t>SlideAttack</t>
  </si>
  <si>
    <t>SlidingDownTheSlipperySlope</t>
  </si>
  <si>
    <t>SlidingScaleOfAdaptationFaithfulness</t>
  </si>
  <si>
    <t>SlidingScaleOfAnimalCommunication</t>
  </si>
  <si>
    <t>SlidingScaleOfFreeWillVersusFate</t>
  </si>
  <si>
    <t>SlidingScaleOfParentShamingInFiction</t>
  </si>
  <si>
    <t>SlidingScaleOfRealisticVsFantastic</t>
  </si>
  <si>
    <t>SlimeSnailsAndMutantTails</t>
  </si>
  <si>
    <t>SlipperyAsAnEel</t>
  </si>
  <si>
    <t>Slogan</t>
  </si>
  <si>
    <t>SlowLight</t>
  </si>
  <si>
    <t>SmackOnTheBack</t>
  </si>
  <si>
    <t>SmallTaxonomyPools</t>
  </si>
  <si>
    <t>SmartAnimalAverageHuman</t>
  </si>
  <si>
    <t>SmartGirl</t>
  </si>
  <si>
    <t>SmartJerkAndNiceMoron</t>
  </si>
  <si>
    <t>SmashedEggsHatching</t>
  </si>
  <si>
    <t>SmokeBomb</t>
  </si>
  <si>
    <t>SmokyVoice</t>
  </si>
  <si>
    <t>SmugSmile</t>
  </si>
  <si>
    <t>SmugStraightEdge</t>
  </si>
  <si>
    <t>SnarkBall</t>
  </si>
  <si>
    <t>SneakingSnacks</t>
  </si>
  <si>
    <t>SnoopyTheMusical</t>
  </si>
  <si>
    <t>SnorriCam</t>
  </si>
  <si>
    <t>SnotBubble</t>
  </si>
  <si>
    <t>SnowySleighBells</t>
  </si>
  <si>
    <t>SoapboxSquare</t>
  </si>
  <si>
    <t>SoccerMom</t>
  </si>
  <si>
    <t>SocialDarwinism</t>
  </si>
  <si>
    <t>SocialMedia</t>
  </si>
  <si>
    <t>SocietyOfImmortals</t>
  </si>
  <si>
    <t>SocietyOnEdgeEpisode</t>
  </si>
  <si>
    <t>SoldHisSoulForADonut</t>
  </si>
  <si>
    <t>SoldierVersusWarrior</t>
  </si>
  <si>
    <t>SoloDuet</t>
  </si>
  <si>
    <t>SolomonKane</t>
  </si>
  <si>
    <t>SomeoneElsesProblem</t>
  </si>
  <si>
    <t>SomersetAndMills</t>
  </si>
  <si>
    <t>Somethingitis</t>
  </si>
  <si>
    <t>SomewhereAHerpetologistIsCrying</t>
  </si>
  <si>
    <t>SongOfCourage</t>
  </si>
  <si>
    <t>SongsInTheKeyOfPanic</t>
  </si>
  <si>
    <t>SongStyleShift</t>
  </si>
  <si>
    <t>SophiaLoren</t>
  </si>
  <si>
    <t>SophomoreSlump</t>
  </si>
  <si>
    <t>SopranoAndGravel</t>
  </si>
  <si>
    <t>SorcerersApprentice</t>
  </si>
  <si>
    <t>SorkinRelationshipMoment</t>
  </si>
  <si>
    <t>SortingAlgorithmOfVillainThreat</t>
  </si>
  <si>
    <t>Soul</t>
  </si>
  <si>
    <t>SoulEating</t>
  </si>
  <si>
    <t>SoulTrain</t>
  </si>
  <si>
    <t>SoundDefect</t>
  </si>
  <si>
    <t>SoundFXTropes</t>
  </si>
  <si>
    <t>SoundOfDarkness</t>
  </si>
  <si>
    <t>SoundValidTrue</t>
  </si>
  <si>
    <t>SourGrapes</t>
  </si>
  <si>
    <t>SourGrapesTropes</t>
  </si>
  <si>
    <t>SourPrude</t>
  </si>
  <si>
    <t>SouthKoreansWithMarines</t>
  </si>
  <si>
    <t>SouthpawAdvantage</t>
  </si>
  <si>
    <t>SoylentSoy</t>
  </si>
  <si>
    <t>SoYouWereSaying</t>
  </si>
  <si>
    <t>SpaceCompression</t>
  </si>
  <si>
    <t>SpaceCowboy</t>
  </si>
  <si>
    <t>SpaceEpisode</t>
  </si>
  <si>
    <t>SpaceFantasy</t>
  </si>
  <si>
    <t>SpaceNomads</t>
  </si>
  <si>
    <t>SpaceWhale</t>
  </si>
  <si>
    <t>SparedByTheCut</t>
  </si>
  <si>
    <t>SpartanSibling</t>
  </si>
  <si>
    <t>SpawnBroodling</t>
  </si>
  <si>
    <t>SpeaksInBinary</t>
  </si>
  <si>
    <t>SpearOfDestiny</t>
  </si>
  <si>
    <t>SpecialSnowflakeSyndrome</t>
  </si>
  <si>
    <t>SpecialThanks</t>
  </si>
  <si>
    <t>SpeciesLostAndFound</t>
  </si>
  <si>
    <t>SpeciesLoyalty</t>
  </si>
  <si>
    <t>SpeciesSpecificAfterlife</t>
  </si>
  <si>
    <t>SpecificSituationBooks</t>
  </si>
  <si>
    <t>SpectreVision</t>
  </si>
  <si>
    <t>SpeculativeBiology</t>
  </si>
  <si>
    <t>SpeculativeScience</t>
  </si>
  <si>
    <t>SpeechBubble</t>
  </si>
  <si>
    <t>SpeedEchoes</t>
  </si>
  <si>
    <t>SpeedLines</t>
  </si>
  <si>
    <t>SpeedStripes</t>
  </si>
  <si>
    <t>SpeedyTechnoRemake</t>
  </si>
  <si>
    <t>SpellBlade</t>
  </si>
  <si>
    <t>SpellBooks</t>
  </si>
  <si>
    <t>SpellingBee</t>
  </si>
  <si>
    <t>SphereOfPower</t>
  </si>
  <si>
    <t>SpiceRackPanacea</t>
  </si>
  <si>
    <t>SpiceUpTheSubtitles</t>
  </si>
  <si>
    <t>SpiderManSendUp</t>
  </si>
  <si>
    <t>SpinoffSendoff</t>
  </si>
  <si>
    <t>SpiritualSports</t>
  </si>
  <si>
    <t>SpitefulWill</t>
  </si>
  <si>
    <t>SplashOfColour</t>
  </si>
  <si>
    <t>SpoiledByTheMerchandise</t>
  </si>
  <si>
    <t>SpoileredRotten</t>
  </si>
  <si>
    <t>SpokenWordInMusic</t>
  </si>
  <si>
    <t>SpookySilentLibrary</t>
  </si>
  <si>
    <t>Spoonerisms</t>
  </si>
  <si>
    <t>SpoonyBard</t>
  </si>
  <si>
    <t>SpousalAbuse</t>
  </si>
  <si>
    <t>SprayingDrinkFromNose</t>
  </si>
  <si>
    <t>SprintShoes</t>
  </si>
  <si>
    <t>SpritePolygonMix</t>
  </si>
  <si>
    <t>Sqick</t>
  </si>
  <si>
    <t>SquatsInAName</t>
  </si>
  <si>
    <t>SquishTheCheeks</t>
  </si>
  <si>
    <t>SR9TC</t>
  </si>
  <si>
    <t>SriAsih</t>
  </si>
  <si>
    <t>SssnakeTalk</t>
  </si>
  <si>
    <t>StaleBeer</t>
  </si>
  <si>
    <t>StalkingIsFunnyIfItsFemaleAfterMale</t>
  </si>
  <si>
    <t>StandAloneEpisode</t>
  </si>
  <si>
    <t>StandardEvilEmpireHierarchy</t>
  </si>
  <si>
    <t>StandardFantasySetting</t>
  </si>
  <si>
    <t>StandardMovieSong</t>
  </si>
  <si>
    <t>StandardSuperheroSuits</t>
  </si>
  <si>
    <t>StandInParents</t>
  </si>
  <si>
    <t>StanfordPrisonExperiment</t>
  </si>
  <si>
    <t>StanleyTucci</t>
  </si>
  <si>
    <t>StarDerailingRole</t>
  </si>
  <si>
    <t>StarfishRobot</t>
  </si>
  <si>
    <t>StarKilling</t>
  </si>
  <si>
    <t>StarringSmurfette</t>
  </si>
  <si>
    <t>StarterMarriage</t>
  </si>
  <si>
    <t>StateTheSimpleSolution</t>
  </si>
  <si>
    <t>StaticRoleExchangeableCharacter</t>
  </si>
  <si>
    <t>StatusBuff</t>
  </si>
  <si>
    <t>StatusQuo</t>
  </si>
  <si>
    <t>StayFrosty</t>
  </si>
  <si>
    <t>STDs</t>
  </si>
  <si>
    <t>StealthFandom</t>
  </si>
  <si>
    <t>StealthyMook</t>
  </si>
  <si>
    <t>SteampunkGadgeteers</t>
  </si>
  <si>
    <t>SteamVentObstacle</t>
  </si>
  <si>
    <t>SticksToTheBack</t>
  </si>
  <si>
    <t>StinkBomb</t>
  </si>
  <si>
    <t>StockAesop</t>
  </si>
  <si>
    <t>StockAmericanPhrases</t>
  </si>
  <si>
    <t>StockBeehive</t>
  </si>
  <si>
    <t>StockBritishCharacters</t>
  </si>
  <si>
    <t>StockCostumeTraits</t>
  </si>
  <si>
    <t>StockDesertInterstate</t>
  </si>
  <si>
    <t>StockEpilepticTrees</t>
  </si>
  <si>
    <t>StockJapaneseCharacters</t>
  </si>
  <si>
    <t>StockPoses</t>
  </si>
  <si>
    <t>StockSchtick</t>
  </si>
  <si>
    <t>StockShtick</t>
  </si>
  <si>
    <t>StockSuperpowers</t>
  </si>
  <si>
    <t>StockTrailerMusic</t>
  </si>
  <si>
    <t>StockVisualMetaphor</t>
  </si>
  <si>
    <t>StopPokingMe</t>
  </si>
  <si>
    <t>StormtrooperMarksmanshipAcademy</t>
  </si>
  <si>
    <t>StoryBreadcrumbs</t>
  </si>
  <si>
    <t>StoryReset</t>
  </si>
  <si>
    <t>StraightEdge</t>
  </si>
  <si>
    <t>StrandedWithEdison</t>
  </si>
  <si>
    <t>StrangeGirl</t>
  </si>
  <si>
    <t>StrangelySpecificHoroscope</t>
  </si>
  <si>
    <t>StrangerInAStrangeLand</t>
  </si>
  <si>
    <t>StrangerInAStrangeSchool</t>
  </si>
  <si>
    <t>StrangerSafety</t>
  </si>
  <si>
    <t>StrategyVersusTactics</t>
  </si>
  <si>
    <t>StrawmanBall</t>
  </si>
  <si>
    <t>StrawmanFallacy</t>
  </si>
  <si>
    <t>StrawmanProduct</t>
  </si>
  <si>
    <t>StrawPacifist</t>
  </si>
  <si>
    <t>StrawPrude</t>
  </si>
  <si>
    <t>StreetSamurai</t>
  </si>
  <si>
    <t>StrengthEqualsWorthiness</t>
  </si>
  <si>
    <t>StrictParentsMakeSneakyKids</t>
  </si>
  <si>
    <t>StrikeMeDownWithAllYourHatred</t>
  </si>
  <si>
    <t>StringOnFingerReminder</t>
  </si>
  <si>
    <t>Stripperrific</t>
  </si>
  <si>
    <t>StrongButUnskilled</t>
  </si>
  <si>
    <t>StrongEmpireShriveledEmperor</t>
  </si>
  <si>
    <t>StrongerSibling</t>
  </si>
  <si>
    <t>StrongerThanTheyLook</t>
  </si>
  <si>
    <t>StrongFleshWeakSteel</t>
  </si>
  <si>
    <t>StrongGirlSmartGuy</t>
  </si>
  <si>
    <t>StuckInTheDoorway</t>
  </si>
  <si>
    <t>StuckOnBandAidBrand</t>
  </si>
  <si>
    <t>StudioCanal</t>
  </si>
  <si>
    <t>StupidCrook</t>
  </si>
  <si>
    <t>StupidityIsTheOnlyOption</t>
  </si>
  <si>
    <t>StupidQuestionBait</t>
  </si>
  <si>
    <t>StupidSexyFriend</t>
  </si>
  <si>
    <t>SubbingVersusDubbing</t>
  </si>
  <si>
    <t>SubGenre</t>
  </si>
  <si>
    <t>SubpaceAnsible</t>
  </si>
  <si>
    <t>SubtitlesAreSuperfluous</t>
  </si>
  <si>
    <t>SubvertedInnocence</t>
  </si>
  <si>
    <t>Succubus</t>
  </si>
  <si>
    <t>SuckMyGun</t>
  </si>
  <si>
    <t>Sucksessor</t>
  </si>
  <si>
    <t>SuddenEyeColor</t>
  </si>
  <si>
    <t>SuddenGameInterface</t>
  </si>
  <si>
    <t>SuddenlyFluentInGibberish</t>
  </si>
  <si>
    <t>SuddenlySignificantCity</t>
  </si>
  <si>
    <t>SuddenlySignificantRule</t>
  </si>
  <si>
    <t>SuffersNewbiesPoorly</t>
  </si>
  <si>
    <t>SufferTheSlings</t>
  </si>
  <si>
    <t>SufficientlyAdvancedBambooTechnology</t>
  </si>
  <si>
    <t>SugarAndIceGuy</t>
  </si>
  <si>
    <t>SumoWrestling</t>
  </si>
  <si>
    <t>SundayLeakedDocument</t>
  </si>
  <si>
    <t>SungThroughMusical</t>
  </si>
  <si>
    <t>SunnySunflowerDisposition</t>
  </si>
  <si>
    <t>Super8</t>
  </si>
  <si>
    <t>SuperCoach</t>
  </si>
  <si>
    <t>SuperDeformed</t>
  </si>
  <si>
    <t>SuperForm</t>
  </si>
  <si>
    <t>SuperHearing</t>
  </si>
  <si>
    <t>SuperheroRegistrationAct</t>
  </si>
  <si>
    <t>SuperheroTropes</t>
  </si>
  <si>
    <t>SuperheroTrophyShelf</t>
  </si>
  <si>
    <t>SuperingInYourSleep</t>
  </si>
  <si>
    <t>SupernaturalElite</t>
  </si>
  <si>
    <t>SupernaturalFiction</t>
  </si>
  <si>
    <t>SupernaturallyMarkedGrave</t>
  </si>
  <si>
    <t>SupernaturallyValidatedTransPerson</t>
  </si>
  <si>
    <t>SupernaturalProofSuit</t>
  </si>
  <si>
    <t>SupernaturalSoapOpera</t>
  </si>
  <si>
    <t>SuperpoweredDate</t>
  </si>
  <si>
    <t>SuperPoweredRobotMeterMaid</t>
  </si>
  <si>
    <t>SuperStoicShopkeeper</t>
  </si>
  <si>
    <t>SuperStrong</t>
  </si>
  <si>
    <t>SuperStrongChild</t>
  </si>
  <si>
    <t>SuperWeaponAverageJoe</t>
  </si>
  <si>
    <t>SupplicationPose</t>
  </si>
  <si>
    <t>SupportPartyMember</t>
  </si>
  <si>
    <t>SuppressedHistory</t>
  </si>
  <si>
    <t>SurgeonsCanDoAutopsiesIfTheyWant</t>
  </si>
  <si>
    <t>SurpriseLitterOfPuppies</t>
  </si>
  <si>
    <t>SurprisinglyFunctionalToys</t>
  </si>
  <si>
    <t>SurrenderBackfire</t>
  </si>
  <si>
    <t>SurvivedTheBeginning</t>
  </si>
  <si>
    <t>SuspiciouslyConvenientIndex</t>
  </si>
  <si>
    <t>SuspiciouslyIdleOfficers</t>
  </si>
  <si>
    <t>Svengali</t>
  </si>
  <si>
    <t>SweepTheLeg</t>
  </si>
  <si>
    <t>SweetSeal</t>
  </si>
  <si>
    <t>SwissArmySuperpower</t>
  </si>
  <si>
    <t>SwordAlmighty</t>
  </si>
  <si>
    <t>SwordfishSabre</t>
  </si>
  <si>
    <t>SwordInTheStone</t>
  </si>
  <si>
    <t>SwordsAkimbo</t>
  </si>
  <si>
    <t>SymbioticPossession</t>
  </si>
  <si>
    <t>SymbolicallyBrokenObject</t>
  </si>
  <si>
    <t>SympatheticSentientWeapon</t>
  </si>
  <si>
    <t>SymphonicMetal</t>
  </si>
  <si>
    <t>SynchronizedMorningRoutine</t>
  </si>
  <si>
    <t>Synthpop</t>
  </si>
  <si>
    <t>TabletopGames</t>
  </si>
  <si>
    <t>TacticalSuicideBoss</t>
  </si>
  <si>
    <t>TagTeamTwins</t>
  </si>
  <si>
    <t>TakeANumber</t>
  </si>
  <si>
    <t>TakenALevelInBadass</t>
  </si>
  <si>
    <t>TakeOverTheTown</t>
  </si>
  <si>
    <t>TakesALevelInBadass</t>
  </si>
  <si>
    <t>TakeYouAsideTalk</t>
  </si>
  <si>
    <t>TakingOverTheWorld</t>
  </si>
  <si>
    <t>TalkAboutThatThing</t>
  </si>
  <si>
    <t>TalkingDownTheSuicide</t>
  </si>
  <si>
    <t>TalkingPoo</t>
  </si>
  <si>
    <t>TalkingToHerself</t>
  </si>
  <si>
    <t>TallulahBankhead</t>
  </si>
  <si>
    <t>TameHerAnger</t>
  </si>
  <si>
    <t>TanksForTheMemories</t>
  </si>
  <si>
    <t>TargetDemographic</t>
  </si>
  <si>
    <t>TasteOfPower</t>
  </si>
  <si>
    <t>TastesBetterThanItLooks</t>
  </si>
  <si>
    <t>TasteTheRainbow</t>
  </si>
  <si>
    <t>TeamMum</t>
  </si>
  <si>
    <t>TeamNormal</t>
  </si>
  <si>
    <t>TearYourFaceOff</t>
  </si>
  <si>
    <t>Teaser</t>
  </si>
  <si>
    <t>TeasingCreator</t>
  </si>
  <si>
    <t>TechN9ne</t>
  </si>
  <si>
    <t>TechnicianVersusPerfomer</t>
  </si>
  <si>
    <t>TechnicolorBlade</t>
  </si>
  <si>
    <t>TechnicolorNinjas</t>
  </si>
  <si>
    <t>TechnoDystopia</t>
  </si>
  <si>
    <t>TechnologicallyAdvancedFoe</t>
  </si>
  <si>
    <t>TechnologyIsEvil</t>
  </si>
  <si>
    <t>TechTree</t>
  </si>
  <si>
    <t>TeenProdigy</t>
  </si>
  <si>
    <t>TeethClinchedTeamWork</t>
  </si>
  <si>
    <t>Telenovela</t>
  </si>
  <si>
    <t>TelephoneTeleport</t>
  </si>
  <si>
    <t>TeleportationSpam</t>
  </si>
  <si>
    <t>TeleportationTropes</t>
  </si>
  <si>
    <t>TeleportInterdiction</t>
  </si>
  <si>
    <t>TelescopingRobot</t>
  </si>
  <si>
    <t>TelescopingStaff</t>
  </si>
  <si>
    <t>TelevisedTorture</t>
  </si>
  <si>
    <t>TellHimImNotSpeakingToHim</t>
  </si>
  <si>
    <t>TellMeAgain</t>
  </si>
  <si>
    <t>TemporarilyAVillain</t>
  </si>
  <si>
    <t>TemporaryDivorce</t>
  </si>
  <si>
    <t>TemporarySubstitute</t>
  </si>
  <si>
    <t>TemptingCookieJar</t>
  </si>
  <si>
    <t>Tengu</t>
  </si>
  <si>
    <t>TenMoviePlots</t>
  </si>
  <si>
    <t>TerminatorImpersonator</t>
  </si>
  <si>
    <t>TerminatorTheSarahConnorChronicles</t>
  </si>
  <si>
    <t>TerraDeforming</t>
  </si>
  <si>
    <t>TerrainSculpting</t>
  </si>
  <si>
    <t>TeruTeruBozu</t>
  </si>
  <si>
    <t>TeslaTechTimeline</t>
  </si>
  <si>
    <t>TethercatPrinciple</t>
  </si>
  <si>
    <t>TextbookHumor</t>
  </si>
  <si>
    <t>TextlessAlbumCover</t>
  </si>
  <si>
    <t>TextualCelebrityResemblance</t>
  </si>
  <si>
    <t>TGIOChiliBees</t>
  </si>
  <si>
    <t>ThanksgivingEpisode</t>
  </si>
  <si>
    <t>ThankYourPrey</t>
  </si>
  <si>
    <t>ThatOldTimePrescription</t>
  </si>
  <si>
    <t>ThatOneGuy</t>
  </si>
  <si>
    <t>ThatOnePlayer</t>
  </si>
  <si>
    <t>ThatsWhatICallX</t>
  </si>
  <si>
    <t>ThatWasTheReward</t>
  </si>
  <si>
    <t>TheAbyssGazesAlso</t>
  </si>
  <si>
    <t>TheAesop</t>
  </si>
  <si>
    <t>TheAhab</t>
  </si>
  <si>
    <t>TheAllegedBoss</t>
  </si>
  <si>
    <t>TheAlternet</t>
  </si>
  <si>
    <t>TheAnimatedSeries</t>
  </si>
  <si>
    <t>TheApartheidEra</t>
  </si>
  <si>
    <t>TheAragorn</t>
  </si>
  <si>
    <t>TheAristocrats</t>
  </si>
  <si>
    <t>TheArmorer</t>
  </si>
  <si>
    <t>TheatrePhantom</t>
  </si>
  <si>
    <t>TheAughts</t>
  </si>
  <si>
    <t>TheAviator</t>
  </si>
  <si>
    <t>TheBachelorette</t>
  </si>
  <si>
    <t>TheBattleDidntCount</t>
  </si>
  <si>
    <t>TheBigGirl</t>
  </si>
  <si>
    <t>TheBigSleep</t>
  </si>
  <si>
    <t>TheBoardGame</t>
  </si>
  <si>
    <t>TheBooRadley</t>
  </si>
  <si>
    <t>TheBourneLegacy</t>
  </si>
  <si>
    <t>TheButterflyEffect</t>
  </si>
  <si>
    <t>TheCabinBoy</t>
  </si>
  <si>
    <t>TheCallLeftAMessage</t>
  </si>
  <si>
    <t>TheCallPutMeOnHold</t>
  </si>
  <si>
    <t>TheCalvary</t>
  </si>
  <si>
    <t>TheCardigans</t>
  </si>
  <si>
    <t>TheCaseyEffect</t>
  </si>
  <si>
    <t>TheCatchPhraseCatchesOn</t>
  </si>
  <si>
    <t>TheChargeOfTheLightBrigade</t>
  </si>
  <si>
    <t>TheChosenWannabe</t>
  </si>
  <si>
    <t>TheColdWar</t>
  </si>
  <si>
    <t>TheCollaborators</t>
  </si>
  <si>
    <t>TheCowboys</t>
  </si>
  <si>
    <t>TheCruella</t>
  </si>
  <si>
    <t>TheDarkness</t>
  </si>
  <si>
    <t>TheDarkTimes</t>
  </si>
  <si>
    <t>TheDI</t>
  </si>
  <si>
    <t>TheDinosaursHadItComing</t>
  </si>
  <si>
    <t>TheDirtyThirties</t>
  </si>
  <si>
    <t>TheDiva</t>
  </si>
  <si>
    <t>TheDogAteMyHomework</t>
  </si>
  <si>
    <t>TheDragonsComeBack</t>
  </si>
  <si>
    <t>TheEnemyGateIsDown</t>
  </si>
  <si>
    <t>TheEnemyOfMyEnemyIsMyFriend</t>
  </si>
  <si>
    <t>TheEnemyWeaponsAreBetter</t>
  </si>
  <si>
    <t>TheEponymousShow</t>
  </si>
  <si>
    <t>TheEvilArmy</t>
  </si>
  <si>
    <t>TheEvilGenuis</t>
  </si>
  <si>
    <t>TheFaceOfTheBand</t>
  </si>
  <si>
    <t>TheFaceOfTheSun</t>
  </si>
  <si>
    <t>TheFallGuy</t>
  </si>
  <si>
    <t>TheFastestGunInTheWest</t>
  </si>
  <si>
    <t>TheFightingNarcissist</t>
  </si>
  <si>
    <t>TheFinickyOne</t>
  </si>
  <si>
    <t>TheGerms</t>
  </si>
  <si>
    <t>TheGirlNextDoor</t>
  </si>
  <si>
    <t>TheGlassesDoNothing</t>
  </si>
  <si>
    <t>TheGoodOldBritishComp</t>
  </si>
  <si>
    <t>TheGoodOldDays</t>
  </si>
  <si>
    <t>TheGoodQueen</t>
  </si>
  <si>
    <t>TheGraphShowsTheTrend</t>
  </si>
  <si>
    <t>TheGrays</t>
  </si>
  <si>
    <t>TheGreatBritishCopperCapture</t>
  </si>
  <si>
    <t>TheGreatEscape</t>
  </si>
  <si>
    <t>TheGump</t>
  </si>
  <si>
    <t>TheHandicappedAndTheHelper</t>
  </si>
  <si>
    <t>TheHat</t>
  </si>
  <si>
    <t>TheHedgeOfThorns</t>
  </si>
  <si>
    <t>TheHerald</t>
  </si>
  <si>
    <t>TheHeroine</t>
  </si>
  <si>
    <t>TheHiddenBlade</t>
  </si>
  <si>
    <t>TheHilariousTable</t>
  </si>
  <si>
    <t>TheHopelessReplacement</t>
  </si>
  <si>
    <t>TheHost</t>
  </si>
  <si>
    <t>TheHumphrey</t>
  </si>
  <si>
    <t>TheIdiotFromOsaka</t>
  </si>
  <si>
    <t>TheIdolsBlessing</t>
  </si>
  <si>
    <t>TheIliad</t>
  </si>
  <si>
    <t>TheImp</t>
  </si>
  <si>
    <t>TheInternet</t>
  </si>
  <si>
    <t>TheIshmael</t>
  </si>
  <si>
    <t>TheJerseyDevil</t>
  </si>
  <si>
    <t>TheJimmyHartVersion</t>
  </si>
  <si>
    <t>TheJoysOfTorturingMooks</t>
  </si>
  <si>
    <t>TheKidWithTheRemoteControl</t>
  </si>
  <si>
    <t>TheLastStand</t>
  </si>
  <si>
    <t>TheLawFirmOfPunPunAndWordplay</t>
  </si>
  <si>
    <t>TheLawOfPowerProportionateToEffort</t>
  </si>
  <si>
    <t>TheLifestream</t>
  </si>
  <si>
    <t>TheLittlestCancerPatient</t>
  </si>
  <si>
    <t>TheLonelyDoor</t>
  </si>
  <si>
    <t>TheLoonie</t>
  </si>
  <si>
    <t>TheMagazineRule</t>
  </si>
  <si>
    <t>TheMagicTouch</t>
  </si>
  <si>
    <t>TheMagicWasInsideYouAllAlong</t>
  </si>
  <si>
    <t>TheManInFrontOfTheMan</t>
  </si>
  <si>
    <t>ThematicRoguesGallery</t>
  </si>
  <si>
    <t>TheMeadowRun</t>
  </si>
  <si>
    <t>ThemeAndVariations</t>
  </si>
  <si>
    <t>ThemedWedding</t>
  </si>
  <si>
    <t>ThemePark</t>
  </si>
  <si>
    <t>TheMermaidProblem</t>
  </si>
  <si>
    <t>TheMetaverse</t>
  </si>
  <si>
    <t>ThemeTuneExtended</t>
  </si>
  <si>
    <t>TheMinionMaster</t>
  </si>
  <si>
    <t>TheMinistryOfTruth</t>
  </si>
  <si>
    <t>TheMoonIsAlwaysFull</t>
  </si>
  <si>
    <t>TheMostDangerousGame</t>
  </si>
  <si>
    <t>TheMothman</t>
  </si>
  <si>
    <t>TheMovieOfTheBook</t>
  </si>
  <si>
    <t>TheMovingExperience</t>
  </si>
  <si>
    <t>TheMunchkin</t>
  </si>
  <si>
    <t>TheNarcissist</t>
  </si>
  <si>
    <t>TheNeedForMead</t>
  </si>
  <si>
    <t>TheNewGuy</t>
  </si>
  <si>
    <t>TheNinties</t>
  </si>
  <si>
    <t>TheNotSecret</t>
  </si>
  <si>
    <t>TheNoughties</t>
  </si>
  <si>
    <t>TheOgre</t>
  </si>
  <si>
    <t>TheOjou</t>
  </si>
  <si>
    <t>TheOldestOnesInTheBook</t>
  </si>
  <si>
    <t>TheOldestTricksInTheBook</t>
  </si>
  <si>
    <t>TheOneWhoWearsShoes</t>
  </si>
  <si>
    <t>TheOnlyOneAllowedToKillYou</t>
  </si>
  <si>
    <t>TheOsmonds</t>
  </si>
  <si>
    <t>TheOtherWiki</t>
  </si>
  <si>
    <t>TheOtherWoman</t>
  </si>
  <si>
    <t>ThePackRat</t>
  </si>
  <si>
    <t>ThePawn</t>
  </si>
  <si>
    <t>ThePawnsGoFirst</t>
  </si>
  <si>
    <t>ThePedofile</t>
  </si>
  <si>
    <t>ThePest</t>
  </si>
  <si>
    <t>ThePike</t>
  </si>
  <si>
    <t>ThePilot</t>
  </si>
  <si>
    <t>ThePlotThickens</t>
  </si>
  <si>
    <t>ThePowerOfApathy</t>
  </si>
  <si>
    <t>ThePowerOfLanguage</t>
  </si>
  <si>
    <t>ThePowersThatBe</t>
  </si>
  <si>
    <t>ThePresidentsDaughter</t>
  </si>
  <si>
    <t>ThePrettyGuysAreStronger</t>
  </si>
  <si>
    <t>TheProducerThinksOfEverything</t>
  </si>
  <si>
    <t>ThePsychoRangers</t>
  </si>
  <si>
    <t>ThePubSchlubSeductionTechnique</t>
  </si>
  <si>
    <t>ThePunishmentIsTheCrime</t>
  </si>
  <si>
    <t>ThePuppetCutsHisStrings</t>
  </si>
  <si>
    <t>ThePurgeElectionYear</t>
  </si>
  <si>
    <t>TheRealRemingtonSteele</t>
  </si>
  <si>
    <t>ThereIsOnlyOnePossibleFuture</t>
  </si>
  <si>
    <t>TheRevenant</t>
  </si>
  <si>
    <t>TheRevengeOfTheSequel</t>
  </si>
  <si>
    <t>TheRevolutionWillNotBeBureaucratized</t>
  </si>
  <si>
    <t>TheRevolutionWillNotBeVillified</t>
  </si>
  <si>
    <t>TheRoleplayer</t>
  </si>
  <si>
    <t>TheRootOfAllEvil</t>
  </si>
  <si>
    <t>TheSacredDarkness</t>
  </si>
  <si>
    <t>TheSandman</t>
  </si>
  <si>
    <t>TheseTropesWereFrozenToday</t>
  </si>
  <si>
    <t>TheShortWar</t>
  </si>
  <si>
    <t>TheSixthSense</t>
  </si>
  <si>
    <t>TheSmurfs</t>
  </si>
  <si>
    <t>TheSomethingSong</t>
  </si>
  <si>
    <t>TheSpeedOfSilents</t>
  </si>
  <si>
    <t>TheSpirit</t>
  </si>
  <si>
    <t>TheSpiritOfTheBeehive</t>
  </si>
  <si>
    <t>TheStraightMan</t>
  </si>
  <si>
    <t>TheTalkShowWithHostName</t>
  </si>
  <si>
    <t>TheTheoremOfNarrowInterests</t>
  </si>
  <si>
    <t>TheThermidor</t>
  </si>
  <si>
    <t>TheThingThatGoesDoink</t>
  </si>
  <si>
    <t>TheThreeStoogesGripsGruntsAnddGroans</t>
  </si>
  <si>
    <t>TheTimeOfLegends</t>
  </si>
  <si>
    <t>TheTodayShow</t>
  </si>
  <si>
    <t>TheTonsillitisEpisode</t>
  </si>
  <si>
    <t>TheTrial</t>
  </si>
  <si>
    <t>TheTrio</t>
  </si>
  <si>
    <t>TheTrojanHorse</t>
  </si>
  <si>
    <t>TheTropeWithoutATitle</t>
  </si>
  <si>
    <t>TheTroubleWithTickets</t>
  </si>
  <si>
    <t>TheTurretMaster</t>
  </si>
  <si>
    <t>TheTylerDurden</t>
  </si>
  <si>
    <t>TheUnishment</t>
  </si>
  <si>
    <t>TheUsualAdversaries</t>
  </si>
  <si>
    <t>TheVandals</t>
  </si>
  <si>
    <t>TheVietnamWar</t>
  </si>
  <si>
    <t>TheWarOfEarthlyAggression</t>
  </si>
  <si>
    <t>TheWebAlwaysExisted</t>
  </si>
  <si>
    <t>TheWikiRule</t>
  </si>
  <si>
    <t>TheWonderland</t>
  </si>
  <si>
    <t>TheWorkaholic</t>
  </si>
  <si>
    <t>TheWorldTree</t>
  </si>
  <si>
    <t>TheWorstSeatInTheHouse</t>
  </si>
  <si>
    <t>TheYakuza</t>
  </si>
  <si>
    <t>TheyLookJustLikeEverybodyElse</t>
  </si>
  <si>
    <t>TheyWalkAmongUs</t>
  </si>
  <si>
    <t>ThickLineAnimation</t>
  </si>
  <si>
    <t>ThinDimensionalBarrier</t>
  </si>
  <si>
    <t>ThingOMatic</t>
  </si>
  <si>
    <t>ThingsAreMoreEffectiveInHollywood</t>
  </si>
  <si>
    <t>ThinkerPose</t>
  </si>
  <si>
    <t>ThirdLawOfGenderBending</t>
  </si>
  <si>
    <t>ThirdPersonShooter</t>
  </si>
  <si>
    <t>ThisBananaIsArmed</t>
  </si>
  <si>
    <t>ThisIsMyHuman</t>
  </si>
  <si>
    <t>ThisIsntHeaven</t>
  </si>
  <si>
    <t>ThisIsSomethingShesGotToDoHerself</t>
  </si>
  <si>
    <t>ThisIsTheFinalBattle</t>
  </si>
  <si>
    <t>ThoseWereOnlyTheirScouts</t>
  </si>
  <si>
    <t>ThoseWhoCantDoTeach</t>
  </si>
  <si>
    <t>ThousandPaperCranes</t>
  </si>
  <si>
    <t>ThouShaltNotKillMuggles</t>
  </si>
  <si>
    <t>ThreeLinesSomeWaiting</t>
  </si>
  <si>
    <t>ThreeMinutesOfWrithing</t>
  </si>
  <si>
    <t>ThreeTwoOne</t>
  </si>
  <si>
    <t>ThreeWallSet</t>
  </si>
  <si>
    <t>ThreeWiseMen</t>
  </si>
  <si>
    <t>ThrivingGhostTown</t>
  </si>
  <si>
    <t>ThroatSlashed</t>
  </si>
  <si>
    <t>ThrowingTheMatch</t>
  </si>
  <si>
    <t>ThrowThePin</t>
  </si>
  <si>
    <t>ThumbtackOnTheChair</t>
  </si>
  <si>
    <t>ThunderboltsAndLightning</t>
  </si>
  <si>
    <t>Thundercats</t>
  </si>
  <si>
    <t>TiedTogetherShoelaceTrip</t>
  </si>
  <si>
    <t>TigerByTheTail</t>
  </si>
  <si>
    <t>TigerMom</t>
  </si>
  <si>
    <t>TigerWoods</t>
  </si>
  <si>
    <t>Tilt</t>
  </si>
  <si>
    <t>Timber</t>
  </si>
  <si>
    <t>TimeBombs</t>
  </si>
  <si>
    <t>TimeCapsule</t>
  </si>
  <si>
    <t>TimeDissonance</t>
  </si>
  <si>
    <t>TimeShiftedActors</t>
  </si>
  <si>
    <t>TimeSkips</t>
  </si>
  <si>
    <t>TimeTravelEpisode</t>
  </si>
  <si>
    <t>TimeTravelTaboo</t>
  </si>
  <si>
    <t>TinySchoolboy</t>
  </si>
  <si>
    <t>TipisAndTotemPoles</t>
  </si>
  <si>
    <t>TitleMontage</t>
  </si>
  <si>
    <t>TitleOnlyChorus</t>
  </si>
  <si>
    <t>TitleRequiem</t>
  </si>
  <si>
    <t>TitleSong</t>
  </si>
  <si>
    <t>ToadLicking</t>
  </si>
  <si>
    <t>ToastOfTardiness</t>
  </si>
  <si>
    <t>ToBeAMaster</t>
  </si>
  <si>
    <t>ToBecomeHuman</t>
  </si>
  <si>
    <t>TodayShow</t>
  </si>
  <si>
    <t>ToddStrasser</t>
  </si>
  <si>
    <t>ToiletPaperPrank</t>
  </si>
  <si>
    <t>ToiletTrainingPlot</t>
  </si>
  <si>
    <t>TokenAdult</t>
  </si>
  <si>
    <t>TokenNonHuman</t>
  </si>
  <si>
    <t>TokenSuper</t>
  </si>
  <si>
    <t>TokyoFireball</t>
  </si>
  <si>
    <t>Tomboys</t>
  </si>
  <si>
    <t>TomCruise</t>
  </si>
  <si>
    <t>TomeOfProphecy</t>
  </si>
  <si>
    <t>TommyWiseau</t>
  </si>
  <si>
    <t>TongPo</t>
  </si>
  <si>
    <t>TonyHawk</t>
  </si>
  <si>
    <t>TonyNappo</t>
  </si>
  <si>
    <t>TooGoodToLast</t>
  </si>
  <si>
    <t>TooManyBelts</t>
  </si>
  <si>
    <t>TooMuchForManToHandle</t>
  </si>
  <si>
    <t>TooQualifiedToApply</t>
  </si>
  <si>
    <t>TooUpsetToCreate</t>
  </si>
  <si>
    <t>TopHat</t>
  </si>
  <si>
    <t>TopHeavyGuy</t>
  </si>
  <si>
    <t>TopTenJingle</t>
  </si>
  <si>
    <t>TorchSong</t>
  </si>
  <si>
    <t>TormentByAnnoyance</t>
  </si>
  <si>
    <t>TornadoMove</t>
  </si>
  <si>
    <t>TortureTechnicial</t>
  </si>
  <si>
    <t>ToUnmasqueTheWorld</t>
  </si>
  <si>
    <t>ToweringFlower</t>
  </si>
  <si>
    <t>TowersOfHanoi</t>
  </si>
  <si>
    <t>ToylessToylineCharacter</t>
  </si>
  <si>
    <t>Toys</t>
  </si>
  <si>
    <t>ToyShip</t>
  </si>
  <si>
    <t>TracieThoms</t>
  </si>
  <si>
    <t>TrademarkFavoriteDrink</t>
  </si>
  <si>
    <t>TrafficWardens</t>
  </si>
  <si>
    <t>TragicallyMisguidedFavor</t>
  </si>
  <si>
    <t>TrainProblem</t>
  </si>
  <si>
    <t>TransformationAtTheSpeedOfPlot</t>
  </si>
  <si>
    <t>TransformersAnimated</t>
  </si>
  <si>
    <t>TransitionTrack</t>
  </si>
  <si>
    <t>TranslationStyleChoices</t>
  </si>
  <si>
    <t>TransplantedHumans</t>
  </si>
  <si>
    <t>TrappedByMountainLions</t>
  </si>
  <si>
    <t>TrappedOnTheAstralPlane</t>
  </si>
  <si>
    <t>TravelCool</t>
  </si>
  <si>
    <t>TravelingLandmass</t>
  </si>
  <si>
    <t>TravelingSalesmanMontage</t>
  </si>
  <si>
    <t>TreacherousAdviser</t>
  </si>
  <si>
    <t>Treants</t>
  </si>
  <si>
    <t>TreeVessel</t>
  </si>
  <si>
    <t>TrendCovers</t>
  </si>
  <si>
    <t>Triad</t>
  </si>
  <si>
    <t>TriageTyrant</t>
  </si>
  <si>
    <t>TrialByChampion</t>
  </si>
  <si>
    <t>TrickBomb</t>
  </si>
  <si>
    <t>TrickBoss</t>
  </si>
  <si>
    <t>TrickBullets</t>
  </si>
  <si>
    <t>TricksterGod</t>
  </si>
  <si>
    <t>Trigger</t>
  </si>
  <si>
    <t>Trilogy</t>
  </si>
  <si>
    <t>TripToTheMoonPlot</t>
  </si>
  <si>
    <t>TriStar</t>
  </si>
  <si>
    <t>TriviallyObvious</t>
  </si>
  <si>
    <t>TropeBreaker</t>
  </si>
  <si>
    <t>TropeImage</t>
  </si>
  <si>
    <t>TropeName</t>
  </si>
  <si>
    <t>TroperDemographics</t>
  </si>
  <si>
    <t>TroperWorks</t>
  </si>
  <si>
    <t>TropesOfTheLivingDead</t>
  </si>
  <si>
    <t>TrophyChild</t>
  </si>
  <si>
    <t>TroubleFromThePast</t>
  </si>
  <si>
    <t>TroubleMagnetGambit</t>
  </si>
  <si>
    <t>TrueArtIsAncient</t>
  </si>
  <si>
    <t>TrueArtIsBoring</t>
  </si>
  <si>
    <t>TrueName</t>
  </si>
  <si>
    <t>TruncatedThemeTune</t>
  </si>
  <si>
    <t>TSOL</t>
  </si>
  <si>
    <t>TsueTsue</t>
  </si>
  <si>
    <t>TsurimeEyes</t>
  </si>
  <si>
    <t>Tuckerisation</t>
  </si>
  <si>
    <t>TuftOfHeadFur</t>
  </si>
  <si>
    <t>Tulpa</t>
  </si>
  <si>
    <t>TurnBasedStrategy</t>
  </si>
  <si>
    <t>TurnedOnTheirMasters</t>
  </si>
  <si>
    <t>TurningBackHuman</t>
  </si>
  <si>
    <t>TurnToReligion</t>
  </si>
  <si>
    <t>TurnUndead</t>
  </si>
  <si>
    <t>TutuFancy</t>
  </si>
  <si>
    <t>TVMovie</t>
  </si>
  <si>
    <t>TwinBanter</t>
  </si>
  <si>
    <t>Twink</t>
  </si>
  <si>
    <t>TwinkleToesSamurai</t>
  </si>
  <si>
    <t>TwirlOfLove</t>
  </si>
  <si>
    <t>TwistedMetal3</t>
  </si>
  <si>
    <t>TwoBeingsOneBody</t>
  </si>
  <si>
    <t>TwoFace</t>
  </si>
  <si>
    <t>TwoGirlsAndAGuy</t>
  </si>
  <si>
    <t>TwoPlusTortureEqualsFive</t>
  </si>
  <si>
    <t>TwoWordsObviousTrope</t>
  </si>
  <si>
    <t>TypeCaste</t>
  </si>
  <si>
    <t>TypewriterEating</t>
  </si>
  <si>
    <t>UFOs</t>
  </si>
  <si>
    <t>UltimateFightingChampionship</t>
  </si>
  <si>
    <t>UltimateSalesman</t>
  </si>
  <si>
    <t>Ultraterrestrials</t>
  </si>
  <si>
    <t>UnbearablePrisoner</t>
  </si>
  <si>
    <t>UnbreakableWeapons</t>
  </si>
  <si>
    <t>UnCanceled</t>
  </si>
  <si>
    <t>UnCancelled</t>
  </si>
  <si>
    <t>UncannyAtmosphere</t>
  </si>
  <si>
    <t>UncattyResemblance</t>
  </si>
  <si>
    <t>UnCoffee</t>
  </si>
  <si>
    <t>UnconsciousObjector</t>
  </si>
  <si>
    <t>UncontrollableRage</t>
  </si>
  <si>
    <t>UnconventionalFormatting</t>
  </si>
  <si>
    <t>UndeadLaborers</t>
  </si>
  <si>
    <t>Underboobs</t>
  </si>
  <si>
    <t>UnderCity</t>
  </si>
  <si>
    <t>UnderdogsAlwaysWin</t>
  </si>
  <si>
    <t>UnderhandedHero</t>
  </si>
  <si>
    <t>Underlighting</t>
  </si>
  <si>
    <t>UnderminedByReality</t>
  </si>
  <si>
    <t>UnderTheSea</t>
  </si>
  <si>
    <t>UnexpectedGameplayChange</t>
  </si>
  <si>
    <t>UnexpectedlyObscureAnswer</t>
  </si>
  <si>
    <t>UnFavorite</t>
  </si>
  <si>
    <t>UnfortunateCharacterDesign</t>
  </si>
  <si>
    <t>UnfulfilledPurposeMisery</t>
  </si>
  <si>
    <t>UnholyNuke</t>
  </si>
  <si>
    <t>UniquenessDecay</t>
  </si>
  <si>
    <t>UniversalAmmo</t>
  </si>
  <si>
    <t>UniversalPoison</t>
  </si>
  <si>
    <t>UnknownAssailant</t>
  </si>
  <si>
    <t>UnnamedByAdaptation</t>
  </si>
  <si>
    <t>UnnecessarilyLargeVessel</t>
  </si>
  <si>
    <t>UnpopularPopularCharacter</t>
  </si>
  <si>
    <t>UnratedVersion</t>
  </si>
  <si>
    <t>UnrelatedBrothers</t>
  </si>
  <si>
    <t>UnreliableCanon</t>
  </si>
  <si>
    <t>UnrequitedTragicMaiden</t>
  </si>
  <si>
    <t>UnscaledMerfolk</t>
  </si>
  <si>
    <t>UnseenCharacter</t>
  </si>
  <si>
    <t>UnsexySadist</t>
  </si>
  <si>
    <t>UnskippableCutscene</t>
  </si>
  <si>
    <t>UnSorcerer</t>
  </si>
  <si>
    <t>UnstoppableForceMeetsImmovableObject</t>
  </si>
  <si>
    <t>UntitledTitle</t>
  </si>
  <si>
    <t>UntoldPlanWarranty</t>
  </si>
  <si>
    <t>UntriedUntestedUsedAnyway</t>
  </si>
  <si>
    <t>UnusualAmmo</t>
  </si>
  <si>
    <t>UnusualUninterestingSight</t>
  </si>
  <si>
    <t>UnusualWeaponUser</t>
  </si>
  <si>
    <t>UnwantedSuitor</t>
  </si>
  <si>
    <t>UnwillinglyGirlyTomboy</t>
  </si>
  <si>
    <t>UnwillingRobotization</t>
  </si>
  <si>
    <t>UpbringingMakesTheHero</t>
  </si>
  <si>
    <t>UpMarketing</t>
  </si>
  <si>
    <t>UptownBoy</t>
  </si>
  <si>
    <t>UsedAllAlong</t>
  </si>
  <si>
    <t>UsedYouAllAlong</t>
  </si>
  <si>
    <t>UsefulNotes</t>
  </si>
  <si>
    <t>UselessSpleen</t>
  </si>
  <si>
    <t>UselessSuperpowers</t>
  </si>
  <si>
    <t>USP45</t>
  </si>
  <si>
    <t>UtilityWeapon</t>
  </si>
  <si>
    <t>V8EngineNoises</t>
  </si>
  <si>
    <t>VampireDetective</t>
  </si>
  <si>
    <t>VampireWannabe</t>
  </si>
  <si>
    <t>VancouverDoubling</t>
  </si>
  <si>
    <t>VapourWear</t>
  </si>
  <si>
    <t>VaugeAge</t>
  </si>
  <si>
    <t>VelvetRevolution</t>
  </si>
  <si>
    <t>VentriloquistAnimal</t>
  </si>
  <si>
    <t>VerbalJudo</t>
  </si>
  <si>
    <t>Verse</t>
  </si>
  <si>
    <t>VerticalMechaFins</t>
  </si>
  <si>
    <t>VerticalScrollingShooter</t>
  </si>
  <si>
    <t>VeryHighVelocityRounds</t>
  </si>
  <si>
    <t>VictorGainsLosersPowers</t>
  </si>
  <si>
    <t>VictoryFakeOut</t>
  </si>
  <si>
    <t>VideoArcade</t>
  </si>
  <si>
    <t>VideoGameCrueltyPunishment</t>
  </si>
  <si>
    <t>VideoGameMovies</t>
  </si>
  <si>
    <t>VideoGamePerversityPotential</t>
  </si>
  <si>
    <t>VideoGameSettings</t>
  </si>
  <si>
    <t>VideoGameTime</t>
  </si>
  <si>
    <t>VideogameTropes</t>
  </si>
  <si>
    <t>VietCong</t>
  </si>
  <si>
    <t>VietnamWar</t>
  </si>
  <si>
    <t>Vigilante</t>
  </si>
  <si>
    <t>VigilanteWoman</t>
  </si>
  <si>
    <t>Villain</t>
  </si>
  <si>
    <t>VillainEatsYourLunch</t>
  </si>
  <si>
    <t>VillaineousBreakdown</t>
  </si>
  <si>
    <t>VillainousBadlandHeroicArcadia</t>
  </si>
  <si>
    <t>VillainousBreakdowns</t>
  </si>
  <si>
    <t>VillainousEthicsDecay</t>
  </si>
  <si>
    <t>VillainousVow</t>
  </si>
  <si>
    <t>VillainTropes</t>
  </si>
  <si>
    <t>VillianWithGoodPublicity</t>
  </si>
  <si>
    <t>VindicatedByCable</t>
  </si>
  <si>
    <t>VirtualBoy</t>
  </si>
  <si>
    <t>VirtualTrainingSimulation</t>
  </si>
  <si>
    <t>VirtuousBees</t>
  </si>
  <si>
    <t>VisibleLaserBeams</t>
  </si>
  <si>
    <t>VisualMetaphor</t>
  </si>
  <si>
    <t>VitriolicBestFriends</t>
  </si>
  <si>
    <t>VJs</t>
  </si>
  <si>
    <t>VKs</t>
  </si>
  <si>
    <t>VocalRangeExceeded</t>
  </si>
  <si>
    <t>VoiceActors</t>
  </si>
  <si>
    <t>VoiceClipSong</t>
  </si>
  <si>
    <t>VoiceOfDramatic</t>
  </si>
  <si>
    <t>VoiceTypes</t>
  </si>
  <si>
    <t>VoidBetweenTheWorlds</t>
  </si>
  <si>
    <t>VoodooDolls</t>
  </si>
  <si>
    <t>VujaDe</t>
  </si>
  <si>
    <t>VulgarComedy</t>
  </si>
  <si>
    <t>WA2000</t>
  </si>
  <si>
    <t>WackyCollege</t>
  </si>
  <si>
    <t>WackyHomeroom</t>
  </si>
  <si>
    <t>WaddlingHead</t>
  </si>
  <si>
    <t>WaferThinMint</t>
  </si>
  <si>
    <t>WaitWhat</t>
  </si>
  <si>
    <t>WakeUpAtTheMorgue</t>
  </si>
  <si>
    <t>WalkingArmoury</t>
  </si>
  <si>
    <t>WalkingArsenal</t>
  </si>
  <si>
    <t>WalkItOff</t>
  </si>
  <si>
    <t>WalkOnTheWildSideEpisode</t>
  </si>
  <si>
    <t>WanderingJew</t>
  </si>
  <si>
    <t>WannabeLine</t>
  </si>
  <si>
    <t>WantedMeter</t>
  </si>
  <si>
    <t>WarfareRegression</t>
  </si>
  <si>
    <t>WarnerBros</t>
  </si>
  <si>
    <t>WarOnStraw</t>
  </si>
  <si>
    <t>WarpDrive</t>
  </si>
  <si>
    <t>WarReenactors</t>
  </si>
  <si>
    <t>WartimeCartoon</t>
  </si>
  <si>
    <t>WastefulWishing</t>
  </si>
  <si>
    <t>WasTooHardOnHer</t>
  </si>
  <si>
    <t>WatchItForTheMeme</t>
  </si>
  <si>
    <t>WaterGeyserVolley</t>
  </si>
  <si>
    <t>WaveMotionTuningFork</t>
  </si>
  <si>
    <t>WeakTurretGun</t>
  </si>
  <si>
    <t>WeaponAcrossTheShoulder</t>
  </si>
  <si>
    <t>WeaponisedCar</t>
  </si>
  <si>
    <t>WeaponJr</t>
  </si>
  <si>
    <t>WeaponOfXSlaying</t>
  </si>
  <si>
    <t>WeaponRunningTime</t>
  </si>
  <si>
    <t>WeaponsKitchenSink</t>
  </si>
  <si>
    <t>WeaponsOfChoice</t>
  </si>
  <si>
    <t>WeaponsOfMassDestruction</t>
  </si>
  <si>
    <t>WeaponsOfTheirTrade</t>
  </si>
  <si>
    <t>WearingTheOldColors</t>
  </si>
  <si>
    <t>WeaselCoWorker</t>
  </si>
  <si>
    <t>WeaselMascot</t>
  </si>
  <si>
    <t>WeaselWords</t>
  </si>
  <si>
    <t>Webcomics</t>
  </si>
  <si>
    <t>WeCouldHaveAvoidedThisPlot</t>
  </si>
  <si>
    <t>WeDidntStartTheBillyJoelParodies</t>
  </si>
  <si>
    <t>WedLocking</t>
  </si>
  <si>
    <t>WeGottaStopMeetingLikeThis</t>
  </si>
  <si>
    <t>WeHardlyKnewHe</t>
  </si>
  <si>
    <t>WeightedGloves</t>
  </si>
  <si>
    <t>WeightTaller</t>
  </si>
  <si>
    <t>WeInterruptThisBroadcast</t>
  </si>
  <si>
    <t>WeirdAlYankovic</t>
  </si>
  <si>
    <t>WeirdAside</t>
  </si>
  <si>
    <t>WeirdCurrency</t>
  </si>
  <si>
    <t>WeirderThanUsual</t>
  </si>
  <si>
    <t>WeirdnessCoupon</t>
  </si>
  <si>
    <t>WelcomeToEvilMart</t>
  </si>
  <si>
    <t>WellIntendedExtremist</t>
  </si>
  <si>
    <t>WellIntentionedExtermist</t>
  </si>
  <si>
    <t>WellIntentionedReplacement</t>
  </si>
  <si>
    <t>WendyCarlos</t>
  </si>
  <si>
    <t>WeNeedToGetProof</t>
  </si>
  <si>
    <t>Weredragon</t>
  </si>
  <si>
    <t>Werewolf</t>
  </si>
  <si>
    <t>WeShouldGetAnotherTape</t>
  </si>
  <si>
    <t>WesleySnipes</t>
  </si>
  <si>
    <t>WesternCharacters</t>
  </si>
  <si>
    <t>WesternTerrorist</t>
  </si>
  <si>
    <t>WetCementGag</t>
  </si>
  <si>
    <t>WetDream</t>
  </si>
  <si>
    <t>WeWillNotUseStageMakeupInTheFuture</t>
  </si>
  <si>
    <t>WeWillSpendCreditsInTheFuture</t>
  </si>
  <si>
    <t>WeWillUseLasersInTheFuture</t>
  </si>
  <si>
    <t>WeWillUseManualLabourInTheFuture</t>
  </si>
  <si>
    <t>WeWillWearArmourInTheFuture</t>
  </si>
  <si>
    <t>WeWorkWellTogether</t>
  </si>
  <si>
    <t>WhackAMole</t>
  </si>
  <si>
    <t>WhaleEgg</t>
  </si>
  <si>
    <t>WhatDoYouMeanItsPhlebotinum</t>
  </si>
  <si>
    <t>Whateversaurus</t>
  </si>
  <si>
    <t>WhatItSaysOnTheTin</t>
  </si>
  <si>
    <t>WhatMeasureIsANonBadass</t>
  </si>
  <si>
    <t>WhatSongWasThisAgain</t>
  </si>
  <si>
    <t>WhatTheHellCastingAgency</t>
  </si>
  <si>
    <t>WhatTheRomansHaveDoneForUs</t>
  </si>
  <si>
    <t>WheelOfDecisions</t>
  </si>
  <si>
    <t>WhenImGoneSong</t>
  </si>
  <si>
    <t>WhereDoesSheGetAllThoseWonderfulToys</t>
  </si>
  <si>
    <t>WhereNoParodyHasGoneBefore</t>
  </si>
  <si>
    <t>WheresMyGun</t>
  </si>
  <si>
    <t>WhereWhere</t>
  </si>
  <si>
    <t>WhiteElephant</t>
  </si>
  <si>
    <t>WhiteGloves</t>
  </si>
  <si>
    <t>WhiteGloveTest</t>
  </si>
  <si>
    <t>WhiteMagicianGirl</t>
  </si>
  <si>
    <t>WhitleyStreiber</t>
  </si>
  <si>
    <t>WholeCostumeHomage</t>
  </si>
  <si>
    <t>WhoopeeCushion</t>
  </si>
  <si>
    <t>WhosAfraidOfVirginiaWoolf</t>
  </si>
  <si>
    <t>WhoWillTakeTheKids</t>
  </si>
  <si>
    <t>WhyWereBummedCommunismFell</t>
  </si>
  <si>
    <t>WhyWouldAnyoneTakeHerBack</t>
  </si>
  <si>
    <t>WideEyedIdealism</t>
  </si>
  <si>
    <t>WightInAWeddingDress</t>
  </si>
  <si>
    <t>WikiRule</t>
  </si>
  <si>
    <t>WikiWalk</t>
  </si>
  <si>
    <t>WildBacheloretteParty</t>
  </si>
  <si>
    <t>WilliamTell</t>
  </si>
  <si>
    <t>WillOTheWisp</t>
  </si>
  <si>
    <t>WillRogers</t>
  </si>
  <si>
    <t>WindbagPolitician</t>
  </si>
  <si>
    <t>WindFromBeneathMyWings</t>
  </si>
  <si>
    <t>WindUpKey</t>
  </si>
  <si>
    <t>Wingdinglish</t>
  </si>
  <si>
    <t>WinstonChurchill</t>
  </si>
  <si>
    <t>WipeTheFloorWithYou</t>
  </si>
  <si>
    <t>WiseBeyondHisYears</t>
  </si>
  <si>
    <t>WiseTree</t>
  </si>
  <si>
    <t>WishfulProjection</t>
  </si>
  <si>
    <t>WishingForMoreWishes</t>
  </si>
  <si>
    <t>WishUponAShootingStar</t>
  </si>
  <si>
    <t>WithAHerring</t>
  </si>
  <si>
    <t>WithGreatPowerComesGreatHotness</t>
  </si>
  <si>
    <t>WithHilariousResults</t>
  </si>
  <si>
    <t>WithOurSwordsScene</t>
  </si>
  <si>
    <t>WizardClassic</t>
  </si>
  <si>
    <t>WizardNeedsFoodBadly</t>
  </si>
  <si>
    <t>WMDs</t>
  </si>
  <si>
    <t>WolfpackBoss</t>
  </si>
  <si>
    <t>WolfTropes</t>
  </si>
  <si>
    <t>WonderChild</t>
  </si>
  <si>
    <t>WordOfStPaul</t>
  </si>
  <si>
    <t>WordPower</t>
  </si>
  <si>
    <t>WordSaladHorror</t>
  </si>
  <si>
    <t>WordsDoNotMakeTheMagic</t>
  </si>
  <si>
    <t>WordsOfPower</t>
  </si>
  <si>
    <t>WorkCom</t>
  </si>
  <si>
    <t>WorkedShoot</t>
  </si>
  <si>
    <t>WorkingOffTheDebt</t>
  </si>
  <si>
    <t>WorldInTheSky</t>
  </si>
  <si>
    <t>WorldsExpertOnGettingKilled</t>
  </si>
  <si>
    <t>WorldWarTwo</t>
  </si>
  <si>
    <t>WormThatWalks</t>
  </si>
  <si>
    <t>WouldntHarmAChild</t>
  </si>
  <si>
    <t>WouldYouLikeToKnowHowTheyDied</t>
  </si>
  <si>
    <t>WPUN</t>
  </si>
  <si>
    <t>WrapAround</t>
  </si>
  <si>
    <t>WrapUpSong</t>
  </si>
  <si>
    <t>WreakingHavoc</t>
  </si>
  <si>
    <t>WretchedHiveOfScumAndVillainy</t>
  </si>
  <si>
    <t>WriterCopOut</t>
  </si>
  <si>
    <t>WritersAreWriters</t>
  </si>
  <si>
    <t>WritersHaveNoSenseOfScale</t>
  </si>
  <si>
    <t>WrittenByCastMember</t>
  </si>
  <si>
    <t>WrittenByTheVictors</t>
  </si>
  <si>
    <t>WrongfullyAttackedMole</t>
  </si>
  <si>
    <t>Wushu</t>
  </si>
  <si>
    <t>Wutai</t>
  </si>
  <si>
    <t>WW2</t>
  </si>
  <si>
    <t>Xenofiction</t>
  </si>
  <si>
    <t>XMeetsY</t>
  </si>
  <si>
    <t>XtremelyKoolLetterz</t>
  </si>
  <si>
    <t>XylophonesForWalkingBones</t>
  </si>
  <si>
    <t>YellowLightningBlueLightning</t>
  </si>
  <si>
    <t>YesButWhatDoesItDo</t>
  </si>
  <si>
    <t>Yokai</t>
  </si>
  <si>
    <t>YoMomma</t>
  </si>
  <si>
    <t>YouAreBetterThanYouThink</t>
  </si>
  <si>
    <t>YouAreNotMyFather</t>
  </si>
  <si>
    <t>YouBetterSitDown</t>
  </si>
  <si>
    <t>YouCantHandleTheParody</t>
  </si>
  <si>
    <t>YouCantWin</t>
  </si>
  <si>
    <t>YouCanVerbMyNounAnyDay</t>
  </si>
  <si>
    <t>YouClonedHitler</t>
  </si>
  <si>
    <t>YouDontWantToDieAVirginDoYou</t>
  </si>
  <si>
    <t>YouHaveOutlivedYourUsefullness</t>
  </si>
  <si>
    <t>YouKnowTheOne</t>
  </si>
  <si>
    <t>YouMeanXmas</t>
  </si>
  <si>
    <t>YouPutTheXInXY</t>
  </si>
  <si>
    <t>YouRemindMeOfHim</t>
  </si>
  <si>
    <t>YouRequireMoreVespeneGas</t>
  </si>
  <si>
    <t>YourMagicsNoGoodHere</t>
  </si>
  <si>
    <t>YourMother</t>
  </si>
  <si>
    <t>YourMum</t>
  </si>
  <si>
    <t>YouShouldntKnowThisAlready</t>
  </si>
  <si>
    <t>YouveGottaBeKiddingMe</t>
  </si>
  <si>
    <t>YouWillBeBeethoven</t>
  </si>
  <si>
    <t>YouWontLikeHowITaste</t>
  </si>
  <si>
    <t>YouWontLikeMeWhenImAngry</t>
  </si>
  <si>
    <t>YoYoPlotPoint</t>
  </si>
  <si>
    <t>YulBrynner</t>
  </si>
  <si>
    <t>YumYum</t>
  </si>
  <si>
    <t>YuppieCouple</t>
  </si>
  <si>
    <t>ZanySchemeChicken</t>
  </si>
  <si>
    <t>ZARYa</t>
  </si>
  <si>
    <t>ZiggZagged</t>
  </si>
  <si>
    <t>ZigzagPaperTassel</t>
  </si>
  <si>
    <t>ZombieMooks</t>
  </si>
  <si>
    <t>ZombifyTheLiving</t>
  </si>
  <si>
    <t>Zoom</t>
  </si>
  <si>
    <t>YellowFace</t>
  </si>
  <si>
    <t>Bookends</t>
  </si>
  <si>
    <t>Anticlimax</t>
  </si>
  <si>
    <t>DeConstruction</t>
  </si>
  <si>
    <t>Tagline</t>
  </si>
  <si>
    <t>GodWasMyCoPilot</t>
  </si>
  <si>
    <t>BigAppleSauce</t>
  </si>
  <si>
    <t>TheRockStar</t>
  </si>
  <si>
    <t>ChurchGoingVillain</t>
  </si>
  <si>
    <t>Golddigger</t>
  </si>
  <si>
    <t>GasLighting</t>
  </si>
  <si>
    <t>DroppedaBridgeonHim</t>
  </si>
  <si>
    <t>PyroManiac</t>
  </si>
  <si>
    <t>BlackFace</t>
  </si>
  <si>
    <t>AmbitionisEvil</t>
  </si>
  <si>
    <t>Mcguffin</t>
  </si>
  <si>
    <t>ThePowerofLove</t>
  </si>
  <si>
    <t>ShapeshifterGuiltTrip</t>
  </si>
  <si>
    <t>Fanboy</t>
  </si>
  <si>
    <t>RecycledINSPACE</t>
  </si>
  <si>
    <t>ShortcutsMakeLongDelays</t>
  </si>
  <si>
    <t>FinGore</t>
  </si>
  <si>
    <t>OverProtectiveDad</t>
  </si>
  <si>
    <t>HeroesWantRedheads</t>
  </si>
  <si>
    <t>KilledOffScreen</t>
  </si>
  <si>
    <t>RevealingCoverUp</t>
  </si>
  <si>
    <t>SirSwearsALot</t>
  </si>
  <si>
    <t>MadeofIron</t>
  </si>
  <si>
    <t>NewhartPhonecall</t>
  </si>
  <si>
    <t>Handwave</t>
  </si>
  <si>
    <t>FanService</t>
  </si>
  <si>
    <t>RedShirtArmy</t>
  </si>
  <si>
    <t>Doppelganger</t>
  </si>
  <si>
    <t>LandDownunder</t>
  </si>
  <si>
    <t>AwesomeMcCoolName</t>
  </si>
  <si>
    <t>CloudCuckoolander</t>
  </si>
  <si>
    <t>HauledBeforeASenateSubcommittee</t>
  </si>
  <si>
    <t>UnstoppableMailMan</t>
  </si>
  <si>
    <t>RagtagBandofMisfits</t>
  </si>
  <si>
    <t>ClassicalAntiHero</t>
  </si>
  <si>
    <t>ForeShadowing</t>
  </si>
  <si>
    <t>SirSwearsalot</t>
  </si>
  <si>
    <t>Technobabble</t>
  </si>
  <si>
    <t>ReCut</t>
  </si>
  <si>
    <t>CellphonesAreUseless</t>
  </si>
  <si>
    <t>ArsonMurderandJaywalking</t>
  </si>
  <si>
    <t>HardboiledDetective</t>
  </si>
  <si>
    <t>Zigzagged</t>
  </si>
  <si>
    <t>Facecam</t>
  </si>
  <si>
    <t>SkinnyDipping</t>
  </si>
  <si>
    <t>InsigniaRipoffRitual</t>
  </si>
  <si>
    <t>LadySwearsalot</t>
  </si>
  <si>
    <t>AnAsskickingChristmas</t>
  </si>
  <si>
    <t>HellGate</t>
  </si>
  <si>
    <t>DiabolicalDogcatcher</t>
  </si>
  <si>
    <t>HellHound</t>
  </si>
  <si>
    <t>EarnyourHappyEnding</t>
  </si>
  <si>
    <t>PeekabooCorpse</t>
  </si>
  <si>
    <t>GreyandGreyMorality</t>
  </si>
  <si>
    <t>Shopkeeper</t>
  </si>
  <si>
    <t>Kidanova</t>
  </si>
  <si>
    <t>PintsizedPowerhouse</t>
  </si>
  <si>
    <t>BitterSweetEnding</t>
  </si>
  <si>
    <t>WhateverHappenedToTheMouse</t>
  </si>
  <si>
    <t>RoadRunnerVsCoyote</t>
  </si>
  <si>
    <t>Tearjerker</t>
  </si>
  <si>
    <t>ItIsPronouncedTroPAY</t>
  </si>
  <si>
    <t>DangerTakesABackseat</t>
  </si>
  <si>
    <t>RagtagBunchOfMisfits</t>
  </si>
  <si>
    <t>LiteralCliffHanger</t>
  </si>
  <si>
    <t>TimeShiftedActor</t>
  </si>
  <si>
    <t>RoofHopping</t>
  </si>
  <si>
    <t>PracticalVoiceover</t>
  </si>
  <si>
    <t>RuleofFunny</t>
  </si>
  <si>
    <t>BathroomBreakout</t>
  </si>
  <si>
    <t>Fangirl</t>
  </si>
  <si>
    <t>CannotSpitItOut</t>
  </si>
  <si>
    <t>DefconFive</t>
  </si>
  <si>
    <t>PopCulturalOsmosisFailure</t>
  </si>
  <si>
    <t>MakeoutPoint</t>
  </si>
  <si>
    <t>Flashforward</t>
  </si>
  <si>
    <t>UnRoboticReveal</t>
  </si>
  <si>
    <t>TheCastShowoff</t>
  </si>
  <si>
    <t>TheUnReveal</t>
  </si>
  <si>
    <t>OverShadowedByAwesome</t>
  </si>
  <si>
    <t>Jerkass</t>
  </si>
  <si>
    <t>GoshDangItToHeck</t>
  </si>
  <si>
    <t>CerebusCallBack</t>
  </si>
  <si>
    <t>Mockbuster</t>
  </si>
  <si>
    <t>UnPerson</t>
  </si>
  <si>
    <t>HotbloodedSideburns</t>
  </si>
  <si>
    <t>TheCuckoolanderWasRight</t>
  </si>
  <si>
    <t>Shoutout</t>
  </si>
  <si>
    <t>Gangbangers</t>
  </si>
  <si>
    <t>HollywoodMidlifeCrisis</t>
  </si>
  <si>
    <t>RetIrony</t>
  </si>
  <si>
    <t>LeatherMan</t>
  </si>
  <si>
    <t>ExtremelyShortTimeSpan</t>
  </si>
  <si>
    <t>IntroDump</t>
  </si>
  <si>
    <t>AdaptationInducedPlotHole</t>
  </si>
  <si>
    <t>Discussedtrope</t>
  </si>
  <si>
    <t>BadAssPacifist</t>
  </si>
  <si>
    <t>Frameup</t>
  </si>
  <si>
    <t>Catchphrase</t>
  </si>
  <si>
    <t>VillainTeamup</t>
  </si>
  <si>
    <t>Isophagus</t>
  </si>
  <si>
    <t>BrownFace</t>
  </si>
  <si>
    <t>HypercompetentSidekick</t>
  </si>
  <si>
    <t>Punnyname</t>
  </si>
  <si>
    <t>PoWCamp</t>
  </si>
  <si>
    <t>WeAllDieSomeday</t>
  </si>
  <si>
    <t>CloseupOnHead</t>
  </si>
  <si>
    <t>ComicbookAdaptation</t>
  </si>
  <si>
    <t>HellHolePrison</t>
  </si>
  <si>
    <t>ReTool</t>
  </si>
  <si>
    <t>BabysitterfromHell</t>
  </si>
  <si>
    <t>FanFic</t>
  </si>
  <si>
    <t>Cyberpunk</t>
  </si>
  <si>
    <t>CloudCuckooLander</t>
  </si>
  <si>
    <t>GanglandDriveBy</t>
  </si>
  <si>
    <t>CurbstompBattle</t>
  </si>
  <si>
    <t>DoorstopBaby</t>
  </si>
  <si>
    <t>YourHeadASplode</t>
  </si>
  <si>
    <t>PostScriptSeason</t>
  </si>
  <si>
    <t>SecondActBreakUp</t>
  </si>
  <si>
    <t>WeAREStrugglingTogether</t>
  </si>
  <si>
    <t>BadassLongCoat</t>
  </si>
  <si>
    <t>EagleLand</t>
  </si>
  <si>
    <t>B</t>
  </si>
  <si>
    <t>C</t>
  </si>
  <si>
    <t>E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</si>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</sst>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2" fontId="0" fillId="2" borderId="0" xfId="0" applyNumberFormat="1" applyFill="1"/>
    <xf numFmtId="1" fontId="0" fillId="0" borderId="0" xfId="0" applyNumberFormat="1"/>
    <xf numFmtId="1" fontId="0" fillId="2" borderId="0" xfId="0" applyNumberFormat="1" applyFill="1"/>
    <xf numFmtId="0" fontId="0" fillId="0" borderId="0" xfId="0" quotePrefix="1"/>
    <xf numFmtId="2" fontId="0" fillId="3" borderId="0" xfId="0" applyNumberFormat="1" applyFill="1"/>
    <xf numFmtId="2" fontId="0" fillId="0" borderId="0" xfId="0" applyNumberFormat="1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25406"/>
  <sheetViews>
    <sheetView tabSelected="1" topLeftCell="B116" workbookViewId="0">
      <selection activeCell="B19" sqref="B19:B23"/>
    </sheetView>
  </sheetViews>
  <sheetFormatPr baseColWidth="10" defaultRowHeight="15" x14ac:dyDescent="0.25"/>
  <cols>
    <col min="1" max="1" width="60.140625" style="1" customWidth="1"/>
    <col min="2" max="2" width="18.140625" customWidth="1"/>
    <col min="3" max="3" width="11.42578125" style="3" customWidth="1"/>
    <col min="5" max="5" width="28.85546875" customWidth="1"/>
    <col min="7" max="7" width="15.42578125" customWidth="1"/>
    <col min="16" max="16" width="31.140625" customWidth="1"/>
    <col min="18" max="18" width="31.140625" customWidth="1"/>
  </cols>
  <sheetData>
    <row r="1" spans="1:18" x14ac:dyDescent="0.25">
      <c r="A1" s="1" t="s">
        <v>0</v>
      </c>
      <c r="E1" t="s">
        <v>0</v>
      </c>
      <c r="G1" s="1" t="s">
        <v>0</v>
      </c>
      <c r="I1" t="s">
        <v>0</v>
      </c>
      <c r="K1" t="s">
        <v>76</v>
      </c>
      <c r="M1" s="1"/>
      <c r="N1" s="1" t="s">
        <v>76</v>
      </c>
      <c r="P1" t="s">
        <v>111</v>
      </c>
      <c r="R1" t="s">
        <v>111</v>
      </c>
    </row>
    <row r="2" spans="1:18" x14ac:dyDescent="0.25">
      <c r="A2" s="1" t="s">
        <v>1</v>
      </c>
      <c r="C2" s="3">
        <v>3430</v>
      </c>
      <c r="E2" t="s">
        <v>122</v>
      </c>
      <c r="G2" s="1" t="str">
        <f>"=BigBad"</f>
        <v>=BigBad</v>
      </c>
      <c r="I2" t="s">
        <v>25407</v>
      </c>
      <c r="K2" t="s">
        <v>51</v>
      </c>
      <c r="M2" s="1"/>
      <c r="N2" s="1" t="s">
        <v>51</v>
      </c>
      <c r="P2" t="s">
        <v>76</v>
      </c>
      <c r="R2" t="s">
        <v>76</v>
      </c>
    </row>
    <row r="3" spans="1:18" x14ac:dyDescent="0.25">
      <c r="A3" s="1" t="s">
        <v>2</v>
      </c>
      <c r="C3" s="3">
        <v>3227</v>
      </c>
      <c r="E3" t="s">
        <v>2699</v>
      </c>
      <c r="G3" s="1" t="str">
        <f>"=ShoutOut"</f>
        <v>=ShoutOut</v>
      </c>
      <c r="I3" t="s">
        <v>15</v>
      </c>
      <c r="K3" t="s">
        <v>65</v>
      </c>
      <c r="M3" s="1"/>
      <c r="N3" s="1" t="s">
        <v>65</v>
      </c>
      <c r="P3" t="s">
        <v>51</v>
      </c>
      <c r="R3" t="s">
        <v>51</v>
      </c>
    </row>
    <row r="4" spans="1:18" x14ac:dyDescent="0.25">
      <c r="A4" s="1" t="s">
        <v>3</v>
      </c>
      <c r="C4" s="3">
        <v>2262</v>
      </c>
      <c r="E4" t="s">
        <v>5741</v>
      </c>
      <c r="G4" s="1" t="str">
        <f>"=JerkAss"</f>
        <v>=JerkAss</v>
      </c>
      <c r="I4" t="s">
        <v>21</v>
      </c>
      <c r="K4" t="s">
        <v>90</v>
      </c>
      <c r="M4" s="1"/>
      <c r="N4" s="1" t="s">
        <v>90</v>
      </c>
      <c r="P4" t="s">
        <v>195</v>
      </c>
      <c r="R4" t="s">
        <v>195</v>
      </c>
    </row>
    <row r="5" spans="1:18" x14ac:dyDescent="0.25">
      <c r="A5" s="1" t="s">
        <v>4</v>
      </c>
      <c r="C5" s="3">
        <v>2208</v>
      </c>
      <c r="E5" t="s">
        <v>1400</v>
      </c>
      <c r="G5" s="1" t="str">
        <f>"=OhCrap"</f>
        <v>=OhCrap</v>
      </c>
      <c r="I5" t="s">
        <v>8</v>
      </c>
      <c r="K5" t="s">
        <v>93</v>
      </c>
      <c r="M5" s="1"/>
      <c r="N5" s="1" t="s">
        <v>93</v>
      </c>
      <c r="P5" t="s">
        <v>196</v>
      </c>
      <c r="R5" t="s">
        <v>196</v>
      </c>
    </row>
    <row r="6" spans="1:18" x14ac:dyDescent="0.25">
      <c r="A6" s="1" t="s">
        <v>5</v>
      </c>
      <c r="C6" s="3">
        <v>2114</v>
      </c>
      <c r="E6" t="s">
        <v>13889</v>
      </c>
      <c r="G6" s="1" t="str">
        <f>"=ChekhovsGun"</f>
        <v>=ChekhovsGun</v>
      </c>
      <c r="I6" t="s">
        <v>20</v>
      </c>
      <c r="K6" t="s">
        <v>18</v>
      </c>
      <c r="M6" s="1"/>
      <c r="N6" s="1" t="s">
        <v>18</v>
      </c>
      <c r="P6" t="s">
        <v>170</v>
      </c>
      <c r="R6" t="s">
        <v>170</v>
      </c>
    </row>
    <row r="7" spans="1:18" x14ac:dyDescent="0.25">
      <c r="A7" s="1" t="s">
        <v>6</v>
      </c>
      <c r="C7" s="3">
        <v>2029</v>
      </c>
      <c r="E7" t="s">
        <v>588</v>
      </c>
      <c r="G7" s="1" t="str">
        <f>"=Foreshadowing"</f>
        <v>=Foreshadowing</v>
      </c>
      <c r="I7" t="s">
        <v>25436</v>
      </c>
      <c r="K7" t="s">
        <v>40</v>
      </c>
      <c r="M7" s="1"/>
      <c r="N7" s="1" t="s">
        <v>40</v>
      </c>
      <c r="P7" t="s">
        <v>65</v>
      </c>
      <c r="R7" t="s">
        <v>65</v>
      </c>
    </row>
    <row r="8" spans="1:18" x14ac:dyDescent="0.25">
      <c r="A8" s="1" t="s">
        <v>7</v>
      </c>
      <c r="C8" s="3">
        <v>1768</v>
      </c>
      <c r="E8" t="s">
        <v>25406</v>
      </c>
      <c r="G8" s="1" t="str">
        <f>"=BittersweetEnding"</f>
        <v>=BittersweetEnding</v>
      </c>
      <c r="I8" t="s">
        <v>2</v>
      </c>
      <c r="K8" t="s">
        <v>25</v>
      </c>
      <c r="M8" s="1"/>
      <c r="N8" s="1" t="s">
        <v>25</v>
      </c>
      <c r="P8" t="s">
        <v>90</v>
      </c>
      <c r="R8" t="s">
        <v>90</v>
      </c>
    </row>
    <row r="9" spans="1:18" x14ac:dyDescent="0.25">
      <c r="A9" s="1" t="s">
        <v>8</v>
      </c>
      <c r="C9" s="3">
        <v>1630</v>
      </c>
      <c r="E9" t="s">
        <v>5628</v>
      </c>
      <c r="G9" s="1" t="str">
        <f>"=DeadpanSnarker"</f>
        <v>=DeadpanSnarker</v>
      </c>
      <c r="I9" t="s">
        <v>25</v>
      </c>
      <c r="K9" t="s">
        <v>1</v>
      </c>
      <c r="M9" s="1"/>
      <c r="N9" s="1" t="s">
        <v>1</v>
      </c>
      <c r="P9" t="s">
        <v>115</v>
      </c>
      <c r="R9" t="s">
        <v>115</v>
      </c>
    </row>
    <row r="10" spans="1:18" x14ac:dyDescent="0.25">
      <c r="A10" s="1" t="s">
        <v>9</v>
      </c>
      <c r="C10" s="3">
        <v>1605</v>
      </c>
      <c r="E10" t="s">
        <v>5286</v>
      </c>
      <c r="G10" s="1" t="str">
        <f>"=TitleDrop"</f>
        <v>=TitleDrop</v>
      </c>
      <c r="I10" t="s">
        <v>7</v>
      </c>
      <c r="K10" t="s">
        <v>47</v>
      </c>
      <c r="M10" s="1"/>
      <c r="N10" s="1" t="s">
        <v>47</v>
      </c>
      <c r="P10" t="s">
        <v>169</v>
      </c>
      <c r="R10" t="s">
        <v>169</v>
      </c>
    </row>
    <row r="11" spans="1:18" x14ac:dyDescent="0.25">
      <c r="A11" s="1" t="s">
        <v>10</v>
      </c>
      <c r="C11" s="3">
        <v>1470</v>
      </c>
      <c r="E11" t="s">
        <v>1087</v>
      </c>
      <c r="G11" s="1" t="str">
        <f>"=RunningGag"</f>
        <v>=RunningGag</v>
      </c>
      <c r="I11" t="s">
        <v>14</v>
      </c>
      <c r="K11" t="s">
        <v>7</v>
      </c>
      <c r="M11" s="1"/>
      <c r="N11" s="1" t="s">
        <v>7</v>
      </c>
      <c r="P11" t="s">
        <v>101</v>
      </c>
      <c r="R11" t="s">
        <v>101</v>
      </c>
    </row>
    <row r="12" spans="1:18" x14ac:dyDescent="0.25">
      <c r="A12" s="1" t="s">
        <v>11</v>
      </c>
      <c r="C12" s="3">
        <v>1456</v>
      </c>
      <c r="E12" t="s">
        <v>6858</v>
      </c>
      <c r="G12" s="1" t="str">
        <f>"=DownerEnding"</f>
        <v>=DownerEnding</v>
      </c>
      <c r="I12" t="s">
        <v>25446</v>
      </c>
      <c r="K12" t="s">
        <v>72</v>
      </c>
      <c r="M12" s="1"/>
      <c r="N12" s="1" t="s">
        <v>72</v>
      </c>
      <c r="P12" t="s">
        <v>181</v>
      </c>
      <c r="R12" t="s">
        <v>181</v>
      </c>
    </row>
    <row r="13" spans="1:18" x14ac:dyDescent="0.25">
      <c r="A13" s="1" t="s">
        <v>12</v>
      </c>
      <c r="C13" s="3">
        <v>1366</v>
      </c>
      <c r="E13" t="s">
        <v>15495</v>
      </c>
      <c r="G13" s="1" t="str">
        <f>"=LargeHam"</f>
        <v>=LargeHam</v>
      </c>
      <c r="I13" t="s">
        <v>11</v>
      </c>
      <c r="K13" t="s">
        <v>55</v>
      </c>
      <c r="M13" s="1"/>
      <c r="N13" s="1" t="s">
        <v>55</v>
      </c>
      <c r="P13" t="s">
        <v>93</v>
      </c>
      <c r="R13" t="s">
        <v>93</v>
      </c>
    </row>
    <row r="14" spans="1:18" x14ac:dyDescent="0.25">
      <c r="A14" s="1" t="s">
        <v>13</v>
      </c>
      <c r="C14" s="3">
        <v>1270</v>
      </c>
      <c r="E14" t="s">
        <v>5978</v>
      </c>
      <c r="G14" s="1" t="str">
        <f>"=HeroicSacrifice"</f>
        <v>=HeroicSacrifice</v>
      </c>
      <c r="I14" t="s">
        <v>27</v>
      </c>
      <c r="K14" t="s">
        <v>96</v>
      </c>
      <c r="M14" s="1"/>
      <c r="N14" s="1" t="s">
        <v>96</v>
      </c>
      <c r="P14" t="s">
        <v>25451</v>
      </c>
      <c r="R14" t="s">
        <v>25451</v>
      </c>
    </row>
    <row r="15" spans="1:18" x14ac:dyDescent="0.25">
      <c r="A15" s="1" t="s">
        <v>14</v>
      </c>
      <c r="C15" s="3">
        <v>1242</v>
      </c>
      <c r="E15" t="s">
        <v>763</v>
      </c>
      <c r="G15" s="1" t="str">
        <f>"=Fanservice"</f>
        <v>=Fanservice</v>
      </c>
      <c r="I15" t="s">
        <v>26</v>
      </c>
      <c r="K15" t="s">
        <v>25407</v>
      </c>
      <c r="M15" s="1"/>
      <c r="N15" s="1" t="s">
        <v>21</v>
      </c>
      <c r="P15" s="8" t="s">
        <v>148</v>
      </c>
      <c r="R15" t="s">
        <v>132</v>
      </c>
    </row>
    <row r="16" spans="1:18" x14ac:dyDescent="0.25">
      <c r="A16" s="1" t="s">
        <v>15</v>
      </c>
      <c r="C16" s="3">
        <v>1225</v>
      </c>
      <c r="E16" t="s">
        <v>192</v>
      </c>
      <c r="G16" s="1" t="str">
        <f>"=TooDumbToLive"</f>
        <v>=TooDumbToLive</v>
      </c>
      <c r="I16" t="s">
        <v>25468</v>
      </c>
      <c r="K16" t="s">
        <v>30</v>
      </c>
      <c r="M16" s="1"/>
      <c r="N16" s="1" t="s">
        <v>30</v>
      </c>
      <c r="P16" t="s">
        <v>132</v>
      </c>
      <c r="R16" t="s">
        <v>18</v>
      </c>
    </row>
    <row r="17" spans="1:18" x14ac:dyDescent="0.25">
      <c r="A17" s="1" t="s">
        <v>16</v>
      </c>
      <c r="C17" s="3">
        <v>1211</v>
      </c>
      <c r="E17" t="s">
        <v>20363</v>
      </c>
      <c r="G17" s="1" t="str">
        <f>"=DrivenToSuicide"</f>
        <v>=DrivenToSuicide</v>
      </c>
      <c r="I17" t="s">
        <v>22</v>
      </c>
      <c r="K17" t="s">
        <v>52</v>
      </c>
      <c r="M17" s="1"/>
      <c r="N17" s="1" t="s">
        <v>52</v>
      </c>
      <c r="P17" t="s">
        <v>18</v>
      </c>
      <c r="R17" t="s">
        <v>40</v>
      </c>
    </row>
    <row r="18" spans="1:18" x14ac:dyDescent="0.25">
      <c r="A18" s="1" t="s">
        <v>17</v>
      </c>
      <c r="C18" s="3">
        <v>1210</v>
      </c>
      <c r="E18" t="s">
        <v>14120</v>
      </c>
      <c r="G18" s="1" t="str">
        <f>"=LampshadeHanging"</f>
        <v>=LampshadeHanging</v>
      </c>
      <c r="I18" t="s">
        <v>10</v>
      </c>
      <c r="K18" t="s">
        <v>35</v>
      </c>
      <c r="M18" s="1"/>
      <c r="N18" s="1" t="s">
        <v>35</v>
      </c>
      <c r="P18" t="s">
        <v>40</v>
      </c>
      <c r="R18" t="s">
        <v>108</v>
      </c>
    </row>
    <row r="19" spans="1:18" x14ac:dyDescent="0.25">
      <c r="A19" s="1" t="s">
        <v>18</v>
      </c>
      <c r="B19" s="5" t="e">
        <f xml:space="preserve">   A</f>
        <v>#NAME?</v>
      </c>
      <c r="C19" s="3">
        <v>1199</v>
      </c>
      <c r="E19" t="s">
        <v>14880</v>
      </c>
      <c r="G19" s="1" t="str">
        <f>"=AssholeVictim"</f>
        <v>=AssholeVictim</v>
      </c>
      <c r="I19" t="s">
        <v>19</v>
      </c>
      <c r="K19" t="s">
        <v>89</v>
      </c>
      <c r="M19" s="1"/>
      <c r="N19" s="1" t="s">
        <v>89</v>
      </c>
      <c r="P19" t="s">
        <v>108</v>
      </c>
      <c r="R19" t="s">
        <v>185</v>
      </c>
    </row>
    <row r="20" spans="1:18" x14ac:dyDescent="0.25">
      <c r="A20" s="1" t="s">
        <v>19</v>
      </c>
      <c r="B20" s="5" t="s">
        <v>25534</v>
      </c>
      <c r="C20" s="3">
        <v>1191</v>
      </c>
      <c r="E20" t="s">
        <v>2871</v>
      </c>
      <c r="G20" s="1" t="str">
        <f>"=WhatHappenedToTheMouse"</f>
        <v>=WhatHappenedToTheMouse</v>
      </c>
      <c r="I20" t="s">
        <v>9</v>
      </c>
      <c r="K20" t="s">
        <v>5</v>
      </c>
      <c r="M20" s="1"/>
      <c r="N20" s="1" t="s">
        <v>5</v>
      </c>
      <c r="P20" t="s">
        <v>185</v>
      </c>
      <c r="R20" t="s">
        <v>155</v>
      </c>
    </row>
    <row r="21" spans="1:18" x14ac:dyDescent="0.25">
      <c r="A21" s="1" t="s">
        <v>20</v>
      </c>
      <c r="B21" s="5" t="s">
        <v>25535</v>
      </c>
      <c r="C21" s="3">
        <v>1190</v>
      </c>
      <c r="E21" t="s">
        <v>6133</v>
      </c>
      <c r="G21" s="1" t="str">
        <f>"=KarmaHoudini"</f>
        <v>=KarmaHoudini</v>
      </c>
      <c r="I21" t="s">
        <v>13</v>
      </c>
      <c r="K21" t="s">
        <v>86</v>
      </c>
      <c r="M21" s="1"/>
      <c r="N21" s="1" t="s">
        <v>86</v>
      </c>
      <c r="P21" t="s">
        <v>155</v>
      </c>
      <c r="R21" t="s">
        <v>25</v>
      </c>
    </row>
    <row r="22" spans="1:18" x14ac:dyDescent="0.25">
      <c r="A22" s="1" t="s">
        <v>21</v>
      </c>
      <c r="B22" s="5" t="s">
        <v>25537</v>
      </c>
      <c r="C22" s="3">
        <v>1182</v>
      </c>
      <c r="E22" t="s">
        <v>4636</v>
      </c>
      <c r="G22" s="1" t="str">
        <f>"=BookEnds"</f>
        <v>=BookEnds</v>
      </c>
      <c r="I22" t="s">
        <v>23</v>
      </c>
      <c r="K22" t="s">
        <v>25441</v>
      </c>
      <c r="M22" s="1"/>
      <c r="N22" s="1" t="s">
        <v>85</v>
      </c>
      <c r="P22" t="s">
        <v>25</v>
      </c>
      <c r="R22" t="s">
        <v>1</v>
      </c>
    </row>
    <row r="23" spans="1:18" x14ac:dyDescent="0.25">
      <c r="A23" s="1" t="s">
        <v>22</v>
      </c>
      <c r="B23" s="5" t="s">
        <v>25536</v>
      </c>
      <c r="C23" s="3">
        <v>1166</v>
      </c>
      <c r="E23" t="s">
        <v>999</v>
      </c>
      <c r="G23" s="1" t="str">
        <f>"=MeaningfulName"</f>
        <v>=MeaningfulName</v>
      </c>
      <c r="I23" t="s">
        <v>25491</v>
      </c>
      <c r="K23" t="s">
        <v>69</v>
      </c>
      <c r="M23" s="1"/>
      <c r="N23" s="1" t="s">
        <v>69</v>
      </c>
      <c r="P23" t="s">
        <v>1</v>
      </c>
      <c r="R23" t="s">
        <v>47</v>
      </c>
    </row>
    <row r="24" spans="1:18" x14ac:dyDescent="0.25">
      <c r="A24" s="1" t="s">
        <v>23</v>
      </c>
      <c r="C24" s="3">
        <v>1161</v>
      </c>
      <c r="E24" t="s">
        <v>3326</v>
      </c>
      <c r="G24" s="1" t="str">
        <f>"=GroinAttack"</f>
        <v>=GroinAttack</v>
      </c>
      <c r="I24" t="s">
        <v>24</v>
      </c>
      <c r="K24" t="s">
        <v>54</v>
      </c>
      <c r="M24" s="1"/>
      <c r="N24" s="1" t="s">
        <v>54</v>
      </c>
      <c r="P24" t="s">
        <v>47</v>
      </c>
      <c r="R24" t="s">
        <v>136</v>
      </c>
    </row>
    <row r="25" spans="1:18" x14ac:dyDescent="0.25">
      <c r="A25" s="1" t="s">
        <v>24</v>
      </c>
      <c r="C25" s="3">
        <v>1147</v>
      </c>
      <c r="E25" t="s">
        <v>1935</v>
      </c>
      <c r="G25" s="1" t="str">
        <f>"=KickTheDog"</f>
        <v>=KickTheDog</v>
      </c>
      <c r="I25" t="s">
        <v>25498</v>
      </c>
      <c r="K25" t="s">
        <v>8</v>
      </c>
      <c r="M25" s="1"/>
      <c r="N25" s="1" t="s">
        <v>8</v>
      </c>
      <c r="P25" t="s">
        <v>136</v>
      </c>
      <c r="R25" t="s">
        <v>112</v>
      </c>
    </row>
    <row r="26" spans="1:18" x14ac:dyDescent="0.25">
      <c r="A26" s="1" t="s">
        <v>25</v>
      </c>
      <c r="C26" s="3">
        <v>1141</v>
      </c>
      <c r="E26" t="s">
        <v>5844</v>
      </c>
      <c r="G26" s="1" t="str">
        <f>"=BerserkButton"</f>
        <v>=BerserkButton</v>
      </c>
      <c r="I26" t="s">
        <v>16</v>
      </c>
      <c r="K26" t="s">
        <v>58</v>
      </c>
      <c r="M26" s="1"/>
      <c r="N26" s="1" t="s">
        <v>58</v>
      </c>
      <c r="P26" t="s">
        <v>112</v>
      </c>
      <c r="R26" t="s">
        <v>186</v>
      </c>
    </row>
    <row r="27" spans="1:18" x14ac:dyDescent="0.25">
      <c r="A27" s="1" t="s">
        <v>26</v>
      </c>
      <c r="C27" s="3">
        <v>1139</v>
      </c>
      <c r="E27" t="s">
        <v>3743</v>
      </c>
      <c r="G27" s="1" t="str">
        <f>"=TheCameo"</f>
        <v>=TheCameo</v>
      </c>
      <c r="I27" t="s">
        <v>12</v>
      </c>
      <c r="K27" t="s">
        <v>11</v>
      </c>
      <c r="M27" s="1"/>
      <c r="N27" s="1" t="s">
        <v>11</v>
      </c>
      <c r="P27" t="s">
        <v>186</v>
      </c>
      <c r="R27" s="8" t="s">
        <v>7</v>
      </c>
    </row>
    <row r="28" spans="1:18" x14ac:dyDescent="0.25">
      <c r="A28" s="1" t="s">
        <v>27</v>
      </c>
      <c r="C28" s="3">
        <v>1101</v>
      </c>
      <c r="E28" t="s">
        <v>16421</v>
      </c>
      <c r="G28" s="1" t="str">
        <f>"=TheDragon"</f>
        <v>=TheDragon</v>
      </c>
      <c r="I28" t="s">
        <v>17</v>
      </c>
      <c r="K28" t="s">
        <v>16</v>
      </c>
      <c r="M28" s="1"/>
      <c r="N28" s="1" t="s">
        <v>16</v>
      </c>
      <c r="P28" s="8" t="s">
        <v>7</v>
      </c>
      <c r="R28" t="s">
        <v>72</v>
      </c>
    </row>
    <row r="29" spans="1:18" x14ac:dyDescent="0.25">
      <c r="A29" s="1" t="s">
        <v>28</v>
      </c>
      <c r="C29" s="3">
        <v>1096</v>
      </c>
      <c r="E29" t="s">
        <v>6939</v>
      </c>
      <c r="G29" s="1" t="str">
        <f>"=RealLife"</f>
        <v>=RealLife</v>
      </c>
      <c r="I29" t="s">
        <v>5</v>
      </c>
      <c r="K29" t="s">
        <v>38</v>
      </c>
      <c r="M29" s="7"/>
      <c r="N29" s="7" t="s">
        <v>38</v>
      </c>
      <c r="P29" t="s">
        <v>25468</v>
      </c>
      <c r="R29" t="s">
        <v>55</v>
      </c>
    </row>
    <row r="30" spans="1:18" x14ac:dyDescent="0.25">
      <c r="A30" s="1" t="s">
        <v>29</v>
      </c>
      <c r="C30" s="3">
        <v>1076</v>
      </c>
      <c r="E30" t="s">
        <v>6570</v>
      </c>
      <c r="G30" s="1" t="str">
        <f>"=TheReveal"</f>
        <v>=TheReveal</v>
      </c>
      <c r="I30" t="s">
        <v>1</v>
      </c>
      <c r="K30" t="s">
        <v>48</v>
      </c>
      <c r="M30" s="1"/>
      <c r="N30" s="1" t="s">
        <v>48</v>
      </c>
      <c r="P30" t="s">
        <v>72</v>
      </c>
      <c r="R30" t="s">
        <v>96</v>
      </c>
    </row>
    <row r="31" spans="1:18" x14ac:dyDescent="0.25">
      <c r="A31" s="1" t="s">
        <v>30</v>
      </c>
      <c r="C31" s="3">
        <v>1075</v>
      </c>
      <c r="E31" t="s">
        <v>5576</v>
      </c>
      <c r="G31" s="1" t="str">
        <f>"=BrickJoke"</f>
        <v>=BrickJoke</v>
      </c>
      <c r="I31" t="s">
        <v>6</v>
      </c>
      <c r="K31" t="s">
        <v>80</v>
      </c>
      <c r="M31" s="1"/>
      <c r="N31" s="1" t="s">
        <v>80</v>
      </c>
      <c r="P31" t="s">
        <v>55</v>
      </c>
      <c r="R31" s="8" t="s">
        <v>25407</v>
      </c>
    </row>
    <row r="32" spans="1:18" x14ac:dyDescent="0.25">
      <c r="A32" s="1" t="s">
        <v>31</v>
      </c>
      <c r="C32" s="3">
        <v>1065</v>
      </c>
      <c r="E32" t="s">
        <v>3058</v>
      </c>
      <c r="G32" s="1" t="str">
        <f>"=PrecisionFStrike"</f>
        <v>=PrecisionFStrike</v>
      </c>
      <c r="I32" t="s">
        <v>4</v>
      </c>
      <c r="K32" t="s">
        <v>66</v>
      </c>
      <c r="M32" s="7"/>
      <c r="N32" s="6" t="s">
        <v>60</v>
      </c>
      <c r="P32" t="s">
        <v>96</v>
      </c>
      <c r="R32" t="s">
        <v>142</v>
      </c>
    </row>
    <row r="33" spans="1:18" x14ac:dyDescent="0.25">
      <c r="A33" s="1" t="s">
        <v>32</v>
      </c>
      <c r="C33" s="3">
        <v>1056</v>
      </c>
      <c r="E33" t="s">
        <v>14972</v>
      </c>
      <c r="G33" s="1" t="str">
        <f>"=RealityEnsues"</f>
        <v>=RealityEnsues</v>
      </c>
      <c r="I33" t="s">
        <v>18</v>
      </c>
      <c r="K33" t="s">
        <v>25436</v>
      </c>
      <c r="M33" s="1"/>
      <c r="N33" s="1" t="s">
        <v>66</v>
      </c>
      <c r="P33" s="8" t="s">
        <v>25407</v>
      </c>
      <c r="R33" t="s">
        <v>159</v>
      </c>
    </row>
    <row r="34" spans="1:18" x14ac:dyDescent="0.25">
      <c r="A34" s="1" t="s">
        <v>33</v>
      </c>
      <c r="C34" s="3">
        <v>1050</v>
      </c>
      <c r="E34" t="s">
        <v>319</v>
      </c>
      <c r="G34" s="1" t="str">
        <f>"=TruthInTelevision"</f>
        <v>=TruthInTelevision</v>
      </c>
      <c r="I34" t="s">
        <v>3</v>
      </c>
      <c r="K34" t="s">
        <v>25446</v>
      </c>
      <c r="M34" s="1"/>
      <c r="N34" s="1" t="s">
        <v>14</v>
      </c>
      <c r="P34" t="s">
        <v>21</v>
      </c>
      <c r="R34" t="s">
        <v>30</v>
      </c>
    </row>
    <row r="35" spans="1:18" x14ac:dyDescent="0.25">
      <c r="A35" s="1" t="s">
        <v>34</v>
      </c>
      <c r="C35" s="3">
        <v>1046</v>
      </c>
      <c r="E35" t="s">
        <v>9096</v>
      </c>
      <c r="G35" s="1" t="str">
        <f>"=InUniverse"</f>
        <v>=InUniverse</v>
      </c>
      <c r="K35" t="s">
        <v>74</v>
      </c>
      <c r="M35" s="1"/>
      <c r="N35" s="1" t="s">
        <v>6</v>
      </c>
      <c r="P35" t="s">
        <v>142</v>
      </c>
      <c r="R35" t="s">
        <v>52</v>
      </c>
    </row>
    <row r="36" spans="1:18" x14ac:dyDescent="0.25">
      <c r="A36" s="1" t="s">
        <v>35</v>
      </c>
      <c r="C36" s="3">
        <v>1039</v>
      </c>
      <c r="E36" t="s">
        <v>1716</v>
      </c>
      <c r="G36" s="1" t="str">
        <f>"=CallBack"</f>
        <v>=CallBack</v>
      </c>
      <c r="K36" t="s">
        <v>88</v>
      </c>
      <c r="M36" s="1"/>
      <c r="N36" s="1" t="s">
        <v>74</v>
      </c>
      <c r="P36" t="s">
        <v>159</v>
      </c>
      <c r="R36" t="s">
        <v>35</v>
      </c>
    </row>
    <row r="37" spans="1:18" x14ac:dyDescent="0.25">
      <c r="A37" s="1" t="s">
        <v>36</v>
      </c>
      <c r="C37" s="3">
        <v>1018</v>
      </c>
      <c r="E37" t="s">
        <v>7908</v>
      </c>
      <c r="G37" s="1" t="str">
        <f>"=MoodWhiplash"</f>
        <v>=MoodWhiplash</v>
      </c>
      <c r="K37" t="s">
        <v>23</v>
      </c>
      <c r="M37" s="1"/>
      <c r="N37" s="1" t="s">
        <v>88</v>
      </c>
      <c r="P37" t="s">
        <v>30</v>
      </c>
      <c r="R37" t="s">
        <v>137</v>
      </c>
    </row>
    <row r="38" spans="1:18" x14ac:dyDescent="0.25">
      <c r="A38" s="1" t="s">
        <v>37</v>
      </c>
      <c r="C38" s="3">
        <v>1013</v>
      </c>
      <c r="E38" t="s">
        <v>3690</v>
      </c>
      <c r="G38" s="1" t="str">
        <f>"=YourCheatingHeart"</f>
        <v>=YourCheatingHeart</v>
      </c>
      <c r="K38" t="s">
        <v>39</v>
      </c>
      <c r="M38" s="1"/>
      <c r="N38" s="1" t="s">
        <v>23</v>
      </c>
      <c r="P38" t="s">
        <v>52</v>
      </c>
      <c r="R38" s="8" t="s">
        <v>89</v>
      </c>
    </row>
    <row r="39" spans="1:18" x14ac:dyDescent="0.25">
      <c r="A39" s="2" t="s">
        <v>38</v>
      </c>
      <c r="C39" s="4">
        <v>1012</v>
      </c>
      <c r="E39" t="s">
        <v>6822</v>
      </c>
      <c r="G39" s="7" t="str">
        <f>"=EstablishingCharacterMoment"</f>
        <v>=EstablishingCharacterMoment</v>
      </c>
      <c r="K39" t="s">
        <v>44</v>
      </c>
      <c r="M39" s="1"/>
      <c r="N39" s="1" t="s">
        <v>39</v>
      </c>
      <c r="P39" t="s">
        <v>35</v>
      </c>
      <c r="R39" t="s">
        <v>116</v>
      </c>
    </row>
    <row r="40" spans="1:18" x14ac:dyDescent="0.25">
      <c r="A40" s="1" t="s">
        <v>39</v>
      </c>
      <c r="C40" s="3">
        <v>980</v>
      </c>
      <c r="E40" t="s">
        <v>2687</v>
      </c>
      <c r="G40" s="1" t="str">
        <f>"=HeelFaceTurn"</f>
        <v>=HeelFaceTurn</v>
      </c>
      <c r="K40" t="s">
        <v>13</v>
      </c>
      <c r="M40" s="1"/>
      <c r="N40" s="1" t="s">
        <v>44</v>
      </c>
      <c r="P40" t="s">
        <v>137</v>
      </c>
      <c r="R40" t="s">
        <v>5</v>
      </c>
    </row>
    <row r="41" spans="1:18" x14ac:dyDescent="0.25">
      <c r="A41" s="1" t="s">
        <v>40</v>
      </c>
      <c r="C41" s="3">
        <v>976</v>
      </c>
      <c r="E41" t="s">
        <v>12832</v>
      </c>
      <c r="G41" s="1" t="str">
        <f>"=AxCrazy"</f>
        <v>=AxCrazy</v>
      </c>
      <c r="K41" t="s">
        <v>63</v>
      </c>
      <c r="M41" s="1"/>
      <c r="N41" s="1" t="s">
        <v>13</v>
      </c>
      <c r="P41" s="8" t="s">
        <v>89</v>
      </c>
      <c r="R41" t="s">
        <v>128</v>
      </c>
    </row>
    <row r="42" spans="1:18" x14ac:dyDescent="0.25">
      <c r="A42" s="1" t="s">
        <v>41</v>
      </c>
      <c r="C42" s="3">
        <v>937</v>
      </c>
      <c r="E42" t="s">
        <v>9539</v>
      </c>
      <c r="G42" s="1" t="str">
        <f>"=JerkWithAHeartOfGold"</f>
        <v>=JerkWithAHeartOfGold</v>
      </c>
      <c r="K42" t="s">
        <v>75</v>
      </c>
      <c r="M42" s="1"/>
      <c r="N42" s="1" t="s">
        <v>63</v>
      </c>
      <c r="P42" t="s">
        <v>25509</v>
      </c>
      <c r="R42" t="s">
        <v>86</v>
      </c>
    </row>
    <row r="43" spans="1:18" x14ac:dyDescent="0.25">
      <c r="A43" s="1" t="s">
        <v>42</v>
      </c>
      <c r="C43" s="3">
        <v>923</v>
      </c>
      <c r="E43" t="s">
        <v>473</v>
      </c>
      <c r="G43" s="1" t="str">
        <f>"=IronicEcho"</f>
        <v>=IronicEcho</v>
      </c>
      <c r="K43" t="s">
        <v>98</v>
      </c>
      <c r="M43" s="1"/>
      <c r="N43" s="1" t="s">
        <v>75</v>
      </c>
      <c r="P43" t="s">
        <v>116</v>
      </c>
      <c r="R43" s="8" t="s">
        <v>25441</v>
      </c>
    </row>
    <row r="44" spans="1:18" x14ac:dyDescent="0.25">
      <c r="A44" s="1" t="s">
        <v>43</v>
      </c>
      <c r="C44" s="3">
        <v>919</v>
      </c>
      <c r="E44" t="s">
        <v>2944</v>
      </c>
      <c r="G44" s="1" t="str">
        <f>"=TheReasonYouSuckSpeech"</f>
        <v>=TheReasonYouSuckSpeech</v>
      </c>
      <c r="K44" t="s">
        <v>34</v>
      </c>
      <c r="M44" s="1"/>
      <c r="N44" s="1" t="s">
        <v>98</v>
      </c>
      <c r="P44" t="s">
        <v>5</v>
      </c>
      <c r="R44" t="s">
        <v>127</v>
      </c>
    </row>
    <row r="45" spans="1:18" x14ac:dyDescent="0.25">
      <c r="A45" s="1" t="s">
        <v>44</v>
      </c>
      <c r="C45" s="3">
        <v>871</v>
      </c>
      <c r="E45" t="s">
        <v>12872</v>
      </c>
      <c r="G45" s="1" t="str">
        <f>"=HeroicBSOD"</f>
        <v>=HeroicBSOD</v>
      </c>
      <c r="K45" t="s">
        <v>42</v>
      </c>
      <c r="M45" s="1"/>
      <c r="N45" s="1" t="s">
        <v>34</v>
      </c>
      <c r="P45" t="s">
        <v>128</v>
      </c>
      <c r="R45" t="s">
        <v>163</v>
      </c>
    </row>
    <row r="46" spans="1:18" x14ac:dyDescent="0.25">
      <c r="A46" s="1" t="s">
        <v>45</v>
      </c>
      <c r="C46" s="3">
        <v>858</v>
      </c>
      <c r="E46" t="s">
        <v>1820</v>
      </c>
      <c r="G46" s="1" t="str">
        <f>"=WordOfGod"</f>
        <v>=WordOfGod</v>
      </c>
      <c r="K46" t="s">
        <v>25491</v>
      </c>
      <c r="M46" s="1"/>
      <c r="N46" s="1" t="s">
        <v>42</v>
      </c>
      <c r="P46" t="s">
        <v>86</v>
      </c>
      <c r="R46" t="s">
        <v>134</v>
      </c>
    </row>
    <row r="47" spans="1:18" x14ac:dyDescent="0.25">
      <c r="A47" s="1" t="s">
        <v>46</v>
      </c>
      <c r="C47" s="3">
        <v>855</v>
      </c>
      <c r="E47" t="s">
        <v>5054</v>
      </c>
      <c r="G47" s="1" t="str">
        <f>"=MsFanservice"</f>
        <v>=MsFanservice</v>
      </c>
      <c r="K47" t="s">
        <v>41</v>
      </c>
      <c r="M47" s="1"/>
      <c r="N47" s="1" t="s">
        <v>3</v>
      </c>
      <c r="P47" s="8" t="s">
        <v>25441</v>
      </c>
      <c r="R47" t="s">
        <v>178</v>
      </c>
    </row>
    <row r="48" spans="1:18" x14ac:dyDescent="0.25">
      <c r="A48" s="1" t="s">
        <v>47</v>
      </c>
      <c r="C48" s="3">
        <v>825</v>
      </c>
      <c r="E48" t="s">
        <v>11165</v>
      </c>
      <c r="G48" s="1" t="str">
        <f>"=BigDamnHeroes"</f>
        <v>=BigDamnHeroes</v>
      </c>
      <c r="K48" t="s">
        <v>77</v>
      </c>
      <c r="M48" s="1"/>
      <c r="N48" s="1" t="s">
        <v>41</v>
      </c>
      <c r="P48" t="s">
        <v>85</v>
      </c>
      <c r="R48" t="s">
        <v>154</v>
      </c>
    </row>
    <row r="49" spans="1:18" x14ac:dyDescent="0.25">
      <c r="A49" s="1" t="s">
        <v>48</v>
      </c>
      <c r="C49" s="3">
        <v>822</v>
      </c>
      <c r="E49" t="s">
        <v>25407</v>
      </c>
      <c r="G49" s="1" t="str">
        <f>"=EvenEvilHasStandards"</f>
        <v>=EvenEvilHasStandards</v>
      </c>
      <c r="K49" t="s">
        <v>20</v>
      </c>
      <c r="M49" s="1"/>
      <c r="N49" s="1" t="s">
        <v>77</v>
      </c>
      <c r="P49" s="8" t="s">
        <v>25524</v>
      </c>
      <c r="R49" t="s">
        <v>109</v>
      </c>
    </row>
    <row r="50" spans="1:18" x14ac:dyDescent="0.25">
      <c r="A50" s="1" t="s">
        <v>49</v>
      </c>
      <c r="C50" s="3">
        <v>813</v>
      </c>
      <c r="E50" t="s">
        <v>6450</v>
      </c>
      <c r="G50" s="1" t="str">
        <f>"=PlayedForLaughs"</f>
        <v>=PlayedForLaughs</v>
      </c>
      <c r="K50" t="s">
        <v>24</v>
      </c>
      <c r="M50" s="1"/>
      <c r="N50" s="1" t="s">
        <v>20</v>
      </c>
      <c r="P50" t="s">
        <v>127</v>
      </c>
      <c r="R50" t="s">
        <v>104</v>
      </c>
    </row>
    <row r="51" spans="1:18" x14ac:dyDescent="0.25">
      <c r="A51" s="1" t="s">
        <v>50</v>
      </c>
      <c r="C51" s="3">
        <v>812</v>
      </c>
      <c r="E51" t="s">
        <v>5363</v>
      </c>
      <c r="G51" s="1" t="str">
        <f>"=MythologyGag"</f>
        <v>=MythologyGag</v>
      </c>
      <c r="K51" t="s">
        <v>17</v>
      </c>
      <c r="M51" s="1"/>
      <c r="N51" s="1" t="s">
        <v>24</v>
      </c>
      <c r="P51" t="s">
        <v>163</v>
      </c>
      <c r="R51" t="s">
        <v>166</v>
      </c>
    </row>
    <row r="52" spans="1:18" x14ac:dyDescent="0.25">
      <c r="A52" s="1" t="s">
        <v>51</v>
      </c>
      <c r="C52" s="3">
        <v>809</v>
      </c>
      <c r="E52" t="s">
        <v>1212</v>
      </c>
      <c r="G52" s="1" t="str">
        <f>"=ActorAllusion"</f>
        <v>=ActorAllusion</v>
      </c>
      <c r="K52" t="s">
        <v>12</v>
      </c>
      <c r="M52" s="1"/>
      <c r="N52" s="1" t="s">
        <v>17</v>
      </c>
      <c r="P52" t="s">
        <v>134</v>
      </c>
      <c r="R52" t="s">
        <v>110</v>
      </c>
    </row>
    <row r="53" spans="1:18" x14ac:dyDescent="0.25">
      <c r="A53" s="1" t="s">
        <v>52</v>
      </c>
      <c r="C53" s="3">
        <v>808</v>
      </c>
      <c r="E53" t="s">
        <v>856</v>
      </c>
      <c r="G53" s="1" t="str">
        <f>"=ButtMonkey"</f>
        <v>=ButtMonkey</v>
      </c>
      <c r="K53" t="s">
        <v>87</v>
      </c>
      <c r="M53" s="1"/>
      <c r="N53" s="1" t="s">
        <v>12</v>
      </c>
      <c r="P53" t="s">
        <v>178</v>
      </c>
      <c r="R53" t="s">
        <v>69</v>
      </c>
    </row>
    <row r="54" spans="1:18" x14ac:dyDescent="0.25">
      <c r="A54" s="1" t="s">
        <v>53</v>
      </c>
      <c r="C54" s="3">
        <v>806</v>
      </c>
      <c r="E54" t="s">
        <v>3172</v>
      </c>
      <c r="G54" s="1" t="str">
        <f>"=PetTheDog"</f>
        <v>=PetTheDog</v>
      </c>
      <c r="K54" t="s">
        <v>22</v>
      </c>
      <c r="M54" s="1"/>
      <c r="N54" s="1" t="s">
        <v>87</v>
      </c>
      <c r="P54" t="s">
        <v>154</v>
      </c>
      <c r="R54" t="s">
        <v>172</v>
      </c>
    </row>
    <row r="55" spans="1:18" x14ac:dyDescent="0.25">
      <c r="A55" s="1" t="s">
        <v>54</v>
      </c>
      <c r="C55" s="3">
        <v>797</v>
      </c>
      <c r="E55" t="s">
        <v>8157</v>
      </c>
      <c r="G55" s="1" t="str">
        <f>"=CurbStompBattle"</f>
        <v>=CurbStompBattle</v>
      </c>
      <c r="K55" t="s">
        <v>36</v>
      </c>
      <c r="M55" s="1"/>
      <c r="N55" s="1" t="s">
        <v>22</v>
      </c>
      <c r="P55" t="s">
        <v>109</v>
      </c>
      <c r="R55" s="8" t="s">
        <v>54</v>
      </c>
    </row>
    <row r="56" spans="1:18" x14ac:dyDescent="0.25">
      <c r="A56" s="1" t="s">
        <v>55</v>
      </c>
      <c r="C56" s="3">
        <v>786</v>
      </c>
      <c r="E56" t="s">
        <v>10586</v>
      </c>
      <c r="G56" s="1" t="str">
        <f>"=BlatantLies"</f>
        <v>=BlatantLies</v>
      </c>
      <c r="K56" t="s">
        <v>46</v>
      </c>
      <c r="M56" s="1"/>
      <c r="N56" s="1" t="s">
        <v>36</v>
      </c>
      <c r="P56" t="s">
        <v>104</v>
      </c>
      <c r="R56" t="s">
        <v>121</v>
      </c>
    </row>
    <row r="57" spans="1:18" x14ac:dyDescent="0.25">
      <c r="A57" s="1" t="s">
        <v>56</v>
      </c>
      <c r="C57" s="3">
        <v>786</v>
      </c>
      <c r="E57" t="s">
        <v>13162</v>
      </c>
      <c r="G57" s="1" t="str">
        <f>"=WhamLine"</f>
        <v>=WhamLine</v>
      </c>
      <c r="K57" t="s">
        <v>70</v>
      </c>
      <c r="M57" s="1"/>
      <c r="N57" s="1" t="s">
        <v>46</v>
      </c>
      <c r="P57" t="s">
        <v>166</v>
      </c>
      <c r="R57" t="s">
        <v>8</v>
      </c>
    </row>
    <row r="58" spans="1:18" x14ac:dyDescent="0.25">
      <c r="A58" s="1" t="s">
        <v>57</v>
      </c>
      <c r="C58" s="3">
        <v>785</v>
      </c>
      <c r="E58" t="s">
        <v>19691</v>
      </c>
      <c r="G58" s="1" t="str">
        <f>"=NotSoDifferent"</f>
        <v>=NotSoDifferent</v>
      </c>
      <c r="K58" t="s">
        <v>50</v>
      </c>
      <c r="M58" s="1"/>
      <c r="N58" s="1" t="s">
        <v>70</v>
      </c>
      <c r="P58" t="s">
        <v>110</v>
      </c>
      <c r="R58" t="s">
        <v>119</v>
      </c>
    </row>
    <row r="59" spans="1:18" x14ac:dyDescent="0.25">
      <c r="A59" s="1" t="s">
        <v>58</v>
      </c>
      <c r="C59" s="3">
        <v>781</v>
      </c>
      <c r="E59" t="s">
        <v>22020</v>
      </c>
      <c r="G59" s="1" t="str">
        <f>"=DisproportionateRetribution"</f>
        <v>=DisproportionateRetribution</v>
      </c>
      <c r="K59" t="s">
        <v>67</v>
      </c>
      <c r="M59" s="1"/>
      <c r="N59" s="1" t="s">
        <v>50</v>
      </c>
      <c r="P59" t="s">
        <v>69</v>
      </c>
      <c r="R59" t="s">
        <v>160</v>
      </c>
    </row>
    <row r="60" spans="1:18" x14ac:dyDescent="0.25">
      <c r="A60" s="1" t="s">
        <v>59</v>
      </c>
      <c r="C60" s="3">
        <v>779</v>
      </c>
      <c r="E60" t="s">
        <v>4492</v>
      </c>
      <c r="G60" s="1" t="str">
        <f>"=TakeThat"</f>
        <v>=TakeThat</v>
      </c>
      <c r="K60" t="s">
        <v>84</v>
      </c>
      <c r="M60" s="1"/>
      <c r="N60" s="1" t="s">
        <v>67</v>
      </c>
      <c r="P60" t="s">
        <v>172</v>
      </c>
      <c r="R60" t="s">
        <v>156</v>
      </c>
    </row>
    <row r="61" spans="1:18" x14ac:dyDescent="0.25">
      <c r="A61" s="1" t="s">
        <v>60</v>
      </c>
      <c r="C61" s="3">
        <v>778</v>
      </c>
      <c r="E61" t="s">
        <v>233</v>
      </c>
      <c r="G61" s="1" t="str">
        <f>"=EyeScrea"</f>
        <v>=EyeScrea</v>
      </c>
      <c r="K61" t="s">
        <v>99</v>
      </c>
      <c r="M61" s="1"/>
      <c r="N61" s="1" t="s">
        <v>84</v>
      </c>
      <c r="P61" s="8" t="s">
        <v>54</v>
      </c>
      <c r="R61" t="s">
        <v>129</v>
      </c>
    </row>
    <row r="62" spans="1:18" x14ac:dyDescent="0.25">
      <c r="A62" s="1" t="s">
        <v>61</v>
      </c>
      <c r="C62" s="3">
        <v>775</v>
      </c>
      <c r="E62" t="s">
        <v>3875</v>
      </c>
      <c r="G62" s="1" t="str">
        <f>"=SceneryPorn"</f>
        <v>=SceneryPorn</v>
      </c>
      <c r="K62" t="s">
        <v>57</v>
      </c>
      <c r="M62" s="1"/>
      <c r="N62" s="1" t="s">
        <v>99</v>
      </c>
      <c r="P62" t="s">
        <v>25526</v>
      </c>
      <c r="R62" t="s">
        <v>199</v>
      </c>
    </row>
    <row r="63" spans="1:18" x14ac:dyDescent="0.25">
      <c r="A63" s="1" t="s">
        <v>62</v>
      </c>
      <c r="C63" s="3">
        <v>773</v>
      </c>
      <c r="E63" t="s">
        <v>1925</v>
      </c>
      <c r="G63" s="1" t="str">
        <f>"=RoaringRampageOfRevenge"</f>
        <v>=RoaringRampageOfRevenge</v>
      </c>
      <c r="K63" t="s">
        <v>4</v>
      </c>
      <c r="M63" s="1"/>
      <c r="N63" s="1" t="s">
        <v>57</v>
      </c>
      <c r="P63" t="s">
        <v>121</v>
      </c>
      <c r="R63" t="s">
        <v>58</v>
      </c>
    </row>
    <row r="64" spans="1:18" x14ac:dyDescent="0.25">
      <c r="A64" s="1" t="s">
        <v>63</v>
      </c>
      <c r="C64" s="3">
        <v>770</v>
      </c>
      <c r="E64" t="s">
        <v>140</v>
      </c>
      <c r="G64" s="1" t="str">
        <f>"=HoistByHisOwnPetard"</f>
        <v>=HoistByHisOwnPetard</v>
      </c>
      <c r="K64" t="s">
        <v>91</v>
      </c>
      <c r="M64" s="1"/>
      <c r="N64" s="1" t="s">
        <v>4</v>
      </c>
      <c r="P64" t="s">
        <v>8</v>
      </c>
      <c r="R64" t="s">
        <v>194</v>
      </c>
    </row>
    <row r="65" spans="1:18" x14ac:dyDescent="0.25">
      <c r="A65" s="1" t="s">
        <v>64</v>
      </c>
      <c r="C65" s="3">
        <v>768</v>
      </c>
      <c r="E65" t="s">
        <v>681</v>
      </c>
      <c r="G65" s="1" t="str">
        <f>"=SubvertedTrope"</f>
        <v>=SubvertedTrope</v>
      </c>
      <c r="K65" t="s">
        <v>53</v>
      </c>
      <c r="M65" s="1"/>
      <c r="N65" s="1" t="s">
        <v>91</v>
      </c>
      <c r="P65" t="s">
        <v>119</v>
      </c>
      <c r="R65" t="s">
        <v>102</v>
      </c>
    </row>
    <row r="66" spans="1:18" x14ac:dyDescent="0.25">
      <c r="A66" s="1" t="s">
        <v>65</v>
      </c>
      <c r="C66" s="3">
        <v>761</v>
      </c>
      <c r="E66" t="s">
        <v>1085</v>
      </c>
      <c r="G66" s="1" t="str">
        <f>"=AdultFear"</f>
        <v>=AdultFear</v>
      </c>
      <c r="K66" t="s">
        <v>49</v>
      </c>
      <c r="M66" s="1"/>
      <c r="N66" s="1" t="s">
        <v>53</v>
      </c>
      <c r="P66" t="s">
        <v>160</v>
      </c>
      <c r="R66" t="s">
        <v>11</v>
      </c>
    </row>
    <row r="67" spans="1:18" x14ac:dyDescent="0.25">
      <c r="A67" s="1" t="s">
        <v>66</v>
      </c>
      <c r="C67" s="3">
        <v>755</v>
      </c>
      <c r="E67" t="s">
        <v>6006</v>
      </c>
      <c r="G67" s="1" t="str">
        <f>"=FanDisservice"</f>
        <v>=FanDisservice</v>
      </c>
      <c r="K67" t="s">
        <v>78</v>
      </c>
      <c r="M67" s="1"/>
      <c r="N67" s="1" t="s">
        <v>49</v>
      </c>
      <c r="P67" t="s">
        <v>156</v>
      </c>
      <c r="R67" t="s">
        <v>16</v>
      </c>
    </row>
    <row r="68" spans="1:18" x14ac:dyDescent="0.25">
      <c r="A68" s="1" t="s">
        <v>67</v>
      </c>
      <c r="C68" s="3">
        <v>743</v>
      </c>
      <c r="E68" t="s">
        <v>3426</v>
      </c>
      <c r="G68" s="1" t="str">
        <f>"=NiceJobBreakingItHero"</f>
        <v>=NiceJobBreakingItHero</v>
      </c>
      <c r="K68" t="s">
        <v>31</v>
      </c>
      <c r="M68" s="1"/>
      <c r="N68" s="1" t="s">
        <v>78</v>
      </c>
      <c r="P68" t="s">
        <v>129</v>
      </c>
      <c r="R68" s="8" t="s">
        <v>25462</v>
      </c>
    </row>
    <row r="69" spans="1:18" x14ac:dyDescent="0.25">
      <c r="A69" s="1" t="s">
        <v>68</v>
      </c>
      <c r="C69" s="3">
        <v>737</v>
      </c>
      <c r="E69" t="s">
        <v>4935</v>
      </c>
      <c r="G69" s="1" t="str">
        <f>"=TemptingFate"</f>
        <v>=TemptingFate</v>
      </c>
      <c r="K69" t="s">
        <v>79</v>
      </c>
      <c r="M69" s="1"/>
      <c r="N69" s="1" t="s">
        <v>31</v>
      </c>
      <c r="P69" t="s">
        <v>199</v>
      </c>
      <c r="R69" t="s">
        <v>38</v>
      </c>
    </row>
    <row r="70" spans="1:18" x14ac:dyDescent="0.25">
      <c r="A70" s="1" t="s">
        <v>69</v>
      </c>
      <c r="C70" s="3">
        <v>733</v>
      </c>
      <c r="E70" t="s">
        <v>9925</v>
      </c>
      <c r="G70" s="1" t="str">
        <f>"=CreatorCameo"</f>
        <v>=CreatorCameo</v>
      </c>
      <c r="K70" t="s">
        <v>32</v>
      </c>
      <c r="M70" s="1"/>
      <c r="N70" s="1" t="s">
        <v>79</v>
      </c>
      <c r="P70" t="s">
        <v>58</v>
      </c>
      <c r="R70" t="s">
        <v>48</v>
      </c>
    </row>
    <row r="71" spans="1:18" x14ac:dyDescent="0.25">
      <c r="A71" s="1" t="s">
        <v>70</v>
      </c>
      <c r="C71" s="3">
        <v>730</v>
      </c>
      <c r="E71" t="s">
        <v>6047</v>
      </c>
      <c r="G71" s="1" t="str">
        <f>"=MyGodWhatHaveIDone"</f>
        <v>=MyGodWhatHaveIDone</v>
      </c>
      <c r="K71" t="s">
        <v>28</v>
      </c>
      <c r="M71" s="1"/>
      <c r="N71" s="1" t="s">
        <v>32</v>
      </c>
      <c r="P71" t="s">
        <v>194</v>
      </c>
      <c r="R71" t="s">
        <v>188</v>
      </c>
    </row>
    <row r="72" spans="1:18" x14ac:dyDescent="0.25">
      <c r="A72" s="1" t="s">
        <v>71</v>
      </c>
      <c r="C72" s="3">
        <v>726</v>
      </c>
      <c r="E72" t="s">
        <v>1288</v>
      </c>
      <c r="G72" s="1" t="str">
        <f>"=WhatTheHellHero"</f>
        <v>=WhatTheHellHero</v>
      </c>
      <c r="K72" t="s">
        <v>62</v>
      </c>
      <c r="M72" s="1"/>
      <c r="N72" s="1" t="s">
        <v>28</v>
      </c>
      <c r="P72" t="s">
        <v>102</v>
      </c>
      <c r="R72" t="s">
        <v>107</v>
      </c>
    </row>
    <row r="73" spans="1:18" x14ac:dyDescent="0.25">
      <c r="A73" s="1" t="s">
        <v>72</v>
      </c>
      <c r="C73" s="3">
        <v>725</v>
      </c>
      <c r="E73" t="s">
        <v>3319</v>
      </c>
      <c r="G73" s="1" t="str">
        <f>"=BlackComedy"</f>
        <v>=BlackComedy</v>
      </c>
      <c r="K73" t="s">
        <v>10</v>
      </c>
      <c r="M73" s="1"/>
      <c r="N73" s="1" t="s">
        <v>62</v>
      </c>
      <c r="P73" t="s">
        <v>11</v>
      </c>
      <c r="R73" t="s">
        <v>80</v>
      </c>
    </row>
    <row r="74" spans="1:18" x14ac:dyDescent="0.25">
      <c r="A74" s="1" t="s">
        <v>73</v>
      </c>
      <c r="C74" s="3">
        <v>724</v>
      </c>
      <c r="E74" t="s">
        <v>14933</v>
      </c>
      <c r="G74" s="1" t="str">
        <f>"=UpToEleven"</f>
        <v>=UpToEleven</v>
      </c>
      <c r="K74" t="s">
        <v>61</v>
      </c>
      <c r="M74" s="1"/>
      <c r="N74" s="1" t="s">
        <v>10</v>
      </c>
      <c r="P74" t="s">
        <v>16</v>
      </c>
      <c r="R74" t="s">
        <v>66</v>
      </c>
    </row>
    <row r="75" spans="1:18" x14ac:dyDescent="0.25">
      <c r="A75" s="1" t="s">
        <v>74</v>
      </c>
      <c r="C75" s="3">
        <v>714</v>
      </c>
      <c r="E75" t="s">
        <v>3138</v>
      </c>
      <c r="G75" s="1" t="str">
        <f>"=GettingCrapPastTheRadar"</f>
        <v>=GettingCrapPastTheRadar</v>
      </c>
      <c r="K75" t="s">
        <v>95</v>
      </c>
      <c r="M75" s="1"/>
      <c r="N75" s="1" t="s">
        <v>61</v>
      </c>
      <c r="P75" s="8" t="s">
        <v>25462</v>
      </c>
      <c r="R75" s="8" t="s">
        <v>25436</v>
      </c>
    </row>
    <row r="76" spans="1:18" x14ac:dyDescent="0.25">
      <c r="A76" s="1" t="s">
        <v>75</v>
      </c>
      <c r="C76" s="3">
        <v>714</v>
      </c>
      <c r="E76" t="s">
        <v>1640</v>
      </c>
      <c r="G76" s="1" t="str">
        <f>"=HopeSpot"</f>
        <v>=HopeSpot</v>
      </c>
      <c r="K76" t="s">
        <v>2</v>
      </c>
      <c r="M76" s="1"/>
      <c r="N76" s="1" t="s">
        <v>95</v>
      </c>
      <c r="P76" t="s">
        <v>157</v>
      </c>
      <c r="R76" t="s">
        <v>106</v>
      </c>
    </row>
    <row r="77" spans="1:18" x14ac:dyDescent="0.25">
      <c r="A77" s="1" t="s">
        <v>76</v>
      </c>
      <c r="C77" s="3">
        <v>704</v>
      </c>
      <c r="E77" t="s">
        <v>16115</v>
      </c>
      <c r="G77" s="1" t="str">
        <f>"=ActionGirl"</f>
        <v>=ActionGirl</v>
      </c>
      <c r="K77" t="s">
        <v>83</v>
      </c>
      <c r="M77" s="1"/>
      <c r="N77" s="1" t="s">
        <v>2</v>
      </c>
      <c r="P77" t="s">
        <v>38</v>
      </c>
      <c r="R77" t="s">
        <v>164</v>
      </c>
    </row>
    <row r="78" spans="1:18" x14ac:dyDescent="0.25">
      <c r="A78" s="1" t="s">
        <v>77</v>
      </c>
      <c r="C78" s="3">
        <v>701</v>
      </c>
      <c r="E78" t="s">
        <v>1229</v>
      </c>
      <c r="G78" s="1" t="str">
        <f>"=JustifiedTrope"</f>
        <v>=JustifiedTrope</v>
      </c>
      <c r="K78" t="s">
        <v>64</v>
      </c>
      <c r="M78" s="1"/>
      <c r="N78" s="1" t="s">
        <v>83</v>
      </c>
      <c r="P78" t="s">
        <v>48</v>
      </c>
      <c r="R78" t="s">
        <v>123</v>
      </c>
    </row>
    <row r="79" spans="1:18" x14ac:dyDescent="0.25">
      <c r="A79" s="1" t="s">
        <v>78</v>
      </c>
      <c r="C79" s="3">
        <v>701</v>
      </c>
      <c r="E79" t="s">
        <v>2095</v>
      </c>
      <c r="G79" s="1" t="str">
        <f>"=PoliceAreUseless"</f>
        <v>=PoliceAreUseless</v>
      </c>
      <c r="K79" t="s">
        <v>59</v>
      </c>
      <c r="M79" s="1"/>
      <c r="N79" s="1" t="s">
        <v>64</v>
      </c>
      <c r="P79" t="s">
        <v>188</v>
      </c>
      <c r="R79" s="8" t="s">
        <v>25446</v>
      </c>
    </row>
    <row r="80" spans="1:18" x14ac:dyDescent="0.25">
      <c r="A80" s="1" t="s">
        <v>79</v>
      </c>
      <c r="C80" s="3">
        <v>698</v>
      </c>
      <c r="E80" t="s">
        <v>10740</v>
      </c>
      <c r="G80" s="1" t="str">
        <f>"=ProductPlacement"</f>
        <v>=ProductPlacement</v>
      </c>
      <c r="K80" t="s">
        <v>68</v>
      </c>
      <c r="M80" s="1"/>
      <c r="N80" s="1" t="s">
        <v>59</v>
      </c>
      <c r="P80" t="s">
        <v>107</v>
      </c>
      <c r="R80" t="s">
        <v>151</v>
      </c>
    </row>
    <row r="81" spans="1:18" x14ac:dyDescent="0.25">
      <c r="A81" s="1" t="s">
        <v>80</v>
      </c>
      <c r="C81" s="3">
        <v>690</v>
      </c>
      <c r="E81" t="s">
        <v>1848</v>
      </c>
      <c r="G81" s="1" t="str">
        <f>"=Expy"</f>
        <v>=Expy</v>
      </c>
      <c r="K81" t="s">
        <v>94</v>
      </c>
      <c r="M81" s="1"/>
      <c r="N81" s="1" t="s">
        <v>68</v>
      </c>
      <c r="P81" t="s">
        <v>80</v>
      </c>
      <c r="R81" t="s">
        <v>103</v>
      </c>
    </row>
    <row r="82" spans="1:18" x14ac:dyDescent="0.25">
      <c r="A82" s="1" t="s">
        <v>81</v>
      </c>
      <c r="C82" s="3">
        <v>688</v>
      </c>
      <c r="E82" t="s">
        <v>4568</v>
      </c>
      <c r="G82" s="1" t="str">
        <f>"=TheStinger"</f>
        <v>=TheStinger</v>
      </c>
      <c r="K82" t="s">
        <v>26</v>
      </c>
      <c r="M82" s="1"/>
      <c r="N82" s="1" t="s">
        <v>94</v>
      </c>
      <c r="P82" t="s">
        <v>66</v>
      </c>
      <c r="R82" t="s">
        <v>124</v>
      </c>
    </row>
    <row r="83" spans="1:18" x14ac:dyDescent="0.25">
      <c r="A83" s="1" t="s">
        <v>82</v>
      </c>
      <c r="C83" s="3">
        <v>688</v>
      </c>
      <c r="E83" t="s">
        <v>5050</v>
      </c>
      <c r="G83" s="1" t="str">
        <f>"=VillainousBreakdown"</f>
        <v>=VillainousBreakdown</v>
      </c>
      <c r="K83" t="s">
        <v>27</v>
      </c>
      <c r="M83" s="1"/>
      <c r="N83" s="1" t="s">
        <v>26</v>
      </c>
      <c r="P83" s="8" t="s">
        <v>25436</v>
      </c>
      <c r="R83" t="s">
        <v>197</v>
      </c>
    </row>
    <row r="84" spans="1:18" x14ac:dyDescent="0.25">
      <c r="A84" s="1" t="s">
        <v>83</v>
      </c>
      <c r="C84" s="3">
        <v>685</v>
      </c>
      <c r="E84" t="s">
        <v>8366</v>
      </c>
      <c r="G84" s="1" t="str">
        <f>"=ShownTheirWork"</f>
        <v>=ShownTheirWork</v>
      </c>
      <c r="K84" t="s">
        <v>43</v>
      </c>
      <c r="M84" s="1"/>
      <c r="N84" s="1" t="s">
        <v>27</v>
      </c>
      <c r="P84" t="s">
        <v>14</v>
      </c>
      <c r="R84" t="s">
        <v>149</v>
      </c>
    </row>
    <row r="85" spans="1:18" x14ac:dyDescent="0.25">
      <c r="A85" s="1" t="s">
        <v>84</v>
      </c>
      <c r="C85" s="3">
        <v>675</v>
      </c>
      <c r="E85" t="s">
        <v>7825</v>
      </c>
      <c r="G85" s="1" t="str">
        <f>"=NoNameGiven"</f>
        <v>=NoNameGiven</v>
      </c>
      <c r="K85" t="s">
        <v>29</v>
      </c>
      <c r="M85" s="1"/>
      <c r="N85" s="1" t="s">
        <v>43</v>
      </c>
      <c r="P85" t="s">
        <v>106</v>
      </c>
      <c r="R85" t="s">
        <v>74</v>
      </c>
    </row>
    <row r="86" spans="1:18" x14ac:dyDescent="0.25">
      <c r="A86" s="1" t="s">
        <v>85</v>
      </c>
      <c r="C86" s="3">
        <v>665</v>
      </c>
      <c r="E86" t="s">
        <v>2771</v>
      </c>
      <c r="G86" s="1" t="str">
        <f>"=Cloudcuckoolander"</f>
        <v>=Cloudcuckoolander</v>
      </c>
      <c r="K86" t="s">
        <v>81</v>
      </c>
      <c r="M86" s="1"/>
      <c r="N86" s="1" t="s">
        <v>29</v>
      </c>
      <c r="P86" t="s">
        <v>164</v>
      </c>
      <c r="R86" t="s">
        <v>152</v>
      </c>
    </row>
    <row r="87" spans="1:18" x14ac:dyDescent="0.25">
      <c r="A87" s="1" t="s">
        <v>86</v>
      </c>
      <c r="C87" s="3">
        <v>661</v>
      </c>
      <c r="E87" t="s">
        <v>3155</v>
      </c>
      <c r="G87" s="1" t="str">
        <f>"=ChekhovsSkill"</f>
        <v>=ChekhovsSkill</v>
      </c>
      <c r="K87" t="s">
        <v>9</v>
      </c>
      <c r="M87" s="1"/>
      <c r="N87" s="1" t="s">
        <v>81</v>
      </c>
      <c r="P87" t="s">
        <v>123</v>
      </c>
      <c r="R87" t="s">
        <v>88</v>
      </c>
    </row>
    <row r="88" spans="1:18" x14ac:dyDescent="0.25">
      <c r="A88" s="1" t="s">
        <v>87</v>
      </c>
      <c r="C88" s="3">
        <v>658</v>
      </c>
      <c r="E88" t="s">
        <v>16114</v>
      </c>
      <c r="G88" s="1" t="str">
        <f>"=LaserGuidedKarma"</f>
        <v>=LaserGuidedKarma</v>
      </c>
      <c r="K88" t="s">
        <v>15</v>
      </c>
      <c r="M88" s="1"/>
      <c r="N88" s="1" t="s">
        <v>9</v>
      </c>
      <c r="P88" s="8" t="s">
        <v>25446</v>
      </c>
      <c r="R88" t="s">
        <v>23</v>
      </c>
    </row>
    <row r="89" spans="1:18" x14ac:dyDescent="0.25">
      <c r="A89" s="1" t="s">
        <v>88</v>
      </c>
      <c r="C89" s="3">
        <v>650</v>
      </c>
      <c r="E89" t="s">
        <v>7809</v>
      </c>
      <c r="G89" s="1" t="str">
        <f>"=GoryDiscretionShot"</f>
        <v>=GoryDiscretionShot</v>
      </c>
      <c r="K89" t="s">
        <v>33</v>
      </c>
      <c r="M89" s="1"/>
      <c r="N89" s="1" t="s">
        <v>15</v>
      </c>
      <c r="P89" t="s">
        <v>6</v>
      </c>
      <c r="R89" t="s">
        <v>39</v>
      </c>
    </row>
    <row r="90" spans="1:18" x14ac:dyDescent="0.25">
      <c r="A90" s="1" t="s">
        <v>89</v>
      </c>
      <c r="C90" s="3">
        <v>641</v>
      </c>
      <c r="E90" t="s">
        <v>13167</v>
      </c>
      <c r="G90" s="1" t="str">
        <f>"=CatchPhrase"</f>
        <v>=CatchPhrase</v>
      </c>
      <c r="K90" t="s">
        <v>73</v>
      </c>
      <c r="M90" s="1"/>
      <c r="N90" s="1" t="s">
        <v>33</v>
      </c>
      <c r="P90" t="s">
        <v>151</v>
      </c>
      <c r="R90" t="s">
        <v>44</v>
      </c>
    </row>
    <row r="91" spans="1:18" x14ac:dyDescent="0.25">
      <c r="A91" s="1" t="s">
        <v>90</v>
      </c>
      <c r="C91" s="3">
        <v>631</v>
      </c>
      <c r="E91" t="s">
        <v>11954</v>
      </c>
      <c r="G91" s="1" t="str">
        <f>"=AffablyEvil"</f>
        <v>=AffablyEvil</v>
      </c>
      <c r="K91" t="s">
        <v>82</v>
      </c>
      <c r="M91" s="1"/>
      <c r="N91" s="1" t="s">
        <v>73</v>
      </c>
      <c r="P91" t="s">
        <v>103</v>
      </c>
      <c r="R91" t="s">
        <v>13</v>
      </c>
    </row>
    <row r="92" spans="1:18" x14ac:dyDescent="0.25">
      <c r="A92" s="1" t="s">
        <v>91</v>
      </c>
      <c r="C92" s="3">
        <v>630</v>
      </c>
      <c r="E92" t="s">
        <v>8203</v>
      </c>
      <c r="G92" s="1" t="str">
        <f>"=OnlySaneMan"</f>
        <v>=OnlySaneMan</v>
      </c>
      <c r="K92" t="s">
        <v>97</v>
      </c>
      <c r="M92" s="1"/>
      <c r="N92" s="1" t="s">
        <v>82</v>
      </c>
      <c r="P92" t="s">
        <v>124</v>
      </c>
      <c r="R92" t="s">
        <v>63</v>
      </c>
    </row>
    <row r="93" spans="1:18" x14ac:dyDescent="0.25">
      <c r="A93" s="1" t="s">
        <v>92</v>
      </c>
      <c r="C93" s="3">
        <v>629</v>
      </c>
      <c r="E93" t="s">
        <v>7224</v>
      </c>
      <c r="G93" s="1" t="str">
        <f>"=WouldHurtAChild"</f>
        <v>=WouldHurtAChild</v>
      </c>
      <c r="K93" t="s">
        <v>56</v>
      </c>
      <c r="M93" s="1"/>
      <c r="N93" s="1" t="s">
        <v>97</v>
      </c>
      <c r="P93" t="s">
        <v>197</v>
      </c>
      <c r="R93" t="s">
        <v>75</v>
      </c>
    </row>
    <row r="94" spans="1:18" x14ac:dyDescent="0.25">
      <c r="A94" s="1" t="s">
        <v>93</v>
      </c>
      <c r="C94" s="3">
        <v>627</v>
      </c>
      <c r="E94" t="s">
        <v>10987</v>
      </c>
      <c r="G94" s="1" t="str">
        <f>"=ArcWords"</f>
        <v>=ArcWords</v>
      </c>
      <c r="K94" t="s">
        <v>19</v>
      </c>
      <c r="M94" s="1"/>
      <c r="N94" s="1" t="s">
        <v>56</v>
      </c>
      <c r="P94" t="s">
        <v>149</v>
      </c>
      <c r="R94" t="s">
        <v>184</v>
      </c>
    </row>
    <row r="95" spans="1:18" x14ac:dyDescent="0.25">
      <c r="A95" s="1" t="s">
        <v>94</v>
      </c>
      <c r="C95" s="3">
        <v>626</v>
      </c>
      <c r="E95" t="s">
        <v>5102</v>
      </c>
      <c r="G95" s="1" t="str">
        <f>"=TheAlcoholic"</f>
        <v>=TheAlcoholic</v>
      </c>
      <c r="K95" t="s">
        <v>71</v>
      </c>
      <c r="M95" s="1"/>
      <c r="N95" s="1" t="s">
        <v>19</v>
      </c>
      <c r="P95" t="s">
        <v>74</v>
      </c>
      <c r="R95" t="s">
        <v>179</v>
      </c>
    </row>
    <row r="96" spans="1:18" x14ac:dyDescent="0.25">
      <c r="A96" s="1" t="s">
        <v>95</v>
      </c>
      <c r="C96" s="3">
        <v>618</v>
      </c>
      <c r="E96" t="s">
        <v>1526</v>
      </c>
      <c r="G96" s="1" t="str">
        <f>"=ScrewThisImOuttaHere"</f>
        <v>=ScrewThisImOuttaHere</v>
      </c>
      <c r="K96" t="s">
        <v>45</v>
      </c>
      <c r="M96" s="1"/>
      <c r="N96" s="1" t="s">
        <v>71</v>
      </c>
      <c r="P96" t="s">
        <v>152</v>
      </c>
      <c r="R96" t="s">
        <v>130</v>
      </c>
    </row>
    <row r="97" spans="1:18" x14ac:dyDescent="0.25">
      <c r="A97" s="1" t="s">
        <v>96</v>
      </c>
      <c r="C97" s="3">
        <v>617</v>
      </c>
      <c r="E97" t="s">
        <v>9225</v>
      </c>
      <c r="G97" s="1" t="str">
        <f>"=BodyHorror"</f>
        <v>=BodyHorror</v>
      </c>
      <c r="K97" t="s">
        <v>92</v>
      </c>
      <c r="M97" s="1"/>
      <c r="N97" s="1" t="s">
        <v>45</v>
      </c>
      <c r="P97" t="s">
        <v>88</v>
      </c>
      <c r="R97" t="s">
        <v>98</v>
      </c>
    </row>
    <row r="98" spans="1:18" x14ac:dyDescent="0.25">
      <c r="A98" s="1" t="s">
        <v>97</v>
      </c>
      <c r="C98" s="3">
        <v>616</v>
      </c>
      <c r="E98" t="s">
        <v>3900</v>
      </c>
      <c r="G98" s="1" t="str">
        <f>"=VillainProtagonist"</f>
        <v>=VillainProtagonist</v>
      </c>
      <c r="K98" t="s">
        <v>37</v>
      </c>
      <c r="M98" s="1"/>
      <c r="N98" s="1" t="s">
        <v>92</v>
      </c>
      <c r="P98" t="s">
        <v>23</v>
      </c>
      <c r="R98" t="s">
        <v>150</v>
      </c>
    </row>
    <row r="99" spans="1:18" x14ac:dyDescent="0.25">
      <c r="A99" s="1" t="s">
        <v>98</v>
      </c>
      <c r="C99" s="3">
        <v>614</v>
      </c>
      <c r="E99" t="s">
        <v>7004</v>
      </c>
      <c r="G99" s="1" t="str">
        <f>"=IdiotBall"</f>
        <v>=IdiotBall</v>
      </c>
      <c r="M99" s="1"/>
      <c r="N99" s="1" t="s">
        <v>37</v>
      </c>
      <c r="P99" t="s">
        <v>39</v>
      </c>
      <c r="R99" t="s">
        <v>177</v>
      </c>
    </row>
    <row r="100" spans="1:18" x14ac:dyDescent="0.25">
      <c r="A100" s="1" t="s">
        <v>99</v>
      </c>
      <c r="C100" s="3">
        <v>613</v>
      </c>
      <c r="E100" t="s">
        <v>1963</v>
      </c>
      <c r="G100" s="1" t="str">
        <f>"=NoodleIncident"</f>
        <v>=NoodleIncident</v>
      </c>
      <c r="P100" t="s">
        <v>44</v>
      </c>
      <c r="R100" t="s">
        <v>182</v>
      </c>
    </row>
    <row r="101" spans="1:18" x14ac:dyDescent="0.25">
      <c r="A101" s="1" t="s">
        <v>100</v>
      </c>
      <c r="C101" s="3">
        <v>596</v>
      </c>
      <c r="E101" t="s">
        <v>243</v>
      </c>
      <c r="G101" s="1" t="str">
        <f>"=SpiritualSuccessor"</f>
        <v>=SpiritualSuccessor</v>
      </c>
      <c r="P101" t="s">
        <v>13</v>
      </c>
      <c r="R101" t="s">
        <v>34</v>
      </c>
    </row>
    <row r="102" spans="1:18" x14ac:dyDescent="0.25">
      <c r="A102" s="1" t="s">
        <v>101</v>
      </c>
      <c r="C102" s="3">
        <v>588</v>
      </c>
      <c r="E102" t="s">
        <v>20462</v>
      </c>
      <c r="G102" s="1" t="str">
        <f>"=AntiHero"</f>
        <v>=AntiHero</v>
      </c>
      <c r="P102" t="s">
        <v>63</v>
      </c>
      <c r="R102" t="s">
        <v>42</v>
      </c>
    </row>
    <row r="103" spans="1:18" x14ac:dyDescent="0.25">
      <c r="A103" s="1" t="s">
        <v>102</v>
      </c>
      <c r="C103" s="3">
        <v>588</v>
      </c>
      <c r="E103" t="s">
        <v>2298</v>
      </c>
      <c r="G103" s="1" t="str">
        <f>"=DoesThisRemindYouOfAnything"</f>
        <v>=DoesThisRemindYouOfAnything</v>
      </c>
      <c r="P103" t="s">
        <v>75</v>
      </c>
      <c r="R103" t="s">
        <v>114</v>
      </c>
    </row>
    <row r="104" spans="1:18" x14ac:dyDescent="0.25">
      <c r="A104" s="1" t="s">
        <v>103</v>
      </c>
      <c r="C104" s="3">
        <v>587</v>
      </c>
      <c r="E104" t="s">
        <v>10260</v>
      </c>
      <c r="G104" s="1" t="str">
        <f>"=FreezeFrameBonus"</f>
        <v>=FreezeFrameBonus</v>
      </c>
      <c r="P104" t="s">
        <v>184</v>
      </c>
      <c r="R104" t="s">
        <v>180</v>
      </c>
    </row>
    <row r="105" spans="1:18" x14ac:dyDescent="0.25">
      <c r="A105" s="1" t="s">
        <v>104</v>
      </c>
      <c r="C105" s="3">
        <v>577</v>
      </c>
      <c r="E105" t="s">
        <v>1184</v>
      </c>
      <c r="G105" s="1" t="str">
        <f>"=CorruptCorporateExecutive"</f>
        <v>=CorruptCorporateExecutive</v>
      </c>
      <c r="P105" t="s">
        <v>179</v>
      </c>
      <c r="R105" t="s">
        <v>25491</v>
      </c>
    </row>
    <row r="106" spans="1:18" x14ac:dyDescent="0.25">
      <c r="A106" s="1" t="s">
        <v>105</v>
      </c>
      <c r="C106" s="3">
        <v>577</v>
      </c>
      <c r="E106" t="s">
        <v>16685</v>
      </c>
      <c r="G106" s="1" t="str">
        <f>"=SoundtrackDissonance"</f>
        <v>=SoundtrackDissonance</v>
      </c>
      <c r="P106" t="s">
        <v>130</v>
      </c>
      <c r="R106" t="s">
        <v>139</v>
      </c>
    </row>
    <row r="107" spans="1:18" x14ac:dyDescent="0.25">
      <c r="A107" s="1" t="s">
        <v>106</v>
      </c>
      <c r="C107" s="3">
        <v>574</v>
      </c>
      <c r="E107" t="s">
        <v>1565</v>
      </c>
      <c r="G107" s="1" t="str">
        <f>"=FauxAffablyEvil"</f>
        <v>=FauxAffablyEvil</v>
      </c>
      <c r="P107" t="s">
        <v>98</v>
      </c>
      <c r="R107" t="s">
        <v>41</v>
      </c>
    </row>
    <row r="108" spans="1:18" x14ac:dyDescent="0.25">
      <c r="A108" s="1" t="s">
        <v>107</v>
      </c>
      <c r="C108" s="3">
        <v>571</v>
      </c>
      <c r="E108" t="s">
        <v>2946</v>
      </c>
      <c r="G108" s="1" t="str">
        <f>"=ExactWords"</f>
        <v>=ExactWords</v>
      </c>
      <c r="P108" t="s">
        <v>150</v>
      </c>
      <c r="R108" t="s">
        <v>77</v>
      </c>
    </row>
    <row r="109" spans="1:18" x14ac:dyDescent="0.25">
      <c r="A109" s="1" t="s">
        <v>108</v>
      </c>
      <c r="C109" s="3">
        <v>570</v>
      </c>
      <c r="E109" t="s">
        <v>8808</v>
      </c>
      <c r="G109" s="1" t="str">
        <f>"=BadassBoast"</f>
        <v>=BadassBoast</v>
      </c>
      <c r="P109" t="s">
        <v>177</v>
      </c>
      <c r="R109" t="s">
        <v>20</v>
      </c>
    </row>
    <row r="110" spans="1:18" x14ac:dyDescent="0.25">
      <c r="A110" s="1" t="s">
        <v>109</v>
      </c>
      <c r="C110" s="3">
        <v>569</v>
      </c>
      <c r="E110" t="s">
        <v>16558</v>
      </c>
      <c r="G110" s="1" t="str">
        <f>"=CoolCar"</f>
        <v>=CoolCar</v>
      </c>
      <c r="P110" t="s">
        <v>182</v>
      </c>
      <c r="R110" t="s">
        <v>143</v>
      </c>
    </row>
    <row r="111" spans="1:18" x14ac:dyDescent="0.25">
      <c r="A111" s="1" t="s">
        <v>110</v>
      </c>
      <c r="C111" s="3">
        <v>569</v>
      </c>
      <c r="E111" t="s">
        <v>3018</v>
      </c>
      <c r="G111" s="1" t="str">
        <f>"=CrapsackWorld"</f>
        <v>=CrapsackWorld</v>
      </c>
      <c r="P111" t="s">
        <v>34</v>
      </c>
      <c r="R111" t="s">
        <v>24</v>
      </c>
    </row>
    <row r="112" spans="1:18" x14ac:dyDescent="0.25">
      <c r="A112" s="1" t="s">
        <v>111</v>
      </c>
      <c r="C112" s="3">
        <v>565</v>
      </c>
      <c r="E112" t="s">
        <v>3365</v>
      </c>
      <c r="G112" s="1" t="str">
        <f>"=AbusiveParents"</f>
        <v>=AbusiveParents</v>
      </c>
      <c r="P112" t="s">
        <v>42</v>
      </c>
      <c r="R112" t="s">
        <v>17</v>
      </c>
    </row>
    <row r="113" spans="1:18" x14ac:dyDescent="0.25">
      <c r="A113" s="1" t="s">
        <v>112</v>
      </c>
      <c r="C113" s="3">
        <v>565</v>
      </c>
      <c r="E113" t="s">
        <v>7940</v>
      </c>
      <c r="G113" s="1" t="str">
        <f>"=BilingualBonus"</f>
        <v>=BilingualBonus</v>
      </c>
      <c r="P113" t="s">
        <v>114</v>
      </c>
      <c r="R113" t="s">
        <v>12</v>
      </c>
    </row>
    <row r="114" spans="1:18" x14ac:dyDescent="0.25">
      <c r="A114" s="1" t="s">
        <v>113</v>
      </c>
      <c r="C114" s="3">
        <v>559</v>
      </c>
      <c r="E114" t="s">
        <v>9525</v>
      </c>
      <c r="G114" s="1" t="str">
        <f>"=TookALevelInBadass"</f>
        <v>=TookALevelInBadass</v>
      </c>
      <c r="P114" t="s">
        <v>180</v>
      </c>
      <c r="R114" t="s">
        <v>87</v>
      </c>
    </row>
    <row r="115" spans="1:18" x14ac:dyDescent="0.25">
      <c r="A115" s="1" t="s">
        <v>114</v>
      </c>
      <c r="C115" s="3">
        <v>558</v>
      </c>
      <c r="E115" t="s">
        <v>15714</v>
      </c>
      <c r="G115" s="1" t="str">
        <f>"=Irony"</f>
        <v>=Irony</v>
      </c>
      <c r="P115" t="s">
        <v>25491</v>
      </c>
      <c r="R115" t="s">
        <v>176</v>
      </c>
    </row>
    <row r="116" spans="1:18" x14ac:dyDescent="0.25">
      <c r="A116" s="1" t="s">
        <v>115</v>
      </c>
      <c r="C116" s="3">
        <v>556</v>
      </c>
      <c r="E116" t="s">
        <v>3574</v>
      </c>
      <c r="G116" s="1" t="str">
        <f>"=AllThereInTheManual"</f>
        <v>=AllThereInTheManual</v>
      </c>
      <c r="P116" t="s">
        <v>3</v>
      </c>
      <c r="R116" t="s">
        <v>145</v>
      </c>
    </row>
    <row r="117" spans="1:18" x14ac:dyDescent="0.25">
      <c r="A117" s="1" t="s">
        <v>116</v>
      </c>
      <c r="C117" s="3">
        <v>556</v>
      </c>
      <c r="E117" t="s">
        <v>9000</v>
      </c>
      <c r="G117" s="1" t="str">
        <f>"=CharacterDevelopment"</f>
        <v>=CharacterDevelopment</v>
      </c>
      <c r="P117" t="s">
        <v>139</v>
      </c>
      <c r="R117" t="s">
        <v>125</v>
      </c>
    </row>
    <row r="118" spans="1:18" x14ac:dyDescent="0.25">
      <c r="A118" s="1" t="s">
        <v>117</v>
      </c>
      <c r="C118" s="3">
        <v>555</v>
      </c>
      <c r="E118" t="s">
        <v>2491</v>
      </c>
      <c r="G118" s="1" t="str">
        <f>"=NiceGuy"</f>
        <v>=NiceGuy</v>
      </c>
      <c r="P118" t="s">
        <v>41</v>
      </c>
      <c r="R118" t="s">
        <v>25433</v>
      </c>
    </row>
    <row r="119" spans="1:18" x14ac:dyDescent="0.25">
      <c r="A119" s="1" t="s">
        <v>118</v>
      </c>
      <c r="C119" s="3">
        <v>555</v>
      </c>
      <c r="E119" t="s">
        <v>6416</v>
      </c>
      <c r="G119" s="1" t="str">
        <f>"=RedHerring"</f>
        <v>=RedHerring</v>
      </c>
      <c r="P119" t="s">
        <v>77</v>
      </c>
      <c r="R119" t="s">
        <v>198</v>
      </c>
    </row>
    <row r="120" spans="1:18" x14ac:dyDescent="0.25">
      <c r="A120" s="1" t="s">
        <v>119</v>
      </c>
      <c r="C120" s="3">
        <v>553</v>
      </c>
      <c r="E120" t="s">
        <v>2254</v>
      </c>
      <c r="G120" s="1" t="str">
        <f>"=Determinator"</f>
        <v>=Determinator</v>
      </c>
      <c r="P120" t="s">
        <v>20</v>
      </c>
      <c r="R120" t="s">
        <v>171</v>
      </c>
    </row>
    <row r="121" spans="1:18" x14ac:dyDescent="0.25">
      <c r="A121" s="1" t="s">
        <v>120</v>
      </c>
      <c r="C121" s="3">
        <v>550</v>
      </c>
      <c r="E121" t="s">
        <v>1188</v>
      </c>
      <c r="G121" s="1" t="str">
        <f>"=SmugSnake"</f>
        <v>=SmugSnake</v>
      </c>
      <c r="P121" t="s">
        <v>143</v>
      </c>
      <c r="R121" t="s">
        <v>22</v>
      </c>
    </row>
    <row r="122" spans="1:18" x14ac:dyDescent="0.25">
      <c r="A122" s="1" t="s">
        <v>121</v>
      </c>
      <c r="C122" s="3">
        <v>542</v>
      </c>
      <c r="E122" t="s">
        <v>853</v>
      </c>
      <c r="G122" s="1" t="str">
        <f>"=DarkerAndEdgier"</f>
        <v>=DarkerAndEdgier</v>
      </c>
      <c r="P122" t="s">
        <v>24</v>
      </c>
      <c r="R122" t="s">
        <v>146</v>
      </c>
    </row>
    <row r="123" spans="1:18" x14ac:dyDescent="0.25">
      <c r="A123" s="1" t="s">
        <v>122</v>
      </c>
      <c r="C123" s="3">
        <v>539</v>
      </c>
      <c r="E123" t="s">
        <v>15674</v>
      </c>
      <c r="G123" s="1" t="str">
        <f>"=ReasonableAuthorityFigure"</f>
        <v>=ReasonableAuthorityFigure</v>
      </c>
      <c r="P123" t="s">
        <v>17</v>
      </c>
      <c r="R123" t="s">
        <v>193</v>
      </c>
    </row>
    <row r="124" spans="1:18" x14ac:dyDescent="0.25">
      <c r="A124" s="1" t="s">
        <v>123</v>
      </c>
      <c r="C124" s="3">
        <v>538</v>
      </c>
      <c r="E124" t="s">
        <v>2435</v>
      </c>
      <c r="G124" s="1" t="str">
        <f>"=ForegoneConclusion"</f>
        <v>=ForegoneConclusion</v>
      </c>
      <c r="P124" t="s">
        <v>12</v>
      </c>
      <c r="R124" t="s">
        <v>36</v>
      </c>
    </row>
    <row r="125" spans="1:18" x14ac:dyDescent="0.25">
      <c r="A125" s="1" t="s">
        <v>124</v>
      </c>
      <c r="C125" s="3">
        <v>537</v>
      </c>
      <c r="E125" t="s">
        <v>12330</v>
      </c>
      <c r="G125" s="1" t="str">
        <f>"=FreudianExcuse"</f>
        <v>=FreudianExcuse</v>
      </c>
      <c r="P125" t="s">
        <v>87</v>
      </c>
      <c r="R125" t="s">
        <v>126</v>
      </c>
    </row>
    <row r="126" spans="1:18" x14ac:dyDescent="0.25">
      <c r="A126" s="1" t="s">
        <v>125</v>
      </c>
      <c r="C126" s="3">
        <v>537</v>
      </c>
      <c r="E126" t="s">
        <v>1286</v>
      </c>
      <c r="G126" s="1" t="str">
        <f>"=MacGuffin"</f>
        <v>=MacGuffin</v>
      </c>
      <c r="P126" t="s">
        <v>176</v>
      </c>
      <c r="R126" t="s">
        <v>46</v>
      </c>
    </row>
    <row r="127" spans="1:18" x14ac:dyDescent="0.25">
      <c r="A127" s="1" t="s">
        <v>126</v>
      </c>
      <c r="C127" s="3">
        <v>537</v>
      </c>
      <c r="E127" t="s">
        <v>1547</v>
      </c>
      <c r="G127" s="1" t="str">
        <f>"=Mooks"</f>
        <v>=Mooks</v>
      </c>
      <c r="P127" t="s">
        <v>145</v>
      </c>
      <c r="R127" t="s">
        <v>70</v>
      </c>
    </row>
    <row r="128" spans="1:18" x14ac:dyDescent="0.25">
      <c r="A128" s="1" t="s">
        <v>127</v>
      </c>
      <c r="C128" s="3">
        <v>533</v>
      </c>
      <c r="E128" t="s">
        <v>6627</v>
      </c>
      <c r="G128" s="1" t="str">
        <f>"=ClusterFBomb"</f>
        <v>=ClusterFBomb</v>
      </c>
      <c r="P128" t="s">
        <v>125</v>
      </c>
      <c r="R128" t="s">
        <v>50</v>
      </c>
    </row>
    <row r="129" spans="1:18" x14ac:dyDescent="0.25">
      <c r="A129" s="1" t="s">
        <v>128</v>
      </c>
      <c r="C129" s="3">
        <v>532</v>
      </c>
      <c r="E129" t="s">
        <v>3881</v>
      </c>
      <c r="G129" s="1" t="str">
        <f>"=ChekhovsGunman"</f>
        <v>=ChekhovsGunman</v>
      </c>
      <c r="P129" t="s">
        <v>25433</v>
      </c>
      <c r="R129" t="s">
        <v>131</v>
      </c>
    </row>
    <row r="130" spans="1:18" x14ac:dyDescent="0.25">
      <c r="A130" s="1" t="s">
        <v>129</v>
      </c>
      <c r="C130" s="3">
        <v>531</v>
      </c>
      <c r="E130" t="s">
        <v>3629</v>
      </c>
      <c r="G130" s="1" t="str">
        <f>"=DisappearedDad"</f>
        <v>=DisappearedDad</v>
      </c>
      <c r="P130" t="s">
        <v>138</v>
      </c>
      <c r="R130" t="s">
        <v>117</v>
      </c>
    </row>
    <row r="131" spans="1:18" x14ac:dyDescent="0.25">
      <c r="A131" s="1" t="s">
        <v>130</v>
      </c>
      <c r="C131" s="3">
        <v>530</v>
      </c>
      <c r="E131" t="s">
        <v>239</v>
      </c>
      <c r="G131" s="1" t="str">
        <f>"=HypocriticalHumor"</f>
        <v>=HypocriticalHumor</v>
      </c>
      <c r="P131" t="s">
        <v>198</v>
      </c>
      <c r="R131" t="s">
        <v>67</v>
      </c>
    </row>
    <row r="132" spans="1:18" x14ac:dyDescent="0.25">
      <c r="A132" s="1" t="s">
        <v>131</v>
      </c>
      <c r="C132" s="3">
        <v>528</v>
      </c>
      <c r="E132" t="s">
        <v>273</v>
      </c>
      <c r="G132" s="1" t="str">
        <f>"=NeverTrustATrailer"</f>
        <v>=NeverTrustATrailer</v>
      </c>
      <c r="P132" t="s">
        <v>171</v>
      </c>
      <c r="R132" t="s">
        <v>174</v>
      </c>
    </row>
    <row r="133" spans="1:18" x14ac:dyDescent="0.25">
      <c r="A133" s="1" t="s">
        <v>132</v>
      </c>
      <c r="C133" s="3">
        <v>527</v>
      </c>
      <c r="E133" t="s">
        <v>3774</v>
      </c>
      <c r="G133" s="1" t="str">
        <f>"=ArtisticLicenseHistory"</f>
        <v>=ArtisticLicenseHistory</v>
      </c>
      <c r="P133" t="s">
        <v>22</v>
      </c>
      <c r="R133" t="s">
        <v>153</v>
      </c>
    </row>
    <row r="134" spans="1:18" x14ac:dyDescent="0.25">
      <c r="A134" s="1" t="s">
        <v>133</v>
      </c>
      <c r="C134" s="3">
        <v>527</v>
      </c>
      <c r="E134" t="s">
        <v>1490</v>
      </c>
      <c r="G134" s="1" t="str">
        <f>"=PapaWolf"</f>
        <v>=PapaWolf</v>
      </c>
      <c r="P134" t="s">
        <v>146</v>
      </c>
      <c r="R134" t="s">
        <v>84</v>
      </c>
    </row>
    <row r="135" spans="1:18" x14ac:dyDescent="0.25">
      <c r="A135" s="1" t="s">
        <v>134</v>
      </c>
      <c r="C135" s="3">
        <v>524</v>
      </c>
      <c r="E135" t="s">
        <v>700</v>
      </c>
      <c r="G135" s="1" t="str">
        <f>"=CompositeCharacter"</f>
        <v>=CompositeCharacter</v>
      </c>
      <c r="P135" t="s">
        <v>193</v>
      </c>
      <c r="R135" t="s">
        <v>99</v>
      </c>
    </row>
    <row r="136" spans="1:18" x14ac:dyDescent="0.25">
      <c r="A136" s="1" t="s">
        <v>135</v>
      </c>
      <c r="C136" s="3">
        <v>523</v>
      </c>
      <c r="E136" t="s">
        <v>3371</v>
      </c>
      <c r="G136" s="1" t="str">
        <f>"=SequelHook"</f>
        <v>=SequelHook</v>
      </c>
      <c r="P136" t="s">
        <v>36</v>
      </c>
      <c r="R136" t="s">
        <v>189</v>
      </c>
    </row>
    <row r="137" spans="1:18" x14ac:dyDescent="0.25">
      <c r="A137" s="1" t="s">
        <v>136</v>
      </c>
      <c r="C137" s="3">
        <v>522</v>
      </c>
      <c r="E137" t="s">
        <v>4615</v>
      </c>
      <c r="G137" s="1" t="str">
        <f>"=BigNo"</f>
        <v>=BigNo</v>
      </c>
      <c r="P137" t="s">
        <v>126</v>
      </c>
      <c r="R137" t="s">
        <v>57</v>
      </c>
    </row>
    <row r="138" spans="1:18" x14ac:dyDescent="0.25">
      <c r="A138" s="1" t="s">
        <v>137</v>
      </c>
      <c r="C138" s="3">
        <v>522</v>
      </c>
      <c r="E138" t="s">
        <v>4471</v>
      </c>
      <c r="G138" s="1" t="str">
        <f>"=CassandraTruth"</f>
        <v>=CassandraTruth</v>
      </c>
      <c r="P138" t="s">
        <v>46</v>
      </c>
      <c r="R138" t="s">
        <v>141</v>
      </c>
    </row>
    <row r="139" spans="1:18" x14ac:dyDescent="0.25">
      <c r="A139" s="1" t="s">
        <v>138</v>
      </c>
      <c r="C139" s="3">
        <v>519</v>
      </c>
      <c r="E139" t="s">
        <v>1468</v>
      </c>
      <c r="G139" s="1" t="str">
        <f>"=MadeOfIron"</f>
        <v>=MadeOfIron</v>
      </c>
      <c r="P139" t="s">
        <v>70</v>
      </c>
      <c r="R139" t="s">
        <v>4</v>
      </c>
    </row>
    <row r="140" spans="1:18" x14ac:dyDescent="0.25">
      <c r="A140" s="1" t="s">
        <v>139</v>
      </c>
      <c r="C140" s="3">
        <v>518</v>
      </c>
      <c r="E140" t="s">
        <v>3216</v>
      </c>
      <c r="G140" s="1" t="str">
        <f>"=JerkassHasAPoint"</f>
        <v>=JerkassHasAPoint</v>
      </c>
      <c r="P140" t="s">
        <v>50</v>
      </c>
      <c r="R140" t="s">
        <v>91</v>
      </c>
    </row>
    <row r="141" spans="1:18" x14ac:dyDescent="0.25">
      <c r="A141" s="1" t="s">
        <v>140</v>
      </c>
      <c r="C141" s="3">
        <v>518</v>
      </c>
      <c r="E141" t="s">
        <v>88</v>
      </c>
      <c r="G141" s="1" t="str">
        <f>"=SerialKiller"</f>
        <v>=SerialKiller</v>
      </c>
      <c r="P141" t="s">
        <v>131</v>
      </c>
      <c r="R141" t="s">
        <v>133</v>
      </c>
    </row>
    <row r="142" spans="1:18" x14ac:dyDescent="0.25">
      <c r="A142" s="1" t="s">
        <v>141</v>
      </c>
      <c r="C142" s="3">
        <v>517</v>
      </c>
      <c r="E142" t="s">
        <v>318</v>
      </c>
      <c r="G142" s="1" t="str">
        <f>"=OffWithHisHead"</f>
        <v>=OffWithHisHead</v>
      </c>
      <c r="P142" t="s">
        <v>117</v>
      </c>
      <c r="R142" t="s">
        <v>53</v>
      </c>
    </row>
    <row r="143" spans="1:18" x14ac:dyDescent="0.25">
      <c r="A143" s="1" t="s">
        <v>142</v>
      </c>
      <c r="C143" s="3">
        <v>513</v>
      </c>
      <c r="E143" t="s">
        <v>6734</v>
      </c>
      <c r="G143" s="1" t="str">
        <f>"=BoomHeadshot"</f>
        <v>=BoomHeadshot</v>
      </c>
      <c r="P143" t="s">
        <v>67</v>
      </c>
      <c r="R143" t="s">
        <v>49</v>
      </c>
    </row>
    <row r="144" spans="1:18" x14ac:dyDescent="0.25">
      <c r="A144" s="1" t="s">
        <v>143</v>
      </c>
      <c r="C144" s="3">
        <v>513</v>
      </c>
      <c r="E144" t="s">
        <v>6532</v>
      </c>
      <c r="G144" s="1" t="str">
        <f>"=KarmicDeath"</f>
        <v>=KarmicDeath</v>
      </c>
      <c r="P144" t="s">
        <v>174</v>
      </c>
      <c r="R144" t="s">
        <v>78</v>
      </c>
    </row>
    <row r="145" spans="1:18" x14ac:dyDescent="0.25">
      <c r="A145" s="1" t="s">
        <v>144</v>
      </c>
      <c r="C145" s="3">
        <v>509</v>
      </c>
      <c r="E145" t="s">
        <v>164</v>
      </c>
      <c r="G145" s="1" t="str">
        <f>"=TheMole"</f>
        <v>=TheMole</v>
      </c>
      <c r="P145" t="s">
        <v>153</v>
      </c>
      <c r="R145" t="s">
        <v>31</v>
      </c>
    </row>
    <row r="146" spans="1:18" x14ac:dyDescent="0.25">
      <c r="A146" s="1" t="s">
        <v>145</v>
      </c>
      <c r="C146" s="3">
        <v>505</v>
      </c>
      <c r="E146" t="s">
        <v>19168</v>
      </c>
      <c r="G146" s="1" t="str">
        <f>"=LoveTriangle"</f>
        <v>=LoveTriangle</v>
      </c>
      <c r="P146" t="s">
        <v>84</v>
      </c>
      <c r="R146" t="s">
        <v>79</v>
      </c>
    </row>
    <row r="147" spans="1:18" x14ac:dyDescent="0.25">
      <c r="A147" s="1" t="s">
        <v>146</v>
      </c>
      <c r="C147" s="3">
        <v>503</v>
      </c>
      <c r="E147" t="s">
        <v>5044</v>
      </c>
      <c r="G147" s="1" t="str">
        <f>"=MindScrew"</f>
        <v>=MindScrew</v>
      </c>
      <c r="P147" t="s">
        <v>99</v>
      </c>
      <c r="R147" t="s">
        <v>32</v>
      </c>
    </row>
    <row r="148" spans="1:18" x14ac:dyDescent="0.25">
      <c r="A148" s="2" t="s">
        <v>147</v>
      </c>
      <c r="C148" s="4">
        <v>500</v>
      </c>
      <c r="E148" t="s">
        <v>25408</v>
      </c>
      <c r="G148" s="7" t="str">
        <f>"=TrailersAlwaysSpoil"</f>
        <v>=TrailersAlwaysSpoil</v>
      </c>
      <c r="P148" t="s">
        <v>189</v>
      </c>
      <c r="R148" t="s">
        <v>28</v>
      </c>
    </row>
    <row r="149" spans="1:18" x14ac:dyDescent="0.25">
      <c r="A149" s="1" t="s">
        <v>148</v>
      </c>
      <c r="C149" s="3">
        <v>499</v>
      </c>
      <c r="E149" t="s">
        <v>1685</v>
      </c>
      <c r="G149" s="1" t="str">
        <f>"=ArsonMurderAndJaywalking"</f>
        <v>=ArsonMurderAndJaywalking</v>
      </c>
      <c r="P149" t="s">
        <v>57</v>
      </c>
      <c r="R149" t="s">
        <v>122</v>
      </c>
    </row>
    <row r="150" spans="1:18" x14ac:dyDescent="0.25">
      <c r="A150" s="1" t="s">
        <v>149</v>
      </c>
      <c r="C150" s="3">
        <v>491</v>
      </c>
      <c r="E150" t="s">
        <v>19284</v>
      </c>
      <c r="G150" s="1" t="str">
        <f>"=FunnyBackgroundEvent"</f>
        <v>=FunnyBackgroundEvent</v>
      </c>
      <c r="P150" t="s">
        <v>141</v>
      </c>
      <c r="R150" t="s">
        <v>118</v>
      </c>
    </row>
    <row r="151" spans="1:18" x14ac:dyDescent="0.25">
      <c r="A151" s="1" t="s">
        <v>150</v>
      </c>
      <c r="C151" s="3">
        <v>489</v>
      </c>
      <c r="E151" t="s">
        <v>18998</v>
      </c>
      <c r="G151" s="1" t="str">
        <f>"=ImpaledWithExtremePrejudice"</f>
        <v>=ImpaledWithExtremePrejudice</v>
      </c>
      <c r="P151" t="s">
        <v>4</v>
      </c>
      <c r="R151" t="s">
        <v>187</v>
      </c>
    </row>
    <row r="152" spans="1:18" x14ac:dyDescent="0.25">
      <c r="A152" s="1" t="s">
        <v>151</v>
      </c>
      <c r="C152" s="3">
        <v>487</v>
      </c>
      <c r="E152" t="s">
        <v>24356</v>
      </c>
      <c r="G152" s="1" t="str">
        <f>"=ForTheEvulz"</f>
        <v>=ForTheEvulz</v>
      </c>
      <c r="P152" t="s">
        <v>91</v>
      </c>
      <c r="R152" t="s">
        <v>62</v>
      </c>
    </row>
    <row r="153" spans="1:18" x14ac:dyDescent="0.25">
      <c r="A153" s="1" t="s">
        <v>152</v>
      </c>
      <c r="C153" s="3">
        <v>487</v>
      </c>
      <c r="E153" t="s">
        <v>3337</v>
      </c>
      <c r="G153" s="1" t="str">
        <f>"=Gorn"</f>
        <v>=Gorn</v>
      </c>
      <c r="P153" t="s">
        <v>133</v>
      </c>
      <c r="R153" t="s">
        <v>158</v>
      </c>
    </row>
    <row r="154" spans="1:18" x14ac:dyDescent="0.25">
      <c r="A154" s="1" t="s">
        <v>153</v>
      </c>
      <c r="C154" s="3">
        <v>486</v>
      </c>
      <c r="E154" t="s">
        <v>8353</v>
      </c>
      <c r="G154" s="1" t="str">
        <f>"=NoHoldsBarredBeatdown"</f>
        <v>=NoHoldsBarredBeatdown</v>
      </c>
      <c r="P154" t="s">
        <v>53</v>
      </c>
      <c r="R154" t="s">
        <v>10</v>
      </c>
    </row>
    <row r="155" spans="1:18" x14ac:dyDescent="0.25">
      <c r="A155" s="1" t="s">
        <v>154</v>
      </c>
      <c r="C155" s="3">
        <v>482</v>
      </c>
      <c r="E155" t="s">
        <v>11103</v>
      </c>
      <c r="G155" s="1" t="str">
        <f>"=ContrivedCoincidence"</f>
        <v>=ContrivedCoincidence</v>
      </c>
      <c r="P155" t="s">
        <v>49</v>
      </c>
      <c r="R155" t="s">
        <v>173</v>
      </c>
    </row>
    <row r="156" spans="1:18" x14ac:dyDescent="0.25">
      <c r="A156" s="1" t="s">
        <v>155</v>
      </c>
      <c r="C156" s="3">
        <v>480</v>
      </c>
      <c r="E156" t="s">
        <v>13298</v>
      </c>
      <c r="G156" s="1" t="str">
        <f>"=BatmanGambit"</f>
        <v>=BatmanGambit</v>
      </c>
      <c r="P156" t="s">
        <v>78</v>
      </c>
      <c r="R156" t="s">
        <v>167</v>
      </c>
    </row>
    <row r="157" spans="1:18" x14ac:dyDescent="0.25">
      <c r="A157" s="1" t="s">
        <v>156</v>
      </c>
      <c r="C157" s="3">
        <v>474</v>
      </c>
      <c r="E157" t="s">
        <v>2611</v>
      </c>
      <c r="G157" s="1" t="str">
        <f>"=DirtyCoward"</f>
        <v>=DirtyCoward</v>
      </c>
      <c r="P157" t="s">
        <v>31</v>
      </c>
      <c r="R157" t="s">
        <v>61</v>
      </c>
    </row>
    <row r="158" spans="1:18" x14ac:dyDescent="0.25">
      <c r="A158" s="1" t="s">
        <v>157</v>
      </c>
      <c r="C158" s="3">
        <v>473</v>
      </c>
      <c r="E158" t="s">
        <v>10560</v>
      </c>
      <c r="G158" s="1" t="str">
        <f>"=EarnYourHappyEnding"</f>
        <v>=EarnYourHappyEnding</v>
      </c>
      <c r="P158" t="s">
        <v>79</v>
      </c>
      <c r="R158" t="s">
        <v>95</v>
      </c>
    </row>
    <row r="159" spans="1:18" x14ac:dyDescent="0.25">
      <c r="A159" s="1" t="s">
        <v>158</v>
      </c>
      <c r="C159" s="3">
        <v>473</v>
      </c>
      <c r="E159" t="s">
        <v>3873</v>
      </c>
      <c r="G159" s="1" t="str">
        <f>"=RuleOfCool"</f>
        <v>=RuleOfCool</v>
      </c>
      <c r="P159" t="s">
        <v>32</v>
      </c>
      <c r="R159" t="s">
        <v>135</v>
      </c>
    </row>
    <row r="160" spans="1:18" x14ac:dyDescent="0.25">
      <c r="A160" s="1" t="s">
        <v>159</v>
      </c>
      <c r="C160" s="3">
        <v>471</v>
      </c>
      <c r="E160" t="s">
        <v>13417</v>
      </c>
      <c r="G160" s="1" t="str">
        <f>"=BreakingTheFourthWall"</f>
        <v>=BreakingTheFourthWall</v>
      </c>
      <c r="P160" t="s">
        <v>28</v>
      </c>
      <c r="R160" t="s">
        <v>140</v>
      </c>
    </row>
    <row r="161" spans="1:18" x14ac:dyDescent="0.25">
      <c r="A161" s="1" t="s">
        <v>160</v>
      </c>
      <c r="C161" s="3">
        <v>470</v>
      </c>
      <c r="E161" t="s">
        <v>5817</v>
      </c>
      <c r="G161" s="1" t="str">
        <f>"=DirtyCop"</f>
        <v>=DirtyCop</v>
      </c>
      <c r="P161" t="s">
        <v>122</v>
      </c>
      <c r="R161" t="s">
        <v>2</v>
      </c>
    </row>
    <row r="162" spans="1:18" x14ac:dyDescent="0.25">
      <c r="A162" s="1" t="s">
        <v>161</v>
      </c>
      <c r="C162" s="3">
        <v>465</v>
      </c>
      <c r="E162" t="s">
        <v>298</v>
      </c>
      <c r="G162" s="1" t="str">
        <f>"=WouldHitAGirl"</f>
        <v>=WouldHitAGirl</v>
      </c>
      <c r="P162" t="s">
        <v>118</v>
      </c>
      <c r="R162" t="s">
        <v>83</v>
      </c>
    </row>
    <row r="163" spans="1:18" x14ac:dyDescent="0.25">
      <c r="A163" s="1" t="s">
        <v>162</v>
      </c>
      <c r="C163" s="3">
        <v>456</v>
      </c>
      <c r="E163" t="s">
        <v>2971</v>
      </c>
      <c r="G163" s="1" t="str">
        <f>"=TheSociopath"</f>
        <v>=TheSociopath</v>
      </c>
      <c r="P163" t="s">
        <v>187</v>
      </c>
      <c r="R163" t="s">
        <v>183</v>
      </c>
    </row>
    <row r="164" spans="1:18" x14ac:dyDescent="0.25">
      <c r="A164" s="1" t="s">
        <v>163</v>
      </c>
      <c r="C164" s="3">
        <v>453</v>
      </c>
      <c r="E164" t="s">
        <v>794</v>
      </c>
      <c r="G164" s="1" t="str">
        <f>"=ComicallyMissingThePoint"</f>
        <v>=ComicallyMissingThePoint</v>
      </c>
      <c r="P164" t="s">
        <v>62</v>
      </c>
      <c r="R164" t="s">
        <v>120</v>
      </c>
    </row>
    <row r="165" spans="1:18" x14ac:dyDescent="0.25">
      <c r="A165" s="1" t="s">
        <v>164</v>
      </c>
      <c r="C165" s="3">
        <v>452</v>
      </c>
      <c r="E165" t="s">
        <v>3650</v>
      </c>
      <c r="G165" s="1" t="str">
        <f>"=FinalGirl"</f>
        <v>=FinalGirl</v>
      </c>
      <c r="P165" t="s">
        <v>158</v>
      </c>
      <c r="R165" t="s">
        <v>105</v>
      </c>
    </row>
    <row r="166" spans="1:18" x14ac:dyDescent="0.25">
      <c r="A166" s="1" t="s">
        <v>165</v>
      </c>
      <c r="C166" s="3">
        <v>452</v>
      </c>
      <c r="E166" t="s">
        <v>1870</v>
      </c>
      <c r="G166" s="1" t="str">
        <f>"=VeryLooselyBasedOnATrueStory"</f>
        <v>=VeryLooselyBasedOnATrueStory</v>
      </c>
      <c r="P166" t="s">
        <v>10</v>
      </c>
      <c r="R166" t="s">
        <v>100</v>
      </c>
    </row>
    <row r="167" spans="1:18" x14ac:dyDescent="0.25">
      <c r="A167" s="1" t="s">
        <v>166</v>
      </c>
      <c r="C167" s="3">
        <v>447</v>
      </c>
      <c r="E167" t="s">
        <v>4385</v>
      </c>
      <c r="G167" s="1" t="str">
        <f>"=CoversAlwaysLie"</f>
        <v>=CoversAlwaysLie</v>
      </c>
      <c r="P167" t="s">
        <v>173</v>
      </c>
      <c r="R167" t="s">
        <v>191</v>
      </c>
    </row>
    <row r="168" spans="1:18" x14ac:dyDescent="0.25">
      <c r="A168" s="1" t="s">
        <v>167</v>
      </c>
      <c r="C168" s="3">
        <v>446</v>
      </c>
      <c r="E168" t="s">
        <v>1674</v>
      </c>
      <c r="G168" s="1" t="str">
        <f>"=SarcasmMode"</f>
        <v>=SarcasmMode</v>
      </c>
      <c r="P168" t="s">
        <v>167</v>
      </c>
      <c r="R168" t="s">
        <v>192</v>
      </c>
    </row>
    <row r="169" spans="1:18" x14ac:dyDescent="0.25">
      <c r="A169" s="1" t="s">
        <v>168</v>
      </c>
      <c r="C169" s="3">
        <v>445</v>
      </c>
      <c r="E169" t="s">
        <v>1622</v>
      </c>
      <c r="G169" s="1" t="str">
        <f>"=StockFootage"</f>
        <v>=StockFootage</v>
      </c>
      <c r="P169" t="s">
        <v>61</v>
      </c>
      <c r="R169" t="s">
        <v>168</v>
      </c>
    </row>
    <row r="170" spans="1:18" x14ac:dyDescent="0.25">
      <c r="A170" s="1" t="s">
        <v>169</v>
      </c>
      <c r="C170" s="3">
        <v>443</v>
      </c>
      <c r="E170" t="s">
        <v>5506</v>
      </c>
      <c r="G170" s="1" t="str">
        <f>"=AlphaBitch"</f>
        <v>=AlphaBitch</v>
      </c>
      <c r="P170" t="s">
        <v>95</v>
      </c>
      <c r="R170" t="s">
        <v>64</v>
      </c>
    </row>
    <row r="171" spans="1:18" x14ac:dyDescent="0.25">
      <c r="A171" s="1" t="s">
        <v>170</v>
      </c>
      <c r="C171" s="3">
        <v>439</v>
      </c>
      <c r="E171" t="s">
        <v>5266</v>
      </c>
      <c r="G171" s="1" t="str">
        <f>"=Adorkable"</f>
        <v>=Adorkable</v>
      </c>
      <c r="P171" t="s">
        <v>135</v>
      </c>
      <c r="R171" t="s">
        <v>59</v>
      </c>
    </row>
    <row r="172" spans="1:18" x14ac:dyDescent="0.25">
      <c r="A172" s="1" t="s">
        <v>171</v>
      </c>
      <c r="C172" s="3">
        <v>432</v>
      </c>
      <c r="E172" t="s">
        <v>1151</v>
      </c>
      <c r="G172" s="1" t="str">
        <f>"=MeaningfulEcho"</f>
        <v>=MeaningfulEcho</v>
      </c>
      <c r="P172" t="s">
        <v>140</v>
      </c>
      <c r="R172" t="s">
        <v>68</v>
      </c>
    </row>
    <row r="173" spans="1:18" x14ac:dyDescent="0.25">
      <c r="A173" s="1" t="s">
        <v>172</v>
      </c>
      <c r="C173" s="3">
        <v>430</v>
      </c>
      <c r="E173" t="s">
        <v>2641</v>
      </c>
      <c r="G173" s="1" t="str">
        <f>"=CruelAndUnusualDeath"</f>
        <v>=CruelAndUnusualDeath</v>
      </c>
      <c r="P173" t="s">
        <v>2</v>
      </c>
      <c r="R173" t="s">
        <v>94</v>
      </c>
    </row>
    <row r="174" spans="1:18" x14ac:dyDescent="0.25">
      <c r="A174" s="1" t="s">
        <v>173</v>
      </c>
      <c r="C174" s="3">
        <v>430</v>
      </c>
      <c r="E174" t="s">
        <v>4192</v>
      </c>
      <c r="G174" s="1" t="str">
        <f>"=SanitySlippage"</f>
        <v>=SanitySlippage</v>
      </c>
      <c r="P174" t="s">
        <v>25498</v>
      </c>
      <c r="R174" t="s">
        <v>26</v>
      </c>
    </row>
    <row r="175" spans="1:18" x14ac:dyDescent="0.25">
      <c r="A175" s="1" t="s">
        <v>174</v>
      </c>
      <c r="C175" s="3">
        <v>429</v>
      </c>
      <c r="E175" t="s">
        <v>572</v>
      </c>
      <c r="G175" s="1" t="str">
        <f>"=NoCelebritiesWereHarmed"</f>
        <v>=NoCelebritiesWereHarmed</v>
      </c>
      <c r="P175" t="s">
        <v>83</v>
      </c>
      <c r="R175" t="s">
        <v>27</v>
      </c>
    </row>
    <row r="176" spans="1:18" x14ac:dyDescent="0.25">
      <c r="A176" s="1" t="s">
        <v>175</v>
      </c>
      <c r="C176" s="3">
        <v>425</v>
      </c>
      <c r="E176" t="s">
        <v>1883</v>
      </c>
      <c r="G176" s="1" t="str">
        <f>"=Beat"</f>
        <v>=Beat</v>
      </c>
      <c r="P176" t="s">
        <v>183</v>
      </c>
      <c r="R176" t="s">
        <v>144</v>
      </c>
    </row>
    <row r="177" spans="1:18" x14ac:dyDescent="0.25">
      <c r="A177" s="1" t="s">
        <v>176</v>
      </c>
      <c r="C177" s="3">
        <v>425</v>
      </c>
      <c r="E177" t="s">
        <v>5512</v>
      </c>
      <c r="G177" s="1" t="str">
        <f>"=LighterAndSofter"</f>
        <v>=LighterAndSofter</v>
      </c>
      <c r="P177" t="s">
        <v>120</v>
      </c>
      <c r="R177" t="s">
        <v>43</v>
      </c>
    </row>
    <row r="178" spans="1:18" x14ac:dyDescent="0.25">
      <c r="A178" s="1" t="s">
        <v>177</v>
      </c>
      <c r="C178" s="3">
        <v>423</v>
      </c>
      <c r="E178" t="s">
        <v>2016</v>
      </c>
      <c r="G178" s="1" t="str">
        <f>"=ImprovisedWeapon"</f>
        <v>=ImprovisedWeapon</v>
      </c>
      <c r="P178" t="s">
        <v>105</v>
      </c>
      <c r="R178" t="s">
        <v>29</v>
      </c>
    </row>
    <row r="179" spans="1:18" x14ac:dyDescent="0.25">
      <c r="A179" s="1" t="s">
        <v>178</v>
      </c>
      <c r="C179" s="3">
        <v>421</v>
      </c>
      <c r="E179" t="s">
        <v>888</v>
      </c>
      <c r="G179" s="1" t="str">
        <f>"=ContinuityNod"</f>
        <v>=ContinuityNod</v>
      </c>
      <c r="P179" t="s">
        <v>100</v>
      </c>
      <c r="R179" t="s">
        <v>162</v>
      </c>
    </row>
    <row r="180" spans="1:18" x14ac:dyDescent="0.25">
      <c r="A180" s="1" t="s">
        <v>179</v>
      </c>
      <c r="C180" s="3">
        <v>420</v>
      </c>
      <c r="E180" t="s">
        <v>1493</v>
      </c>
      <c r="G180" s="1" t="str">
        <f>"=Hypocrite"</f>
        <v>=Hypocrite</v>
      </c>
      <c r="P180" t="s">
        <v>191</v>
      </c>
      <c r="R180" t="s">
        <v>81</v>
      </c>
    </row>
    <row r="181" spans="1:18" x14ac:dyDescent="0.25">
      <c r="A181" s="1" t="s">
        <v>180</v>
      </c>
      <c r="C181" s="3">
        <v>418</v>
      </c>
      <c r="E181" t="s">
        <v>837</v>
      </c>
      <c r="G181" s="1" t="str">
        <f>"=ItsAllAboutMe"</f>
        <v>=ItsAllAboutMe</v>
      </c>
      <c r="P181" t="s">
        <v>192</v>
      </c>
      <c r="R181" t="s">
        <v>190</v>
      </c>
    </row>
    <row r="182" spans="1:18" x14ac:dyDescent="0.25">
      <c r="A182" s="1" t="s">
        <v>181</v>
      </c>
      <c r="C182" s="3">
        <v>417</v>
      </c>
      <c r="E182" t="s">
        <v>1719</v>
      </c>
      <c r="G182" s="1" t="str">
        <f>"=AntiVillain"</f>
        <v>=AntiVillain</v>
      </c>
      <c r="P182" t="s">
        <v>168</v>
      </c>
      <c r="R182" t="s">
        <v>9</v>
      </c>
    </row>
    <row r="183" spans="1:18" x14ac:dyDescent="0.25">
      <c r="A183" s="1" t="s">
        <v>182</v>
      </c>
      <c r="C183" s="3">
        <v>416</v>
      </c>
      <c r="E183" t="s">
        <v>6681</v>
      </c>
      <c r="G183" s="1" t="str">
        <f>"=InsistentTerminology"</f>
        <v>=InsistentTerminology</v>
      </c>
      <c r="P183" t="s">
        <v>64</v>
      </c>
      <c r="R183" t="s">
        <v>15</v>
      </c>
    </row>
    <row r="184" spans="1:18" x14ac:dyDescent="0.25">
      <c r="A184" s="1" t="s">
        <v>183</v>
      </c>
      <c r="C184" s="3">
        <v>416</v>
      </c>
      <c r="E184" t="s">
        <v>13272</v>
      </c>
      <c r="G184" s="1" t="str">
        <f>"=ShowWithinAShow"</f>
        <v>=ShowWithinAShow</v>
      </c>
      <c r="P184" t="s">
        <v>59</v>
      </c>
      <c r="R184" t="s">
        <v>113</v>
      </c>
    </row>
    <row r="185" spans="1:18" x14ac:dyDescent="0.25">
      <c r="A185" s="1" t="s">
        <v>184</v>
      </c>
      <c r="C185" s="3">
        <v>414</v>
      </c>
      <c r="E185" t="s">
        <v>3376</v>
      </c>
      <c r="G185" s="1" t="str">
        <f>"=HowWeGotHere"</f>
        <v>=HowWeGotHere</v>
      </c>
      <c r="P185" t="s">
        <v>68</v>
      </c>
      <c r="R185" t="s">
        <v>147</v>
      </c>
    </row>
    <row r="186" spans="1:18" x14ac:dyDescent="0.25">
      <c r="A186" s="1" t="s">
        <v>185</v>
      </c>
      <c r="C186" s="3">
        <v>413</v>
      </c>
      <c r="E186" t="s">
        <v>205</v>
      </c>
      <c r="G186" s="1" t="str">
        <f>"=BadBoss"</f>
        <v>=BadBoss</v>
      </c>
      <c r="P186" t="s">
        <v>94</v>
      </c>
      <c r="R186" t="s">
        <v>33</v>
      </c>
    </row>
    <row r="187" spans="1:18" x14ac:dyDescent="0.25">
      <c r="A187" s="1" t="s">
        <v>186</v>
      </c>
      <c r="C187" s="3">
        <v>412</v>
      </c>
      <c r="E187" t="s">
        <v>25409</v>
      </c>
      <c r="G187" s="1" t="str">
        <f>"=BitchInSheepsClothing"</f>
        <v>=BitchInSheepsClothing</v>
      </c>
      <c r="P187" t="s">
        <v>26</v>
      </c>
      <c r="R187" t="s">
        <v>73</v>
      </c>
    </row>
    <row r="188" spans="1:18" x14ac:dyDescent="0.25">
      <c r="A188" s="1" t="s">
        <v>187</v>
      </c>
      <c r="C188" s="3">
        <v>409</v>
      </c>
      <c r="E188" t="s">
        <v>15</v>
      </c>
      <c r="G188" s="1" t="str">
        <f>"=RefugeInAudacity"</f>
        <v>=RefugeInAudacity</v>
      </c>
      <c r="P188" t="s">
        <v>27</v>
      </c>
      <c r="R188" t="s">
        <v>165</v>
      </c>
    </row>
    <row r="189" spans="1:18" x14ac:dyDescent="0.25">
      <c r="A189" s="1" t="s">
        <v>188</v>
      </c>
      <c r="C189" s="3">
        <v>408</v>
      </c>
      <c r="E189" t="s">
        <v>667</v>
      </c>
      <c r="G189" s="1" t="str">
        <f>"=ExactlyWhatItSaysOnTheTin"</f>
        <v>=ExactlyWhatItSaysOnTheTin</v>
      </c>
      <c r="P189" t="s">
        <v>144</v>
      </c>
      <c r="R189" t="s">
        <v>82</v>
      </c>
    </row>
    <row r="190" spans="1:18" x14ac:dyDescent="0.25">
      <c r="A190" s="1" t="s">
        <v>189</v>
      </c>
      <c r="C190" s="3">
        <v>406</v>
      </c>
      <c r="E190" t="s">
        <v>21501</v>
      </c>
      <c r="G190" s="1" t="str">
        <f>"=NothingIsScarier"</f>
        <v>=NothingIsScarier</v>
      </c>
      <c r="P190" t="s">
        <v>43</v>
      </c>
      <c r="R190" t="s">
        <v>97</v>
      </c>
    </row>
    <row r="191" spans="1:18" x14ac:dyDescent="0.25">
      <c r="A191" s="1" t="s">
        <v>190</v>
      </c>
      <c r="C191" s="3">
        <v>406</v>
      </c>
      <c r="E191" t="s">
        <v>14316</v>
      </c>
      <c r="G191" s="1" t="str">
        <f>"=TimeSkip"</f>
        <v>=TimeSkip</v>
      </c>
      <c r="P191" t="s">
        <v>29</v>
      </c>
      <c r="R191" t="s">
        <v>56</v>
      </c>
    </row>
    <row r="192" spans="1:18" x14ac:dyDescent="0.25">
      <c r="A192" s="1" t="s">
        <v>191</v>
      </c>
      <c r="C192" s="3">
        <v>404</v>
      </c>
      <c r="E192" t="s">
        <v>1556</v>
      </c>
      <c r="G192" s="1" t="str">
        <f>"=Squick"</f>
        <v>=Squick</v>
      </c>
      <c r="P192" t="s">
        <v>162</v>
      </c>
      <c r="R192" t="s">
        <v>19</v>
      </c>
    </row>
    <row r="193" spans="1:18" x14ac:dyDescent="0.25">
      <c r="A193" s="1" t="s">
        <v>192</v>
      </c>
      <c r="C193" s="3">
        <v>404</v>
      </c>
      <c r="E193" t="s">
        <v>2943</v>
      </c>
      <c r="G193" s="1" t="str">
        <f>"=StealthPun"</f>
        <v>=StealthPun</v>
      </c>
      <c r="P193" t="s">
        <v>81</v>
      </c>
      <c r="R193" t="s">
        <v>71</v>
      </c>
    </row>
    <row r="194" spans="1:18" x14ac:dyDescent="0.25">
      <c r="A194" s="1" t="s">
        <v>193</v>
      </c>
      <c r="C194" s="3">
        <v>403</v>
      </c>
      <c r="E194" t="s">
        <v>4590</v>
      </c>
      <c r="G194" s="1" t="str">
        <f>"=MissingMom"</f>
        <v>=MissingMom</v>
      </c>
      <c r="P194" t="s">
        <v>190</v>
      </c>
      <c r="R194" t="s">
        <v>45</v>
      </c>
    </row>
    <row r="195" spans="1:18" x14ac:dyDescent="0.25">
      <c r="A195" s="1" t="s">
        <v>194</v>
      </c>
      <c r="C195" s="3">
        <v>401</v>
      </c>
      <c r="E195" t="s">
        <v>16160</v>
      </c>
      <c r="G195" s="1" t="str">
        <f>"=DistractedByTheSexy"</f>
        <v>=DistractedByTheSexy</v>
      </c>
      <c r="P195" t="s">
        <v>9</v>
      </c>
      <c r="R195" t="s">
        <v>161</v>
      </c>
    </row>
    <row r="196" spans="1:18" x14ac:dyDescent="0.25">
      <c r="A196" s="1" t="s">
        <v>195</v>
      </c>
      <c r="C196" s="3">
        <v>400</v>
      </c>
      <c r="E196" t="s">
        <v>7800</v>
      </c>
      <c r="G196" s="1" t="str">
        <f>"=AdaptationExpansion"</f>
        <v>=AdaptationExpansion</v>
      </c>
      <c r="P196" t="s">
        <v>15</v>
      </c>
      <c r="R196" t="s">
        <v>92</v>
      </c>
    </row>
    <row r="197" spans="1:18" x14ac:dyDescent="0.25">
      <c r="A197" s="1" t="s">
        <v>196</v>
      </c>
      <c r="C197" s="3">
        <v>400</v>
      </c>
      <c r="E197" t="s">
        <v>14364</v>
      </c>
      <c r="G197" s="1" t="str">
        <f>"=AdaptedOut"</f>
        <v>=AdaptedOut</v>
      </c>
      <c r="P197" t="s">
        <v>113</v>
      </c>
      <c r="R197" t="s">
        <v>37</v>
      </c>
    </row>
    <row r="198" spans="1:18" x14ac:dyDescent="0.25">
      <c r="A198" s="1" t="s">
        <v>197</v>
      </c>
      <c r="C198" s="3">
        <v>400</v>
      </c>
      <c r="E198" t="s">
        <v>7430</v>
      </c>
      <c r="G198" s="1" t="str">
        <f>"=FromBadToWorse"</f>
        <v>=FromBadToWorse</v>
      </c>
      <c r="P198" t="s">
        <v>147</v>
      </c>
    </row>
    <row r="199" spans="1:18" x14ac:dyDescent="0.25">
      <c r="A199" s="1" t="s">
        <v>198</v>
      </c>
      <c r="C199" s="3">
        <v>400</v>
      </c>
      <c r="E199" t="s">
        <v>12325</v>
      </c>
      <c r="G199" s="1" t="str">
        <f>"=MaleGaze"</f>
        <v>=MaleGaze</v>
      </c>
      <c r="P199" t="s">
        <v>0</v>
      </c>
    </row>
    <row r="200" spans="1:18" x14ac:dyDescent="0.25">
      <c r="A200" s="1" t="s">
        <v>199</v>
      </c>
      <c r="C200" s="3">
        <v>398</v>
      </c>
      <c r="E200" t="s">
        <v>5709</v>
      </c>
      <c r="G200" s="1" t="str">
        <f>"=DisneyVillainDeath"</f>
        <v>=DisneyVillainDeath</v>
      </c>
      <c r="P200" t="s">
        <v>33</v>
      </c>
    </row>
    <row r="201" spans="1:18" x14ac:dyDescent="0.25">
      <c r="A201" s="1" t="s">
        <v>200</v>
      </c>
      <c r="C201" s="3">
        <v>398</v>
      </c>
      <c r="E201" t="s">
        <v>12998</v>
      </c>
      <c r="G201" s="1" t="str">
        <f>"=MamaBear"</f>
        <v>=MamaBear</v>
      </c>
      <c r="P201" t="s">
        <v>73</v>
      </c>
    </row>
    <row r="202" spans="1:18" x14ac:dyDescent="0.25">
      <c r="A202" s="1" t="s">
        <v>201</v>
      </c>
      <c r="C202" s="3">
        <v>397</v>
      </c>
      <c r="E202" t="s">
        <v>3737</v>
      </c>
      <c r="G202" s="1" t="str">
        <f>"=PreMortemOneLiner"</f>
        <v>=PreMortemOneLiner</v>
      </c>
      <c r="P202" t="s">
        <v>165</v>
      </c>
    </row>
    <row r="203" spans="1:18" x14ac:dyDescent="0.25">
      <c r="A203" s="1" t="s">
        <v>202</v>
      </c>
      <c r="C203" s="3">
        <v>395</v>
      </c>
      <c r="E203" t="s">
        <v>1688</v>
      </c>
      <c r="G203" s="1" t="str">
        <f>"=KillEmAll"</f>
        <v>=KillEmAll</v>
      </c>
      <c r="P203" t="s">
        <v>82</v>
      </c>
    </row>
    <row r="204" spans="1:18" x14ac:dyDescent="0.25">
      <c r="A204" s="1" t="s">
        <v>203</v>
      </c>
      <c r="C204" s="3">
        <v>394</v>
      </c>
      <c r="E204" t="s">
        <v>2380</v>
      </c>
      <c r="G204" s="1" t="str">
        <f>"=AnachronismStew"</f>
        <v>=AnachronismStew</v>
      </c>
      <c r="P204" t="s">
        <v>97</v>
      </c>
    </row>
    <row r="205" spans="1:18" x14ac:dyDescent="0.25">
      <c r="A205" s="1" t="s">
        <v>204</v>
      </c>
      <c r="C205" s="3">
        <v>393</v>
      </c>
      <c r="E205" t="s">
        <v>6590</v>
      </c>
      <c r="G205" s="1" t="str">
        <f>"=YouHaveOutlivedYourUsefulness"</f>
        <v>=YouHaveOutlivedYourUsefulness</v>
      </c>
      <c r="P205" t="s">
        <v>56</v>
      </c>
    </row>
    <row r="206" spans="1:18" x14ac:dyDescent="0.25">
      <c r="A206" s="1" t="s">
        <v>205</v>
      </c>
      <c r="C206" s="3">
        <v>392</v>
      </c>
      <c r="E206" t="s">
        <v>475</v>
      </c>
      <c r="G206" s="1" t="str">
        <f>"=RuleOfThree"</f>
        <v>=RuleOfThree</v>
      </c>
      <c r="P206" t="s">
        <v>19</v>
      </c>
    </row>
    <row r="207" spans="1:18" x14ac:dyDescent="0.25">
      <c r="A207" s="1" t="s">
        <v>206</v>
      </c>
      <c r="C207" s="3">
        <v>392</v>
      </c>
      <c r="E207" t="s">
        <v>4723</v>
      </c>
      <c r="G207" s="1" t="str">
        <f>"=ShirtlessScene"</f>
        <v>=ShirtlessScene</v>
      </c>
      <c r="P207" t="s">
        <v>71</v>
      </c>
    </row>
    <row r="208" spans="1:18" x14ac:dyDescent="0.25">
      <c r="A208" s="1" t="s">
        <v>207</v>
      </c>
      <c r="C208" s="3">
        <v>390</v>
      </c>
      <c r="E208" t="s">
        <v>14560</v>
      </c>
      <c r="G208" s="1" t="str">
        <f>"=JumpScare"</f>
        <v>=JumpScare</v>
      </c>
      <c r="P208" t="s">
        <v>45</v>
      </c>
    </row>
    <row r="209" spans="1:16" x14ac:dyDescent="0.25">
      <c r="A209" s="1" t="s">
        <v>208</v>
      </c>
      <c r="C209" s="3">
        <v>389</v>
      </c>
      <c r="E209" t="s">
        <v>2386</v>
      </c>
      <c r="G209" s="1" t="s">
        <v>208</v>
      </c>
      <c r="P209" t="s">
        <v>161</v>
      </c>
    </row>
    <row r="210" spans="1:16" x14ac:dyDescent="0.25">
      <c r="A210" s="1" t="s">
        <v>209</v>
      </c>
      <c r="C210" s="3">
        <v>389</v>
      </c>
      <c r="E210" t="s">
        <v>10784</v>
      </c>
      <c r="G210" s="1" t="s">
        <v>209</v>
      </c>
      <c r="P210" t="s">
        <v>92</v>
      </c>
    </row>
    <row r="211" spans="1:16" x14ac:dyDescent="0.25">
      <c r="A211" s="1" t="s">
        <v>210</v>
      </c>
      <c r="C211" s="3">
        <v>388</v>
      </c>
      <c r="E211" t="s">
        <v>4557</v>
      </c>
      <c r="G211" s="1" t="s">
        <v>210</v>
      </c>
      <c r="P211" t="s">
        <v>37</v>
      </c>
    </row>
    <row r="212" spans="1:16" x14ac:dyDescent="0.25">
      <c r="A212" s="1" t="s">
        <v>211</v>
      </c>
      <c r="C212" s="3">
        <v>385</v>
      </c>
      <c r="E212" t="s">
        <v>3482</v>
      </c>
      <c r="G212" s="1" t="s">
        <v>211</v>
      </c>
    </row>
    <row r="213" spans="1:16" x14ac:dyDescent="0.25">
      <c r="A213" s="1" t="s">
        <v>212</v>
      </c>
      <c r="C213" s="3">
        <v>384</v>
      </c>
      <c r="E213" t="s">
        <v>22697</v>
      </c>
      <c r="G213" s="1" t="s">
        <v>212</v>
      </c>
    </row>
    <row r="214" spans="1:16" x14ac:dyDescent="0.25">
      <c r="A214" s="1" t="s">
        <v>213</v>
      </c>
      <c r="C214" s="3">
        <v>380</v>
      </c>
      <c r="E214" t="s">
        <v>1957</v>
      </c>
      <c r="G214" s="1" t="s">
        <v>213</v>
      </c>
    </row>
    <row r="215" spans="1:16" x14ac:dyDescent="0.25">
      <c r="A215" s="1" t="s">
        <v>214</v>
      </c>
      <c r="C215" s="3">
        <v>380</v>
      </c>
      <c r="E215" t="s">
        <v>75</v>
      </c>
      <c r="G215" s="1" t="s">
        <v>214</v>
      </c>
    </row>
    <row r="216" spans="1:16" x14ac:dyDescent="0.25">
      <c r="A216" s="1" t="s">
        <v>215</v>
      </c>
      <c r="C216" s="3">
        <v>379</v>
      </c>
      <c r="E216" t="s">
        <v>7488</v>
      </c>
      <c r="G216" s="1" t="s">
        <v>215</v>
      </c>
    </row>
    <row r="217" spans="1:16" x14ac:dyDescent="0.25">
      <c r="A217" s="1" t="s">
        <v>216</v>
      </c>
      <c r="C217" s="3">
        <v>376</v>
      </c>
      <c r="E217" t="s">
        <v>10141</v>
      </c>
      <c r="G217" s="1" t="s">
        <v>216</v>
      </c>
    </row>
    <row r="218" spans="1:16" x14ac:dyDescent="0.25">
      <c r="A218" s="1" t="s">
        <v>217</v>
      </c>
      <c r="C218" s="3">
        <v>374</v>
      </c>
      <c r="E218" t="s">
        <v>327</v>
      </c>
      <c r="G218" s="1" t="s">
        <v>217</v>
      </c>
    </row>
    <row r="219" spans="1:16" x14ac:dyDescent="0.25">
      <c r="A219" s="1" t="s">
        <v>218</v>
      </c>
      <c r="C219" s="3">
        <v>373</v>
      </c>
      <c r="E219" t="s">
        <v>2862</v>
      </c>
      <c r="G219" s="1" t="s">
        <v>218</v>
      </c>
    </row>
    <row r="220" spans="1:16" x14ac:dyDescent="0.25">
      <c r="A220" s="1" t="s">
        <v>219</v>
      </c>
      <c r="C220" s="3">
        <v>372</v>
      </c>
      <c r="E220" t="s">
        <v>1792</v>
      </c>
      <c r="G220" s="1" t="s">
        <v>219</v>
      </c>
    </row>
    <row r="221" spans="1:16" x14ac:dyDescent="0.25">
      <c r="A221" s="1" t="s">
        <v>220</v>
      </c>
      <c r="C221" s="3">
        <v>370</v>
      </c>
      <c r="E221" t="s">
        <v>4159</v>
      </c>
      <c r="G221" s="1" t="s">
        <v>220</v>
      </c>
    </row>
    <row r="222" spans="1:16" x14ac:dyDescent="0.25">
      <c r="A222" s="1" t="s">
        <v>221</v>
      </c>
      <c r="C222" s="3">
        <v>370</v>
      </c>
      <c r="E222" t="s">
        <v>1684</v>
      </c>
      <c r="G222" s="1" t="s">
        <v>221</v>
      </c>
    </row>
    <row r="223" spans="1:16" x14ac:dyDescent="0.25">
      <c r="A223" s="1" t="s">
        <v>222</v>
      </c>
      <c r="C223" s="3">
        <v>368</v>
      </c>
      <c r="E223" t="s">
        <v>1337</v>
      </c>
      <c r="G223" s="1" t="s">
        <v>222</v>
      </c>
    </row>
    <row r="224" spans="1:16" x14ac:dyDescent="0.25">
      <c r="A224" s="1" t="s">
        <v>223</v>
      </c>
      <c r="C224" s="3">
        <v>366</v>
      </c>
      <c r="E224" t="s">
        <v>791</v>
      </c>
      <c r="G224" s="1" t="s">
        <v>223</v>
      </c>
    </row>
    <row r="225" spans="1:7" x14ac:dyDescent="0.25">
      <c r="A225" s="1" t="s">
        <v>224</v>
      </c>
      <c r="C225" s="3">
        <v>366</v>
      </c>
      <c r="E225" t="s">
        <v>2388</v>
      </c>
      <c r="G225" s="1" t="s">
        <v>224</v>
      </c>
    </row>
    <row r="226" spans="1:7" x14ac:dyDescent="0.25">
      <c r="A226" s="1" t="s">
        <v>225</v>
      </c>
      <c r="C226" s="3">
        <v>366</v>
      </c>
      <c r="E226" t="s">
        <v>4813</v>
      </c>
      <c r="G226" s="1" t="s">
        <v>225</v>
      </c>
    </row>
    <row r="227" spans="1:7" x14ac:dyDescent="0.25">
      <c r="A227" s="1" t="s">
        <v>226</v>
      </c>
      <c r="C227" s="3">
        <v>363</v>
      </c>
      <c r="E227" t="s">
        <v>1806</v>
      </c>
      <c r="G227" s="1" t="s">
        <v>226</v>
      </c>
    </row>
    <row r="228" spans="1:7" x14ac:dyDescent="0.25">
      <c r="A228" s="1" t="s">
        <v>227</v>
      </c>
      <c r="C228" s="3">
        <v>363</v>
      </c>
      <c r="E228" t="s">
        <v>4864</v>
      </c>
      <c r="G228" s="1" t="s">
        <v>227</v>
      </c>
    </row>
    <row r="229" spans="1:7" x14ac:dyDescent="0.25">
      <c r="A229" s="1" t="s">
        <v>228</v>
      </c>
      <c r="C229" s="3">
        <v>361</v>
      </c>
      <c r="E229" t="s">
        <v>2991</v>
      </c>
      <c r="G229" s="1" t="s">
        <v>228</v>
      </c>
    </row>
    <row r="230" spans="1:7" x14ac:dyDescent="0.25">
      <c r="A230" s="1" t="s">
        <v>229</v>
      </c>
      <c r="C230" s="3">
        <v>359</v>
      </c>
      <c r="E230" t="s">
        <v>1010</v>
      </c>
      <c r="G230" s="1" t="s">
        <v>229</v>
      </c>
    </row>
    <row r="231" spans="1:7" x14ac:dyDescent="0.25">
      <c r="A231" s="1" t="s">
        <v>230</v>
      </c>
      <c r="C231" s="3">
        <v>359</v>
      </c>
      <c r="E231" t="s">
        <v>3317</v>
      </c>
      <c r="G231" s="1" t="s">
        <v>230</v>
      </c>
    </row>
    <row r="232" spans="1:7" x14ac:dyDescent="0.25">
      <c r="A232" s="1" t="s">
        <v>231</v>
      </c>
      <c r="C232" s="3">
        <v>358</v>
      </c>
      <c r="E232" t="s">
        <v>11084</v>
      </c>
      <c r="G232" s="1" t="s">
        <v>231</v>
      </c>
    </row>
    <row r="233" spans="1:7" x14ac:dyDescent="0.25">
      <c r="A233" s="1" t="s">
        <v>232</v>
      </c>
      <c r="C233" s="3">
        <v>356</v>
      </c>
      <c r="E233" t="s">
        <v>4470</v>
      </c>
      <c r="G233" s="1" t="s">
        <v>232</v>
      </c>
    </row>
    <row r="234" spans="1:7" x14ac:dyDescent="0.25">
      <c r="A234" s="1" t="s">
        <v>233</v>
      </c>
      <c r="C234" s="3">
        <v>354</v>
      </c>
      <c r="E234" t="s">
        <v>3935</v>
      </c>
      <c r="G234" s="1" t="s">
        <v>233</v>
      </c>
    </row>
    <row r="235" spans="1:7" x14ac:dyDescent="0.25">
      <c r="A235" s="1" t="s">
        <v>234</v>
      </c>
      <c r="C235" s="3">
        <v>353</v>
      </c>
      <c r="E235" t="s">
        <v>2284</v>
      </c>
      <c r="G235" s="1" t="s">
        <v>234</v>
      </c>
    </row>
    <row r="236" spans="1:7" x14ac:dyDescent="0.25">
      <c r="A236" s="1" t="s">
        <v>235</v>
      </c>
      <c r="C236" s="3">
        <v>353</v>
      </c>
      <c r="E236" t="s">
        <v>916</v>
      </c>
      <c r="G236" s="1" t="s">
        <v>235</v>
      </c>
    </row>
    <row r="237" spans="1:7" x14ac:dyDescent="0.25">
      <c r="A237" s="1" t="s">
        <v>236</v>
      </c>
      <c r="C237" s="3">
        <v>352</v>
      </c>
      <c r="E237" t="s">
        <v>3843</v>
      </c>
      <c r="G237" s="1" t="s">
        <v>236</v>
      </c>
    </row>
    <row r="238" spans="1:7" x14ac:dyDescent="0.25">
      <c r="A238" s="1" t="s">
        <v>237</v>
      </c>
      <c r="C238" s="3">
        <v>352</v>
      </c>
      <c r="E238" t="s">
        <v>2820</v>
      </c>
      <c r="G238" s="1" t="s">
        <v>237</v>
      </c>
    </row>
    <row r="239" spans="1:7" x14ac:dyDescent="0.25">
      <c r="A239" s="1" t="s">
        <v>238</v>
      </c>
      <c r="C239" s="3">
        <v>351</v>
      </c>
      <c r="E239" t="s">
        <v>10812</v>
      </c>
      <c r="G239" s="1" t="s">
        <v>238</v>
      </c>
    </row>
    <row r="240" spans="1:7" x14ac:dyDescent="0.25">
      <c r="A240" s="1" t="s">
        <v>239</v>
      </c>
      <c r="C240" s="3">
        <v>350</v>
      </c>
      <c r="E240" t="s">
        <v>12663</v>
      </c>
      <c r="G240" s="1" t="s">
        <v>239</v>
      </c>
    </row>
    <row r="241" spans="1:7" x14ac:dyDescent="0.25">
      <c r="A241" s="1" t="s">
        <v>240</v>
      </c>
      <c r="C241" s="3">
        <v>350</v>
      </c>
      <c r="E241" t="s">
        <v>5634</v>
      </c>
      <c r="G241" s="1" t="s">
        <v>240</v>
      </c>
    </row>
    <row r="242" spans="1:7" x14ac:dyDescent="0.25">
      <c r="A242" s="1" t="s">
        <v>241</v>
      </c>
      <c r="C242" s="3">
        <v>349</v>
      </c>
      <c r="E242" t="s">
        <v>6330</v>
      </c>
      <c r="G242" s="1" t="s">
        <v>241</v>
      </c>
    </row>
    <row r="243" spans="1:7" x14ac:dyDescent="0.25">
      <c r="A243" s="1" t="s">
        <v>242</v>
      </c>
      <c r="C243" s="3">
        <v>348</v>
      </c>
      <c r="E243" t="s">
        <v>95</v>
      </c>
      <c r="G243" s="1" t="s">
        <v>242</v>
      </c>
    </row>
    <row r="244" spans="1:7" x14ac:dyDescent="0.25">
      <c r="A244" s="1" t="s">
        <v>243</v>
      </c>
      <c r="C244" s="3">
        <v>348</v>
      </c>
      <c r="E244" t="s">
        <v>5958</v>
      </c>
      <c r="G244" s="1" t="s">
        <v>243</v>
      </c>
    </row>
    <row r="245" spans="1:7" x14ac:dyDescent="0.25">
      <c r="A245" s="1" t="s">
        <v>244</v>
      </c>
      <c r="C245" s="3">
        <v>348</v>
      </c>
      <c r="E245" t="s">
        <v>19067</v>
      </c>
      <c r="G245" s="1" t="s">
        <v>244</v>
      </c>
    </row>
    <row r="246" spans="1:7" x14ac:dyDescent="0.25">
      <c r="A246" s="1" t="s">
        <v>245</v>
      </c>
      <c r="C246" s="3">
        <v>348</v>
      </c>
      <c r="E246" t="s">
        <v>3231</v>
      </c>
      <c r="G246" s="1" t="s">
        <v>245</v>
      </c>
    </row>
    <row r="247" spans="1:7" x14ac:dyDescent="0.25">
      <c r="A247" s="1" t="s">
        <v>246</v>
      </c>
      <c r="C247" s="3">
        <v>348</v>
      </c>
      <c r="E247" t="s">
        <v>3298</v>
      </c>
      <c r="G247" s="1" t="s">
        <v>246</v>
      </c>
    </row>
    <row r="248" spans="1:7" x14ac:dyDescent="0.25">
      <c r="A248" s="1" t="s">
        <v>247</v>
      </c>
      <c r="C248" s="3">
        <v>347</v>
      </c>
      <c r="E248" t="s">
        <v>23781</v>
      </c>
      <c r="G248" s="1" t="s">
        <v>247</v>
      </c>
    </row>
    <row r="249" spans="1:7" x14ac:dyDescent="0.25">
      <c r="A249" s="1" t="s">
        <v>248</v>
      </c>
      <c r="C249" s="3">
        <v>346</v>
      </c>
      <c r="E249" t="s">
        <v>4620</v>
      </c>
      <c r="G249" s="1" t="s">
        <v>248</v>
      </c>
    </row>
    <row r="250" spans="1:7" x14ac:dyDescent="0.25">
      <c r="A250" s="1" t="s">
        <v>249</v>
      </c>
      <c r="C250" s="3">
        <v>346</v>
      </c>
      <c r="E250" t="s">
        <v>3070</v>
      </c>
      <c r="G250" s="1" t="s">
        <v>249</v>
      </c>
    </row>
    <row r="251" spans="1:7" x14ac:dyDescent="0.25">
      <c r="A251" s="1" t="s">
        <v>250</v>
      </c>
      <c r="C251" s="3">
        <v>344</v>
      </c>
      <c r="E251" t="s">
        <v>3514</v>
      </c>
      <c r="G251" s="1" t="s">
        <v>250</v>
      </c>
    </row>
    <row r="252" spans="1:7" x14ac:dyDescent="0.25">
      <c r="A252" s="1" t="s">
        <v>251</v>
      </c>
      <c r="C252" s="3">
        <v>343</v>
      </c>
      <c r="E252" t="s">
        <v>2809</v>
      </c>
      <c r="G252" s="1" t="s">
        <v>251</v>
      </c>
    </row>
    <row r="253" spans="1:7" x14ac:dyDescent="0.25">
      <c r="A253" s="1" t="s">
        <v>252</v>
      </c>
      <c r="C253" s="3">
        <v>343</v>
      </c>
      <c r="E253" t="s">
        <v>8689</v>
      </c>
      <c r="G253" s="1" t="s">
        <v>252</v>
      </c>
    </row>
    <row r="254" spans="1:7" x14ac:dyDescent="0.25">
      <c r="A254" s="1" t="s">
        <v>253</v>
      </c>
      <c r="C254" s="3">
        <v>343</v>
      </c>
      <c r="E254" t="s">
        <v>911</v>
      </c>
      <c r="G254" s="1" t="s">
        <v>253</v>
      </c>
    </row>
    <row r="255" spans="1:7" x14ac:dyDescent="0.25">
      <c r="A255" s="1" t="s">
        <v>254</v>
      </c>
      <c r="C255" s="3">
        <v>342</v>
      </c>
      <c r="E255" t="s">
        <v>11422</v>
      </c>
      <c r="G255" s="1" t="s">
        <v>254</v>
      </c>
    </row>
    <row r="256" spans="1:7" x14ac:dyDescent="0.25">
      <c r="A256" s="1" t="s">
        <v>255</v>
      </c>
      <c r="C256" s="3">
        <v>339</v>
      </c>
      <c r="E256" t="s">
        <v>4419</v>
      </c>
      <c r="G256" s="1" t="s">
        <v>255</v>
      </c>
    </row>
    <row r="257" spans="1:7" x14ac:dyDescent="0.25">
      <c r="A257" s="1" t="s">
        <v>256</v>
      </c>
      <c r="C257" s="3">
        <v>339</v>
      </c>
      <c r="E257" t="s">
        <v>22471</v>
      </c>
      <c r="G257" s="1" t="s">
        <v>256</v>
      </c>
    </row>
    <row r="258" spans="1:7" x14ac:dyDescent="0.25">
      <c r="A258" s="1" t="s">
        <v>257</v>
      </c>
      <c r="C258" s="3">
        <v>338</v>
      </c>
      <c r="E258" t="s">
        <v>4233</v>
      </c>
      <c r="G258" s="1" t="s">
        <v>257</v>
      </c>
    </row>
    <row r="259" spans="1:7" x14ac:dyDescent="0.25">
      <c r="A259" s="1" t="s">
        <v>258</v>
      </c>
      <c r="C259" s="3">
        <v>337</v>
      </c>
      <c r="E259" t="s">
        <v>20677</v>
      </c>
      <c r="G259" s="1" t="s">
        <v>258</v>
      </c>
    </row>
    <row r="260" spans="1:7" x14ac:dyDescent="0.25">
      <c r="A260" s="1" t="s">
        <v>259</v>
      </c>
      <c r="C260" s="3">
        <v>336</v>
      </c>
      <c r="E260" t="s">
        <v>9809</v>
      </c>
      <c r="G260" s="1" t="s">
        <v>259</v>
      </c>
    </row>
    <row r="261" spans="1:7" x14ac:dyDescent="0.25">
      <c r="A261" s="1" t="s">
        <v>260</v>
      </c>
      <c r="C261" s="3">
        <v>333</v>
      </c>
      <c r="E261" t="s">
        <v>6220</v>
      </c>
      <c r="G261" s="1" t="s">
        <v>260</v>
      </c>
    </row>
    <row r="262" spans="1:7" x14ac:dyDescent="0.25">
      <c r="A262" s="1" t="s">
        <v>261</v>
      </c>
      <c r="C262" s="3">
        <v>333</v>
      </c>
      <c r="E262" t="s">
        <v>2019</v>
      </c>
      <c r="G262" s="1" t="s">
        <v>261</v>
      </c>
    </row>
    <row r="263" spans="1:7" x14ac:dyDescent="0.25">
      <c r="A263" s="1" t="s">
        <v>262</v>
      </c>
      <c r="C263" s="3">
        <v>333</v>
      </c>
      <c r="E263" t="s">
        <v>1082</v>
      </c>
      <c r="G263" s="1" t="s">
        <v>262</v>
      </c>
    </row>
    <row r="264" spans="1:7" x14ac:dyDescent="0.25">
      <c r="A264" s="1" t="s">
        <v>263</v>
      </c>
      <c r="C264" s="3">
        <v>333</v>
      </c>
      <c r="E264" t="s">
        <v>3938</v>
      </c>
      <c r="G264" s="1" t="s">
        <v>263</v>
      </c>
    </row>
    <row r="265" spans="1:7" x14ac:dyDescent="0.25">
      <c r="A265" s="1" t="s">
        <v>264</v>
      </c>
      <c r="C265" s="3">
        <v>332</v>
      </c>
      <c r="E265" t="s">
        <v>242</v>
      </c>
      <c r="G265" s="1" t="s">
        <v>264</v>
      </c>
    </row>
    <row r="266" spans="1:7" x14ac:dyDescent="0.25">
      <c r="A266" s="1" t="s">
        <v>265</v>
      </c>
      <c r="C266" s="3">
        <v>332</v>
      </c>
      <c r="E266" t="s">
        <v>9657</v>
      </c>
      <c r="G266" s="1" t="s">
        <v>265</v>
      </c>
    </row>
    <row r="267" spans="1:7" x14ac:dyDescent="0.25">
      <c r="A267" s="1" t="s">
        <v>266</v>
      </c>
      <c r="C267" s="3">
        <v>331</v>
      </c>
      <c r="E267" t="s">
        <v>11271</v>
      </c>
      <c r="G267" s="1" t="s">
        <v>266</v>
      </c>
    </row>
    <row r="268" spans="1:7" x14ac:dyDescent="0.25">
      <c r="A268" s="1" t="s">
        <v>267</v>
      </c>
      <c r="C268" s="3">
        <v>330</v>
      </c>
      <c r="E268" t="s">
        <v>11181</v>
      </c>
      <c r="G268" s="1" t="s">
        <v>267</v>
      </c>
    </row>
    <row r="269" spans="1:7" x14ac:dyDescent="0.25">
      <c r="A269" s="1" t="s">
        <v>268</v>
      </c>
      <c r="C269" s="3">
        <v>329</v>
      </c>
      <c r="E269" t="s">
        <v>1597</v>
      </c>
      <c r="G269" s="1" t="s">
        <v>268</v>
      </c>
    </row>
    <row r="270" spans="1:7" x14ac:dyDescent="0.25">
      <c r="A270" s="1" t="s">
        <v>269</v>
      </c>
      <c r="C270" s="3">
        <v>328</v>
      </c>
      <c r="E270" t="s">
        <v>706</v>
      </c>
      <c r="G270" s="1" t="s">
        <v>269</v>
      </c>
    </row>
    <row r="271" spans="1:7" x14ac:dyDescent="0.25">
      <c r="A271" s="1" t="s">
        <v>270</v>
      </c>
      <c r="C271" s="3">
        <v>327</v>
      </c>
      <c r="E271" t="s">
        <v>4827</v>
      </c>
      <c r="G271" s="1" t="s">
        <v>270</v>
      </c>
    </row>
    <row r="272" spans="1:7" x14ac:dyDescent="0.25">
      <c r="A272" s="1" t="s">
        <v>271</v>
      </c>
      <c r="C272" s="3">
        <v>327</v>
      </c>
      <c r="E272" t="s">
        <v>9367</v>
      </c>
      <c r="G272" s="1" t="s">
        <v>271</v>
      </c>
    </row>
    <row r="273" spans="1:7" x14ac:dyDescent="0.25">
      <c r="A273" s="1" t="s">
        <v>272</v>
      </c>
      <c r="C273" s="3">
        <v>326</v>
      </c>
      <c r="E273" t="s">
        <v>16981</v>
      </c>
      <c r="G273" s="1" t="s">
        <v>272</v>
      </c>
    </row>
    <row r="274" spans="1:7" x14ac:dyDescent="0.25">
      <c r="A274" s="1" t="s">
        <v>273</v>
      </c>
      <c r="C274" s="3">
        <v>326</v>
      </c>
      <c r="E274" t="s">
        <v>6291</v>
      </c>
      <c r="G274" s="1" t="s">
        <v>273</v>
      </c>
    </row>
    <row r="275" spans="1:7" x14ac:dyDescent="0.25">
      <c r="A275" s="1" t="s">
        <v>274</v>
      </c>
      <c r="C275" s="3">
        <v>325</v>
      </c>
      <c r="E275" t="s">
        <v>13439</v>
      </c>
      <c r="G275" s="1" t="s">
        <v>274</v>
      </c>
    </row>
    <row r="276" spans="1:7" x14ac:dyDescent="0.25">
      <c r="A276" s="1" t="s">
        <v>275</v>
      </c>
      <c r="C276" s="3">
        <v>325</v>
      </c>
      <c r="E276" t="s">
        <v>8851</v>
      </c>
      <c r="G276" s="1" t="s">
        <v>275</v>
      </c>
    </row>
    <row r="277" spans="1:7" x14ac:dyDescent="0.25">
      <c r="A277" s="1" t="s">
        <v>276</v>
      </c>
      <c r="C277" s="3">
        <v>325</v>
      </c>
      <c r="E277" t="s">
        <v>1426</v>
      </c>
      <c r="G277" s="1" t="s">
        <v>276</v>
      </c>
    </row>
    <row r="278" spans="1:7" x14ac:dyDescent="0.25">
      <c r="A278" s="1" t="s">
        <v>277</v>
      </c>
      <c r="C278" s="3">
        <v>324</v>
      </c>
      <c r="E278" t="s">
        <v>19548</v>
      </c>
      <c r="G278" s="1" t="s">
        <v>277</v>
      </c>
    </row>
    <row r="279" spans="1:7" x14ac:dyDescent="0.25">
      <c r="A279" s="1" t="s">
        <v>278</v>
      </c>
      <c r="C279" s="3">
        <v>323</v>
      </c>
      <c r="E279" t="s">
        <v>7310</v>
      </c>
      <c r="G279" s="1" t="s">
        <v>278</v>
      </c>
    </row>
    <row r="280" spans="1:7" x14ac:dyDescent="0.25">
      <c r="A280" s="1" t="s">
        <v>279</v>
      </c>
      <c r="C280" s="3">
        <v>323</v>
      </c>
      <c r="E280" t="s">
        <v>2229</v>
      </c>
      <c r="G280" s="1" t="s">
        <v>279</v>
      </c>
    </row>
    <row r="281" spans="1:7" x14ac:dyDescent="0.25">
      <c r="A281" s="1" t="s">
        <v>280</v>
      </c>
      <c r="C281" s="3">
        <v>323</v>
      </c>
      <c r="E281" t="s">
        <v>12648</v>
      </c>
      <c r="G281" s="1" t="s">
        <v>280</v>
      </c>
    </row>
    <row r="282" spans="1:7" x14ac:dyDescent="0.25">
      <c r="A282" s="1" t="s">
        <v>281</v>
      </c>
      <c r="C282" s="3">
        <v>322</v>
      </c>
      <c r="E282" t="s">
        <v>4420</v>
      </c>
      <c r="G282" s="1" t="s">
        <v>281</v>
      </c>
    </row>
    <row r="283" spans="1:7" x14ac:dyDescent="0.25">
      <c r="A283" s="1" t="s">
        <v>282</v>
      </c>
      <c r="C283" s="3">
        <v>321</v>
      </c>
      <c r="E283" t="s">
        <v>24953</v>
      </c>
      <c r="G283" s="1" t="s">
        <v>282</v>
      </c>
    </row>
    <row r="284" spans="1:7" x14ac:dyDescent="0.25">
      <c r="A284" s="1" t="s">
        <v>283</v>
      </c>
      <c r="C284" s="3">
        <v>321</v>
      </c>
      <c r="E284" t="s">
        <v>2610</v>
      </c>
      <c r="G284" s="1" t="s">
        <v>283</v>
      </c>
    </row>
    <row r="285" spans="1:7" x14ac:dyDescent="0.25">
      <c r="A285" s="1" t="s">
        <v>284</v>
      </c>
      <c r="C285" s="3">
        <v>321</v>
      </c>
      <c r="E285" t="s">
        <v>80</v>
      </c>
      <c r="G285" s="1" t="s">
        <v>284</v>
      </c>
    </row>
    <row r="286" spans="1:7" x14ac:dyDescent="0.25">
      <c r="A286" s="1" t="s">
        <v>285</v>
      </c>
      <c r="C286" s="3">
        <v>320</v>
      </c>
      <c r="E286" t="s">
        <v>8960</v>
      </c>
      <c r="G286" s="1" t="s">
        <v>285</v>
      </c>
    </row>
    <row r="287" spans="1:7" x14ac:dyDescent="0.25">
      <c r="A287" s="1" t="s">
        <v>286</v>
      </c>
      <c r="C287" s="3">
        <v>320</v>
      </c>
      <c r="E287" t="s">
        <v>25410</v>
      </c>
      <c r="G287" s="1" t="s">
        <v>286</v>
      </c>
    </row>
    <row r="288" spans="1:7" x14ac:dyDescent="0.25">
      <c r="A288" s="1" t="s">
        <v>287</v>
      </c>
      <c r="C288" s="3">
        <v>320</v>
      </c>
      <c r="E288" t="s">
        <v>7640</v>
      </c>
      <c r="G288" s="1" t="s">
        <v>287</v>
      </c>
    </row>
    <row r="289" spans="1:7" x14ac:dyDescent="0.25">
      <c r="A289" s="1" t="s">
        <v>288</v>
      </c>
      <c r="C289" s="3">
        <v>320</v>
      </c>
      <c r="E289" t="s">
        <v>170</v>
      </c>
      <c r="G289" s="1" t="s">
        <v>288</v>
      </c>
    </row>
    <row r="290" spans="1:7" x14ac:dyDescent="0.25">
      <c r="A290" s="1" t="s">
        <v>289</v>
      </c>
      <c r="C290" s="3">
        <v>319</v>
      </c>
      <c r="E290" t="s">
        <v>2176</v>
      </c>
      <c r="G290" s="1" t="s">
        <v>289</v>
      </c>
    </row>
    <row r="291" spans="1:7" x14ac:dyDescent="0.25">
      <c r="A291" s="1" t="s">
        <v>290</v>
      </c>
      <c r="C291" s="3">
        <v>317</v>
      </c>
      <c r="E291" t="s">
        <v>186</v>
      </c>
      <c r="G291" s="1" t="s">
        <v>290</v>
      </c>
    </row>
    <row r="292" spans="1:7" x14ac:dyDescent="0.25">
      <c r="A292" s="1" t="s">
        <v>291</v>
      </c>
      <c r="C292" s="3">
        <v>317</v>
      </c>
      <c r="E292" t="s">
        <v>1352</v>
      </c>
      <c r="G292" s="1" t="s">
        <v>291</v>
      </c>
    </row>
    <row r="293" spans="1:7" x14ac:dyDescent="0.25">
      <c r="A293" s="1" t="s">
        <v>292</v>
      </c>
      <c r="C293" s="3">
        <v>316</v>
      </c>
      <c r="E293" t="s">
        <v>13116</v>
      </c>
      <c r="G293" s="1" t="s">
        <v>292</v>
      </c>
    </row>
    <row r="294" spans="1:7" x14ac:dyDescent="0.25">
      <c r="A294" s="1" t="s">
        <v>293</v>
      </c>
      <c r="C294" s="3">
        <v>316</v>
      </c>
      <c r="E294" t="s">
        <v>6752</v>
      </c>
      <c r="G294" s="1" t="s">
        <v>293</v>
      </c>
    </row>
    <row r="295" spans="1:7" x14ac:dyDescent="0.25">
      <c r="A295" s="1" t="s">
        <v>294</v>
      </c>
      <c r="C295" s="3">
        <v>316</v>
      </c>
      <c r="E295" t="s">
        <v>11344</v>
      </c>
      <c r="G295" s="1" t="s">
        <v>294</v>
      </c>
    </row>
    <row r="296" spans="1:7" x14ac:dyDescent="0.25">
      <c r="A296" s="1" t="s">
        <v>295</v>
      </c>
      <c r="C296" s="3">
        <v>315</v>
      </c>
      <c r="E296" t="s">
        <v>5318</v>
      </c>
      <c r="G296" s="1" t="s">
        <v>295</v>
      </c>
    </row>
    <row r="297" spans="1:7" x14ac:dyDescent="0.25">
      <c r="A297" s="1" t="s">
        <v>296</v>
      </c>
      <c r="C297" s="3">
        <v>315</v>
      </c>
      <c r="E297" t="s">
        <v>6798</v>
      </c>
      <c r="G297" s="1" t="s">
        <v>296</v>
      </c>
    </row>
    <row r="298" spans="1:7" x14ac:dyDescent="0.25">
      <c r="A298" s="1" t="s">
        <v>297</v>
      </c>
      <c r="C298" s="3">
        <v>315</v>
      </c>
      <c r="E298" t="s">
        <v>6988</v>
      </c>
      <c r="G298" s="1" t="s">
        <v>297</v>
      </c>
    </row>
    <row r="299" spans="1:7" x14ac:dyDescent="0.25">
      <c r="A299" s="1" t="s">
        <v>298</v>
      </c>
      <c r="C299" s="3">
        <v>315</v>
      </c>
      <c r="E299" t="s">
        <v>2692</v>
      </c>
      <c r="G299" s="1" t="s">
        <v>298</v>
      </c>
    </row>
    <row r="300" spans="1:7" x14ac:dyDescent="0.25">
      <c r="A300" s="1" t="s">
        <v>299</v>
      </c>
      <c r="C300" s="3">
        <v>314</v>
      </c>
      <c r="E300" t="s">
        <v>1283</v>
      </c>
      <c r="G300" s="1" t="s">
        <v>299</v>
      </c>
    </row>
    <row r="301" spans="1:7" x14ac:dyDescent="0.25">
      <c r="A301" s="1" t="s">
        <v>300</v>
      </c>
      <c r="C301" s="3">
        <v>314</v>
      </c>
      <c r="E301" t="s">
        <v>25411</v>
      </c>
      <c r="G301" s="1" t="s">
        <v>300</v>
      </c>
    </row>
    <row r="302" spans="1:7" x14ac:dyDescent="0.25">
      <c r="A302" s="1" t="s">
        <v>301</v>
      </c>
      <c r="C302" s="3">
        <v>313</v>
      </c>
      <c r="E302" t="s">
        <v>10858</v>
      </c>
      <c r="G302" s="1" t="s">
        <v>301</v>
      </c>
    </row>
    <row r="303" spans="1:7" x14ac:dyDescent="0.25">
      <c r="A303" s="1" t="s">
        <v>302</v>
      </c>
      <c r="C303" s="3">
        <v>312</v>
      </c>
      <c r="E303" t="s">
        <v>11880</v>
      </c>
      <c r="G303" s="1" t="s">
        <v>302</v>
      </c>
    </row>
    <row r="304" spans="1:7" x14ac:dyDescent="0.25">
      <c r="A304" s="1" t="s">
        <v>303</v>
      </c>
      <c r="C304" s="3">
        <v>311</v>
      </c>
      <c r="E304" t="s">
        <v>2237</v>
      </c>
      <c r="G304" s="1" t="s">
        <v>303</v>
      </c>
    </row>
    <row r="305" spans="1:7" x14ac:dyDescent="0.25">
      <c r="A305" s="1" t="s">
        <v>304</v>
      </c>
      <c r="C305" s="3">
        <v>311</v>
      </c>
      <c r="E305" t="s">
        <v>4720</v>
      </c>
      <c r="G305" s="1" t="s">
        <v>304</v>
      </c>
    </row>
    <row r="306" spans="1:7" x14ac:dyDescent="0.25">
      <c r="A306" s="1" t="s">
        <v>305</v>
      </c>
      <c r="C306" s="3">
        <v>311</v>
      </c>
      <c r="E306" t="s">
        <v>6199</v>
      </c>
      <c r="G306" s="1" t="s">
        <v>305</v>
      </c>
    </row>
    <row r="307" spans="1:7" x14ac:dyDescent="0.25">
      <c r="A307" s="1" t="s">
        <v>306</v>
      </c>
      <c r="C307" s="3">
        <v>310</v>
      </c>
      <c r="E307" t="s">
        <v>15988</v>
      </c>
      <c r="G307" s="1" t="s">
        <v>306</v>
      </c>
    </row>
    <row r="308" spans="1:7" x14ac:dyDescent="0.25">
      <c r="A308" s="1" t="s">
        <v>307</v>
      </c>
      <c r="C308" s="3">
        <v>309</v>
      </c>
      <c r="E308" t="s">
        <v>6468</v>
      </c>
      <c r="G308" s="1" t="s">
        <v>307</v>
      </c>
    </row>
    <row r="309" spans="1:7" x14ac:dyDescent="0.25">
      <c r="A309" s="1" t="s">
        <v>308</v>
      </c>
      <c r="C309" s="3">
        <v>308</v>
      </c>
      <c r="E309" t="s">
        <v>14422</v>
      </c>
      <c r="G309" s="1" t="s">
        <v>308</v>
      </c>
    </row>
    <row r="310" spans="1:7" x14ac:dyDescent="0.25">
      <c r="A310" s="1" t="s">
        <v>309</v>
      </c>
      <c r="C310" s="3">
        <v>308</v>
      </c>
      <c r="E310" t="s">
        <v>2143</v>
      </c>
      <c r="G310" s="1" t="s">
        <v>309</v>
      </c>
    </row>
    <row r="311" spans="1:7" x14ac:dyDescent="0.25">
      <c r="A311" s="1" t="s">
        <v>310</v>
      </c>
      <c r="C311" s="3">
        <v>308</v>
      </c>
      <c r="E311" t="s">
        <v>12145</v>
      </c>
      <c r="G311" s="1" t="s">
        <v>310</v>
      </c>
    </row>
    <row r="312" spans="1:7" x14ac:dyDescent="0.25">
      <c r="A312" s="1" t="s">
        <v>311</v>
      </c>
      <c r="C312" s="3">
        <v>307</v>
      </c>
      <c r="E312" t="s">
        <v>6360</v>
      </c>
      <c r="G312" s="1" t="s">
        <v>311</v>
      </c>
    </row>
    <row r="313" spans="1:7" x14ac:dyDescent="0.25">
      <c r="A313" s="1" t="s">
        <v>312</v>
      </c>
      <c r="C313" s="3">
        <v>306</v>
      </c>
      <c r="E313" t="s">
        <v>1423</v>
      </c>
      <c r="G313" s="1" t="s">
        <v>312</v>
      </c>
    </row>
    <row r="314" spans="1:7" x14ac:dyDescent="0.25">
      <c r="A314" s="1" t="s">
        <v>313</v>
      </c>
      <c r="C314" s="3">
        <v>305</v>
      </c>
      <c r="E314" t="s">
        <v>5069</v>
      </c>
      <c r="G314" s="1" t="s">
        <v>313</v>
      </c>
    </row>
    <row r="315" spans="1:7" x14ac:dyDescent="0.25">
      <c r="A315" s="1" t="s">
        <v>314</v>
      </c>
      <c r="C315" s="3">
        <v>303</v>
      </c>
      <c r="E315" t="s">
        <v>1576</v>
      </c>
      <c r="G315" s="1" t="s">
        <v>314</v>
      </c>
    </row>
    <row r="316" spans="1:7" x14ac:dyDescent="0.25">
      <c r="A316" s="1" t="s">
        <v>315</v>
      </c>
      <c r="C316" s="3">
        <v>303</v>
      </c>
      <c r="E316" t="s">
        <v>2058</v>
      </c>
      <c r="G316" s="1" t="s">
        <v>315</v>
      </c>
    </row>
    <row r="317" spans="1:7" x14ac:dyDescent="0.25">
      <c r="A317" s="1" t="s">
        <v>316</v>
      </c>
      <c r="C317" s="3">
        <v>302</v>
      </c>
      <c r="E317" t="s">
        <v>423</v>
      </c>
      <c r="G317" s="1" t="s">
        <v>316</v>
      </c>
    </row>
    <row r="318" spans="1:7" x14ac:dyDescent="0.25">
      <c r="A318" s="1" t="s">
        <v>317</v>
      </c>
      <c r="C318" s="3">
        <v>301</v>
      </c>
      <c r="E318" t="s">
        <v>5417</v>
      </c>
      <c r="G318" s="1" t="s">
        <v>317</v>
      </c>
    </row>
    <row r="319" spans="1:7" x14ac:dyDescent="0.25">
      <c r="A319" s="1" t="s">
        <v>318</v>
      </c>
      <c r="C319" s="3">
        <v>301</v>
      </c>
      <c r="E319" t="s">
        <v>5421</v>
      </c>
      <c r="G319" s="1" t="s">
        <v>318</v>
      </c>
    </row>
    <row r="320" spans="1:7" x14ac:dyDescent="0.25">
      <c r="A320" s="2" t="s">
        <v>319</v>
      </c>
      <c r="C320" s="4">
        <v>300</v>
      </c>
      <c r="E320" t="s">
        <v>1473</v>
      </c>
      <c r="G320" s="2" t="s">
        <v>319</v>
      </c>
    </row>
    <row r="321" spans="1:7" x14ac:dyDescent="0.25">
      <c r="A321" s="1" t="s">
        <v>320</v>
      </c>
      <c r="C321" s="3">
        <v>299</v>
      </c>
      <c r="E321" t="s">
        <v>2139</v>
      </c>
      <c r="G321" s="1" t="s">
        <v>320</v>
      </c>
    </row>
    <row r="322" spans="1:7" x14ac:dyDescent="0.25">
      <c r="A322" s="1" t="s">
        <v>321</v>
      </c>
      <c r="C322" s="3">
        <v>298</v>
      </c>
      <c r="E322" t="s">
        <v>22342</v>
      </c>
      <c r="G322" s="1" t="s">
        <v>321</v>
      </c>
    </row>
    <row r="323" spans="1:7" x14ac:dyDescent="0.25">
      <c r="A323" s="1" t="s">
        <v>322</v>
      </c>
      <c r="C323" s="3">
        <v>298</v>
      </c>
      <c r="E323" t="s">
        <v>5366</v>
      </c>
      <c r="G323" s="1" t="s">
        <v>322</v>
      </c>
    </row>
    <row r="324" spans="1:7" x14ac:dyDescent="0.25">
      <c r="A324" s="1" t="s">
        <v>323</v>
      </c>
      <c r="C324" s="3">
        <v>298</v>
      </c>
      <c r="E324" t="s">
        <v>14284</v>
      </c>
      <c r="G324" s="1" t="s">
        <v>323</v>
      </c>
    </row>
    <row r="325" spans="1:7" x14ac:dyDescent="0.25">
      <c r="A325" s="1" t="s">
        <v>324</v>
      </c>
      <c r="C325" s="3">
        <v>297</v>
      </c>
      <c r="E325" t="s">
        <v>9283</v>
      </c>
      <c r="G325" s="1" t="s">
        <v>324</v>
      </c>
    </row>
    <row r="326" spans="1:7" x14ac:dyDescent="0.25">
      <c r="A326" s="1" t="s">
        <v>325</v>
      </c>
      <c r="C326" s="3">
        <v>296</v>
      </c>
      <c r="E326" t="s">
        <v>2179</v>
      </c>
      <c r="G326" s="1" t="s">
        <v>325</v>
      </c>
    </row>
    <row r="327" spans="1:7" x14ac:dyDescent="0.25">
      <c r="A327" s="1" t="s">
        <v>326</v>
      </c>
      <c r="C327" s="3">
        <v>295</v>
      </c>
      <c r="E327" t="s">
        <v>277</v>
      </c>
      <c r="G327" s="1" t="s">
        <v>326</v>
      </c>
    </row>
    <row r="328" spans="1:7" x14ac:dyDescent="0.25">
      <c r="A328" s="1" t="s">
        <v>327</v>
      </c>
      <c r="C328" s="3">
        <v>294</v>
      </c>
      <c r="E328" t="s">
        <v>9150</v>
      </c>
      <c r="G328" s="1" t="s">
        <v>327</v>
      </c>
    </row>
    <row r="329" spans="1:7" x14ac:dyDescent="0.25">
      <c r="A329" s="1" t="s">
        <v>328</v>
      </c>
      <c r="C329" s="3">
        <v>293</v>
      </c>
      <c r="E329" t="s">
        <v>7951</v>
      </c>
      <c r="G329" s="1" t="s">
        <v>328</v>
      </c>
    </row>
    <row r="330" spans="1:7" x14ac:dyDescent="0.25">
      <c r="A330" s="1" t="s">
        <v>329</v>
      </c>
      <c r="C330" s="3">
        <v>293</v>
      </c>
      <c r="E330" t="s">
        <v>10145</v>
      </c>
      <c r="G330" s="1" t="s">
        <v>329</v>
      </c>
    </row>
    <row r="331" spans="1:7" x14ac:dyDescent="0.25">
      <c r="A331" s="1" t="s">
        <v>330</v>
      </c>
      <c r="C331" s="3">
        <v>293</v>
      </c>
      <c r="E331" t="s">
        <v>4418</v>
      </c>
      <c r="G331" s="1" t="s">
        <v>330</v>
      </c>
    </row>
    <row r="332" spans="1:7" x14ac:dyDescent="0.25">
      <c r="A332" s="1" t="s">
        <v>331</v>
      </c>
      <c r="C332" s="3">
        <v>292</v>
      </c>
      <c r="E332" t="s">
        <v>1059</v>
      </c>
      <c r="G332" s="1" t="s">
        <v>331</v>
      </c>
    </row>
    <row r="333" spans="1:7" x14ac:dyDescent="0.25">
      <c r="A333" s="1" t="s">
        <v>332</v>
      </c>
      <c r="C333" s="3">
        <v>291</v>
      </c>
      <c r="E333" t="s">
        <v>14012</v>
      </c>
      <c r="G333" s="1" t="s">
        <v>332</v>
      </c>
    </row>
    <row r="334" spans="1:7" x14ac:dyDescent="0.25">
      <c r="A334" s="1" t="s">
        <v>333</v>
      </c>
      <c r="C334" s="3">
        <v>291</v>
      </c>
      <c r="E334" t="s">
        <v>4174</v>
      </c>
      <c r="G334" s="1" t="s">
        <v>333</v>
      </c>
    </row>
    <row r="335" spans="1:7" x14ac:dyDescent="0.25">
      <c r="A335" s="1" t="s">
        <v>334</v>
      </c>
      <c r="C335" s="3">
        <v>290</v>
      </c>
      <c r="E335" t="s">
        <v>5533</v>
      </c>
      <c r="G335" s="1" t="s">
        <v>334</v>
      </c>
    </row>
    <row r="336" spans="1:7" x14ac:dyDescent="0.25">
      <c r="A336" s="1" t="s">
        <v>335</v>
      </c>
      <c r="C336" s="3">
        <v>289</v>
      </c>
      <c r="E336" t="s">
        <v>5246</v>
      </c>
      <c r="G336" s="1" t="s">
        <v>335</v>
      </c>
    </row>
    <row r="337" spans="1:7" x14ac:dyDescent="0.25">
      <c r="A337" s="1" t="s">
        <v>336</v>
      </c>
      <c r="C337" s="3">
        <v>289</v>
      </c>
      <c r="E337" t="s">
        <v>2580</v>
      </c>
      <c r="G337" s="1" t="s">
        <v>336</v>
      </c>
    </row>
    <row r="338" spans="1:7" x14ac:dyDescent="0.25">
      <c r="A338" s="1" t="s">
        <v>337</v>
      </c>
      <c r="C338" s="3">
        <v>287</v>
      </c>
      <c r="E338" t="s">
        <v>5835</v>
      </c>
      <c r="G338" s="1" t="s">
        <v>337</v>
      </c>
    </row>
    <row r="339" spans="1:7" x14ac:dyDescent="0.25">
      <c r="A339" s="1" t="s">
        <v>338</v>
      </c>
      <c r="C339" s="3">
        <v>287</v>
      </c>
      <c r="E339" t="s">
        <v>2787</v>
      </c>
      <c r="G339" s="1" t="s">
        <v>338</v>
      </c>
    </row>
    <row r="340" spans="1:7" x14ac:dyDescent="0.25">
      <c r="A340" s="1" t="s">
        <v>339</v>
      </c>
      <c r="C340" s="3">
        <v>287</v>
      </c>
      <c r="E340" t="s">
        <v>426</v>
      </c>
      <c r="G340" s="1" t="s">
        <v>339</v>
      </c>
    </row>
    <row r="341" spans="1:7" x14ac:dyDescent="0.25">
      <c r="A341" s="1" t="s">
        <v>340</v>
      </c>
      <c r="C341" s="3">
        <v>287</v>
      </c>
      <c r="E341" t="s">
        <v>2997</v>
      </c>
      <c r="G341" s="1" t="s">
        <v>340</v>
      </c>
    </row>
    <row r="342" spans="1:7" x14ac:dyDescent="0.25">
      <c r="A342" s="1" t="s">
        <v>341</v>
      </c>
      <c r="C342" s="3">
        <v>286</v>
      </c>
      <c r="E342" t="s">
        <v>7431</v>
      </c>
      <c r="G342" s="1" t="s">
        <v>341</v>
      </c>
    </row>
    <row r="343" spans="1:7" x14ac:dyDescent="0.25">
      <c r="A343" s="1" t="s">
        <v>342</v>
      </c>
      <c r="C343" s="3">
        <v>285</v>
      </c>
      <c r="E343" t="s">
        <v>6215</v>
      </c>
      <c r="G343" s="1" t="s">
        <v>342</v>
      </c>
    </row>
    <row r="344" spans="1:7" x14ac:dyDescent="0.25">
      <c r="A344" s="1" t="s">
        <v>343</v>
      </c>
      <c r="C344" s="3">
        <v>284</v>
      </c>
      <c r="E344" t="s">
        <v>693</v>
      </c>
      <c r="G344" s="1" t="s">
        <v>343</v>
      </c>
    </row>
    <row r="345" spans="1:7" x14ac:dyDescent="0.25">
      <c r="A345" s="1" t="s">
        <v>344</v>
      </c>
      <c r="C345" s="3">
        <v>284</v>
      </c>
      <c r="E345" t="s">
        <v>15513</v>
      </c>
      <c r="G345" s="1" t="s">
        <v>344</v>
      </c>
    </row>
    <row r="346" spans="1:7" x14ac:dyDescent="0.25">
      <c r="A346" s="1" t="s">
        <v>345</v>
      </c>
      <c r="C346" s="3">
        <v>284</v>
      </c>
      <c r="E346" t="s">
        <v>5774</v>
      </c>
      <c r="G346" s="1" t="s">
        <v>345</v>
      </c>
    </row>
    <row r="347" spans="1:7" x14ac:dyDescent="0.25">
      <c r="A347" s="1" t="s">
        <v>346</v>
      </c>
      <c r="C347" s="3">
        <v>283</v>
      </c>
      <c r="E347" t="s">
        <v>7046</v>
      </c>
      <c r="G347" s="1" t="s">
        <v>346</v>
      </c>
    </row>
    <row r="348" spans="1:7" x14ac:dyDescent="0.25">
      <c r="A348" s="1" t="s">
        <v>347</v>
      </c>
      <c r="C348" s="3">
        <v>283</v>
      </c>
      <c r="E348" t="s">
        <v>4059</v>
      </c>
      <c r="G348" s="1" t="s">
        <v>347</v>
      </c>
    </row>
    <row r="349" spans="1:7" x14ac:dyDescent="0.25">
      <c r="A349" s="1" t="s">
        <v>348</v>
      </c>
      <c r="C349" s="3">
        <v>283</v>
      </c>
      <c r="E349" t="s">
        <v>281</v>
      </c>
      <c r="G349" s="1" t="s">
        <v>348</v>
      </c>
    </row>
    <row r="350" spans="1:7" x14ac:dyDescent="0.25">
      <c r="A350" s="1" t="s">
        <v>349</v>
      </c>
      <c r="C350" s="3">
        <v>282</v>
      </c>
      <c r="E350" t="s">
        <v>18729</v>
      </c>
      <c r="G350" s="1" t="s">
        <v>349</v>
      </c>
    </row>
    <row r="351" spans="1:7" x14ac:dyDescent="0.25">
      <c r="A351" s="1" t="s">
        <v>350</v>
      </c>
      <c r="C351" s="3">
        <v>282</v>
      </c>
      <c r="E351" t="s">
        <v>2812</v>
      </c>
      <c r="G351" s="1" t="s">
        <v>350</v>
      </c>
    </row>
    <row r="352" spans="1:7" x14ac:dyDescent="0.25">
      <c r="A352" s="1" t="s">
        <v>351</v>
      </c>
      <c r="C352" s="3">
        <v>282</v>
      </c>
      <c r="E352" t="s">
        <v>702</v>
      </c>
      <c r="G352" s="1" t="s">
        <v>351</v>
      </c>
    </row>
    <row r="353" spans="1:7" x14ac:dyDescent="0.25">
      <c r="A353" s="1" t="s">
        <v>352</v>
      </c>
      <c r="C353" s="3">
        <v>281</v>
      </c>
      <c r="E353" t="s">
        <v>1675</v>
      </c>
      <c r="G353" s="1" t="s">
        <v>352</v>
      </c>
    </row>
    <row r="354" spans="1:7" x14ac:dyDescent="0.25">
      <c r="A354" s="1" t="s">
        <v>353</v>
      </c>
      <c r="C354" s="3">
        <v>281</v>
      </c>
      <c r="E354" t="s">
        <v>428</v>
      </c>
      <c r="G354" s="1" t="s">
        <v>353</v>
      </c>
    </row>
    <row r="355" spans="1:7" x14ac:dyDescent="0.25">
      <c r="A355" s="1" t="s">
        <v>354</v>
      </c>
      <c r="C355" s="3">
        <v>280</v>
      </c>
      <c r="E355" t="s">
        <v>10234</v>
      </c>
      <c r="G355" s="1" t="s">
        <v>354</v>
      </c>
    </row>
    <row r="356" spans="1:7" x14ac:dyDescent="0.25">
      <c r="A356" s="1" t="s">
        <v>355</v>
      </c>
      <c r="C356" s="3">
        <v>277</v>
      </c>
      <c r="E356" t="s">
        <v>4754</v>
      </c>
      <c r="G356" s="1" t="s">
        <v>355</v>
      </c>
    </row>
    <row r="357" spans="1:7" x14ac:dyDescent="0.25">
      <c r="A357" s="1" t="s">
        <v>356</v>
      </c>
      <c r="C357" s="3">
        <v>277</v>
      </c>
      <c r="E357" t="s">
        <v>10957</v>
      </c>
      <c r="G357" s="1" t="s">
        <v>356</v>
      </c>
    </row>
    <row r="358" spans="1:7" x14ac:dyDescent="0.25">
      <c r="A358" s="1" t="s">
        <v>357</v>
      </c>
      <c r="C358" s="3">
        <v>277</v>
      </c>
      <c r="E358" t="s">
        <v>3923</v>
      </c>
      <c r="G358" s="1" t="s">
        <v>357</v>
      </c>
    </row>
    <row r="359" spans="1:7" x14ac:dyDescent="0.25">
      <c r="A359" s="1" t="s">
        <v>358</v>
      </c>
      <c r="C359" s="3">
        <v>276</v>
      </c>
      <c r="E359" t="s">
        <v>3688</v>
      </c>
      <c r="G359" s="1" t="s">
        <v>358</v>
      </c>
    </row>
    <row r="360" spans="1:7" x14ac:dyDescent="0.25">
      <c r="A360" s="1" t="s">
        <v>359</v>
      </c>
      <c r="C360" s="3">
        <v>276</v>
      </c>
      <c r="E360" t="s">
        <v>16896</v>
      </c>
      <c r="G360" s="1" t="s">
        <v>359</v>
      </c>
    </row>
    <row r="361" spans="1:7" x14ac:dyDescent="0.25">
      <c r="A361" s="1" t="s">
        <v>360</v>
      </c>
      <c r="C361" s="3">
        <v>275</v>
      </c>
      <c r="E361" t="s">
        <v>476</v>
      </c>
      <c r="G361" s="1" t="s">
        <v>360</v>
      </c>
    </row>
    <row r="362" spans="1:7" x14ac:dyDescent="0.25">
      <c r="A362" s="1" t="s">
        <v>361</v>
      </c>
      <c r="C362" s="3">
        <v>275</v>
      </c>
      <c r="E362" t="s">
        <v>19014</v>
      </c>
      <c r="G362" s="1" t="s">
        <v>361</v>
      </c>
    </row>
    <row r="363" spans="1:7" x14ac:dyDescent="0.25">
      <c r="A363" s="1" t="s">
        <v>362</v>
      </c>
      <c r="C363" s="3">
        <v>274</v>
      </c>
      <c r="E363" t="s">
        <v>819</v>
      </c>
      <c r="G363" s="1" t="s">
        <v>362</v>
      </c>
    </row>
    <row r="364" spans="1:7" x14ac:dyDescent="0.25">
      <c r="A364" s="1" t="s">
        <v>363</v>
      </c>
      <c r="C364" s="3">
        <v>273</v>
      </c>
      <c r="E364" t="s">
        <v>1795</v>
      </c>
      <c r="G364" s="1" t="s">
        <v>363</v>
      </c>
    </row>
    <row r="365" spans="1:7" x14ac:dyDescent="0.25">
      <c r="A365" s="1" t="s">
        <v>364</v>
      </c>
      <c r="C365" s="3">
        <v>273</v>
      </c>
      <c r="E365" t="s">
        <v>4614</v>
      </c>
      <c r="G365" s="1" t="s">
        <v>364</v>
      </c>
    </row>
    <row r="366" spans="1:7" x14ac:dyDescent="0.25">
      <c r="A366" s="1" t="s">
        <v>365</v>
      </c>
      <c r="C366" s="3">
        <v>272</v>
      </c>
      <c r="E366" t="s">
        <v>12226</v>
      </c>
      <c r="G366" s="1" t="s">
        <v>365</v>
      </c>
    </row>
    <row r="367" spans="1:7" x14ac:dyDescent="0.25">
      <c r="A367" s="1" t="s">
        <v>366</v>
      </c>
      <c r="C367" s="3">
        <v>272</v>
      </c>
      <c r="E367" t="s">
        <v>1231</v>
      </c>
      <c r="G367" s="1" t="s">
        <v>366</v>
      </c>
    </row>
    <row r="368" spans="1:7" x14ac:dyDescent="0.25">
      <c r="A368" s="1" t="s">
        <v>367</v>
      </c>
      <c r="C368" s="3">
        <v>272</v>
      </c>
      <c r="E368" t="s">
        <v>20220</v>
      </c>
      <c r="G368" s="1" t="s">
        <v>367</v>
      </c>
    </row>
    <row r="369" spans="1:7" x14ac:dyDescent="0.25">
      <c r="A369" s="1" t="s">
        <v>368</v>
      </c>
      <c r="C369" s="3">
        <v>271</v>
      </c>
      <c r="E369" t="s">
        <v>11155</v>
      </c>
      <c r="G369" s="1" t="s">
        <v>368</v>
      </c>
    </row>
    <row r="370" spans="1:7" x14ac:dyDescent="0.25">
      <c r="A370" s="1" t="s">
        <v>369</v>
      </c>
      <c r="C370" s="3">
        <v>271</v>
      </c>
      <c r="E370" t="s">
        <v>3209</v>
      </c>
      <c r="G370" s="1" t="s">
        <v>369</v>
      </c>
    </row>
    <row r="371" spans="1:7" x14ac:dyDescent="0.25">
      <c r="A371" s="1" t="s">
        <v>370</v>
      </c>
      <c r="C371" s="3">
        <v>270</v>
      </c>
      <c r="E371" t="s">
        <v>1384</v>
      </c>
      <c r="G371" s="1" t="s">
        <v>370</v>
      </c>
    </row>
    <row r="372" spans="1:7" x14ac:dyDescent="0.25">
      <c r="A372" s="1" t="s">
        <v>371</v>
      </c>
      <c r="C372" s="3">
        <v>269</v>
      </c>
      <c r="E372" t="s">
        <v>251</v>
      </c>
      <c r="G372" s="1" t="s">
        <v>371</v>
      </c>
    </row>
    <row r="373" spans="1:7" x14ac:dyDescent="0.25">
      <c r="A373" s="1" t="s">
        <v>372</v>
      </c>
      <c r="C373" s="3">
        <v>268</v>
      </c>
      <c r="E373" t="s">
        <v>7843</v>
      </c>
      <c r="G373" s="1" t="s">
        <v>372</v>
      </c>
    </row>
    <row r="374" spans="1:7" x14ac:dyDescent="0.25">
      <c r="A374" s="1" t="s">
        <v>373</v>
      </c>
      <c r="C374" s="3">
        <v>268</v>
      </c>
      <c r="E374" t="s">
        <v>14564</v>
      </c>
      <c r="G374" s="1" t="s">
        <v>373</v>
      </c>
    </row>
    <row r="375" spans="1:7" x14ac:dyDescent="0.25">
      <c r="A375" s="1" t="s">
        <v>374</v>
      </c>
      <c r="C375" s="3">
        <v>268</v>
      </c>
      <c r="E375" t="s">
        <v>14192</v>
      </c>
      <c r="G375" s="1" t="s">
        <v>374</v>
      </c>
    </row>
    <row r="376" spans="1:7" x14ac:dyDescent="0.25">
      <c r="A376" s="1" t="s">
        <v>375</v>
      </c>
      <c r="C376" s="3">
        <v>267</v>
      </c>
      <c r="E376" t="s">
        <v>941</v>
      </c>
      <c r="G376" s="1" t="s">
        <v>375</v>
      </c>
    </row>
    <row r="377" spans="1:7" x14ac:dyDescent="0.25">
      <c r="A377" s="1" t="s">
        <v>376</v>
      </c>
      <c r="C377" s="3">
        <v>267</v>
      </c>
      <c r="E377" t="s">
        <v>3810</v>
      </c>
      <c r="G377" s="1" t="s">
        <v>376</v>
      </c>
    </row>
    <row r="378" spans="1:7" x14ac:dyDescent="0.25">
      <c r="A378" s="1" t="s">
        <v>377</v>
      </c>
      <c r="C378" s="3">
        <v>267</v>
      </c>
      <c r="E378" t="s">
        <v>190</v>
      </c>
      <c r="G378" s="1" t="s">
        <v>377</v>
      </c>
    </row>
    <row r="379" spans="1:7" x14ac:dyDescent="0.25">
      <c r="A379" s="1" t="s">
        <v>378</v>
      </c>
      <c r="C379" s="3">
        <v>266</v>
      </c>
      <c r="E379" t="s">
        <v>4373</v>
      </c>
      <c r="G379" s="1" t="s">
        <v>378</v>
      </c>
    </row>
    <row r="380" spans="1:7" x14ac:dyDescent="0.25">
      <c r="A380" s="1" t="s">
        <v>379</v>
      </c>
      <c r="C380" s="3">
        <v>265</v>
      </c>
      <c r="E380" t="s">
        <v>1245</v>
      </c>
      <c r="G380" s="1" t="s">
        <v>379</v>
      </c>
    </row>
    <row r="381" spans="1:7" x14ac:dyDescent="0.25">
      <c r="A381" s="1" t="s">
        <v>380</v>
      </c>
      <c r="C381" s="3">
        <v>263</v>
      </c>
      <c r="E381" t="s">
        <v>10289</v>
      </c>
      <c r="G381" s="1" t="s">
        <v>380</v>
      </c>
    </row>
    <row r="382" spans="1:7" x14ac:dyDescent="0.25">
      <c r="A382" s="1" t="s">
        <v>381</v>
      </c>
      <c r="C382" s="3">
        <v>262</v>
      </c>
      <c r="E382" t="s">
        <v>1396</v>
      </c>
      <c r="G382" s="1" t="s">
        <v>381</v>
      </c>
    </row>
    <row r="383" spans="1:7" x14ac:dyDescent="0.25">
      <c r="A383" s="1" t="s">
        <v>382</v>
      </c>
      <c r="C383" s="3">
        <v>261</v>
      </c>
      <c r="E383" t="s">
        <v>9659</v>
      </c>
      <c r="G383" s="1" t="s">
        <v>382</v>
      </c>
    </row>
    <row r="384" spans="1:7" x14ac:dyDescent="0.25">
      <c r="A384" s="1" t="s">
        <v>383</v>
      </c>
      <c r="C384" s="3">
        <v>261</v>
      </c>
      <c r="E384" t="s">
        <v>3153</v>
      </c>
      <c r="G384" s="1" t="s">
        <v>383</v>
      </c>
    </row>
    <row r="385" spans="1:7" x14ac:dyDescent="0.25">
      <c r="A385" s="1" t="s">
        <v>384</v>
      </c>
      <c r="C385" s="3">
        <v>261</v>
      </c>
      <c r="E385" t="s">
        <v>22208</v>
      </c>
      <c r="G385" s="1" t="s">
        <v>384</v>
      </c>
    </row>
    <row r="386" spans="1:7" x14ac:dyDescent="0.25">
      <c r="A386" s="1" t="s">
        <v>385</v>
      </c>
      <c r="C386" s="3">
        <v>261</v>
      </c>
      <c r="E386" t="s">
        <v>25412</v>
      </c>
      <c r="G386" s="1" t="s">
        <v>385</v>
      </c>
    </row>
    <row r="387" spans="1:7" x14ac:dyDescent="0.25">
      <c r="A387" s="1" t="s">
        <v>386</v>
      </c>
      <c r="C387" s="3">
        <v>261</v>
      </c>
      <c r="E387" t="s">
        <v>15255</v>
      </c>
      <c r="G387" s="1" t="s">
        <v>386</v>
      </c>
    </row>
    <row r="388" spans="1:7" x14ac:dyDescent="0.25">
      <c r="A388" s="1" t="s">
        <v>387</v>
      </c>
      <c r="C388" s="3">
        <v>259</v>
      </c>
      <c r="E388" t="s">
        <v>11962</v>
      </c>
      <c r="G388" s="1" t="s">
        <v>387</v>
      </c>
    </row>
    <row r="389" spans="1:7" x14ac:dyDescent="0.25">
      <c r="A389" s="1" t="s">
        <v>388</v>
      </c>
      <c r="C389" s="3">
        <v>259</v>
      </c>
      <c r="E389" t="s">
        <v>10041</v>
      </c>
      <c r="G389" s="1" t="s">
        <v>388</v>
      </c>
    </row>
    <row r="390" spans="1:7" x14ac:dyDescent="0.25">
      <c r="A390" s="1" t="s">
        <v>389</v>
      </c>
      <c r="C390" s="3">
        <v>259</v>
      </c>
      <c r="E390" t="s">
        <v>6077</v>
      </c>
      <c r="G390" s="1" t="s">
        <v>389</v>
      </c>
    </row>
    <row r="391" spans="1:7" x14ac:dyDescent="0.25">
      <c r="A391" s="1" t="s">
        <v>390</v>
      </c>
      <c r="C391" s="3">
        <v>258</v>
      </c>
      <c r="E391" t="s">
        <v>19888</v>
      </c>
      <c r="G391" s="1" t="s">
        <v>390</v>
      </c>
    </row>
    <row r="392" spans="1:7" x14ac:dyDescent="0.25">
      <c r="A392" s="1" t="s">
        <v>391</v>
      </c>
      <c r="C392" s="3">
        <v>258</v>
      </c>
      <c r="E392" t="s">
        <v>6249</v>
      </c>
      <c r="G392" s="1" t="s">
        <v>391</v>
      </c>
    </row>
    <row r="393" spans="1:7" x14ac:dyDescent="0.25">
      <c r="A393" s="1" t="s">
        <v>392</v>
      </c>
      <c r="C393" s="3">
        <v>258</v>
      </c>
      <c r="E393" t="s">
        <v>3442</v>
      </c>
      <c r="G393" s="1" t="s">
        <v>392</v>
      </c>
    </row>
    <row r="394" spans="1:7" x14ac:dyDescent="0.25">
      <c r="A394" s="1" t="s">
        <v>393</v>
      </c>
      <c r="C394" s="3">
        <v>258</v>
      </c>
      <c r="E394" t="s">
        <v>3532</v>
      </c>
      <c r="G394" s="1" t="s">
        <v>393</v>
      </c>
    </row>
    <row r="395" spans="1:7" x14ac:dyDescent="0.25">
      <c r="A395" s="1" t="s">
        <v>394</v>
      </c>
      <c r="C395" s="3">
        <v>257</v>
      </c>
      <c r="E395" t="s">
        <v>5749</v>
      </c>
      <c r="G395" s="1" t="s">
        <v>394</v>
      </c>
    </row>
    <row r="396" spans="1:7" x14ac:dyDescent="0.25">
      <c r="A396" s="1" t="s">
        <v>395</v>
      </c>
      <c r="C396" s="3">
        <v>257</v>
      </c>
      <c r="E396" t="s">
        <v>14672</v>
      </c>
      <c r="G396" s="1" t="s">
        <v>395</v>
      </c>
    </row>
    <row r="397" spans="1:7" x14ac:dyDescent="0.25">
      <c r="A397" s="1" t="s">
        <v>396</v>
      </c>
      <c r="C397" s="3">
        <v>256</v>
      </c>
      <c r="E397" t="s">
        <v>246</v>
      </c>
      <c r="G397" s="1" t="s">
        <v>396</v>
      </c>
    </row>
    <row r="398" spans="1:7" x14ac:dyDescent="0.25">
      <c r="A398" s="1" t="s">
        <v>397</v>
      </c>
      <c r="C398" s="3">
        <v>256</v>
      </c>
      <c r="E398" t="s">
        <v>17797</v>
      </c>
      <c r="G398" s="1" t="s">
        <v>397</v>
      </c>
    </row>
    <row r="399" spans="1:7" x14ac:dyDescent="0.25">
      <c r="A399" s="1" t="s">
        <v>398</v>
      </c>
      <c r="C399" s="3">
        <v>256</v>
      </c>
      <c r="E399" t="s">
        <v>3243</v>
      </c>
      <c r="G399" s="1" t="s">
        <v>398</v>
      </c>
    </row>
    <row r="400" spans="1:7" x14ac:dyDescent="0.25">
      <c r="A400" s="1" t="s">
        <v>399</v>
      </c>
      <c r="C400" s="3">
        <v>256</v>
      </c>
      <c r="E400" t="s">
        <v>3013</v>
      </c>
      <c r="G400" s="1" t="s">
        <v>399</v>
      </c>
    </row>
    <row r="401" spans="1:7" x14ac:dyDescent="0.25">
      <c r="A401" s="1" t="s">
        <v>400</v>
      </c>
      <c r="C401" s="3">
        <v>255</v>
      </c>
      <c r="E401" t="s">
        <v>2263</v>
      </c>
      <c r="G401" s="1" t="s">
        <v>400</v>
      </c>
    </row>
    <row r="402" spans="1:7" x14ac:dyDescent="0.25">
      <c r="A402" s="1" t="s">
        <v>401</v>
      </c>
      <c r="C402" s="3">
        <v>254</v>
      </c>
      <c r="E402" t="s">
        <v>2295</v>
      </c>
      <c r="G402" s="1" t="s">
        <v>401</v>
      </c>
    </row>
    <row r="403" spans="1:7" x14ac:dyDescent="0.25">
      <c r="A403" s="1" t="s">
        <v>402</v>
      </c>
      <c r="C403" s="3">
        <v>254</v>
      </c>
      <c r="E403" t="s">
        <v>6881</v>
      </c>
      <c r="G403" s="1" t="s">
        <v>402</v>
      </c>
    </row>
    <row r="404" spans="1:7" x14ac:dyDescent="0.25">
      <c r="A404" s="1" t="s">
        <v>403</v>
      </c>
      <c r="C404" s="3">
        <v>254</v>
      </c>
      <c r="E404" t="s">
        <v>6629</v>
      </c>
      <c r="G404" s="1" t="s">
        <v>403</v>
      </c>
    </row>
    <row r="405" spans="1:7" x14ac:dyDescent="0.25">
      <c r="A405" s="1" t="s">
        <v>404</v>
      </c>
      <c r="C405" s="3">
        <v>254</v>
      </c>
      <c r="E405" t="s">
        <v>12294</v>
      </c>
      <c r="G405" s="1" t="s">
        <v>404</v>
      </c>
    </row>
    <row r="406" spans="1:7" x14ac:dyDescent="0.25">
      <c r="A406" s="1" t="s">
        <v>405</v>
      </c>
      <c r="C406" s="3">
        <v>253</v>
      </c>
      <c r="E406" t="s">
        <v>25413</v>
      </c>
      <c r="G406" s="1" t="s">
        <v>405</v>
      </c>
    </row>
    <row r="407" spans="1:7" x14ac:dyDescent="0.25">
      <c r="A407" s="1" t="s">
        <v>406</v>
      </c>
      <c r="C407" s="3">
        <v>253</v>
      </c>
      <c r="E407" t="s">
        <v>2082</v>
      </c>
      <c r="G407" s="1" t="s">
        <v>406</v>
      </c>
    </row>
    <row r="408" spans="1:7" x14ac:dyDescent="0.25">
      <c r="A408" s="1" t="s">
        <v>407</v>
      </c>
      <c r="C408" s="3">
        <v>252</v>
      </c>
      <c r="E408" t="s">
        <v>3604</v>
      </c>
      <c r="G408" s="1" t="s">
        <v>407</v>
      </c>
    </row>
    <row r="409" spans="1:7" x14ac:dyDescent="0.25">
      <c r="A409" s="1" t="s">
        <v>408</v>
      </c>
      <c r="C409" s="3">
        <v>252</v>
      </c>
      <c r="E409" t="s">
        <v>14867</v>
      </c>
      <c r="G409" s="1" t="s">
        <v>408</v>
      </c>
    </row>
    <row r="410" spans="1:7" x14ac:dyDescent="0.25">
      <c r="A410" s="1" t="s">
        <v>409</v>
      </c>
      <c r="C410" s="3">
        <v>252</v>
      </c>
      <c r="E410" t="s">
        <v>447</v>
      </c>
      <c r="G410" s="1" t="s">
        <v>409</v>
      </c>
    </row>
    <row r="411" spans="1:7" x14ac:dyDescent="0.25">
      <c r="A411" s="1" t="s">
        <v>410</v>
      </c>
      <c r="C411" s="3">
        <v>252</v>
      </c>
      <c r="E411" t="s">
        <v>1238</v>
      </c>
      <c r="G411" s="1" t="s">
        <v>410</v>
      </c>
    </row>
    <row r="412" spans="1:7" x14ac:dyDescent="0.25">
      <c r="A412" s="1" t="s">
        <v>411</v>
      </c>
      <c r="C412" s="3">
        <v>252</v>
      </c>
      <c r="E412" t="s">
        <v>2273</v>
      </c>
      <c r="G412" s="1" t="s">
        <v>411</v>
      </c>
    </row>
    <row r="413" spans="1:7" x14ac:dyDescent="0.25">
      <c r="A413" s="1" t="s">
        <v>412</v>
      </c>
      <c r="C413" s="3">
        <v>251</v>
      </c>
      <c r="E413" t="s">
        <v>699</v>
      </c>
      <c r="G413" s="1" t="s">
        <v>412</v>
      </c>
    </row>
    <row r="414" spans="1:7" x14ac:dyDescent="0.25">
      <c r="A414" s="1" t="s">
        <v>413</v>
      </c>
      <c r="C414" s="3">
        <v>248</v>
      </c>
      <c r="E414" t="s">
        <v>4867</v>
      </c>
      <c r="G414" s="1" t="s">
        <v>413</v>
      </c>
    </row>
    <row r="415" spans="1:7" x14ac:dyDescent="0.25">
      <c r="A415" s="1" t="s">
        <v>414</v>
      </c>
      <c r="C415" s="3">
        <v>248</v>
      </c>
      <c r="E415" t="s">
        <v>16266</v>
      </c>
      <c r="G415" s="1" t="s">
        <v>414</v>
      </c>
    </row>
    <row r="416" spans="1:7" x14ac:dyDescent="0.25">
      <c r="A416" s="1" t="s">
        <v>415</v>
      </c>
      <c r="C416" s="3">
        <v>248</v>
      </c>
      <c r="E416" t="s">
        <v>9189</v>
      </c>
      <c r="G416" s="1" t="s">
        <v>415</v>
      </c>
    </row>
    <row r="417" spans="1:7" x14ac:dyDescent="0.25">
      <c r="A417" s="1" t="s">
        <v>416</v>
      </c>
      <c r="C417" s="3">
        <v>247</v>
      </c>
      <c r="E417" t="s">
        <v>5870</v>
      </c>
      <c r="G417" s="1" t="s">
        <v>416</v>
      </c>
    </row>
    <row r="418" spans="1:7" x14ac:dyDescent="0.25">
      <c r="A418" s="1" t="s">
        <v>417</v>
      </c>
      <c r="C418" s="3">
        <v>247</v>
      </c>
      <c r="E418" t="s">
        <v>4049</v>
      </c>
      <c r="G418" s="1" t="s">
        <v>417</v>
      </c>
    </row>
    <row r="419" spans="1:7" x14ac:dyDescent="0.25">
      <c r="A419" s="1" t="s">
        <v>418</v>
      </c>
      <c r="C419" s="3">
        <v>246</v>
      </c>
      <c r="E419" t="s">
        <v>2802</v>
      </c>
      <c r="G419" s="1" t="s">
        <v>418</v>
      </c>
    </row>
    <row r="420" spans="1:7" x14ac:dyDescent="0.25">
      <c r="A420" s="1" t="s">
        <v>419</v>
      </c>
      <c r="C420" s="3">
        <v>246</v>
      </c>
      <c r="E420" t="s">
        <v>14055</v>
      </c>
      <c r="G420" s="1" t="s">
        <v>419</v>
      </c>
    </row>
    <row r="421" spans="1:7" x14ac:dyDescent="0.25">
      <c r="A421" s="1" t="s">
        <v>420</v>
      </c>
      <c r="C421" s="3">
        <v>246</v>
      </c>
      <c r="E421" t="s">
        <v>310</v>
      </c>
      <c r="G421" s="1" t="s">
        <v>420</v>
      </c>
    </row>
    <row r="422" spans="1:7" x14ac:dyDescent="0.25">
      <c r="A422" s="1" t="s">
        <v>421</v>
      </c>
      <c r="C422" s="3">
        <v>245</v>
      </c>
      <c r="E422" t="s">
        <v>1429</v>
      </c>
      <c r="G422" s="1" t="s">
        <v>421</v>
      </c>
    </row>
    <row r="423" spans="1:7" x14ac:dyDescent="0.25">
      <c r="A423" s="1" t="s">
        <v>422</v>
      </c>
      <c r="C423" s="3">
        <v>245</v>
      </c>
      <c r="E423" t="s">
        <v>897</v>
      </c>
      <c r="G423" s="1" t="s">
        <v>422</v>
      </c>
    </row>
    <row r="424" spans="1:7" x14ac:dyDescent="0.25">
      <c r="A424" s="1" t="s">
        <v>423</v>
      </c>
      <c r="C424" s="3">
        <v>245</v>
      </c>
      <c r="E424" t="s">
        <v>2620</v>
      </c>
      <c r="G424" s="1" t="s">
        <v>423</v>
      </c>
    </row>
    <row r="425" spans="1:7" x14ac:dyDescent="0.25">
      <c r="A425" s="1" t="s">
        <v>424</v>
      </c>
      <c r="C425" s="3">
        <v>245</v>
      </c>
      <c r="E425" t="s">
        <v>872</v>
      </c>
      <c r="G425" s="1" t="s">
        <v>424</v>
      </c>
    </row>
    <row r="426" spans="1:7" x14ac:dyDescent="0.25">
      <c r="A426" s="1" t="s">
        <v>425</v>
      </c>
      <c r="C426" s="3">
        <v>245</v>
      </c>
      <c r="E426" t="s">
        <v>2494</v>
      </c>
      <c r="G426" s="1" t="s">
        <v>425</v>
      </c>
    </row>
    <row r="427" spans="1:7" x14ac:dyDescent="0.25">
      <c r="A427" s="1" t="s">
        <v>426</v>
      </c>
      <c r="C427" s="3">
        <v>245</v>
      </c>
      <c r="E427" t="s">
        <v>9817</v>
      </c>
      <c r="G427" s="1" t="s">
        <v>426</v>
      </c>
    </row>
    <row r="428" spans="1:7" x14ac:dyDescent="0.25">
      <c r="A428" s="1" t="s">
        <v>427</v>
      </c>
      <c r="C428" s="3">
        <v>244</v>
      </c>
      <c r="E428" t="s">
        <v>981</v>
      </c>
      <c r="G428" s="1" t="s">
        <v>427</v>
      </c>
    </row>
    <row r="429" spans="1:7" x14ac:dyDescent="0.25">
      <c r="A429" s="1" t="s">
        <v>428</v>
      </c>
      <c r="C429" s="3">
        <v>244</v>
      </c>
      <c r="E429" t="s">
        <v>1816</v>
      </c>
      <c r="G429" s="1" t="s">
        <v>428</v>
      </c>
    </row>
    <row r="430" spans="1:7" x14ac:dyDescent="0.25">
      <c r="A430" s="1" t="s">
        <v>429</v>
      </c>
      <c r="C430" s="3">
        <v>244</v>
      </c>
      <c r="E430" t="s">
        <v>1975</v>
      </c>
      <c r="G430" s="1" t="s">
        <v>429</v>
      </c>
    </row>
    <row r="431" spans="1:7" x14ac:dyDescent="0.25">
      <c r="A431" s="1" t="s">
        <v>430</v>
      </c>
      <c r="C431" s="3">
        <v>244</v>
      </c>
      <c r="E431" t="s">
        <v>2489</v>
      </c>
      <c r="G431" s="1" t="s">
        <v>430</v>
      </c>
    </row>
    <row r="432" spans="1:7" x14ac:dyDescent="0.25">
      <c r="A432" s="1" t="s">
        <v>431</v>
      </c>
      <c r="C432" s="3">
        <v>244</v>
      </c>
      <c r="E432" t="s">
        <v>1247</v>
      </c>
      <c r="G432" s="1" t="s">
        <v>431</v>
      </c>
    </row>
    <row r="433" spans="1:7" x14ac:dyDescent="0.25">
      <c r="A433" s="1" t="s">
        <v>432</v>
      </c>
      <c r="C433" s="3">
        <v>243</v>
      </c>
      <c r="E433" t="s">
        <v>12280</v>
      </c>
      <c r="G433" s="1" t="s">
        <v>432</v>
      </c>
    </row>
    <row r="434" spans="1:7" x14ac:dyDescent="0.25">
      <c r="A434" s="1" t="s">
        <v>433</v>
      </c>
      <c r="C434" s="3">
        <v>243</v>
      </c>
      <c r="E434" t="s">
        <v>2387</v>
      </c>
      <c r="G434" s="1" t="s">
        <v>433</v>
      </c>
    </row>
    <row r="435" spans="1:7" x14ac:dyDescent="0.25">
      <c r="A435" s="1" t="s">
        <v>434</v>
      </c>
      <c r="C435" s="3">
        <v>243</v>
      </c>
      <c r="E435" t="s">
        <v>15843</v>
      </c>
      <c r="G435" s="1" t="s">
        <v>434</v>
      </c>
    </row>
    <row r="436" spans="1:7" x14ac:dyDescent="0.25">
      <c r="A436" s="1" t="s">
        <v>435</v>
      </c>
      <c r="C436" s="3">
        <v>243</v>
      </c>
      <c r="E436" t="s">
        <v>682</v>
      </c>
      <c r="G436" s="1" t="s">
        <v>435</v>
      </c>
    </row>
    <row r="437" spans="1:7" x14ac:dyDescent="0.25">
      <c r="A437" s="1" t="s">
        <v>436</v>
      </c>
      <c r="C437" s="3">
        <v>242</v>
      </c>
      <c r="E437" t="s">
        <v>10460</v>
      </c>
      <c r="G437" s="1" t="s">
        <v>436</v>
      </c>
    </row>
    <row r="438" spans="1:7" x14ac:dyDescent="0.25">
      <c r="A438" s="1" t="s">
        <v>437</v>
      </c>
      <c r="C438" s="3">
        <v>242</v>
      </c>
      <c r="E438" t="s">
        <v>1341</v>
      </c>
      <c r="G438" s="1" t="s">
        <v>437</v>
      </c>
    </row>
    <row r="439" spans="1:7" x14ac:dyDescent="0.25">
      <c r="A439" s="1" t="s">
        <v>438</v>
      </c>
      <c r="C439" s="3">
        <v>241</v>
      </c>
      <c r="E439" t="s">
        <v>9347</v>
      </c>
      <c r="G439" s="1" t="s">
        <v>438</v>
      </c>
    </row>
    <row r="440" spans="1:7" x14ac:dyDescent="0.25">
      <c r="A440" s="1" t="s">
        <v>439</v>
      </c>
      <c r="C440" s="3">
        <v>241</v>
      </c>
      <c r="E440" t="s">
        <v>651</v>
      </c>
      <c r="G440" s="1" t="s">
        <v>439</v>
      </c>
    </row>
    <row r="441" spans="1:7" x14ac:dyDescent="0.25">
      <c r="A441" s="1" t="s">
        <v>440</v>
      </c>
      <c r="C441" s="3">
        <v>240</v>
      </c>
      <c r="E441" t="s">
        <v>7665</v>
      </c>
      <c r="G441" s="1" t="s">
        <v>440</v>
      </c>
    </row>
    <row r="442" spans="1:7" x14ac:dyDescent="0.25">
      <c r="A442" s="1" t="s">
        <v>441</v>
      </c>
      <c r="C442" s="3">
        <v>239</v>
      </c>
      <c r="E442" t="s">
        <v>7559</v>
      </c>
      <c r="G442" s="1" t="s">
        <v>441</v>
      </c>
    </row>
    <row r="443" spans="1:7" x14ac:dyDescent="0.25">
      <c r="A443" s="1" t="s">
        <v>442</v>
      </c>
      <c r="C443" s="3">
        <v>239</v>
      </c>
      <c r="E443" t="s">
        <v>22991</v>
      </c>
      <c r="G443" s="1" t="s">
        <v>442</v>
      </c>
    </row>
    <row r="444" spans="1:7" x14ac:dyDescent="0.25">
      <c r="A444" s="1" t="s">
        <v>443</v>
      </c>
      <c r="C444" s="3">
        <v>239</v>
      </c>
      <c r="E444" t="s">
        <v>581</v>
      </c>
      <c r="G444" s="1" t="s">
        <v>443</v>
      </c>
    </row>
    <row r="445" spans="1:7" x14ac:dyDescent="0.25">
      <c r="A445" s="1" t="s">
        <v>444</v>
      </c>
      <c r="C445" s="3">
        <v>238</v>
      </c>
      <c r="E445" t="s">
        <v>2166</v>
      </c>
      <c r="G445" s="1" t="s">
        <v>444</v>
      </c>
    </row>
    <row r="446" spans="1:7" x14ac:dyDescent="0.25">
      <c r="A446" s="1" t="s">
        <v>445</v>
      </c>
      <c r="C446" s="3">
        <v>236</v>
      </c>
      <c r="E446" t="s">
        <v>4384</v>
      </c>
      <c r="G446" s="1" t="s">
        <v>445</v>
      </c>
    </row>
    <row r="447" spans="1:7" x14ac:dyDescent="0.25">
      <c r="A447" s="1" t="s">
        <v>446</v>
      </c>
      <c r="C447" s="3">
        <v>236</v>
      </c>
      <c r="E447" t="s">
        <v>16735</v>
      </c>
      <c r="G447" s="1" t="s">
        <v>446</v>
      </c>
    </row>
    <row r="448" spans="1:7" x14ac:dyDescent="0.25">
      <c r="A448" s="1" t="s">
        <v>447</v>
      </c>
      <c r="C448" s="3">
        <v>235</v>
      </c>
      <c r="E448" t="s">
        <v>12784</v>
      </c>
      <c r="G448" s="1" t="s">
        <v>447</v>
      </c>
    </row>
    <row r="449" spans="1:7" x14ac:dyDescent="0.25">
      <c r="A449" s="1" t="s">
        <v>448</v>
      </c>
      <c r="C449" s="3">
        <v>235</v>
      </c>
      <c r="E449" t="s">
        <v>3829</v>
      </c>
      <c r="G449" s="1" t="s">
        <v>448</v>
      </c>
    </row>
    <row r="450" spans="1:7" x14ac:dyDescent="0.25">
      <c r="A450" s="1" t="s">
        <v>449</v>
      </c>
      <c r="C450" s="3">
        <v>235</v>
      </c>
      <c r="E450" t="s">
        <v>5361</v>
      </c>
      <c r="G450" s="1" t="s">
        <v>449</v>
      </c>
    </row>
    <row r="451" spans="1:7" x14ac:dyDescent="0.25">
      <c r="A451" s="1" t="s">
        <v>450</v>
      </c>
      <c r="C451" s="3">
        <v>235</v>
      </c>
      <c r="E451" t="s">
        <v>5074</v>
      </c>
      <c r="G451" s="1" t="s">
        <v>450</v>
      </c>
    </row>
    <row r="452" spans="1:7" x14ac:dyDescent="0.25">
      <c r="A452" s="1" t="s">
        <v>451</v>
      </c>
      <c r="C452" s="3">
        <v>235</v>
      </c>
      <c r="E452" t="s">
        <v>24992</v>
      </c>
      <c r="G452" s="1" t="s">
        <v>451</v>
      </c>
    </row>
    <row r="453" spans="1:7" x14ac:dyDescent="0.25">
      <c r="A453" s="1" t="s">
        <v>452</v>
      </c>
      <c r="C453" s="3">
        <v>234</v>
      </c>
      <c r="E453" t="s">
        <v>89</v>
      </c>
      <c r="G453" s="1" t="s">
        <v>452</v>
      </c>
    </row>
    <row r="454" spans="1:7" x14ac:dyDescent="0.25">
      <c r="A454" s="1" t="s">
        <v>453</v>
      </c>
      <c r="C454" s="3">
        <v>233</v>
      </c>
      <c r="E454" t="s">
        <v>3195</v>
      </c>
      <c r="G454" s="1" t="s">
        <v>453</v>
      </c>
    </row>
    <row r="455" spans="1:7" x14ac:dyDescent="0.25">
      <c r="A455" s="1" t="s">
        <v>454</v>
      </c>
      <c r="C455" s="3">
        <v>233</v>
      </c>
      <c r="E455" t="s">
        <v>15539</v>
      </c>
      <c r="G455" s="1" t="s">
        <v>454</v>
      </c>
    </row>
    <row r="456" spans="1:7" x14ac:dyDescent="0.25">
      <c r="A456" s="1" t="s">
        <v>455</v>
      </c>
      <c r="C456" s="3">
        <v>233</v>
      </c>
      <c r="E456" t="s">
        <v>4179</v>
      </c>
      <c r="G456" s="1" t="s">
        <v>455</v>
      </c>
    </row>
    <row r="457" spans="1:7" x14ac:dyDescent="0.25">
      <c r="A457" s="1" t="s">
        <v>456</v>
      </c>
      <c r="C457" s="3">
        <v>233</v>
      </c>
      <c r="E457" t="s">
        <v>3375</v>
      </c>
      <c r="G457" s="1" t="s">
        <v>456</v>
      </c>
    </row>
    <row r="458" spans="1:7" x14ac:dyDescent="0.25">
      <c r="A458" s="1" t="s">
        <v>457</v>
      </c>
      <c r="C458" s="3">
        <v>233</v>
      </c>
      <c r="E458" t="s">
        <v>6556</v>
      </c>
      <c r="G458" s="1" t="s">
        <v>457</v>
      </c>
    </row>
    <row r="459" spans="1:7" x14ac:dyDescent="0.25">
      <c r="A459" s="1" t="s">
        <v>458</v>
      </c>
      <c r="C459" s="3">
        <v>232</v>
      </c>
      <c r="E459" t="s">
        <v>13006</v>
      </c>
      <c r="G459" s="1" t="s">
        <v>458</v>
      </c>
    </row>
    <row r="460" spans="1:7" x14ac:dyDescent="0.25">
      <c r="A460" s="1" t="s">
        <v>459</v>
      </c>
      <c r="C460" s="3">
        <v>232</v>
      </c>
      <c r="E460" t="s">
        <v>11416</v>
      </c>
      <c r="G460" s="1" t="s">
        <v>459</v>
      </c>
    </row>
    <row r="461" spans="1:7" x14ac:dyDescent="0.25">
      <c r="A461" s="1" t="s">
        <v>460</v>
      </c>
      <c r="C461" s="3">
        <v>232</v>
      </c>
      <c r="E461" t="s">
        <v>468</v>
      </c>
      <c r="G461" s="1" t="s">
        <v>460</v>
      </c>
    </row>
    <row r="462" spans="1:7" x14ac:dyDescent="0.25">
      <c r="A462" s="1" t="s">
        <v>461</v>
      </c>
      <c r="C462" s="3">
        <v>232</v>
      </c>
      <c r="E462" t="s">
        <v>17276</v>
      </c>
      <c r="G462" s="1" t="s">
        <v>461</v>
      </c>
    </row>
    <row r="463" spans="1:7" x14ac:dyDescent="0.25">
      <c r="A463" s="1" t="s">
        <v>462</v>
      </c>
      <c r="C463" s="3">
        <v>231</v>
      </c>
      <c r="E463" t="s">
        <v>8057</v>
      </c>
      <c r="G463" s="1" t="s">
        <v>462</v>
      </c>
    </row>
    <row r="464" spans="1:7" x14ac:dyDescent="0.25">
      <c r="A464" s="1" t="s">
        <v>463</v>
      </c>
      <c r="C464" s="3">
        <v>230</v>
      </c>
      <c r="E464" t="s">
        <v>4635</v>
      </c>
      <c r="G464" s="1" t="s">
        <v>463</v>
      </c>
    </row>
    <row r="465" spans="1:7" x14ac:dyDescent="0.25">
      <c r="A465" s="1" t="s">
        <v>464</v>
      </c>
      <c r="C465" s="3">
        <v>230</v>
      </c>
      <c r="E465" t="s">
        <v>1998</v>
      </c>
      <c r="G465" s="1" t="s">
        <v>464</v>
      </c>
    </row>
    <row r="466" spans="1:7" x14ac:dyDescent="0.25">
      <c r="A466" s="1" t="s">
        <v>465</v>
      </c>
      <c r="C466" s="3">
        <v>229</v>
      </c>
      <c r="E466" t="s">
        <v>19420</v>
      </c>
      <c r="G466" s="1" t="s">
        <v>465</v>
      </c>
    </row>
    <row r="467" spans="1:7" x14ac:dyDescent="0.25">
      <c r="A467" s="1" t="s">
        <v>466</v>
      </c>
      <c r="C467" s="3">
        <v>229</v>
      </c>
      <c r="E467" t="s">
        <v>21865</v>
      </c>
      <c r="G467" s="1" t="s">
        <v>466</v>
      </c>
    </row>
    <row r="468" spans="1:7" x14ac:dyDescent="0.25">
      <c r="A468" s="1" t="s">
        <v>467</v>
      </c>
      <c r="C468" s="3">
        <v>229</v>
      </c>
      <c r="E468" t="s">
        <v>22479</v>
      </c>
      <c r="G468" s="1" t="s">
        <v>467</v>
      </c>
    </row>
    <row r="469" spans="1:7" x14ac:dyDescent="0.25">
      <c r="A469" s="1" t="s">
        <v>468</v>
      </c>
      <c r="C469" s="3">
        <v>229</v>
      </c>
      <c r="E469" t="s">
        <v>3578</v>
      </c>
      <c r="G469" s="1" t="s">
        <v>468</v>
      </c>
    </row>
    <row r="470" spans="1:7" x14ac:dyDescent="0.25">
      <c r="A470" s="1" t="s">
        <v>469</v>
      </c>
      <c r="C470" s="3">
        <v>227</v>
      </c>
      <c r="E470" t="s">
        <v>142</v>
      </c>
      <c r="G470" s="1" t="s">
        <v>469</v>
      </c>
    </row>
    <row r="471" spans="1:7" x14ac:dyDescent="0.25">
      <c r="A471" s="1" t="s">
        <v>470</v>
      </c>
      <c r="C471" s="3">
        <v>227</v>
      </c>
      <c r="E471" t="s">
        <v>7763</v>
      </c>
      <c r="G471" s="1" t="s">
        <v>470</v>
      </c>
    </row>
    <row r="472" spans="1:7" x14ac:dyDescent="0.25">
      <c r="A472" s="1" t="s">
        <v>471</v>
      </c>
      <c r="C472" s="3">
        <v>227</v>
      </c>
      <c r="E472" t="s">
        <v>12490</v>
      </c>
      <c r="G472" s="1" t="s">
        <v>471</v>
      </c>
    </row>
    <row r="473" spans="1:7" x14ac:dyDescent="0.25">
      <c r="A473" s="1" t="s">
        <v>472</v>
      </c>
      <c r="C473" s="3">
        <v>226</v>
      </c>
      <c r="E473" t="s">
        <v>1866</v>
      </c>
      <c r="G473" s="1" t="s">
        <v>472</v>
      </c>
    </row>
    <row r="474" spans="1:7" x14ac:dyDescent="0.25">
      <c r="A474" s="1" t="s">
        <v>473</v>
      </c>
      <c r="C474" s="3">
        <v>226</v>
      </c>
      <c r="E474" t="s">
        <v>3860</v>
      </c>
      <c r="G474" s="1" t="s">
        <v>473</v>
      </c>
    </row>
    <row r="475" spans="1:7" x14ac:dyDescent="0.25">
      <c r="A475" s="1" t="s">
        <v>474</v>
      </c>
      <c r="C475" s="3">
        <v>226</v>
      </c>
      <c r="E475" t="s">
        <v>7439</v>
      </c>
      <c r="G475" s="1" t="s">
        <v>474</v>
      </c>
    </row>
    <row r="476" spans="1:7" x14ac:dyDescent="0.25">
      <c r="A476" s="1" t="s">
        <v>475</v>
      </c>
      <c r="C476" s="3">
        <v>225</v>
      </c>
      <c r="E476" t="s">
        <v>1382</v>
      </c>
      <c r="G476" s="1" t="s">
        <v>475</v>
      </c>
    </row>
    <row r="477" spans="1:7" x14ac:dyDescent="0.25">
      <c r="A477" s="1" t="s">
        <v>476</v>
      </c>
      <c r="C477" s="3">
        <v>225</v>
      </c>
      <c r="E477" t="s">
        <v>8795</v>
      </c>
      <c r="G477" s="1" t="s">
        <v>476</v>
      </c>
    </row>
    <row r="478" spans="1:7" x14ac:dyDescent="0.25">
      <c r="A478" s="1" t="s">
        <v>477</v>
      </c>
      <c r="C478" s="3">
        <v>225</v>
      </c>
      <c r="E478" t="s">
        <v>6656</v>
      </c>
      <c r="G478" s="1" t="s">
        <v>477</v>
      </c>
    </row>
    <row r="479" spans="1:7" x14ac:dyDescent="0.25">
      <c r="A479" s="1" t="s">
        <v>478</v>
      </c>
      <c r="C479" s="3">
        <v>224</v>
      </c>
      <c r="E479" t="s">
        <v>7677</v>
      </c>
      <c r="G479" s="1" t="s">
        <v>478</v>
      </c>
    </row>
    <row r="480" spans="1:7" x14ac:dyDescent="0.25">
      <c r="A480" s="1" t="s">
        <v>479</v>
      </c>
      <c r="C480" s="3">
        <v>223</v>
      </c>
      <c r="E480" t="s">
        <v>7495</v>
      </c>
      <c r="G480" s="1" t="s">
        <v>479</v>
      </c>
    </row>
    <row r="481" spans="1:7" x14ac:dyDescent="0.25">
      <c r="A481" s="1" t="s">
        <v>480</v>
      </c>
      <c r="C481" s="3">
        <v>223</v>
      </c>
      <c r="E481" t="s">
        <v>10601</v>
      </c>
      <c r="G481" s="1" t="s">
        <v>480</v>
      </c>
    </row>
    <row r="482" spans="1:7" x14ac:dyDescent="0.25">
      <c r="A482" s="1" t="s">
        <v>481</v>
      </c>
      <c r="C482" s="3">
        <v>222</v>
      </c>
      <c r="E482" t="s">
        <v>1671</v>
      </c>
      <c r="G482" s="1" t="s">
        <v>481</v>
      </c>
    </row>
    <row r="483" spans="1:7" x14ac:dyDescent="0.25">
      <c r="A483" s="1" t="s">
        <v>482</v>
      </c>
      <c r="C483" s="3">
        <v>222</v>
      </c>
      <c r="E483" t="s">
        <v>2877</v>
      </c>
      <c r="G483" s="1" t="s">
        <v>482</v>
      </c>
    </row>
    <row r="484" spans="1:7" x14ac:dyDescent="0.25">
      <c r="A484" s="1" t="s">
        <v>483</v>
      </c>
      <c r="C484" s="3">
        <v>222</v>
      </c>
      <c r="E484" t="s">
        <v>3696</v>
      </c>
      <c r="G484" s="1" t="s">
        <v>483</v>
      </c>
    </row>
    <row r="485" spans="1:7" x14ac:dyDescent="0.25">
      <c r="A485" s="1" t="s">
        <v>484</v>
      </c>
      <c r="C485" s="3">
        <v>221</v>
      </c>
      <c r="E485" t="s">
        <v>1506</v>
      </c>
      <c r="G485" s="1" t="s">
        <v>484</v>
      </c>
    </row>
    <row r="486" spans="1:7" x14ac:dyDescent="0.25">
      <c r="A486" s="1" t="s">
        <v>485</v>
      </c>
      <c r="C486" s="3">
        <v>220</v>
      </c>
      <c r="E486" t="s">
        <v>8332</v>
      </c>
      <c r="G486" s="1" t="s">
        <v>485</v>
      </c>
    </row>
    <row r="487" spans="1:7" x14ac:dyDescent="0.25">
      <c r="A487" s="1" t="s">
        <v>486</v>
      </c>
      <c r="C487" s="3">
        <v>220</v>
      </c>
      <c r="E487" t="s">
        <v>3974</v>
      </c>
      <c r="G487" s="1" t="s">
        <v>486</v>
      </c>
    </row>
    <row r="488" spans="1:7" x14ac:dyDescent="0.25">
      <c r="A488" s="1" t="s">
        <v>487</v>
      </c>
      <c r="C488" s="3">
        <v>220</v>
      </c>
      <c r="E488" t="s">
        <v>9302</v>
      </c>
      <c r="G488" s="1" t="s">
        <v>487</v>
      </c>
    </row>
    <row r="489" spans="1:7" x14ac:dyDescent="0.25">
      <c r="A489" s="1" t="s">
        <v>488</v>
      </c>
      <c r="C489" s="3">
        <v>219</v>
      </c>
      <c r="E489" t="s">
        <v>411</v>
      </c>
      <c r="G489" s="1" t="s">
        <v>488</v>
      </c>
    </row>
    <row r="490" spans="1:7" x14ac:dyDescent="0.25">
      <c r="A490" s="1" t="s">
        <v>489</v>
      </c>
      <c r="C490" s="3">
        <v>219</v>
      </c>
      <c r="E490" t="s">
        <v>8398</v>
      </c>
      <c r="G490" s="1" t="s">
        <v>489</v>
      </c>
    </row>
    <row r="491" spans="1:7" x14ac:dyDescent="0.25">
      <c r="A491" s="1" t="s">
        <v>490</v>
      </c>
      <c r="C491" s="3">
        <v>219</v>
      </c>
      <c r="E491" t="s">
        <v>6527</v>
      </c>
      <c r="G491" s="1" t="s">
        <v>490</v>
      </c>
    </row>
    <row r="492" spans="1:7" x14ac:dyDescent="0.25">
      <c r="A492" s="1" t="s">
        <v>491</v>
      </c>
      <c r="C492" s="3">
        <v>218</v>
      </c>
      <c r="E492" t="s">
        <v>11381</v>
      </c>
      <c r="G492" s="1" t="s">
        <v>491</v>
      </c>
    </row>
    <row r="493" spans="1:7" x14ac:dyDescent="0.25">
      <c r="A493" s="1" t="s">
        <v>492</v>
      </c>
      <c r="C493" s="3">
        <v>218</v>
      </c>
      <c r="E493" t="s">
        <v>9116</v>
      </c>
      <c r="G493" s="1" t="s">
        <v>492</v>
      </c>
    </row>
    <row r="494" spans="1:7" x14ac:dyDescent="0.25">
      <c r="A494" s="1" t="s">
        <v>493</v>
      </c>
      <c r="C494" s="3">
        <v>218</v>
      </c>
      <c r="E494" t="s">
        <v>2393</v>
      </c>
      <c r="G494" s="1" t="s">
        <v>493</v>
      </c>
    </row>
    <row r="495" spans="1:7" x14ac:dyDescent="0.25">
      <c r="A495" s="1" t="s">
        <v>494</v>
      </c>
      <c r="C495" s="3">
        <v>217</v>
      </c>
      <c r="E495" t="s">
        <v>17555</v>
      </c>
      <c r="G495" s="1" t="s">
        <v>494</v>
      </c>
    </row>
    <row r="496" spans="1:7" x14ac:dyDescent="0.25">
      <c r="A496" s="1" t="s">
        <v>495</v>
      </c>
      <c r="C496" s="3">
        <v>217</v>
      </c>
      <c r="E496" t="s">
        <v>3501</v>
      </c>
      <c r="G496" s="1" t="s">
        <v>495</v>
      </c>
    </row>
    <row r="497" spans="1:7" x14ac:dyDescent="0.25">
      <c r="A497" s="1" t="s">
        <v>496</v>
      </c>
      <c r="C497" s="3">
        <v>217</v>
      </c>
      <c r="E497" t="s">
        <v>12236</v>
      </c>
      <c r="G497" s="1" t="s">
        <v>496</v>
      </c>
    </row>
    <row r="498" spans="1:7" x14ac:dyDescent="0.25">
      <c r="A498" s="1" t="s">
        <v>497</v>
      </c>
      <c r="C498" s="3">
        <v>217</v>
      </c>
      <c r="E498" t="s">
        <v>4581</v>
      </c>
      <c r="G498" s="1" t="s">
        <v>497</v>
      </c>
    </row>
    <row r="499" spans="1:7" x14ac:dyDescent="0.25">
      <c r="A499" s="1" t="s">
        <v>498</v>
      </c>
      <c r="C499" s="3">
        <v>217</v>
      </c>
      <c r="E499" t="s">
        <v>2959</v>
      </c>
      <c r="G499" s="1" t="s">
        <v>498</v>
      </c>
    </row>
    <row r="500" spans="1:7" x14ac:dyDescent="0.25">
      <c r="A500" s="1" t="s">
        <v>499</v>
      </c>
      <c r="C500" s="3">
        <v>216</v>
      </c>
      <c r="E500" t="s">
        <v>10002</v>
      </c>
      <c r="G500" s="1" t="s">
        <v>499</v>
      </c>
    </row>
    <row r="501" spans="1:7" x14ac:dyDescent="0.25">
      <c r="A501" s="1" t="s">
        <v>500</v>
      </c>
      <c r="C501" s="3">
        <v>216</v>
      </c>
      <c r="E501" t="s">
        <v>4378</v>
      </c>
    </row>
    <row r="502" spans="1:7" x14ac:dyDescent="0.25">
      <c r="A502" s="1" t="s">
        <v>501</v>
      </c>
      <c r="C502" s="3">
        <v>216</v>
      </c>
      <c r="E502" t="s">
        <v>1120</v>
      </c>
    </row>
    <row r="503" spans="1:7" x14ac:dyDescent="0.25">
      <c r="A503" s="1" t="s">
        <v>502</v>
      </c>
      <c r="C503" s="3">
        <v>215</v>
      </c>
      <c r="E503" t="s">
        <v>1701</v>
      </c>
    </row>
    <row r="504" spans="1:7" x14ac:dyDescent="0.25">
      <c r="A504" s="1" t="s">
        <v>503</v>
      </c>
      <c r="C504" s="3">
        <v>215</v>
      </c>
      <c r="E504" t="s">
        <v>7212</v>
      </c>
    </row>
    <row r="505" spans="1:7" x14ac:dyDescent="0.25">
      <c r="A505" s="1" t="s">
        <v>504</v>
      </c>
      <c r="C505" s="3">
        <v>215</v>
      </c>
      <c r="E505" t="s">
        <v>45</v>
      </c>
    </row>
    <row r="506" spans="1:7" x14ac:dyDescent="0.25">
      <c r="A506" s="1" t="s">
        <v>505</v>
      </c>
      <c r="C506" s="3">
        <v>215</v>
      </c>
      <c r="E506" t="s">
        <v>2648</v>
      </c>
    </row>
    <row r="507" spans="1:7" x14ac:dyDescent="0.25">
      <c r="A507" s="1" t="s">
        <v>506</v>
      </c>
      <c r="C507" s="3">
        <v>215</v>
      </c>
      <c r="E507" t="s">
        <v>7216</v>
      </c>
    </row>
    <row r="508" spans="1:7" x14ac:dyDescent="0.25">
      <c r="A508" s="1" t="s">
        <v>507</v>
      </c>
      <c r="C508" s="3">
        <v>214</v>
      </c>
      <c r="E508" t="s">
        <v>1773</v>
      </c>
    </row>
    <row r="509" spans="1:7" x14ac:dyDescent="0.25">
      <c r="A509" s="1" t="s">
        <v>508</v>
      </c>
      <c r="C509" s="3">
        <v>214</v>
      </c>
      <c r="E509" t="s">
        <v>11437</v>
      </c>
    </row>
    <row r="510" spans="1:7" x14ac:dyDescent="0.25">
      <c r="A510" s="1" t="s">
        <v>509</v>
      </c>
      <c r="C510" s="3">
        <v>213</v>
      </c>
      <c r="E510" t="s">
        <v>24358</v>
      </c>
    </row>
    <row r="511" spans="1:7" x14ac:dyDescent="0.25">
      <c r="A511" s="1" t="s">
        <v>510</v>
      </c>
      <c r="C511" s="3">
        <v>212</v>
      </c>
      <c r="E511" t="s">
        <v>14043</v>
      </c>
    </row>
    <row r="512" spans="1:7" x14ac:dyDescent="0.25">
      <c r="A512" s="1" t="s">
        <v>511</v>
      </c>
      <c r="C512" s="3">
        <v>211</v>
      </c>
      <c r="E512" t="s">
        <v>5267</v>
      </c>
    </row>
    <row r="513" spans="1:5" x14ac:dyDescent="0.25">
      <c r="A513" s="1" t="s">
        <v>512</v>
      </c>
      <c r="C513" s="3">
        <v>211</v>
      </c>
      <c r="E513" t="s">
        <v>7258</v>
      </c>
    </row>
    <row r="514" spans="1:5" x14ac:dyDescent="0.25">
      <c r="A514" s="1" t="s">
        <v>513</v>
      </c>
      <c r="C514" s="3">
        <v>210</v>
      </c>
      <c r="E514" t="s">
        <v>3742</v>
      </c>
    </row>
    <row r="515" spans="1:5" x14ac:dyDescent="0.25">
      <c r="A515" s="1" t="s">
        <v>514</v>
      </c>
      <c r="C515" s="3">
        <v>209</v>
      </c>
      <c r="E515" t="s">
        <v>4709</v>
      </c>
    </row>
    <row r="516" spans="1:5" x14ac:dyDescent="0.25">
      <c r="A516" s="1" t="s">
        <v>515</v>
      </c>
      <c r="C516" s="3">
        <v>209</v>
      </c>
      <c r="E516" t="s">
        <v>22747</v>
      </c>
    </row>
    <row r="517" spans="1:5" x14ac:dyDescent="0.25">
      <c r="A517" s="1" t="s">
        <v>516</v>
      </c>
      <c r="C517" s="3">
        <v>208</v>
      </c>
      <c r="E517" t="s">
        <v>6158</v>
      </c>
    </row>
    <row r="518" spans="1:5" x14ac:dyDescent="0.25">
      <c r="A518" s="1" t="s">
        <v>517</v>
      </c>
      <c r="C518" s="3">
        <v>208</v>
      </c>
      <c r="E518" t="s">
        <v>11376</v>
      </c>
    </row>
    <row r="519" spans="1:5" x14ac:dyDescent="0.25">
      <c r="A519" s="1" t="s">
        <v>518</v>
      </c>
      <c r="C519" s="3">
        <v>207</v>
      </c>
      <c r="E519" t="s">
        <v>14687</v>
      </c>
    </row>
    <row r="520" spans="1:5" x14ac:dyDescent="0.25">
      <c r="A520" s="1" t="s">
        <v>519</v>
      </c>
      <c r="C520" s="3">
        <v>207</v>
      </c>
      <c r="E520" t="s">
        <v>25414</v>
      </c>
    </row>
    <row r="521" spans="1:5" x14ac:dyDescent="0.25">
      <c r="A521" s="1" t="s">
        <v>520</v>
      </c>
      <c r="C521" s="3">
        <v>207</v>
      </c>
      <c r="E521" t="s">
        <v>4572</v>
      </c>
    </row>
    <row r="522" spans="1:5" x14ac:dyDescent="0.25">
      <c r="A522" s="1" t="s">
        <v>521</v>
      </c>
      <c r="C522" s="3">
        <v>207</v>
      </c>
      <c r="E522" t="s">
        <v>4494</v>
      </c>
    </row>
    <row r="523" spans="1:5" x14ac:dyDescent="0.25">
      <c r="A523" s="1" t="s">
        <v>522</v>
      </c>
      <c r="C523" s="3">
        <v>206</v>
      </c>
      <c r="E523" t="s">
        <v>4054</v>
      </c>
    </row>
    <row r="524" spans="1:5" x14ac:dyDescent="0.25">
      <c r="A524" s="1" t="s">
        <v>523</v>
      </c>
      <c r="C524" s="3">
        <v>206</v>
      </c>
      <c r="E524" t="s">
        <v>20813</v>
      </c>
    </row>
    <row r="525" spans="1:5" x14ac:dyDescent="0.25">
      <c r="A525" s="1" t="s">
        <v>524</v>
      </c>
      <c r="C525" s="3">
        <v>205</v>
      </c>
      <c r="E525" t="s">
        <v>8816</v>
      </c>
    </row>
    <row r="526" spans="1:5" x14ac:dyDescent="0.25">
      <c r="A526" s="1" t="s">
        <v>525</v>
      </c>
      <c r="C526" s="3">
        <v>205</v>
      </c>
      <c r="E526" t="s">
        <v>736</v>
      </c>
    </row>
    <row r="527" spans="1:5" x14ac:dyDescent="0.25">
      <c r="A527" s="1" t="s">
        <v>526</v>
      </c>
      <c r="C527" s="3">
        <v>205</v>
      </c>
      <c r="E527" t="s">
        <v>425</v>
      </c>
    </row>
    <row r="528" spans="1:5" x14ac:dyDescent="0.25">
      <c r="A528" s="1" t="s">
        <v>527</v>
      </c>
      <c r="C528" s="3">
        <v>204</v>
      </c>
      <c r="E528" t="s">
        <v>929</v>
      </c>
    </row>
    <row r="529" spans="1:5" x14ac:dyDescent="0.25">
      <c r="A529" s="1" t="s">
        <v>528</v>
      </c>
      <c r="C529" s="3">
        <v>204</v>
      </c>
      <c r="E529" t="s">
        <v>8514</v>
      </c>
    </row>
    <row r="530" spans="1:5" x14ac:dyDescent="0.25">
      <c r="A530" s="1" t="s">
        <v>529</v>
      </c>
      <c r="C530" s="3">
        <v>204</v>
      </c>
      <c r="E530" t="s">
        <v>6449</v>
      </c>
    </row>
    <row r="531" spans="1:5" x14ac:dyDescent="0.25">
      <c r="A531" s="1" t="s">
        <v>530</v>
      </c>
      <c r="C531" s="3">
        <v>204</v>
      </c>
      <c r="E531" t="s">
        <v>6188</v>
      </c>
    </row>
    <row r="532" spans="1:5" x14ac:dyDescent="0.25">
      <c r="A532" s="1" t="s">
        <v>531</v>
      </c>
      <c r="C532" s="3">
        <v>204</v>
      </c>
      <c r="E532" t="s">
        <v>341</v>
      </c>
    </row>
    <row r="533" spans="1:5" x14ac:dyDescent="0.25">
      <c r="A533" s="1" t="s">
        <v>532</v>
      </c>
      <c r="C533" s="3">
        <v>203</v>
      </c>
      <c r="E533" t="s">
        <v>9911</v>
      </c>
    </row>
    <row r="534" spans="1:5" x14ac:dyDescent="0.25">
      <c r="A534" s="1" t="s">
        <v>533</v>
      </c>
      <c r="C534" s="3">
        <v>203</v>
      </c>
      <c r="E534" t="s">
        <v>17203</v>
      </c>
    </row>
    <row r="535" spans="1:5" x14ac:dyDescent="0.25">
      <c r="A535" s="1" t="s">
        <v>534</v>
      </c>
      <c r="C535" s="3">
        <v>203</v>
      </c>
      <c r="E535" t="s">
        <v>1617</v>
      </c>
    </row>
    <row r="536" spans="1:5" x14ac:dyDescent="0.25">
      <c r="A536" s="1" t="s">
        <v>535</v>
      </c>
      <c r="C536" s="3">
        <v>203</v>
      </c>
      <c r="E536" t="s">
        <v>3836</v>
      </c>
    </row>
    <row r="537" spans="1:5" x14ac:dyDescent="0.25">
      <c r="A537" s="1" t="s">
        <v>536</v>
      </c>
      <c r="C537" s="3">
        <v>203</v>
      </c>
      <c r="E537" t="s">
        <v>10745</v>
      </c>
    </row>
    <row r="538" spans="1:5" x14ac:dyDescent="0.25">
      <c r="A538" s="1" t="s">
        <v>537</v>
      </c>
      <c r="C538" s="3">
        <v>202</v>
      </c>
      <c r="E538" t="s">
        <v>15121</v>
      </c>
    </row>
    <row r="539" spans="1:5" x14ac:dyDescent="0.25">
      <c r="A539" s="1" t="s">
        <v>538</v>
      </c>
      <c r="C539" s="3">
        <v>202</v>
      </c>
      <c r="E539" t="s">
        <v>2165</v>
      </c>
    </row>
    <row r="540" spans="1:5" x14ac:dyDescent="0.25">
      <c r="A540" s="1" t="s">
        <v>539</v>
      </c>
      <c r="C540" s="3">
        <v>202</v>
      </c>
      <c r="E540" t="s">
        <v>4259</v>
      </c>
    </row>
    <row r="541" spans="1:5" x14ac:dyDescent="0.25">
      <c r="A541" s="1" t="s">
        <v>540</v>
      </c>
      <c r="C541" s="3">
        <v>202</v>
      </c>
      <c r="E541" t="s">
        <v>3387</v>
      </c>
    </row>
    <row r="542" spans="1:5" x14ac:dyDescent="0.25">
      <c r="A542" s="1" t="s">
        <v>541</v>
      </c>
      <c r="C542" s="3">
        <v>202</v>
      </c>
      <c r="E542" t="s">
        <v>1513</v>
      </c>
    </row>
    <row r="543" spans="1:5" x14ac:dyDescent="0.25">
      <c r="A543" s="1" t="s">
        <v>542</v>
      </c>
      <c r="C543" s="3">
        <v>202</v>
      </c>
      <c r="E543" t="s">
        <v>6003</v>
      </c>
    </row>
    <row r="544" spans="1:5" x14ac:dyDescent="0.25">
      <c r="A544" s="1" t="s">
        <v>543</v>
      </c>
      <c r="C544" s="3">
        <v>201</v>
      </c>
      <c r="E544" t="s">
        <v>24035</v>
      </c>
    </row>
    <row r="545" spans="1:5" x14ac:dyDescent="0.25">
      <c r="A545" s="1" t="s">
        <v>544</v>
      </c>
      <c r="C545" s="3">
        <v>201</v>
      </c>
      <c r="E545" t="s">
        <v>3835</v>
      </c>
    </row>
    <row r="546" spans="1:5" x14ac:dyDescent="0.25">
      <c r="A546" s="1" t="s">
        <v>545</v>
      </c>
      <c r="C546" s="3">
        <v>201</v>
      </c>
      <c r="E546" t="s">
        <v>12259</v>
      </c>
    </row>
    <row r="547" spans="1:5" x14ac:dyDescent="0.25">
      <c r="A547" s="1" t="s">
        <v>546</v>
      </c>
      <c r="C547" s="3">
        <v>201</v>
      </c>
      <c r="E547" t="s">
        <v>25415</v>
      </c>
    </row>
    <row r="548" spans="1:5" x14ac:dyDescent="0.25">
      <c r="A548" s="1" t="s">
        <v>547</v>
      </c>
      <c r="C548" s="3">
        <v>201</v>
      </c>
      <c r="E548" t="s">
        <v>3545</v>
      </c>
    </row>
    <row r="549" spans="1:5" x14ac:dyDescent="0.25">
      <c r="A549" s="1" t="s">
        <v>548</v>
      </c>
      <c r="C549" s="3">
        <v>200</v>
      </c>
      <c r="E549" t="s">
        <v>5797</v>
      </c>
    </row>
    <row r="550" spans="1:5" x14ac:dyDescent="0.25">
      <c r="A550" s="1" t="s">
        <v>549</v>
      </c>
      <c r="C550" s="3">
        <v>199</v>
      </c>
      <c r="E550" t="s">
        <v>4205</v>
      </c>
    </row>
    <row r="551" spans="1:5" x14ac:dyDescent="0.25">
      <c r="A551" s="1" t="s">
        <v>550</v>
      </c>
      <c r="C551" s="3">
        <v>199</v>
      </c>
      <c r="E551" t="s">
        <v>5632</v>
      </c>
    </row>
    <row r="552" spans="1:5" x14ac:dyDescent="0.25">
      <c r="A552" s="1" t="s">
        <v>551</v>
      </c>
      <c r="C552" s="3">
        <v>198</v>
      </c>
      <c r="E552" t="s">
        <v>16239</v>
      </c>
    </row>
    <row r="553" spans="1:5" x14ac:dyDescent="0.25">
      <c r="A553" s="1" t="s">
        <v>552</v>
      </c>
      <c r="C553" s="3">
        <v>198</v>
      </c>
      <c r="E553" t="s">
        <v>846</v>
      </c>
    </row>
    <row r="554" spans="1:5" x14ac:dyDescent="0.25">
      <c r="A554" s="1" t="s">
        <v>553</v>
      </c>
      <c r="C554" s="3">
        <v>198</v>
      </c>
      <c r="E554" t="s">
        <v>5493</v>
      </c>
    </row>
    <row r="555" spans="1:5" x14ac:dyDescent="0.25">
      <c r="A555" s="1" t="s">
        <v>554</v>
      </c>
      <c r="C555" s="3">
        <v>198</v>
      </c>
      <c r="E555" t="s">
        <v>12721</v>
      </c>
    </row>
    <row r="556" spans="1:5" x14ac:dyDescent="0.25">
      <c r="A556" s="1" t="s">
        <v>555</v>
      </c>
      <c r="C556" s="3">
        <v>198</v>
      </c>
      <c r="E556" t="s">
        <v>3237</v>
      </c>
    </row>
    <row r="557" spans="1:5" x14ac:dyDescent="0.25">
      <c r="A557" s="1" t="s">
        <v>556</v>
      </c>
      <c r="C557" s="3">
        <v>198</v>
      </c>
      <c r="E557" t="s">
        <v>19477</v>
      </c>
    </row>
    <row r="558" spans="1:5" x14ac:dyDescent="0.25">
      <c r="A558" s="1" t="s">
        <v>557</v>
      </c>
      <c r="C558" s="3">
        <v>198</v>
      </c>
      <c r="E558" t="s">
        <v>254</v>
      </c>
    </row>
    <row r="559" spans="1:5" x14ac:dyDescent="0.25">
      <c r="A559" s="1" t="s">
        <v>558</v>
      </c>
      <c r="C559" s="3">
        <v>197</v>
      </c>
      <c r="E559" t="s">
        <v>3158</v>
      </c>
    </row>
    <row r="560" spans="1:5" x14ac:dyDescent="0.25">
      <c r="A560" s="1" t="s">
        <v>559</v>
      </c>
      <c r="C560" s="3">
        <v>197</v>
      </c>
      <c r="E560" t="s">
        <v>1899</v>
      </c>
    </row>
    <row r="561" spans="1:5" x14ac:dyDescent="0.25">
      <c r="A561" s="1" t="s">
        <v>560</v>
      </c>
      <c r="C561" s="3">
        <v>197</v>
      </c>
      <c r="E561" t="s">
        <v>14954</v>
      </c>
    </row>
    <row r="562" spans="1:5" x14ac:dyDescent="0.25">
      <c r="A562" s="1" t="s">
        <v>561</v>
      </c>
      <c r="C562" s="3">
        <v>196</v>
      </c>
      <c r="E562" t="s">
        <v>4623</v>
      </c>
    </row>
    <row r="563" spans="1:5" x14ac:dyDescent="0.25">
      <c r="A563" s="1" t="s">
        <v>562</v>
      </c>
      <c r="C563" s="3">
        <v>196</v>
      </c>
      <c r="E563" t="s">
        <v>4579</v>
      </c>
    </row>
    <row r="564" spans="1:5" x14ac:dyDescent="0.25">
      <c r="A564" s="1" t="s">
        <v>563</v>
      </c>
      <c r="C564" s="3">
        <v>196</v>
      </c>
      <c r="E564" t="s">
        <v>1696</v>
      </c>
    </row>
    <row r="565" spans="1:5" x14ac:dyDescent="0.25">
      <c r="A565" s="1" t="s">
        <v>564</v>
      </c>
      <c r="C565" s="3">
        <v>195</v>
      </c>
      <c r="E565" t="s">
        <v>7119</v>
      </c>
    </row>
    <row r="566" spans="1:5" x14ac:dyDescent="0.25">
      <c r="A566" s="1" t="s">
        <v>565</v>
      </c>
      <c r="C566" s="3">
        <v>195</v>
      </c>
      <c r="E566" t="s">
        <v>6480</v>
      </c>
    </row>
    <row r="567" spans="1:5" x14ac:dyDescent="0.25">
      <c r="A567" s="1" t="s">
        <v>566</v>
      </c>
      <c r="C567" s="3">
        <v>195</v>
      </c>
      <c r="E567" t="s">
        <v>3361</v>
      </c>
    </row>
    <row r="568" spans="1:5" x14ac:dyDescent="0.25">
      <c r="A568" s="1" t="s">
        <v>567</v>
      </c>
      <c r="C568" s="3">
        <v>195</v>
      </c>
      <c r="E568" t="s">
        <v>4533</v>
      </c>
    </row>
    <row r="569" spans="1:5" x14ac:dyDescent="0.25">
      <c r="A569" s="1" t="s">
        <v>568</v>
      </c>
      <c r="C569" s="3">
        <v>195</v>
      </c>
      <c r="E569" t="s">
        <v>11640</v>
      </c>
    </row>
    <row r="570" spans="1:5" x14ac:dyDescent="0.25">
      <c r="A570" s="1" t="s">
        <v>569</v>
      </c>
      <c r="C570" s="3">
        <v>194</v>
      </c>
      <c r="E570" t="s">
        <v>165</v>
      </c>
    </row>
    <row r="571" spans="1:5" x14ac:dyDescent="0.25">
      <c r="A571" s="1" t="s">
        <v>570</v>
      </c>
      <c r="C571" s="3">
        <v>194</v>
      </c>
      <c r="E571" t="s">
        <v>2132</v>
      </c>
    </row>
    <row r="572" spans="1:5" x14ac:dyDescent="0.25">
      <c r="A572" s="1" t="s">
        <v>571</v>
      </c>
      <c r="C572" s="3">
        <v>194</v>
      </c>
      <c r="E572" t="s">
        <v>10396</v>
      </c>
    </row>
    <row r="573" spans="1:5" x14ac:dyDescent="0.25">
      <c r="A573" s="1" t="s">
        <v>572</v>
      </c>
      <c r="C573" s="3">
        <v>194</v>
      </c>
      <c r="E573" t="s">
        <v>1415</v>
      </c>
    </row>
    <row r="574" spans="1:5" x14ac:dyDescent="0.25">
      <c r="A574" s="1" t="s">
        <v>573</v>
      </c>
      <c r="C574" s="3">
        <v>194</v>
      </c>
      <c r="E574" t="s">
        <v>25416</v>
      </c>
    </row>
    <row r="575" spans="1:5" x14ac:dyDescent="0.25">
      <c r="A575" s="1" t="s">
        <v>574</v>
      </c>
      <c r="C575" s="3">
        <v>193</v>
      </c>
      <c r="E575" t="s">
        <v>2627</v>
      </c>
    </row>
    <row r="576" spans="1:5" x14ac:dyDescent="0.25">
      <c r="A576" s="1" t="s">
        <v>575</v>
      </c>
      <c r="C576" s="3">
        <v>193</v>
      </c>
      <c r="E576" t="s">
        <v>7124</v>
      </c>
    </row>
    <row r="577" spans="1:5" x14ac:dyDescent="0.25">
      <c r="A577" s="1" t="s">
        <v>576</v>
      </c>
      <c r="C577" s="3">
        <v>193</v>
      </c>
      <c r="E577" t="s">
        <v>7012</v>
      </c>
    </row>
    <row r="578" spans="1:5" x14ac:dyDescent="0.25">
      <c r="A578" s="1" t="s">
        <v>577</v>
      </c>
      <c r="C578" s="3">
        <v>192</v>
      </c>
      <c r="E578" t="s">
        <v>5141</v>
      </c>
    </row>
    <row r="579" spans="1:5" x14ac:dyDescent="0.25">
      <c r="A579" s="1" t="s">
        <v>578</v>
      </c>
      <c r="C579" s="3">
        <v>192</v>
      </c>
      <c r="E579" t="s">
        <v>1491</v>
      </c>
    </row>
    <row r="580" spans="1:5" x14ac:dyDescent="0.25">
      <c r="A580" s="1" t="s">
        <v>579</v>
      </c>
      <c r="C580" s="3">
        <v>192</v>
      </c>
      <c r="E580" t="s">
        <v>247</v>
      </c>
    </row>
    <row r="581" spans="1:5" x14ac:dyDescent="0.25">
      <c r="A581" s="1" t="s">
        <v>580</v>
      </c>
      <c r="C581" s="3">
        <v>192</v>
      </c>
      <c r="E581" t="s">
        <v>3104</v>
      </c>
    </row>
    <row r="582" spans="1:5" x14ac:dyDescent="0.25">
      <c r="A582" s="1" t="s">
        <v>581</v>
      </c>
      <c r="C582" s="3">
        <v>192</v>
      </c>
      <c r="E582" t="s">
        <v>8613</v>
      </c>
    </row>
    <row r="583" spans="1:5" x14ac:dyDescent="0.25">
      <c r="A583" s="1" t="s">
        <v>582</v>
      </c>
      <c r="C583" s="3">
        <v>191</v>
      </c>
      <c r="E583" t="s">
        <v>5552</v>
      </c>
    </row>
    <row r="584" spans="1:5" x14ac:dyDescent="0.25">
      <c r="A584" s="1" t="s">
        <v>583</v>
      </c>
      <c r="C584" s="3">
        <v>191</v>
      </c>
      <c r="E584" t="s">
        <v>5747</v>
      </c>
    </row>
    <row r="585" spans="1:5" x14ac:dyDescent="0.25">
      <c r="A585" s="1" t="s">
        <v>584</v>
      </c>
      <c r="C585" s="3">
        <v>191</v>
      </c>
      <c r="E585" t="s">
        <v>5635</v>
      </c>
    </row>
    <row r="586" spans="1:5" x14ac:dyDescent="0.25">
      <c r="A586" s="1" t="s">
        <v>585</v>
      </c>
      <c r="C586" s="3">
        <v>190</v>
      </c>
      <c r="E586" t="s">
        <v>1161</v>
      </c>
    </row>
    <row r="587" spans="1:5" x14ac:dyDescent="0.25">
      <c r="A587" s="1" t="s">
        <v>586</v>
      </c>
      <c r="C587" s="3">
        <v>190</v>
      </c>
      <c r="E587" t="s">
        <v>5724</v>
      </c>
    </row>
    <row r="588" spans="1:5" x14ac:dyDescent="0.25">
      <c r="A588" s="1" t="s">
        <v>587</v>
      </c>
      <c r="C588" s="3">
        <v>190</v>
      </c>
      <c r="E588" t="s">
        <v>5219</v>
      </c>
    </row>
    <row r="589" spans="1:5" x14ac:dyDescent="0.25">
      <c r="A589" s="1" t="s">
        <v>588</v>
      </c>
      <c r="C589" s="3">
        <v>190</v>
      </c>
      <c r="E589" t="s">
        <v>4350</v>
      </c>
    </row>
    <row r="590" spans="1:5" x14ac:dyDescent="0.25">
      <c r="A590" s="1" t="s">
        <v>589</v>
      </c>
      <c r="C590" s="3">
        <v>190</v>
      </c>
      <c r="E590" t="s">
        <v>1698</v>
      </c>
    </row>
    <row r="591" spans="1:5" x14ac:dyDescent="0.25">
      <c r="A591" s="1" t="s">
        <v>590</v>
      </c>
      <c r="C591" s="3">
        <v>189</v>
      </c>
      <c r="E591" t="s">
        <v>777</v>
      </c>
    </row>
    <row r="592" spans="1:5" x14ac:dyDescent="0.25">
      <c r="A592" s="1" t="s">
        <v>591</v>
      </c>
      <c r="C592" s="3">
        <v>189</v>
      </c>
      <c r="E592" t="s">
        <v>4250</v>
      </c>
    </row>
    <row r="593" spans="1:5" x14ac:dyDescent="0.25">
      <c r="A593" s="1" t="s">
        <v>592</v>
      </c>
      <c r="C593" s="3">
        <v>189</v>
      </c>
      <c r="E593" t="s">
        <v>1549</v>
      </c>
    </row>
    <row r="594" spans="1:5" x14ac:dyDescent="0.25">
      <c r="A594" s="1" t="s">
        <v>593</v>
      </c>
      <c r="C594" s="3">
        <v>189</v>
      </c>
      <c r="E594" t="s">
        <v>418</v>
      </c>
    </row>
    <row r="595" spans="1:5" x14ac:dyDescent="0.25">
      <c r="A595" s="1" t="s">
        <v>594</v>
      </c>
      <c r="C595" s="3">
        <v>189</v>
      </c>
      <c r="E595" t="s">
        <v>10096</v>
      </c>
    </row>
    <row r="596" spans="1:5" x14ac:dyDescent="0.25">
      <c r="A596" s="1" t="s">
        <v>595</v>
      </c>
      <c r="C596" s="3">
        <v>189</v>
      </c>
      <c r="E596" t="s">
        <v>4717</v>
      </c>
    </row>
    <row r="597" spans="1:5" x14ac:dyDescent="0.25">
      <c r="A597" s="1" t="s">
        <v>596</v>
      </c>
      <c r="C597" s="3">
        <v>189</v>
      </c>
      <c r="E597" t="s">
        <v>10181</v>
      </c>
    </row>
    <row r="598" spans="1:5" x14ac:dyDescent="0.25">
      <c r="A598" s="1" t="s">
        <v>597</v>
      </c>
      <c r="C598" s="3">
        <v>188</v>
      </c>
      <c r="E598" t="s">
        <v>14662</v>
      </c>
    </row>
    <row r="599" spans="1:5" x14ac:dyDescent="0.25">
      <c r="A599" s="1" t="s">
        <v>598</v>
      </c>
      <c r="C599" s="3">
        <v>188</v>
      </c>
      <c r="E599" t="s">
        <v>4944</v>
      </c>
    </row>
    <row r="600" spans="1:5" x14ac:dyDescent="0.25">
      <c r="A600" s="1" t="s">
        <v>599</v>
      </c>
      <c r="C600" s="3">
        <v>188</v>
      </c>
      <c r="E600" t="s">
        <v>2845</v>
      </c>
    </row>
    <row r="601" spans="1:5" x14ac:dyDescent="0.25">
      <c r="A601" s="1" t="s">
        <v>600</v>
      </c>
      <c r="C601" s="3">
        <v>188</v>
      </c>
      <c r="E601" t="s">
        <v>16881</v>
      </c>
    </row>
    <row r="602" spans="1:5" x14ac:dyDescent="0.25">
      <c r="A602" s="1" t="s">
        <v>601</v>
      </c>
      <c r="C602" s="3">
        <v>187</v>
      </c>
      <c r="E602" t="s">
        <v>2783</v>
      </c>
    </row>
    <row r="603" spans="1:5" x14ac:dyDescent="0.25">
      <c r="A603" s="1" t="s">
        <v>602</v>
      </c>
      <c r="C603" s="3">
        <v>187</v>
      </c>
      <c r="E603" t="s">
        <v>2499</v>
      </c>
    </row>
    <row r="604" spans="1:5" x14ac:dyDescent="0.25">
      <c r="A604" s="1" t="s">
        <v>603</v>
      </c>
      <c r="C604" s="3">
        <v>187</v>
      </c>
      <c r="E604" t="s">
        <v>3075</v>
      </c>
    </row>
    <row r="605" spans="1:5" x14ac:dyDescent="0.25">
      <c r="A605" s="1" t="s">
        <v>604</v>
      </c>
      <c r="C605" s="3">
        <v>187</v>
      </c>
      <c r="E605" t="s">
        <v>294</v>
      </c>
    </row>
    <row r="606" spans="1:5" x14ac:dyDescent="0.25">
      <c r="A606" s="1" t="s">
        <v>605</v>
      </c>
      <c r="C606" s="3">
        <v>187</v>
      </c>
      <c r="E606" t="s">
        <v>12665</v>
      </c>
    </row>
    <row r="607" spans="1:5" x14ac:dyDescent="0.25">
      <c r="A607" s="1" t="s">
        <v>606</v>
      </c>
      <c r="C607" s="3">
        <v>186</v>
      </c>
      <c r="E607" t="s">
        <v>4128</v>
      </c>
    </row>
    <row r="608" spans="1:5" x14ac:dyDescent="0.25">
      <c r="A608" s="1" t="s">
        <v>607</v>
      </c>
      <c r="C608" s="3">
        <v>186</v>
      </c>
      <c r="E608" t="s">
        <v>173</v>
      </c>
    </row>
    <row r="609" spans="1:5" x14ac:dyDescent="0.25">
      <c r="A609" s="1" t="s">
        <v>608</v>
      </c>
      <c r="C609" s="3">
        <v>186</v>
      </c>
      <c r="E609" t="s">
        <v>2819</v>
      </c>
    </row>
    <row r="610" spans="1:5" x14ac:dyDescent="0.25">
      <c r="A610" s="1" t="s">
        <v>609</v>
      </c>
      <c r="C610" s="3">
        <v>186</v>
      </c>
      <c r="E610" t="s">
        <v>3570</v>
      </c>
    </row>
    <row r="611" spans="1:5" x14ac:dyDescent="0.25">
      <c r="A611" s="1" t="s">
        <v>610</v>
      </c>
      <c r="C611" s="3">
        <v>186</v>
      </c>
      <c r="E611" t="s">
        <v>7016</v>
      </c>
    </row>
    <row r="612" spans="1:5" x14ac:dyDescent="0.25">
      <c r="A612" s="1" t="s">
        <v>611</v>
      </c>
      <c r="C612" s="3">
        <v>185</v>
      </c>
      <c r="E612" t="s">
        <v>410</v>
      </c>
    </row>
    <row r="613" spans="1:5" x14ac:dyDescent="0.25">
      <c r="A613" s="1" t="s">
        <v>612</v>
      </c>
      <c r="C613" s="3">
        <v>185</v>
      </c>
      <c r="E613" t="s">
        <v>13315</v>
      </c>
    </row>
    <row r="614" spans="1:5" x14ac:dyDescent="0.25">
      <c r="A614" s="1" t="s">
        <v>613</v>
      </c>
      <c r="C614" s="3">
        <v>185</v>
      </c>
      <c r="E614" t="s">
        <v>1679</v>
      </c>
    </row>
    <row r="615" spans="1:5" x14ac:dyDescent="0.25">
      <c r="A615" s="1" t="s">
        <v>614</v>
      </c>
      <c r="C615" s="3">
        <v>185</v>
      </c>
      <c r="E615" t="s">
        <v>1462</v>
      </c>
    </row>
    <row r="616" spans="1:5" x14ac:dyDescent="0.25">
      <c r="A616" s="1" t="s">
        <v>615</v>
      </c>
      <c r="C616" s="3">
        <v>184</v>
      </c>
      <c r="E616" t="s">
        <v>4279</v>
      </c>
    </row>
    <row r="617" spans="1:5" x14ac:dyDescent="0.25">
      <c r="A617" s="1" t="s">
        <v>616</v>
      </c>
      <c r="C617" s="3">
        <v>184</v>
      </c>
      <c r="E617" t="s">
        <v>12155</v>
      </c>
    </row>
    <row r="618" spans="1:5" x14ac:dyDescent="0.25">
      <c r="A618" s="1" t="s">
        <v>617</v>
      </c>
      <c r="C618" s="3">
        <v>184</v>
      </c>
      <c r="E618" t="s">
        <v>9908</v>
      </c>
    </row>
    <row r="619" spans="1:5" x14ac:dyDescent="0.25">
      <c r="A619" s="1" t="s">
        <v>618</v>
      </c>
      <c r="C619" s="3">
        <v>183</v>
      </c>
      <c r="E619" t="s">
        <v>740</v>
      </c>
    </row>
    <row r="620" spans="1:5" x14ac:dyDescent="0.25">
      <c r="A620" s="1" t="s">
        <v>619</v>
      </c>
      <c r="C620" s="3">
        <v>183</v>
      </c>
      <c r="E620" t="s">
        <v>2554</v>
      </c>
    </row>
    <row r="621" spans="1:5" x14ac:dyDescent="0.25">
      <c r="A621" s="1" t="s">
        <v>620</v>
      </c>
      <c r="C621" s="3">
        <v>183</v>
      </c>
      <c r="E621" t="s">
        <v>1107</v>
      </c>
    </row>
    <row r="622" spans="1:5" x14ac:dyDescent="0.25">
      <c r="A622" s="1" t="s">
        <v>621</v>
      </c>
      <c r="C622" s="3">
        <v>183</v>
      </c>
      <c r="E622" t="s">
        <v>2340</v>
      </c>
    </row>
    <row r="623" spans="1:5" x14ac:dyDescent="0.25">
      <c r="A623" s="1" t="s">
        <v>622</v>
      </c>
      <c r="C623" s="3">
        <v>183</v>
      </c>
      <c r="E623" t="s">
        <v>1976</v>
      </c>
    </row>
    <row r="624" spans="1:5" x14ac:dyDescent="0.25">
      <c r="A624" s="1" t="s">
        <v>623</v>
      </c>
      <c r="C624" s="3">
        <v>183</v>
      </c>
      <c r="E624" t="s">
        <v>10429</v>
      </c>
    </row>
    <row r="625" spans="1:5" x14ac:dyDescent="0.25">
      <c r="A625" s="1" t="s">
        <v>624</v>
      </c>
      <c r="C625" s="3">
        <v>183</v>
      </c>
      <c r="E625" t="s">
        <v>5254</v>
      </c>
    </row>
    <row r="626" spans="1:5" x14ac:dyDescent="0.25">
      <c r="A626" s="1" t="s">
        <v>625</v>
      </c>
      <c r="C626" s="3">
        <v>183</v>
      </c>
      <c r="E626" t="s">
        <v>627</v>
      </c>
    </row>
    <row r="627" spans="1:5" x14ac:dyDescent="0.25">
      <c r="A627" s="1" t="s">
        <v>626</v>
      </c>
      <c r="C627" s="3">
        <v>183</v>
      </c>
      <c r="E627" t="s">
        <v>16432</v>
      </c>
    </row>
    <row r="628" spans="1:5" x14ac:dyDescent="0.25">
      <c r="A628" s="1" t="s">
        <v>627</v>
      </c>
      <c r="C628" s="3">
        <v>183</v>
      </c>
      <c r="E628" t="s">
        <v>7246</v>
      </c>
    </row>
    <row r="629" spans="1:5" x14ac:dyDescent="0.25">
      <c r="A629" s="1" t="s">
        <v>628</v>
      </c>
      <c r="C629" s="3">
        <v>183</v>
      </c>
      <c r="E629" t="s">
        <v>1147</v>
      </c>
    </row>
    <row r="630" spans="1:5" x14ac:dyDescent="0.25">
      <c r="A630" s="1" t="s">
        <v>629</v>
      </c>
      <c r="C630" s="3">
        <v>182</v>
      </c>
      <c r="E630" t="s">
        <v>11929</v>
      </c>
    </row>
    <row r="631" spans="1:5" x14ac:dyDescent="0.25">
      <c r="A631" s="1" t="s">
        <v>630</v>
      </c>
      <c r="C631" s="3">
        <v>182</v>
      </c>
      <c r="E631" t="s">
        <v>1213</v>
      </c>
    </row>
    <row r="632" spans="1:5" x14ac:dyDescent="0.25">
      <c r="A632" s="1" t="s">
        <v>631</v>
      </c>
      <c r="C632" s="3">
        <v>181</v>
      </c>
      <c r="E632" t="s">
        <v>1512</v>
      </c>
    </row>
    <row r="633" spans="1:5" x14ac:dyDescent="0.25">
      <c r="A633" s="1" t="s">
        <v>632</v>
      </c>
      <c r="C633" s="3">
        <v>180</v>
      </c>
      <c r="E633" t="s">
        <v>653</v>
      </c>
    </row>
    <row r="634" spans="1:5" x14ac:dyDescent="0.25">
      <c r="A634" s="1" t="s">
        <v>633</v>
      </c>
      <c r="C634" s="3">
        <v>180</v>
      </c>
      <c r="E634" t="s">
        <v>308</v>
      </c>
    </row>
    <row r="635" spans="1:5" x14ac:dyDescent="0.25">
      <c r="A635" s="1" t="s">
        <v>634</v>
      </c>
      <c r="C635" s="3">
        <v>180</v>
      </c>
      <c r="E635" t="s">
        <v>8727</v>
      </c>
    </row>
    <row r="636" spans="1:5" x14ac:dyDescent="0.25">
      <c r="A636" s="1" t="s">
        <v>635</v>
      </c>
      <c r="C636" s="3">
        <v>180</v>
      </c>
      <c r="E636" t="s">
        <v>2465</v>
      </c>
    </row>
    <row r="637" spans="1:5" x14ac:dyDescent="0.25">
      <c r="A637" s="1" t="s">
        <v>636</v>
      </c>
      <c r="C637" s="3">
        <v>180</v>
      </c>
      <c r="E637" t="s">
        <v>13685</v>
      </c>
    </row>
    <row r="638" spans="1:5" x14ac:dyDescent="0.25">
      <c r="A638" s="1" t="s">
        <v>637</v>
      </c>
      <c r="C638" s="3">
        <v>179</v>
      </c>
      <c r="E638" t="s">
        <v>3956</v>
      </c>
    </row>
    <row r="639" spans="1:5" x14ac:dyDescent="0.25">
      <c r="A639" s="1" t="s">
        <v>638</v>
      </c>
      <c r="C639" s="3">
        <v>179</v>
      </c>
      <c r="E639" t="s">
        <v>3695</v>
      </c>
    </row>
    <row r="640" spans="1:5" x14ac:dyDescent="0.25">
      <c r="A640" s="1" t="s">
        <v>639</v>
      </c>
      <c r="C640" s="3">
        <v>179</v>
      </c>
      <c r="E640" t="s">
        <v>6250</v>
      </c>
    </row>
    <row r="641" spans="1:5" x14ac:dyDescent="0.25">
      <c r="A641" s="1" t="s">
        <v>640</v>
      </c>
      <c r="C641" s="3">
        <v>179</v>
      </c>
      <c r="E641" t="s">
        <v>4707</v>
      </c>
    </row>
    <row r="642" spans="1:5" x14ac:dyDescent="0.25">
      <c r="A642" s="1" t="s">
        <v>641</v>
      </c>
      <c r="C642" s="3">
        <v>178</v>
      </c>
      <c r="E642" t="s">
        <v>6708</v>
      </c>
    </row>
    <row r="643" spans="1:5" x14ac:dyDescent="0.25">
      <c r="A643" s="1" t="s">
        <v>642</v>
      </c>
      <c r="C643" s="3">
        <v>178</v>
      </c>
      <c r="E643" t="s">
        <v>15164</v>
      </c>
    </row>
    <row r="644" spans="1:5" x14ac:dyDescent="0.25">
      <c r="A644" s="1" t="s">
        <v>643</v>
      </c>
      <c r="C644" s="3">
        <v>178</v>
      </c>
      <c r="E644" t="s">
        <v>1366</v>
      </c>
    </row>
    <row r="645" spans="1:5" x14ac:dyDescent="0.25">
      <c r="A645" s="1" t="s">
        <v>644</v>
      </c>
      <c r="C645" s="3">
        <v>178</v>
      </c>
      <c r="E645" t="s">
        <v>810</v>
      </c>
    </row>
    <row r="646" spans="1:5" x14ac:dyDescent="0.25">
      <c r="A646" s="1" t="s">
        <v>645</v>
      </c>
      <c r="C646" s="3">
        <v>178</v>
      </c>
      <c r="E646" t="s">
        <v>3091</v>
      </c>
    </row>
    <row r="647" spans="1:5" x14ac:dyDescent="0.25">
      <c r="A647" s="1" t="s">
        <v>646</v>
      </c>
      <c r="C647" s="3">
        <v>177</v>
      </c>
      <c r="E647" t="s">
        <v>6641</v>
      </c>
    </row>
    <row r="648" spans="1:5" x14ac:dyDescent="0.25">
      <c r="A648" s="1" t="s">
        <v>647</v>
      </c>
      <c r="C648" s="3">
        <v>177</v>
      </c>
      <c r="E648" t="s">
        <v>11918</v>
      </c>
    </row>
    <row r="649" spans="1:5" x14ac:dyDescent="0.25">
      <c r="A649" s="1" t="s">
        <v>648</v>
      </c>
      <c r="C649" s="3">
        <v>177</v>
      </c>
      <c r="E649" t="s">
        <v>6873</v>
      </c>
    </row>
    <row r="650" spans="1:5" x14ac:dyDescent="0.25">
      <c r="A650" s="1" t="s">
        <v>649</v>
      </c>
      <c r="C650" s="3">
        <v>177</v>
      </c>
      <c r="E650" t="s">
        <v>4304</v>
      </c>
    </row>
    <row r="651" spans="1:5" x14ac:dyDescent="0.25">
      <c r="A651" s="1" t="s">
        <v>650</v>
      </c>
      <c r="C651" s="3">
        <v>176</v>
      </c>
      <c r="E651" t="s">
        <v>8894</v>
      </c>
    </row>
    <row r="652" spans="1:5" x14ac:dyDescent="0.25">
      <c r="A652" s="1" t="s">
        <v>651</v>
      </c>
      <c r="C652" s="3">
        <v>176</v>
      </c>
      <c r="E652" t="s">
        <v>8430</v>
      </c>
    </row>
    <row r="653" spans="1:5" x14ac:dyDescent="0.25">
      <c r="A653" s="1" t="s">
        <v>652</v>
      </c>
      <c r="C653" s="3">
        <v>176</v>
      </c>
      <c r="E653" t="s">
        <v>9684</v>
      </c>
    </row>
    <row r="654" spans="1:5" x14ac:dyDescent="0.25">
      <c r="A654" s="1" t="s">
        <v>653</v>
      </c>
      <c r="C654" s="3">
        <v>176</v>
      </c>
      <c r="E654" t="s">
        <v>3213</v>
      </c>
    </row>
    <row r="655" spans="1:5" x14ac:dyDescent="0.25">
      <c r="A655" s="1" t="s">
        <v>654</v>
      </c>
      <c r="C655" s="3">
        <v>176</v>
      </c>
      <c r="E655" t="s">
        <v>4329</v>
      </c>
    </row>
    <row r="656" spans="1:5" x14ac:dyDescent="0.25">
      <c r="A656" s="1" t="s">
        <v>655</v>
      </c>
      <c r="C656" s="3">
        <v>176</v>
      </c>
      <c r="E656" t="s">
        <v>3168</v>
      </c>
    </row>
    <row r="657" spans="1:5" x14ac:dyDescent="0.25">
      <c r="A657" s="1" t="s">
        <v>656</v>
      </c>
      <c r="C657" s="3">
        <v>176</v>
      </c>
      <c r="E657" t="s">
        <v>5370</v>
      </c>
    </row>
    <row r="658" spans="1:5" x14ac:dyDescent="0.25">
      <c r="A658" s="1" t="s">
        <v>657</v>
      </c>
      <c r="C658" s="3">
        <v>176</v>
      </c>
      <c r="E658" t="s">
        <v>606</v>
      </c>
    </row>
    <row r="659" spans="1:5" x14ac:dyDescent="0.25">
      <c r="A659" s="1" t="s">
        <v>658</v>
      </c>
      <c r="C659" s="3">
        <v>176</v>
      </c>
      <c r="E659" t="s">
        <v>16152</v>
      </c>
    </row>
    <row r="660" spans="1:5" x14ac:dyDescent="0.25">
      <c r="A660" s="1" t="s">
        <v>659</v>
      </c>
      <c r="C660" s="3">
        <v>175</v>
      </c>
      <c r="E660" t="s">
        <v>13202</v>
      </c>
    </row>
    <row r="661" spans="1:5" x14ac:dyDescent="0.25">
      <c r="A661" s="1" t="s">
        <v>660</v>
      </c>
      <c r="C661" s="3">
        <v>175</v>
      </c>
      <c r="E661" t="s">
        <v>1593</v>
      </c>
    </row>
    <row r="662" spans="1:5" x14ac:dyDescent="0.25">
      <c r="A662" s="1" t="s">
        <v>661</v>
      </c>
      <c r="C662" s="3">
        <v>175</v>
      </c>
      <c r="E662" t="s">
        <v>6740</v>
      </c>
    </row>
    <row r="663" spans="1:5" x14ac:dyDescent="0.25">
      <c r="A663" s="1" t="s">
        <v>662</v>
      </c>
      <c r="C663" s="3">
        <v>175</v>
      </c>
      <c r="E663" t="s">
        <v>1520</v>
      </c>
    </row>
    <row r="664" spans="1:5" x14ac:dyDescent="0.25">
      <c r="A664" s="1" t="s">
        <v>663</v>
      </c>
      <c r="C664" s="3">
        <v>175</v>
      </c>
      <c r="E664" t="s">
        <v>11398</v>
      </c>
    </row>
    <row r="665" spans="1:5" x14ac:dyDescent="0.25">
      <c r="A665" s="1" t="s">
        <v>664</v>
      </c>
      <c r="C665" s="3">
        <v>175</v>
      </c>
      <c r="E665" t="s">
        <v>2934</v>
      </c>
    </row>
    <row r="666" spans="1:5" x14ac:dyDescent="0.25">
      <c r="A666" s="1" t="s">
        <v>665</v>
      </c>
      <c r="C666" s="3">
        <v>174</v>
      </c>
      <c r="E666" t="s">
        <v>4243</v>
      </c>
    </row>
    <row r="667" spans="1:5" x14ac:dyDescent="0.25">
      <c r="A667" s="1" t="s">
        <v>666</v>
      </c>
      <c r="C667" s="3">
        <v>174</v>
      </c>
      <c r="E667" t="s">
        <v>6129</v>
      </c>
    </row>
    <row r="668" spans="1:5" x14ac:dyDescent="0.25">
      <c r="A668" s="1" t="s">
        <v>667</v>
      </c>
      <c r="C668" s="3">
        <v>174</v>
      </c>
      <c r="E668" t="s">
        <v>282</v>
      </c>
    </row>
    <row r="669" spans="1:5" x14ac:dyDescent="0.25">
      <c r="A669" s="1" t="s">
        <v>668</v>
      </c>
      <c r="C669" s="3">
        <v>174</v>
      </c>
      <c r="E669" t="s">
        <v>156</v>
      </c>
    </row>
    <row r="670" spans="1:5" x14ac:dyDescent="0.25">
      <c r="A670" s="1" t="s">
        <v>669</v>
      </c>
      <c r="C670" s="3">
        <v>174</v>
      </c>
      <c r="E670" t="s">
        <v>376</v>
      </c>
    </row>
    <row r="671" spans="1:5" x14ac:dyDescent="0.25">
      <c r="A671" s="1" t="s">
        <v>670</v>
      </c>
      <c r="C671" s="3">
        <v>174</v>
      </c>
      <c r="E671" t="s">
        <v>11702</v>
      </c>
    </row>
    <row r="672" spans="1:5" x14ac:dyDescent="0.25">
      <c r="A672" s="1" t="s">
        <v>671</v>
      </c>
      <c r="C672" s="3">
        <v>174</v>
      </c>
      <c r="E672" t="s">
        <v>2137</v>
      </c>
    </row>
    <row r="673" spans="1:5" x14ac:dyDescent="0.25">
      <c r="A673" s="1" t="s">
        <v>672</v>
      </c>
      <c r="C673" s="3">
        <v>174</v>
      </c>
      <c r="E673" t="s">
        <v>3252</v>
      </c>
    </row>
    <row r="674" spans="1:5" x14ac:dyDescent="0.25">
      <c r="A674" s="1" t="s">
        <v>673</v>
      </c>
      <c r="C674" s="3">
        <v>174</v>
      </c>
      <c r="E674" t="s">
        <v>8941</v>
      </c>
    </row>
    <row r="675" spans="1:5" x14ac:dyDescent="0.25">
      <c r="A675" s="1" t="s">
        <v>674</v>
      </c>
      <c r="C675" s="3">
        <v>173</v>
      </c>
      <c r="E675" t="s">
        <v>3456</v>
      </c>
    </row>
    <row r="676" spans="1:5" x14ac:dyDescent="0.25">
      <c r="A676" s="1" t="s">
        <v>675</v>
      </c>
      <c r="C676" s="3">
        <v>173</v>
      </c>
      <c r="E676" t="s">
        <v>783</v>
      </c>
    </row>
    <row r="677" spans="1:5" x14ac:dyDescent="0.25">
      <c r="A677" s="1" t="s">
        <v>676</v>
      </c>
      <c r="C677" s="3">
        <v>173</v>
      </c>
      <c r="E677" t="s">
        <v>3422</v>
      </c>
    </row>
    <row r="678" spans="1:5" x14ac:dyDescent="0.25">
      <c r="A678" s="1" t="s">
        <v>677</v>
      </c>
      <c r="C678" s="3">
        <v>172</v>
      </c>
      <c r="E678" t="s">
        <v>66</v>
      </c>
    </row>
    <row r="679" spans="1:5" x14ac:dyDescent="0.25">
      <c r="A679" s="1" t="s">
        <v>678</v>
      </c>
      <c r="C679" s="3">
        <v>172</v>
      </c>
      <c r="E679" t="s">
        <v>4563</v>
      </c>
    </row>
    <row r="680" spans="1:5" x14ac:dyDescent="0.25">
      <c r="A680" s="1" t="s">
        <v>679</v>
      </c>
      <c r="C680" s="3">
        <v>172</v>
      </c>
      <c r="E680" t="s">
        <v>105</v>
      </c>
    </row>
    <row r="681" spans="1:5" x14ac:dyDescent="0.25">
      <c r="A681" s="1" t="s">
        <v>680</v>
      </c>
      <c r="C681" s="3">
        <v>172</v>
      </c>
      <c r="E681" t="s">
        <v>292</v>
      </c>
    </row>
    <row r="682" spans="1:5" x14ac:dyDescent="0.25">
      <c r="A682" s="1" t="s">
        <v>681</v>
      </c>
      <c r="C682" s="3">
        <v>172</v>
      </c>
      <c r="E682" t="s">
        <v>14394</v>
      </c>
    </row>
    <row r="683" spans="1:5" x14ac:dyDescent="0.25">
      <c r="A683" s="1" t="s">
        <v>682</v>
      </c>
      <c r="C683" s="3">
        <v>171</v>
      </c>
      <c r="E683" t="s">
        <v>10383</v>
      </c>
    </row>
    <row r="684" spans="1:5" x14ac:dyDescent="0.25">
      <c r="A684" s="1" t="s">
        <v>683</v>
      </c>
      <c r="C684" s="3">
        <v>171</v>
      </c>
      <c r="E684" t="s">
        <v>5386</v>
      </c>
    </row>
    <row r="685" spans="1:5" x14ac:dyDescent="0.25">
      <c r="A685" s="1" t="s">
        <v>684</v>
      </c>
      <c r="C685" s="3">
        <v>171</v>
      </c>
      <c r="E685" t="s">
        <v>5321</v>
      </c>
    </row>
    <row r="686" spans="1:5" x14ac:dyDescent="0.25">
      <c r="A686" s="1" t="s">
        <v>685</v>
      </c>
      <c r="C686" s="3">
        <v>171</v>
      </c>
      <c r="E686" t="s">
        <v>7346</v>
      </c>
    </row>
    <row r="687" spans="1:5" x14ac:dyDescent="0.25">
      <c r="A687" s="1" t="s">
        <v>686</v>
      </c>
      <c r="C687" s="3">
        <v>170</v>
      </c>
      <c r="E687" t="s">
        <v>1533</v>
      </c>
    </row>
    <row r="688" spans="1:5" x14ac:dyDescent="0.25">
      <c r="A688" s="1" t="s">
        <v>687</v>
      </c>
      <c r="C688" s="3">
        <v>170</v>
      </c>
      <c r="E688" t="s">
        <v>4080</v>
      </c>
    </row>
    <row r="689" spans="1:5" x14ac:dyDescent="0.25">
      <c r="A689" s="1" t="s">
        <v>688</v>
      </c>
      <c r="C689" s="3">
        <v>170</v>
      </c>
      <c r="E689" t="s">
        <v>8775</v>
      </c>
    </row>
    <row r="690" spans="1:5" x14ac:dyDescent="0.25">
      <c r="A690" s="1" t="s">
        <v>689</v>
      </c>
      <c r="C690" s="3">
        <v>170</v>
      </c>
      <c r="E690" t="s">
        <v>3915</v>
      </c>
    </row>
    <row r="691" spans="1:5" x14ac:dyDescent="0.25">
      <c r="A691" s="1" t="s">
        <v>690</v>
      </c>
      <c r="C691" s="3">
        <v>169</v>
      </c>
      <c r="E691" t="s">
        <v>12562</v>
      </c>
    </row>
    <row r="692" spans="1:5" x14ac:dyDescent="0.25">
      <c r="A692" s="1" t="s">
        <v>691</v>
      </c>
      <c r="C692" s="3">
        <v>169</v>
      </c>
      <c r="E692" t="s">
        <v>8536</v>
      </c>
    </row>
    <row r="693" spans="1:5" x14ac:dyDescent="0.25">
      <c r="A693" s="1" t="s">
        <v>692</v>
      </c>
      <c r="C693" s="3">
        <v>169</v>
      </c>
      <c r="E693" t="s">
        <v>7666</v>
      </c>
    </row>
    <row r="694" spans="1:5" x14ac:dyDescent="0.25">
      <c r="A694" s="1" t="s">
        <v>693</v>
      </c>
      <c r="C694" s="3">
        <v>169</v>
      </c>
      <c r="E694" t="s">
        <v>2902</v>
      </c>
    </row>
    <row r="695" spans="1:5" x14ac:dyDescent="0.25">
      <c r="A695" s="1" t="s">
        <v>694</v>
      </c>
      <c r="C695" s="3">
        <v>169</v>
      </c>
      <c r="E695" t="s">
        <v>6846</v>
      </c>
    </row>
    <row r="696" spans="1:5" x14ac:dyDescent="0.25">
      <c r="A696" s="1" t="s">
        <v>695</v>
      </c>
      <c r="C696" s="3">
        <v>169</v>
      </c>
      <c r="E696" t="s">
        <v>16276</v>
      </c>
    </row>
    <row r="697" spans="1:5" x14ac:dyDescent="0.25">
      <c r="A697" s="1" t="s">
        <v>696</v>
      </c>
      <c r="C697" s="3">
        <v>168</v>
      </c>
      <c r="E697" t="s">
        <v>1882</v>
      </c>
    </row>
    <row r="698" spans="1:5" x14ac:dyDescent="0.25">
      <c r="A698" s="1" t="s">
        <v>697</v>
      </c>
      <c r="C698" s="3">
        <v>168</v>
      </c>
      <c r="E698" t="s">
        <v>5480</v>
      </c>
    </row>
    <row r="699" spans="1:5" x14ac:dyDescent="0.25">
      <c r="A699" s="1" t="s">
        <v>698</v>
      </c>
      <c r="C699" s="3">
        <v>168</v>
      </c>
      <c r="E699" t="s">
        <v>7475</v>
      </c>
    </row>
    <row r="700" spans="1:5" x14ac:dyDescent="0.25">
      <c r="A700" s="1" t="s">
        <v>699</v>
      </c>
      <c r="C700" s="3">
        <v>168</v>
      </c>
      <c r="E700" t="s">
        <v>1373</v>
      </c>
    </row>
    <row r="701" spans="1:5" x14ac:dyDescent="0.25">
      <c r="A701" s="1" t="s">
        <v>700</v>
      </c>
      <c r="C701" s="3">
        <v>168</v>
      </c>
      <c r="E701" t="s">
        <v>10428</v>
      </c>
    </row>
    <row r="702" spans="1:5" x14ac:dyDescent="0.25">
      <c r="A702" s="1" t="s">
        <v>701</v>
      </c>
      <c r="C702" s="3">
        <v>167</v>
      </c>
      <c r="E702" t="s">
        <v>10666</v>
      </c>
    </row>
    <row r="703" spans="1:5" x14ac:dyDescent="0.25">
      <c r="A703" s="1" t="s">
        <v>702</v>
      </c>
      <c r="C703" s="3">
        <v>167</v>
      </c>
      <c r="E703" t="s">
        <v>10327</v>
      </c>
    </row>
    <row r="704" spans="1:5" x14ac:dyDescent="0.25">
      <c r="A704" s="1" t="s">
        <v>703</v>
      </c>
      <c r="C704" s="3">
        <v>167</v>
      </c>
      <c r="E704" t="s">
        <v>7025</v>
      </c>
    </row>
    <row r="705" spans="1:5" x14ac:dyDescent="0.25">
      <c r="A705" s="1" t="s">
        <v>704</v>
      </c>
      <c r="C705" s="3">
        <v>167</v>
      </c>
      <c r="E705" t="s">
        <v>3093</v>
      </c>
    </row>
    <row r="706" spans="1:5" x14ac:dyDescent="0.25">
      <c r="A706" s="1" t="s">
        <v>705</v>
      </c>
      <c r="C706" s="3">
        <v>167</v>
      </c>
      <c r="E706" t="s">
        <v>5803</v>
      </c>
    </row>
    <row r="707" spans="1:5" x14ac:dyDescent="0.25">
      <c r="A707" s="1" t="s">
        <v>706</v>
      </c>
      <c r="C707" s="3">
        <v>166</v>
      </c>
      <c r="E707" t="s">
        <v>404</v>
      </c>
    </row>
    <row r="708" spans="1:5" x14ac:dyDescent="0.25">
      <c r="A708" s="1" t="s">
        <v>707</v>
      </c>
      <c r="C708" s="3">
        <v>166</v>
      </c>
      <c r="E708" t="s">
        <v>306</v>
      </c>
    </row>
    <row r="709" spans="1:5" x14ac:dyDescent="0.25">
      <c r="A709" s="1" t="s">
        <v>708</v>
      </c>
      <c r="C709" s="3">
        <v>166</v>
      </c>
      <c r="E709" t="s">
        <v>10056</v>
      </c>
    </row>
    <row r="710" spans="1:5" x14ac:dyDescent="0.25">
      <c r="A710" s="1" t="s">
        <v>709</v>
      </c>
      <c r="C710" s="3">
        <v>166</v>
      </c>
      <c r="E710" t="s">
        <v>2184</v>
      </c>
    </row>
    <row r="711" spans="1:5" x14ac:dyDescent="0.25">
      <c r="A711" s="1" t="s">
        <v>710</v>
      </c>
      <c r="C711" s="3">
        <v>166</v>
      </c>
      <c r="E711" t="s">
        <v>1857</v>
      </c>
    </row>
    <row r="712" spans="1:5" x14ac:dyDescent="0.25">
      <c r="A712" s="1" t="s">
        <v>711</v>
      </c>
      <c r="C712" s="3">
        <v>165</v>
      </c>
      <c r="E712" t="s">
        <v>2205</v>
      </c>
    </row>
    <row r="713" spans="1:5" x14ac:dyDescent="0.25">
      <c r="A713" s="1" t="s">
        <v>712</v>
      </c>
      <c r="C713" s="3">
        <v>164</v>
      </c>
      <c r="E713" t="s">
        <v>1117</v>
      </c>
    </row>
    <row r="714" spans="1:5" x14ac:dyDescent="0.25">
      <c r="A714" s="1" t="s">
        <v>713</v>
      </c>
      <c r="C714" s="3">
        <v>164</v>
      </c>
      <c r="E714" t="s">
        <v>53</v>
      </c>
    </row>
    <row r="715" spans="1:5" x14ac:dyDescent="0.25">
      <c r="A715" s="1" t="s">
        <v>714</v>
      </c>
      <c r="C715" s="3">
        <v>164</v>
      </c>
      <c r="E715" t="s">
        <v>25417</v>
      </c>
    </row>
    <row r="716" spans="1:5" x14ac:dyDescent="0.25">
      <c r="A716" s="1" t="s">
        <v>715</v>
      </c>
      <c r="C716" s="3">
        <v>164</v>
      </c>
      <c r="E716" t="s">
        <v>10134</v>
      </c>
    </row>
    <row r="717" spans="1:5" x14ac:dyDescent="0.25">
      <c r="A717" s="1" t="s">
        <v>716</v>
      </c>
      <c r="C717" s="3">
        <v>164</v>
      </c>
      <c r="E717" t="s">
        <v>1406</v>
      </c>
    </row>
    <row r="718" spans="1:5" x14ac:dyDescent="0.25">
      <c r="A718" s="1" t="s">
        <v>717</v>
      </c>
      <c r="C718" s="3">
        <v>164</v>
      </c>
      <c r="E718" t="s">
        <v>774</v>
      </c>
    </row>
    <row r="719" spans="1:5" x14ac:dyDescent="0.25">
      <c r="A719" s="1" t="s">
        <v>718</v>
      </c>
      <c r="C719" s="3">
        <v>163</v>
      </c>
      <c r="E719" t="s">
        <v>1098</v>
      </c>
    </row>
    <row r="720" spans="1:5" x14ac:dyDescent="0.25">
      <c r="A720" s="1" t="s">
        <v>719</v>
      </c>
      <c r="C720" s="3">
        <v>163</v>
      </c>
      <c r="E720" t="s">
        <v>4015</v>
      </c>
    </row>
    <row r="721" spans="1:5" x14ac:dyDescent="0.25">
      <c r="A721" s="1" t="s">
        <v>720</v>
      </c>
      <c r="C721" s="3">
        <v>163</v>
      </c>
      <c r="E721" t="s">
        <v>3722</v>
      </c>
    </row>
    <row r="722" spans="1:5" x14ac:dyDescent="0.25">
      <c r="A722" s="1" t="s">
        <v>721</v>
      </c>
      <c r="C722" s="3">
        <v>163</v>
      </c>
      <c r="E722" t="s">
        <v>13887</v>
      </c>
    </row>
    <row r="723" spans="1:5" x14ac:dyDescent="0.25">
      <c r="A723" s="1" t="s">
        <v>722</v>
      </c>
      <c r="C723" s="3">
        <v>163</v>
      </c>
      <c r="E723" t="s">
        <v>264</v>
      </c>
    </row>
    <row r="724" spans="1:5" x14ac:dyDescent="0.25">
      <c r="A724" s="1" t="s">
        <v>723</v>
      </c>
      <c r="C724" s="3">
        <v>163</v>
      </c>
      <c r="E724" t="s">
        <v>768</v>
      </c>
    </row>
    <row r="725" spans="1:5" x14ac:dyDescent="0.25">
      <c r="A725" s="1" t="s">
        <v>724</v>
      </c>
      <c r="C725" s="3">
        <v>163</v>
      </c>
      <c r="E725" t="s">
        <v>3278</v>
      </c>
    </row>
    <row r="726" spans="1:5" x14ac:dyDescent="0.25">
      <c r="A726" s="1" t="s">
        <v>725</v>
      </c>
      <c r="C726" s="3">
        <v>162</v>
      </c>
      <c r="E726" t="s">
        <v>1900</v>
      </c>
    </row>
    <row r="727" spans="1:5" x14ac:dyDescent="0.25">
      <c r="A727" s="1" t="s">
        <v>726</v>
      </c>
      <c r="C727" s="3">
        <v>162</v>
      </c>
      <c r="E727" t="s">
        <v>8602</v>
      </c>
    </row>
    <row r="728" spans="1:5" x14ac:dyDescent="0.25">
      <c r="A728" s="1" t="s">
        <v>727</v>
      </c>
      <c r="C728" s="3">
        <v>162</v>
      </c>
      <c r="E728" t="s">
        <v>25418</v>
      </c>
    </row>
    <row r="729" spans="1:5" x14ac:dyDescent="0.25">
      <c r="A729" s="1" t="s">
        <v>728</v>
      </c>
      <c r="C729" s="3">
        <v>162</v>
      </c>
      <c r="E729" t="s">
        <v>12686</v>
      </c>
    </row>
    <row r="730" spans="1:5" x14ac:dyDescent="0.25">
      <c r="A730" s="1" t="s">
        <v>729</v>
      </c>
      <c r="C730" s="3">
        <v>162</v>
      </c>
      <c r="E730" t="s">
        <v>7715</v>
      </c>
    </row>
    <row r="731" spans="1:5" x14ac:dyDescent="0.25">
      <c r="A731" s="1" t="s">
        <v>730</v>
      </c>
      <c r="C731" s="3">
        <v>161</v>
      </c>
      <c r="E731" t="s">
        <v>2241</v>
      </c>
    </row>
    <row r="732" spans="1:5" x14ac:dyDescent="0.25">
      <c r="A732" s="1" t="s">
        <v>731</v>
      </c>
      <c r="C732" s="3">
        <v>161</v>
      </c>
      <c r="E732" t="s">
        <v>6445</v>
      </c>
    </row>
    <row r="733" spans="1:5" x14ac:dyDescent="0.25">
      <c r="A733" s="1" t="s">
        <v>732</v>
      </c>
      <c r="C733" s="3">
        <v>160</v>
      </c>
      <c r="E733" t="s">
        <v>926</v>
      </c>
    </row>
    <row r="734" spans="1:5" x14ac:dyDescent="0.25">
      <c r="A734" s="1" t="s">
        <v>733</v>
      </c>
      <c r="C734" s="3">
        <v>160</v>
      </c>
      <c r="E734" t="s">
        <v>4868</v>
      </c>
    </row>
    <row r="735" spans="1:5" x14ac:dyDescent="0.25">
      <c r="A735" s="1" t="s">
        <v>734</v>
      </c>
      <c r="C735" s="3">
        <v>160</v>
      </c>
      <c r="E735" t="s">
        <v>874</v>
      </c>
    </row>
    <row r="736" spans="1:5" x14ac:dyDescent="0.25">
      <c r="A736" s="1" t="s">
        <v>735</v>
      </c>
      <c r="C736" s="3">
        <v>160</v>
      </c>
      <c r="E736" t="s">
        <v>1282</v>
      </c>
    </row>
    <row r="737" spans="1:5" x14ac:dyDescent="0.25">
      <c r="A737" s="1" t="s">
        <v>736</v>
      </c>
      <c r="C737" s="3">
        <v>160</v>
      </c>
      <c r="E737" t="s">
        <v>724</v>
      </c>
    </row>
    <row r="738" spans="1:5" x14ac:dyDescent="0.25">
      <c r="A738" s="1" t="s">
        <v>737</v>
      </c>
      <c r="C738" s="3">
        <v>160</v>
      </c>
      <c r="E738" t="s">
        <v>19105</v>
      </c>
    </row>
    <row r="739" spans="1:5" x14ac:dyDescent="0.25">
      <c r="A739" s="1" t="s">
        <v>738</v>
      </c>
      <c r="C739" s="3">
        <v>160</v>
      </c>
      <c r="E739" t="s">
        <v>3796</v>
      </c>
    </row>
    <row r="740" spans="1:5" x14ac:dyDescent="0.25">
      <c r="A740" s="1" t="s">
        <v>739</v>
      </c>
      <c r="C740" s="3">
        <v>160</v>
      </c>
      <c r="E740" t="s">
        <v>25419</v>
      </c>
    </row>
    <row r="741" spans="1:5" x14ac:dyDescent="0.25">
      <c r="A741" s="1" t="s">
        <v>740</v>
      </c>
      <c r="C741" s="3">
        <v>160</v>
      </c>
      <c r="E741" t="s">
        <v>4093</v>
      </c>
    </row>
    <row r="742" spans="1:5" x14ac:dyDescent="0.25">
      <c r="A742" s="1" t="s">
        <v>741</v>
      </c>
      <c r="C742" s="3">
        <v>160</v>
      </c>
      <c r="E742" t="s">
        <v>521</v>
      </c>
    </row>
    <row r="743" spans="1:5" x14ac:dyDescent="0.25">
      <c r="A743" s="1" t="s">
        <v>742</v>
      </c>
      <c r="C743" s="3">
        <v>160</v>
      </c>
      <c r="E743" t="s">
        <v>10930</v>
      </c>
    </row>
    <row r="744" spans="1:5" x14ac:dyDescent="0.25">
      <c r="A744" s="1" t="s">
        <v>743</v>
      </c>
      <c r="C744" s="3">
        <v>159</v>
      </c>
      <c r="E744" t="s">
        <v>6525</v>
      </c>
    </row>
    <row r="745" spans="1:5" x14ac:dyDescent="0.25">
      <c r="A745" s="1" t="s">
        <v>744</v>
      </c>
      <c r="C745" s="3">
        <v>159</v>
      </c>
      <c r="E745" t="s">
        <v>2690</v>
      </c>
    </row>
    <row r="746" spans="1:5" x14ac:dyDescent="0.25">
      <c r="A746" s="1" t="s">
        <v>745</v>
      </c>
      <c r="C746" s="3">
        <v>159</v>
      </c>
      <c r="E746" t="s">
        <v>566</v>
      </c>
    </row>
    <row r="747" spans="1:5" x14ac:dyDescent="0.25">
      <c r="A747" s="1" t="s">
        <v>746</v>
      </c>
      <c r="C747" s="3">
        <v>159</v>
      </c>
      <c r="E747" t="s">
        <v>1586</v>
      </c>
    </row>
    <row r="748" spans="1:5" x14ac:dyDescent="0.25">
      <c r="A748" s="1" t="s">
        <v>747</v>
      </c>
      <c r="C748" s="3">
        <v>159</v>
      </c>
      <c r="E748" t="s">
        <v>10922</v>
      </c>
    </row>
    <row r="749" spans="1:5" x14ac:dyDescent="0.25">
      <c r="A749" s="1" t="s">
        <v>748</v>
      </c>
      <c r="C749" s="3">
        <v>159</v>
      </c>
      <c r="E749" t="s">
        <v>2941</v>
      </c>
    </row>
    <row r="750" spans="1:5" x14ac:dyDescent="0.25">
      <c r="A750" s="1" t="s">
        <v>749</v>
      </c>
      <c r="C750" s="3">
        <v>159</v>
      </c>
      <c r="E750" t="s">
        <v>2589</v>
      </c>
    </row>
    <row r="751" spans="1:5" x14ac:dyDescent="0.25">
      <c r="A751" s="1" t="s">
        <v>750</v>
      </c>
      <c r="C751" s="3">
        <v>159</v>
      </c>
      <c r="E751" t="s">
        <v>7799</v>
      </c>
    </row>
    <row r="752" spans="1:5" x14ac:dyDescent="0.25">
      <c r="A752" s="1" t="s">
        <v>751</v>
      </c>
      <c r="C752" s="3">
        <v>158</v>
      </c>
      <c r="E752" t="s">
        <v>3623</v>
      </c>
    </row>
    <row r="753" spans="1:5" x14ac:dyDescent="0.25">
      <c r="A753" s="1" t="s">
        <v>752</v>
      </c>
      <c r="C753" s="3">
        <v>158</v>
      </c>
      <c r="E753" t="s">
        <v>442</v>
      </c>
    </row>
    <row r="754" spans="1:5" x14ac:dyDescent="0.25">
      <c r="A754" s="1" t="s">
        <v>753</v>
      </c>
      <c r="C754" s="3">
        <v>158</v>
      </c>
      <c r="E754" t="s">
        <v>15565</v>
      </c>
    </row>
    <row r="755" spans="1:5" x14ac:dyDescent="0.25">
      <c r="A755" s="1" t="s">
        <v>754</v>
      </c>
      <c r="C755" s="3">
        <v>158</v>
      </c>
      <c r="E755" t="s">
        <v>238</v>
      </c>
    </row>
    <row r="756" spans="1:5" x14ac:dyDescent="0.25">
      <c r="A756" s="1" t="s">
        <v>755</v>
      </c>
      <c r="C756" s="3">
        <v>157</v>
      </c>
      <c r="E756" t="s">
        <v>4127</v>
      </c>
    </row>
    <row r="757" spans="1:5" x14ac:dyDescent="0.25">
      <c r="A757" s="1" t="s">
        <v>756</v>
      </c>
      <c r="C757" s="3">
        <v>157</v>
      </c>
      <c r="E757" t="s">
        <v>6931</v>
      </c>
    </row>
    <row r="758" spans="1:5" x14ac:dyDescent="0.25">
      <c r="A758" s="1" t="s">
        <v>757</v>
      </c>
      <c r="C758" s="3">
        <v>157</v>
      </c>
      <c r="E758" t="s">
        <v>1910</v>
      </c>
    </row>
    <row r="759" spans="1:5" x14ac:dyDescent="0.25">
      <c r="A759" s="1" t="s">
        <v>758</v>
      </c>
      <c r="C759" s="3">
        <v>157</v>
      </c>
      <c r="E759" t="s">
        <v>1651</v>
      </c>
    </row>
    <row r="760" spans="1:5" x14ac:dyDescent="0.25">
      <c r="A760" s="1" t="s">
        <v>759</v>
      </c>
      <c r="C760" s="3">
        <v>156</v>
      </c>
      <c r="E760" t="s">
        <v>1534</v>
      </c>
    </row>
    <row r="761" spans="1:5" x14ac:dyDescent="0.25">
      <c r="A761" s="1" t="s">
        <v>760</v>
      </c>
      <c r="C761" s="3">
        <v>156</v>
      </c>
      <c r="E761" t="s">
        <v>7266</v>
      </c>
    </row>
    <row r="762" spans="1:5" x14ac:dyDescent="0.25">
      <c r="A762" s="1" t="s">
        <v>761</v>
      </c>
      <c r="C762" s="3">
        <v>156</v>
      </c>
      <c r="E762" t="s">
        <v>558</v>
      </c>
    </row>
    <row r="763" spans="1:5" x14ac:dyDescent="0.25">
      <c r="A763" s="1" t="s">
        <v>762</v>
      </c>
      <c r="C763" s="3">
        <v>155</v>
      </c>
      <c r="E763" t="s">
        <v>6756</v>
      </c>
    </row>
    <row r="764" spans="1:5" x14ac:dyDescent="0.25">
      <c r="A764" s="1" t="s">
        <v>763</v>
      </c>
      <c r="C764" s="3">
        <v>155</v>
      </c>
      <c r="E764" t="s">
        <v>6608</v>
      </c>
    </row>
    <row r="765" spans="1:5" x14ac:dyDescent="0.25">
      <c r="A765" s="1" t="s">
        <v>764</v>
      </c>
      <c r="C765" s="3">
        <v>155</v>
      </c>
      <c r="E765" t="s">
        <v>14650</v>
      </c>
    </row>
    <row r="766" spans="1:5" x14ac:dyDescent="0.25">
      <c r="A766" s="1" t="s">
        <v>765</v>
      </c>
      <c r="C766" s="3">
        <v>155</v>
      </c>
      <c r="E766" t="s">
        <v>91</v>
      </c>
    </row>
    <row r="767" spans="1:5" x14ac:dyDescent="0.25">
      <c r="A767" s="1" t="s">
        <v>766</v>
      </c>
      <c r="C767" s="3">
        <v>155</v>
      </c>
      <c r="E767" t="s">
        <v>10769</v>
      </c>
    </row>
    <row r="768" spans="1:5" x14ac:dyDescent="0.25">
      <c r="A768" s="1" t="s">
        <v>767</v>
      </c>
      <c r="C768" s="3">
        <v>154</v>
      </c>
      <c r="E768" t="s">
        <v>5041</v>
      </c>
    </row>
    <row r="769" spans="1:5" x14ac:dyDescent="0.25">
      <c r="A769" s="1" t="s">
        <v>768</v>
      </c>
      <c r="C769" s="3">
        <v>154</v>
      </c>
      <c r="E769" t="s">
        <v>3611</v>
      </c>
    </row>
    <row r="770" spans="1:5" x14ac:dyDescent="0.25">
      <c r="A770" s="1" t="s">
        <v>769</v>
      </c>
      <c r="C770" s="3">
        <v>154</v>
      </c>
      <c r="E770" t="s">
        <v>5116</v>
      </c>
    </row>
    <row r="771" spans="1:5" x14ac:dyDescent="0.25">
      <c r="A771" s="1" t="s">
        <v>770</v>
      </c>
      <c r="C771" s="3">
        <v>153</v>
      </c>
      <c r="E771" t="s">
        <v>2720</v>
      </c>
    </row>
    <row r="772" spans="1:5" x14ac:dyDescent="0.25">
      <c r="A772" s="1" t="s">
        <v>771</v>
      </c>
      <c r="C772" s="3">
        <v>153</v>
      </c>
      <c r="E772" t="s">
        <v>4075</v>
      </c>
    </row>
    <row r="773" spans="1:5" x14ac:dyDescent="0.25">
      <c r="A773" s="1" t="s">
        <v>772</v>
      </c>
      <c r="C773" s="3">
        <v>153</v>
      </c>
      <c r="E773" t="s">
        <v>1083</v>
      </c>
    </row>
    <row r="774" spans="1:5" x14ac:dyDescent="0.25">
      <c r="A774" s="1" t="s">
        <v>773</v>
      </c>
      <c r="C774" s="3">
        <v>153</v>
      </c>
      <c r="E774" t="s">
        <v>17056</v>
      </c>
    </row>
    <row r="775" spans="1:5" x14ac:dyDescent="0.25">
      <c r="A775" s="1" t="s">
        <v>774</v>
      </c>
      <c r="C775" s="3">
        <v>153</v>
      </c>
      <c r="E775" t="s">
        <v>11688</v>
      </c>
    </row>
    <row r="776" spans="1:5" x14ac:dyDescent="0.25">
      <c r="A776" s="1" t="s">
        <v>775</v>
      </c>
      <c r="C776" s="3">
        <v>153</v>
      </c>
      <c r="E776" t="s">
        <v>7829</v>
      </c>
    </row>
    <row r="777" spans="1:5" x14ac:dyDescent="0.25">
      <c r="A777" s="1" t="s">
        <v>776</v>
      </c>
      <c r="C777" s="3">
        <v>152</v>
      </c>
      <c r="E777" t="s">
        <v>15589</v>
      </c>
    </row>
    <row r="778" spans="1:5" x14ac:dyDescent="0.25">
      <c r="A778" s="1" t="s">
        <v>777</v>
      </c>
      <c r="C778" s="3">
        <v>152</v>
      </c>
      <c r="E778" t="s">
        <v>1160</v>
      </c>
    </row>
    <row r="779" spans="1:5" x14ac:dyDescent="0.25">
      <c r="A779" s="1" t="s">
        <v>778</v>
      </c>
      <c r="C779" s="3">
        <v>152</v>
      </c>
      <c r="E779" t="s">
        <v>10624</v>
      </c>
    </row>
    <row r="780" spans="1:5" x14ac:dyDescent="0.25">
      <c r="A780" s="1" t="s">
        <v>779</v>
      </c>
      <c r="C780" s="3">
        <v>152</v>
      </c>
      <c r="E780" t="s">
        <v>934</v>
      </c>
    </row>
    <row r="781" spans="1:5" x14ac:dyDescent="0.25">
      <c r="A781" s="1" t="s">
        <v>780</v>
      </c>
      <c r="C781" s="3">
        <v>152</v>
      </c>
      <c r="E781" t="s">
        <v>8998</v>
      </c>
    </row>
    <row r="782" spans="1:5" x14ac:dyDescent="0.25">
      <c r="A782" s="1" t="s">
        <v>781</v>
      </c>
      <c r="C782" s="3">
        <v>152</v>
      </c>
      <c r="E782" t="s">
        <v>5097</v>
      </c>
    </row>
    <row r="783" spans="1:5" x14ac:dyDescent="0.25">
      <c r="A783" s="1" t="s">
        <v>782</v>
      </c>
      <c r="C783" s="3">
        <v>152</v>
      </c>
      <c r="E783" t="s">
        <v>15277</v>
      </c>
    </row>
    <row r="784" spans="1:5" x14ac:dyDescent="0.25">
      <c r="A784" s="1" t="s">
        <v>783</v>
      </c>
      <c r="C784" s="3">
        <v>152</v>
      </c>
      <c r="E784" t="s">
        <v>3946</v>
      </c>
    </row>
    <row r="785" spans="1:5" x14ac:dyDescent="0.25">
      <c r="A785" s="1" t="s">
        <v>784</v>
      </c>
      <c r="C785" s="3">
        <v>152</v>
      </c>
      <c r="E785" t="s">
        <v>654</v>
      </c>
    </row>
    <row r="786" spans="1:5" x14ac:dyDescent="0.25">
      <c r="A786" s="1" t="s">
        <v>785</v>
      </c>
      <c r="C786" s="3">
        <v>151</v>
      </c>
      <c r="E786" t="s">
        <v>3838</v>
      </c>
    </row>
    <row r="787" spans="1:5" x14ac:dyDescent="0.25">
      <c r="A787" s="1" t="s">
        <v>786</v>
      </c>
      <c r="C787" s="3">
        <v>151</v>
      </c>
      <c r="E787" t="s">
        <v>12904</v>
      </c>
    </row>
    <row r="788" spans="1:5" x14ac:dyDescent="0.25">
      <c r="A788" s="1" t="s">
        <v>787</v>
      </c>
      <c r="C788" s="3">
        <v>151</v>
      </c>
      <c r="E788" t="s">
        <v>3936</v>
      </c>
    </row>
    <row r="789" spans="1:5" x14ac:dyDescent="0.25">
      <c r="A789" s="1" t="s">
        <v>788</v>
      </c>
      <c r="C789" s="3">
        <v>151</v>
      </c>
      <c r="E789" t="s">
        <v>6469</v>
      </c>
    </row>
    <row r="790" spans="1:5" x14ac:dyDescent="0.25">
      <c r="A790" s="1" t="s">
        <v>789</v>
      </c>
      <c r="C790" s="3">
        <v>151</v>
      </c>
      <c r="E790" t="s">
        <v>4915</v>
      </c>
    </row>
    <row r="791" spans="1:5" x14ac:dyDescent="0.25">
      <c r="A791" s="1" t="s">
        <v>790</v>
      </c>
      <c r="C791" s="3">
        <v>151</v>
      </c>
      <c r="E791" t="s">
        <v>8561</v>
      </c>
    </row>
    <row r="792" spans="1:5" x14ac:dyDescent="0.25">
      <c r="A792" s="1" t="s">
        <v>791</v>
      </c>
      <c r="C792" s="3">
        <v>151</v>
      </c>
      <c r="E792" t="s">
        <v>25420</v>
      </c>
    </row>
    <row r="793" spans="1:5" x14ac:dyDescent="0.25">
      <c r="A793" s="1" t="s">
        <v>792</v>
      </c>
      <c r="C793" s="3">
        <v>151</v>
      </c>
      <c r="E793" t="s">
        <v>22129</v>
      </c>
    </row>
    <row r="794" spans="1:5" x14ac:dyDescent="0.25">
      <c r="A794" s="1" t="s">
        <v>793</v>
      </c>
      <c r="C794" s="3">
        <v>151</v>
      </c>
      <c r="E794" t="s">
        <v>3895</v>
      </c>
    </row>
    <row r="795" spans="1:5" x14ac:dyDescent="0.25">
      <c r="A795" s="2" t="s">
        <v>794</v>
      </c>
      <c r="C795" s="4">
        <v>150</v>
      </c>
      <c r="E795" t="s">
        <v>662</v>
      </c>
    </row>
    <row r="796" spans="1:5" x14ac:dyDescent="0.25">
      <c r="A796" s="1" t="s">
        <v>795</v>
      </c>
      <c r="C796" s="3">
        <v>150</v>
      </c>
      <c r="E796" t="s">
        <v>2052</v>
      </c>
    </row>
    <row r="797" spans="1:5" x14ac:dyDescent="0.25">
      <c r="A797" s="1" t="s">
        <v>796</v>
      </c>
      <c r="C797" s="3">
        <v>150</v>
      </c>
      <c r="E797" t="s">
        <v>2992</v>
      </c>
    </row>
    <row r="798" spans="1:5" x14ac:dyDescent="0.25">
      <c r="A798" s="1" t="s">
        <v>797</v>
      </c>
      <c r="C798" s="3">
        <v>150</v>
      </c>
      <c r="E798" t="s">
        <v>2024</v>
      </c>
    </row>
    <row r="799" spans="1:5" x14ac:dyDescent="0.25">
      <c r="A799" s="1" t="s">
        <v>798</v>
      </c>
      <c r="C799" s="3">
        <v>149</v>
      </c>
      <c r="E799" t="s">
        <v>6241</v>
      </c>
    </row>
    <row r="800" spans="1:5" x14ac:dyDescent="0.25">
      <c r="A800" s="1" t="s">
        <v>799</v>
      </c>
      <c r="C800" s="3">
        <v>149</v>
      </c>
      <c r="E800" t="s">
        <v>854</v>
      </c>
    </row>
    <row r="801" spans="1:5" x14ac:dyDescent="0.25">
      <c r="A801" s="1" t="s">
        <v>800</v>
      </c>
      <c r="C801" s="3">
        <v>149</v>
      </c>
      <c r="E801" t="s">
        <v>134</v>
      </c>
    </row>
    <row r="802" spans="1:5" x14ac:dyDescent="0.25">
      <c r="A802" s="1" t="s">
        <v>801</v>
      </c>
      <c r="C802" s="3">
        <v>149</v>
      </c>
      <c r="E802" t="s">
        <v>1974</v>
      </c>
    </row>
    <row r="803" spans="1:5" x14ac:dyDescent="0.25">
      <c r="A803" s="1" t="s">
        <v>802</v>
      </c>
      <c r="C803" s="3">
        <v>149</v>
      </c>
      <c r="E803" t="s">
        <v>10422</v>
      </c>
    </row>
    <row r="804" spans="1:5" x14ac:dyDescent="0.25">
      <c r="A804" s="1" t="s">
        <v>803</v>
      </c>
      <c r="C804" s="3">
        <v>149</v>
      </c>
      <c r="E804" t="s">
        <v>3871</v>
      </c>
    </row>
    <row r="805" spans="1:5" x14ac:dyDescent="0.25">
      <c r="A805" s="1" t="s">
        <v>804</v>
      </c>
      <c r="C805" s="3">
        <v>149</v>
      </c>
      <c r="E805" t="s">
        <v>17689</v>
      </c>
    </row>
    <row r="806" spans="1:5" x14ac:dyDescent="0.25">
      <c r="A806" s="1" t="s">
        <v>805</v>
      </c>
      <c r="C806" s="3">
        <v>149</v>
      </c>
      <c r="E806" t="s">
        <v>18081</v>
      </c>
    </row>
    <row r="807" spans="1:5" x14ac:dyDescent="0.25">
      <c r="A807" s="1" t="s">
        <v>806</v>
      </c>
      <c r="C807" s="3">
        <v>148</v>
      </c>
      <c r="E807" t="s">
        <v>4889</v>
      </c>
    </row>
    <row r="808" spans="1:5" x14ac:dyDescent="0.25">
      <c r="A808" s="1" t="s">
        <v>807</v>
      </c>
      <c r="C808" s="3">
        <v>148</v>
      </c>
      <c r="E808" t="s">
        <v>18151</v>
      </c>
    </row>
    <row r="809" spans="1:5" x14ac:dyDescent="0.25">
      <c r="A809" s="1" t="s">
        <v>808</v>
      </c>
      <c r="C809" s="3">
        <v>148</v>
      </c>
      <c r="E809" t="s">
        <v>1525</v>
      </c>
    </row>
    <row r="810" spans="1:5" x14ac:dyDescent="0.25">
      <c r="A810" s="1" t="s">
        <v>809</v>
      </c>
      <c r="C810" s="3">
        <v>148</v>
      </c>
      <c r="E810" t="s">
        <v>469</v>
      </c>
    </row>
    <row r="811" spans="1:5" x14ac:dyDescent="0.25">
      <c r="A811" s="1" t="s">
        <v>810</v>
      </c>
      <c r="C811" s="3">
        <v>148</v>
      </c>
      <c r="E811" t="s">
        <v>11655</v>
      </c>
    </row>
    <row r="812" spans="1:5" x14ac:dyDescent="0.25">
      <c r="A812" s="1" t="s">
        <v>811</v>
      </c>
      <c r="C812" s="3">
        <v>148</v>
      </c>
      <c r="E812" t="s">
        <v>4499</v>
      </c>
    </row>
    <row r="813" spans="1:5" x14ac:dyDescent="0.25">
      <c r="A813" s="1" t="s">
        <v>812</v>
      </c>
      <c r="C813" s="3">
        <v>148</v>
      </c>
      <c r="E813" t="s">
        <v>550</v>
      </c>
    </row>
    <row r="814" spans="1:5" x14ac:dyDescent="0.25">
      <c r="A814" s="1" t="s">
        <v>813</v>
      </c>
      <c r="C814" s="3">
        <v>148</v>
      </c>
      <c r="E814" t="s">
        <v>10676</v>
      </c>
    </row>
    <row r="815" spans="1:5" x14ac:dyDescent="0.25">
      <c r="A815" s="1" t="s">
        <v>814</v>
      </c>
      <c r="C815" s="3">
        <v>147</v>
      </c>
      <c r="E815" t="s">
        <v>6132</v>
      </c>
    </row>
    <row r="816" spans="1:5" x14ac:dyDescent="0.25">
      <c r="A816" s="1" t="s">
        <v>815</v>
      </c>
      <c r="C816" s="3">
        <v>147</v>
      </c>
      <c r="E816" t="s">
        <v>3135</v>
      </c>
    </row>
    <row r="817" spans="1:5" x14ac:dyDescent="0.25">
      <c r="A817" s="1" t="s">
        <v>816</v>
      </c>
      <c r="C817" s="3">
        <v>147</v>
      </c>
      <c r="E817" t="s">
        <v>20618</v>
      </c>
    </row>
    <row r="818" spans="1:5" x14ac:dyDescent="0.25">
      <c r="A818" s="1" t="s">
        <v>817</v>
      </c>
      <c r="C818" s="3">
        <v>147</v>
      </c>
      <c r="E818" t="s">
        <v>2956</v>
      </c>
    </row>
    <row r="819" spans="1:5" x14ac:dyDescent="0.25">
      <c r="A819" s="1" t="s">
        <v>818</v>
      </c>
      <c r="C819" s="3">
        <v>147</v>
      </c>
      <c r="E819" t="s">
        <v>3730</v>
      </c>
    </row>
    <row r="820" spans="1:5" x14ac:dyDescent="0.25">
      <c r="A820" s="1" t="s">
        <v>819</v>
      </c>
      <c r="C820" s="3">
        <v>147</v>
      </c>
      <c r="E820" t="s">
        <v>5175</v>
      </c>
    </row>
    <row r="821" spans="1:5" x14ac:dyDescent="0.25">
      <c r="A821" s="1" t="s">
        <v>820</v>
      </c>
      <c r="C821" s="3">
        <v>147</v>
      </c>
      <c r="E821" t="s">
        <v>5205</v>
      </c>
    </row>
    <row r="822" spans="1:5" x14ac:dyDescent="0.25">
      <c r="A822" s="1" t="s">
        <v>821</v>
      </c>
      <c r="C822" s="3">
        <v>147</v>
      </c>
      <c r="E822" t="s">
        <v>15515</v>
      </c>
    </row>
    <row r="823" spans="1:5" x14ac:dyDescent="0.25">
      <c r="A823" s="1" t="s">
        <v>822</v>
      </c>
      <c r="C823" s="3">
        <v>146</v>
      </c>
      <c r="E823" t="s">
        <v>9884</v>
      </c>
    </row>
    <row r="824" spans="1:5" x14ac:dyDescent="0.25">
      <c r="A824" s="1" t="s">
        <v>823</v>
      </c>
      <c r="C824" s="3">
        <v>146</v>
      </c>
      <c r="E824" t="s">
        <v>274</v>
      </c>
    </row>
    <row r="825" spans="1:5" x14ac:dyDescent="0.25">
      <c r="A825" s="1" t="s">
        <v>824</v>
      </c>
      <c r="C825" s="3">
        <v>146</v>
      </c>
      <c r="E825" t="s">
        <v>3477</v>
      </c>
    </row>
    <row r="826" spans="1:5" x14ac:dyDescent="0.25">
      <c r="A826" s="1" t="s">
        <v>825</v>
      </c>
      <c r="C826" s="3">
        <v>146</v>
      </c>
      <c r="E826" t="s">
        <v>383</v>
      </c>
    </row>
    <row r="827" spans="1:5" x14ac:dyDescent="0.25">
      <c r="A827" s="1" t="s">
        <v>826</v>
      </c>
      <c r="C827" s="3">
        <v>146</v>
      </c>
      <c r="E827" t="s">
        <v>21</v>
      </c>
    </row>
    <row r="828" spans="1:5" x14ac:dyDescent="0.25">
      <c r="A828" s="1" t="s">
        <v>827</v>
      </c>
      <c r="C828" s="3">
        <v>146</v>
      </c>
      <c r="E828" t="s">
        <v>4834</v>
      </c>
    </row>
    <row r="829" spans="1:5" x14ac:dyDescent="0.25">
      <c r="A829" s="1" t="s">
        <v>828</v>
      </c>
      <c r="C829" s="3">
        <v>146</v>
      </c>
      <c r="E829" t="s">
        <v>7683</v>
      </c>
    </row>
    <row r="830" spans="1:5" x14ac:dyDescent="0.25">
      <c r="A830" s="1" t="s">
        <v>829</v>
      </c>
      <c r="C830" s="3">
        <v>146</v>
      </c>
      <c r="E830" t="s">
        <v>1076</v>
      </c>
    </row>
    <row r="831" spans="1:5" x14ac:dyDescent="0.25">
      <c r="A831" s="1" t="s">
        <v>830</v>
      </c>
      <c r="C831" s="3">
        <v>146</v>
      </c>
      <c r="E831" t="s">
        <v>3106</v>
      </c>
    </row>
    <row r="832" spans="1:5" x14ac:dyDescent="0.25">
      <c r="A832" s="1" t="s">
        <v>831</v>
      </c>
      <c r="C832" s="3">
        <v>146</v>
      </c>
      <c r="E832" t="s">
        <v>4727</v>
      </c>
    </row>
    <row r="833" spans="1:5" x14ac:dyDescent="0.25">
      <c r="A833" s="1" t="s">
        <v>832</v>
      </c>
      <c r="C833" s="3">
        <v>145</v>
      </c>
      <c r="E833" t="s">
        <v>3035</v>
      </c>
    </row>
    <row r="834" spans="1:5" x14ac:dyDescent="0.25">
      <c r="A834" s="1" t="s">
        <v>833</v>
      </c>
      <c r="C834" s="3">
        <v>145</v>
      </c>
      <c r="E834" t="s">
        <v>9308</v>
      </c>
    </row>
    <row r="835" spans="1:5" x14ac:dyDescent="0.25">
      <c r="A835" s="1" t="s">
        <v>834</v>
      </c>
      <c r="C835" s="3">
        <v>145</v>
      </c>
      <c r="E835" t="s">
        <v>991</v>
      </c>
    </row>
    <row r="836" spans="1:5" x14ac:dyDescent="0.25">
      <c r="A836" s="1" t="s">
        <v>835</v>
      </c>
      <c r="C836" s="3">
        <v>145</v>
      </c>
      <c r="E836" t="s">
        <v>1398</v>
      </c>
    </row>
    <row r="837" spans="1:5" x14ac:dyDescent="0.25">
      <c r="A837" s="1" t="s">
        <v>836</v>
      </c>
      <c r="C837" s="3">
        <v>145</v>
      </c>
      <c r="E837" t="s">
        <v>6170</v>
      </c>
    </row>
    <row r="838" spans="1:5" x14ac:dyDescent="0.25">
      <c r="A838" s="1" t="s">
        <v>837</v>
      </c>
      <c r="C838" s="3">
        <v>145</v>
      </c>
      <c r="E838" t="s">
        <v>624</v>
      </c>
    </row>
    <row r="839" spans="1:5" x14ac:dyDescent="0.25">
      <c r="A839" s="1" t="s">
        <v>838</v>
      </c>
      <c r="C839" s="3">
        <v>144</v>
      </c>
      <c r="E839" t="s">
        <v>2443</v>
      </c>
    </row>
    <row r="840" spans="1:5" x14ac:dyDescent="0.25">
      <c r="A840" s="1" t="s">
        <v>839</v>
      </c>
      <c r="C840" s="3">
        <v>144</v>
      </c>
      <c r="E840" t="s">
        <v>2909</v>
      </c>
    </row>
    <row r="841" spans="1:5" x14ac:dyDescent="0.25">
      <c r="A841" s="1" t="s">
        <v>840</v>
      </c>
      <c r="C841" s="3">
        <v>144</v>
      </c>
      <c r="E841" t="s">
        <v>9467</v>
      </c>
    </row>
    <row r="842" spans="1:5" x14ac:dyDescent="0.25">
      <c r="A842" s="1" t="s">
        <v>841</v>
      </c>
      <c r="C842" s="3">
        <v>144</v>
      </c>
      <c r="E842" t="s">
        <v>12467</v>
      </c>
    </row>
    <row r="843" spans="1:5" x14ac:dyDescent="0.25">
      <c r="A843" s="1" t="s">
        <v>842</v>
      </c>
      <c r="C843" s="3">
        <v>144</v>
      </c>
      <c r="E843" t="s">
        <v>5654</v>
      </c>
    </row>
    <row r="844" spans="1:5" x14ac:dyDescent="0.25">
      <c r="A844" s="1" t="s">
        <v>843</v>
      </c>
      <c r="C844" s="3">
        <v>144</v>
      </c>
      <c r="E844" t="s">
        <v>5339</v>
      </c>
    </row>
    <row r="845" spans="1:5" x14ac:dyDescent="0.25">
      <c r="A845" s="1" t="s">
        <v>844</v>
      </c>
      <c r="C845" s="3">
        <v>143</v>
      </c>
      <c r="E845" t="s">
        <v>4084</v>
      </c>
    </row>
    <row r="846" spans="1:5" x14ac:dyDescent="0.25">
      <c r="A846" s="1" t="s">
        <v>845</v>
      </c>
      <c r="C846" s="3">
        <v>143</v>
      </c>
      <c r="E846" t="s">
        <v>16052</v>
      </c>
    </row>
    <row r="847" spans="1:5" x14ac:dyDescent="0.25">
      <c r="A847" s="1" t="s">
        <v>846</v>
      </c>
      <c r="C847" s="3">
        <v>143</v>
      </c>
      <c r="E847" t="s">
        <v>2382</v>
      </c>
    </row>
    <row r="848" spans="1:5" x14ac:dyDescent="0.25">
      <c r="A848" s="1" t="s">
        <v>847</v>
      </c>
      <c r="C848" s="3">
        <v>143</v>
      </c>
      <c r="E848" t="s">
        <v>4353</v>
      </c>
    </row>
    <row r="849" spans="1:5" x14ac:dyDescent="0.25">
      <c r="A849" s="1" t="s">
        <v>848</v>
      </c>
      <c r="C849" s="3">
        <v>143</v>
      </c>
      <c r="E849" t="s">
        <v>655</v>
      </c>
    </row>
    <row r="850" spans="1:5" x14ac:dyDescent="0.25">
      <c r="A850" s="1" t="s">
        <v>849</v>
      </c>
      <c r="C850" s="3">
        <v>143</v>
      </c>
      <c r="E850" t="s">
        <v>1797</v>
      </c>
    </row>
    <row r="851" spans="1:5" x14ac:dyDescent="0.25">
      <c r="A851" s="1" t="s">
        <v>850</v>
      </c>
      <c r="C851" s="3">
        <v>142</v>
      </c>
      <c r="E851" t="s">
        <v>22678</v>
      </c>
    </row>
    <row r="852" spans="1:5" x14ac:dyDescent="0.25">
      <c r="A852" s="1" t="s">
        <v>851</v>
      </c>
      <c r="C852" s="3">
        <v>142</v>
      </c>
      <c r="E852" t="s">
        <v>5390</v>
      </c>
    </row>
    <row r="853" spans="1:5" x14ac:dyDescent="0.25">
      <c r="A853" s="1" t="s">
        <v>852</v>
      </c>
      <c r="C853" s="3">
        <v>141</v>
      </c>
      <c r="E853" t="s">
        <v>2319</v>
      </c>
    </row>
    <row r="854" spans="1:5" x14ac:dyDescent="0.25">
      <c r="A854" s="1" t="s">
        <v>853</v>
      </c>
      <c r="C854" s="3">
        <v>141</v>
      </c>
      <c r="E854" t="s">
        <v>3342</v>
      </c>
    </row>
    <row r="855" spans="1:5" x14ac:dyDescent="0.25">
      <c r="A855" s="1" t="s">
        <v>854</v>
      </c>
      <c r="C855" s="3">
        <v>141</v>
      </c>
      <c r="E855" t="s">
        <v>615</v>
      </c>
    </row>
    <row r="856" spans="1:5" x14ac:dyDescent="0.25">
      <c r="A856" s="1" t="s">
        <v>855</v>
      </c>
      <c r="C856" s="3">
        <v>141</v>
      </c>
      <c r="E856" t="s">
        <v>17610</v>
      </c>
    </row>
    <row r="857" spans="1:5" x14ac:dyDescent="0.25">
      <c r="A857" s="1" t="s">
        <v>856</v>
      </c>
      <c r="C857" s="3">
        <v>141</v>
      </c>
      <c r="E857" t="s">
        <v>359</v>
      </c>
    </row>
    <row r="858" spans="1:5" x14ac:dyDescent="0.25">
      <c r="A858" s="1" t="s">
        <v>857</v>
      </c>
      <c r="C858" s="3">
        <v>141</v>
      </c>
      <c r="E858" t="s">
        <v>1032</v>
      </c>
    </row>
    <row r="859" spans="1:5" x14ac:dyDescent="0.25">
      <c r="A859" s="1" t="s">
        <v>858</v>
      </c>
      <c r="C859" s="3">
        <v>141</v>
      </c>
      <c r="E859" t="s">
        <v>25421</v>
      </c>
    </row>
    <row r="860" spans="1:5" x14ac:dyDescent="0.25">
      <c r="A860" s="1" t="s">
        <v>859</v>
      </c>
      <c r="C860" s="3">
        <v>141</v>
      </c>
      <c r="E860" t="s">
        <v>5192</v>
      </c>
    </row>
    <row r="861" spans="1:5" x14ac:dyDescent="0.25">
      <c r="A861" s="1" t="s">
        <v>860</v>
      </c>
      <c r="C861" s="3">
        <v>140</v>
      </c>
      <c r="E861" t="s">
        <v>11911</v>
      </c>
    </row>
    <row r="862" spans="1:5" x14ac:dyDescent="0.25">
      <c r="A862" s="1" t="s">
        <v>861</v>
      </c>
      <c r="C862" s="3">
        <v>140</v>
      </c>
      <c r="E862" t="s">
        <v>3266</v>
      </c>
    </row>
    <row r="863" spans="1:5" x14ac:dyDescent="0.25">
      <c r="A863" s="1" t="s">
        <v>862</v>
      </c>
      <c r="C863" s="3">
        <v>140</v>
      </c>
      <c r="E863" t="s">
        <v>6987</v>
      </c>
    </row>
    <row r="864" spans="1:5" x14ac:dyDescent="0.25">
      <c r="A864" s="1" t="s">
        <v>863</v>
      </c>
      <c r="C864" s="3">
        <v>140</v>
      </c>
      <c r="E864" t="s">
        <v>4222</v>
      </c>
    </row>
    <row r="865" spans="1:5" x14ac:dyDescent="0.25">
      <c r="A865" s="1" t="s">
        <v>864</v>
      </c>
      <c r="C865" s="3">
        <v>140</v>
      </c>
      <c r="E865" t="s">
        <v>287</v>
      </c>
    </row>
    <row r="866" spans="1:5" x14ac:dyDescent="0.25">
      <c r="A866" s="1" t="s">
        <v>865</v>
      </c>
      <c r="C866" s="3">
        <v>139</v>
      </c>
      <c r="E866" t="s">
        <v>5641</v>
      </c>
    </row>
    <row r="867" spans="1:5" x14ac:dyDescent="0.25">
      <c r="A867" s="1" t="s">
        <v>866</v>
      </c>
      <c r="C867" s="3">
        <v>139</v>
      </c>
      <c r="E867" t="s">
        <v>25422</v>
      </c>
    </row>
    <row r="868" spans="1:5" x14ac:dyDescent="0.25">
      <c r="A868" s="1" t="s">
        <v>867</v>
      </c>
      <c r="C868" s="3">
        <v>139</v>
      </c>
      <c r="E868" t="s">
        <v>7093</v>
      </c>
    </row>
    <row r="869" spans="1:5" x14ac:dyDescent="0.25">
      <c r="A869" s="1" t="s">
        <v>868</v>
      </c>
      <c r="C869" s="3">
        <v>139</v>
      </c>
      <c r="E869" t="s">
        <v>9522</v>
      </c>
    </row>
    <row r="870" spans="1:5" x14ac:dyDescent="0.25">
      <c r="A870" s="1" t="s">
        <v>869</v>
      </c>
      <c r="C870" s="3">
        <v>139</v>
      </c>
      <c r="E870" t="s">
        <v>1783</v>
      </c>
    </row>
    <row r="871" spans="1:5" x14ac:dyDescent="0.25">
      <c r="A871" s="1" t="s">
        <v>870</v>
      </c>
      <c r="C871" s="3">
        <v>139</v>
      </c>
      <c r="E871" t="s">
        <v>4823</v>
      </c>
    </row>
    <row r="872" spans="1:5" x14ac:dyDescent="0.25">
      <c r="A872" s="1" t="s">
        <v>871</v>
      </c>
      <c r="C872" s="3">
        <v>138</v>
      </c>
      <c r="E872" t="s">
        <v>918</v>
      </c>
    </row>
    <row r="873" spans="1:5" x14ac:dyDescent="0.25">
      <c r="A873" s="1" t="s">
        <v>872</v>
      </c>
      <c r="C873" s="3">
        <v>138</v>
      </c>
      <c r="E873" t="s">
        <v>3347</v>
      </c>
    </row>
    <row r="874" spans="1:5" x14ac:dyDescent="0.25">
      <c r="A874" s="1" t="s">
        <v>873</v>
      </c>
      <c r="C874" s="3">
        <v>138</v>
      </c>
      <c r="E874" t="s">
        <v>2996</v>
      </c>
    </row>
    <row r="875" spans="1:5" x14ac:dyDescent="0.25">
      <c r="A875" s="1" t="s">
        <v>874</v>
      </c>
      <c r="C875" s="3">
        <v>138</v>
      </c>
      <c r="E875" t="s">
        <v>17055</v>
      </c>
    </row>
    <row r="876" spans="1:5" x14ac:dyDescent="0.25">
      <c r="A876" s="1" t="s">
        <v>875</v>
      </c>
      <c r="C876" s="3">
        <v>137</v>
      </c>
      <c r="E876" t="s">
        <v>14361</v>
      </c>
    </row>
    <row r="877" spans="1:5" x14ac:dyDescent="0.25">
      <c r="A877" s="1" t="s">
        <v>876</v>
      </c>
      <c r="C877" s="3">
        <v>137</v>
      </c>
      <c r="E877" t="s">
        <v>2698</v>
      </c>
    </row>
    <row r="878" spans="1:5" x14ac:dyDescent="0.25">
      <c r="A878" s="1" t="s">
        <v>877</v>
      </c>
      <c r="C878" s="3">
        <v>137</v>
      </c>
      <c r="E878" t="s">
        <v>1206</v>
      </c>
    </row>
    <row r="879" spans="1:5" x14ac:dyDescent="0.25">
      <c r="A879" s="1" t="s">
        <v>878</v>
      </c>
      <c r="C879" s="3">
        <v>137</v>
      </c>
      <c r="E879" t="s">
        <v>179</v>
      </c>
    </row>
    <row r="880" spans="1:5" x14ac:dyDescent="0.25">
      <c r="A880" s="1" t="s">
        <v>879</v>
      </c>
      <c r="C880" s="3">
        <v>137</v>
      </c>
      <c r="E880" t="s">
        <v>1013</v>
      </c>
    </row>
    <row r="881" spans="1:5" x14ac:dyDescent="0.25">
      <c r="A881" s="1" t="s">
        <v>880</v>
      </c>
      <c r="C881" s="3">
        <v>137</v>
      </c>
      <c r="E881" t="s">
        <v>6037</v>
      </c>
    </row>
    <row r="882" spans="1:5" x14ac:dyDescent="0.25">
      <c r="A882" s="1" t="s">
        <v>881</v>
      </c>
      <c r="C882" s="3">
        <v>136</v>
      </c>
      <c r="E882" t="s">
        <v>520</v>
      </c>
    </row>
    <row r="883" spans="1:5" x14ac:dyDescent="0.25">
      <c r="A883" s="1" t="s">
        <v>882</v>
      </c>
      <c r="C883" s="3">
        <v>136</v>
      </c>
      <c r="E883" t="s">
        <v>6519</v>
      </c>
    </row>
    <row r="884" spans="1:5" x14ac:dyDescent="0.25">
      <c r="A884" s="1" t="s">
        <v>883</v>
      </c>
      <c r="C884" s="3">
        <v>136</v>
      </c>
      <c r="E884" t="s">
        <v>23414</v>
      </c>
    </row>
    <row r="885" spans="1:5" x14ac:dyDescent="0.25">
      <c r="A885" s="1" t="s">
        <v>884</v>
      </c>
      <c r="C885" s="3">
        <v>136</v>
      </c>
      <c r="E885" t="s">
        <v>4645</v>
      </c>
    </row>
    <row r="886" spans="1:5" x14ac:dyDescent="0.25">
      <c r="A886" s="1" t="s">
        <v>885</v>
      </c>
      <c r="C886" s="3">
        <v>136</v>
      </c>
      <c r="E886" t="s">
        <v>3210</v>
      </c>
    </row>
    <row r="887" spans="1:5" x14ac:dyDescent="0.25">
      <c r="A887" s="1" t="s">
        <v>886</v>
      </c>
      <c r="C887" s="3">
        <v>136</v>
      </c>
      <c r="E887" t="s">
        <v>23829</v>
      </c>
    </row>
    <row r="888" spans="1:5" x14ac:dyDescent="0.25">
      <c r="A888" s="1" t="s">
        <v>887</v>
      </c>
      <c r="C888" s="3">
        <v>135</v>
      </c>
      <c r="E888" t="s">
        <v>2200</v>
      </c>
    </row>
    <row r="889" spans="1:5" x14ac:dyDescent="0.25">
      <c r="A889" s="1" t="s">
        <v>888</v>
      </c>
      <c r="C889" s="3">
        <v>135</v>
      </c>
      <c r="E889" t="s">
        <v>1852</v>
      </c>
    </row>
    <row r="890" spans="1:5" x14ac:dyDescent="0.25">
      <c r="A890" s="1" t="s">
        <v>889</v>
      </c>
      <c r="C890" s="3">
        <v>135</v>
      </c>
      <c r="E890" t="s">
        <v>3944</v>
      </c>
    </row>
    <row r="891" spans="1:5" x14ac:dyDescent="0.25">
      <c r="A891" s="1" t="s">
        <v>890</v>
      </c>
      <c r="C891" s="3">
        <v>135</v>
      </c>
      <c r="E891" t="s">
        <v>471</v>
      </c>
    </row>
    <row r="892" spans="1:5" x14ac:dyDescent="0.25">
      <c r="A892" s="1" t="s">
        <v>891</v>
      </c>
      <c r="C892" s="3">
        <v>135</v>
      </c>
      <c r="E892" t="s">
        <v>14479</v>
      </c>
    </row>
    <row r="893" spans="1:5" x14ac:dyDescent="0.25">
      <c r="A893" s="1" t="s">
        <v>892</v>
      </c>
      <c r="C893" s="3">
        <v>135</v>
      </c>
      <c r="E893" t="s">
        <v>2317</v>
      </c>
    </row>
    <row r="894" spans="1:5" x14ac:dyDescent="0.25">
      <c r="A894" s="1" t="s">
        <v>893</v>
      </c>
      <c r="C894" s="3">
        <v>135</v>
      </c>
      <c r="E894" t="s">
        <v>12629</v>
      </c>
    </row>
    <row r="895" spans="1:5" x14ac:dyDescent="0.25">
      <c r="A895" s="1" t="s">
        <v>894</v>
      </c>
      <c r="C895" s="3">
        <v>134</v>
      </c>
      <c r="E895" t="s">
        <v>1535</v>
      </c>
    </row>
    <row r="896" spans="1:5" x14ac:dyDescent="0.25">
      <c r="A896" s="1" t="s">
        <v>895</v>
      </c>
      <c r="C896" s="3">
        <v>134</v>
      </c>
      <c r="E896" t="s">
        <v>379</v>
      </c>
    </row>
    <row r="897" spans="1:5" x14ac:dyDescent="0.25">
      <c r="A897" s="1" t="s">
        <v>896</v>
      </c>
      <c r="C897" s="3">
        <v>134</v>
      </c>
      <c r="E897" t="s">
        <v>316</v>
      </c>
    </row>
    <row r="898" spans="1:5" x14ac:dyDescent="0.25">
      <c r="A898" s="1" t="s">
        <v>897</v>
      </c>
      <c r="C898" s="3">
        <v>134</v>
      </c>
      <c r="E898" t="s">
        <v>18544</v>
      </c>
    </row>
    <row r="899" spans="1:5" x14ac:dyDescent="0.25">
      <c r="A899" s="1" t="s">
        <v>898</v>
      </c>
      <c r="C899" s="3">
        <v>134</v>
      </c>
      <c r="E899" t="s">
        <v>12661</v>
      </c>
    </row>
    <row r="900" spans="1:5" x14ac:dyDescent="0.25">
      <c r="A900" s="1" t="s">
        <v>899</v>
      </c>
      <c r="C900" s="3">
        <v>134</v>
      </c>
      <c r="E900" t="s">
        <v>1418</v>
      </c>
    </row>
    <row r="901" spans="1:5" x14ac:dyDescent="0.25">
      <c r="A901" s="1" t="s">
        <v>900</v>
      </c>
      <c r="C901" s="3">
        <v>134</v>
      </c>
      <c r="E901" t="s">
        <v>4112</v>
      </c>
    </row>
    <row r="902" spans="1:5" x14ac:dyDescent="0.25">
      <c r="A902" s="1" t="s">
        <v>901</v>
      </c>
      <c r="C902" s="3">
        <v>134</v>
      </c>
      <c r="E902" t="s">
        <v>25423</v>
      </c>
    </row>
    <row r="903" spans="1:5" x14ac:dyDescent="0.25">
      <c r="A903" s="1" t="s">
        <v>902</v>
      </c>
      <c r="C903" s="3">
        <v>133</v>
      </c>
      <c r="E903" t="s">
        <v>19730</v>
      </c>
    </row>
    <row r="904" spans="1:5" x14ac:dyDescent="0.25">
      <c r="A904" s="1" t="s">
        <v>903</v>
      </c>
      <c r="C904" s="3">
        <v>133</v>
      </c>
      <c r="E904" t="s">
        <v>2221</v>
      </c>
    </row>
    <row r="905" spans="1:5" x14ac:dyDescent="0.25">
      <c r="A905" s="1" t="s">
        <v>904</v>
      </c>
      <c r="C905" s="3">
        <v>133</v>
      </c>
      <c r="E905" t="s">
        <v>8244</v>
      </c>
    </row>
    <row r="906" spans="1:5" x14ac:dyDescent="0.25">
      <c r="A906" s="1" t="s">
        <v>905</v>
      </c>
      <c r="C906" s="3">
        <v>133</v>
      </c>
      <c r="E906" t="s">
        <v>1094</v>
      </c>
    </row>
    <row r="907" spans="1:5" x14ac:dyDescent="0.25">
      <c r="A907" s="1" t="s">
        <v>906</v>
      </c>
      <c r="C907" s="3">
        <v>133</v>
      </c>
      <c r="E907" t="s">
        <v>3235</v>
      </c>
    </row>
    <row r="908" spans="1:5" x14ac:dyDescent="0.25">
      <c r="A908" s="1" t="s">
        <v>907</v>
      </c>
      <c r="C908" s="3">
        <v>133</v>
      </c>
      <c r="E908" t="s">
        <v>24162</v>
      </c>
    </row>
    <row r="909" spans="1:5" x14ac:dyDescent="0.25">
      <c r="A909" s="1" t="s">
        <v>908</v>
      </c>
      <c r="C909" s="3">
        <v>132</v>
      </c>
      <c r="E909" t="s">
        <v>4225</v>
      </c>
    </row>
    <row r="910" spans="1:5" x14ac:dyDescent="0.25">
      <c r="A910" s="1" t="s">
        <v>909</v>
      </c>
      <c r="C910" s="3">
        <v>132</v>
      </c>
      <c r="E910" t="s">
        <v>4616</v>
      </c>
    </row>
    <row r="911" spans="1:5" x14ac:dyDescent="0.25">
      <c r="A911" s="1" t="s">
        <v>910</v>
      </c>
      <c r="C911" s="3">
        <v>132</v>
      </c>
      <c r="E911" t="s">
        <v>6783</v>
      </c>
    </row>
    <row r="912" spans="1:5" x14ac:dyDescent="0.25">
      <c r="A912" s="1" t="s">
        <v>911</v>
      </c>
      <c r="C912" s="3">
        <v>132</v>
      </c>
      <c r="E912" t="s">
        <v>505</v>
      </c>
    </row>
    <row r="913" spans="1:5" x14ac:dyDescent="0.25">
      <c r="A913" s="1" t="s">
        <v>912</v>
      </c>
      <c r="C913" s="3">
        <v>132</v>
      </c>
      <c r="E913" t="s">
        <v>11699</v>
      </c>
    </row>
    <row r="914" spans="1:5" x14ac:dyDescent="0.25">
      <c r="A914" s="1" t="s">
        <v>913</v>
      </c>
      <c r="C914" s="3">
        <v>132</v>
      </c>
      <c r="E914" t="s">
        <v>3510</v>
      </c>
    </row>
    <row r="915" spans="1:5" x14ac:dyDescent="0.25">
      <c r="A915" s="1" t="s">
        <v>914</v>
      </c>
      <c r="C915" s="3">
        <v>132</v>
      </c>
      <c r="E915" t="s">
        <v>6979</v>
      </c>
    </row>
    <row r="916" spans="1:5" x14ac:dyDescent="0.25">
      <c r="A916" s="1" t="s">
        <v>915</v>
      </c>
      <c r="C916" s="3">
        <v>132</v>
      </c>
      <c r="E916" t="s">
        <v>7814</v>
      </c>
    </row>
    <row r="917" spans="1:5" x14ac:dyDescent="0.25">
      <c r="A917" s="1" t="s">
        <v>916</v>
      </c>
      <c r="C917" s="3">
        <v>132</v>
      </c>
      <c r="E917" t="s">
        <v>2423</v>
      </c>
    </row>
    <row r="918" spans="1:5" x14ac:dyDescent="0.25">
      <c r="A918" s="1" t="s">
        <v>917</v>
      </c>
      <c r="C918" s="3">
        <v>132</v>
      </c>
      <c r="E918" t="s">
        <v>2289</v>
      </c>
    </row>
    <row r="919" spans="1:5" x14ac:dyDescent="0.25">
      <c r="A919" s="1" t="s">
        <v>918</v>
      </c>
      <c r="C919" s="3">
        <v>132</v>
      </c>
      <c r="E919" t="s">
        <v>4466</v>
      </c>
    </row>
    <row r="920" spans="1:5" x14ac:dyDescent="0.25">
      <c r="A920" s="1" t="s">
        <v>919</v>
      </c>
      <c r="C920" s="3">
        <v>131</v>
      </c>
      <c r="E920" t="s">
        <v>23312</v>
      </c>
    </row>
    <row r="921" spans="1:5" x14ac:dyDescent="0.25">
      <c r="A921" s="1" t="s">
        <v>920</v>
      </c>
      <c r="C921" s="3">
        <v>131</v>
      </c>
      <c r="E921" t="s">
        <v>6019</v>
      </c>
    </row>
    <row r="922" spans="1:5" x14ac:dyDescent="0.25">
      <c r="A922" s="1" t="s">
        <v>921</v>
      </c>
      <c r="C922" s="3">
        <v>131</v>
      </c>
      <c r="E922" t="s">
        <v>2667</v>
      </c>
    </row>
    <row r="923" spans="1:5" x14ac:dyDescent="0.25">
      <c r="A923" s="1" t="s">
        <v>922</v>
      </c>
      <c r="C923" s="3">
        <v>131</v>
      </c>
      <c r="E923" t="s">
        <v>2251</v>
      </c>
    </row>
    <row r="924" spans="1:5" x14ac:dyDescent="0.25">
      <c r="A924" s="1" t="s">
        <v>923</v>
      </c>
      <c r="C924" s="3">
        <v>131</v>
      </c>
      <c r="E924" t="s">
        <v>4994</v>
      </c>
    </row>
    <row r="925" spans="1:5" x14ac:dyDescent="0.25">
      <c r="A925" s="1" t="s">
        <v>924</v>
      </c>
      <c r="C925" s="3">
        <v>131</v>
      </c>
      <c r="E925" t="s">
        <v>49</v>
      </c>
    </row>
    <row r="926" spans="1:5" x14ac:dyDescent="0.25">
      <c r="A926" s="1" t="s">
        <v>925</v>
      </c>
      <c r="C926" s="3">
        <v>131</v>
      </c>
      <c r="E926" t="s">
        <v>1972</v>
      </c>
    </row>
    <row r="927" spans="1:5" x14ac:dyDescent="0.25">
      <c r="A927" s="1" t="s">
        <v>926</v>
      </c>
      <c r="C927" s="3">
        <v>131</v>
      </c>
      <c r="E927" t="s">
        <v>6286</v>
      </c>
    </row>
    <row r="928" spans="1:5" x14ac:dyDescent="0.25">
      <c r="A928" s="1" t="s">
        <v>927</v>
      </c>
      <c r="C928" s="3">
        <v>131</v>
      </c>
      <c r="E928" t="s">
        <v>8199</v>
      </c>
    </row>
    <row r="929" spans="1:5" x14ac:dyDescent="0.25">
      <c r="A929" s="1" t="s">
        <v>928</v>
      </c>
      <c r="C929" s="3">
        <v>131</v>
      </c>
      <c r="E929" t="s">
        <v>10727</v>
      </c>
    </row>
    <row r="930" spans="1:5" x14ac:dyDescent="0.25">
      <c r="A930" s="1" t="s">
        <v>929</v>
      </c>
      <c r="C930" s="3">
        <v>131</v>
      </c>
      <c r="E930" t="s">
        <v>1122</v>
      </c>
    </row>
    <row r="931" spans="1:5" x14ac:dyDescent="0.25">
      <c r="A931" s="1" t="s">
        <v>930</v>
      </c>
      <c r="C931" s="3">
        <v>131</v>
      </c>
      <c r="E931" t="s">
        <v>6115</v>
      </c>
    </row>
    <row r="932" spans="1:5" x14ac:dyDescent="0.25">
      <c r="A932" s="1" t="s">
        <v>931</v>
      </c>
      <c r="C932" s="3">
        <v>131</v>
      </c>
      <c r="E932" t="s">
        <v>9270</v>
      </c>
    </row>
    <row r="933" spans="1:5" x14ac:dyDescent="0.25">
      <c r="A933" s="1" t="s">
        <v>932</v>
      </c>
      <c r="C933" s="3">
        <v>131</v>
      </c>
      <c r="E933" t="s">
        <v>11767</v>
      </c>
    </row>
    <row r="934" spans="1:5" x14ac:dyDescent="0.25">
      <c r="A934" s="1" t="s">
        <v>933</v>
      </c>
      <c r="C934" s="3">
        <v>130</v>
      </c>
      <c r="E934" t="s">
        <v>3060</v>
      </c>
    </row>
    <row r="935" spans="1:5" x14ac:dyDescent="0.25">
      <c r="A935" s="1" t="s">
        <v>934</v>
      </c>
      <c r="C935" s="3">
        <v>130</v>
      </c>
      <c r="E935" t="s">
        <v>16379</v>
      </c>
    </row>
    <row r="936" spans="1:5" x14ac:dyDescent="0.25">
      <c r="A936" s="1" t="s">
        <v>935</v>
      </c>
      <c r="C936" s="3">
        <v>130</v>
      </c>
      <c r="E936" t="s">
        <v>3963</v>
      </c>
    </row>
    <row r="937" spans="1:5" x14ac:dyDescent="0.25">
      <c r="A937" s="1" t="s">
        <v>936</v>
      </c>
      <c r="C937" s="3">
        <v>130</v>
      </c>
      <c r="E937" t="s">
        <v>12074</v>
      </c>
    </row>
    <row r="938" spans="1:5" x14ac:dyDescent="0.25">
      <c r="A938" s="1" t="s">
        <v>937</v>
      </c>
      <c r="C938" s="3">
        <v>129</v>
      </c>
      <c r="E938" t="s">
        <v>1764</v>
      </c>
    </row>
    <row r="939" spans="1:5" x14ac:dyDescent="0.25">
      <c r="A939" s="1" t="s">
        <v>938</v>
      </c>
      <c r="C939" s="3">
        <v>129</v>
      </c>
      <c r="E939" t="s">
        <v>20920</v>
      </c>
    </row>
    <row r="940" spans="1:5" x14ac:dyDescent="0.25">
      <c r="A940" s="1" t="s">
        <v>939</v>
      </c>
      <c r="C940" s="3">
        <v>129</v>
      </c>
      <c r="E940" t="s">
        <v>5298</v>
      </c>
    </row>
    <row r="941" spans="1:5" x14ac:dyDescent="0.25">
      <c r="A941" s="1" t="s">
        <v>940</v>
      </c>
      <c r="C941" s="3">
        <v>129</v>
      </c>
      <c r="E941" t="s">
        <v>2738</v>
      </c>
    </row>
    <row r="942" spans="1:5" x14ac:dyDescent="0.25">
      <c r="A942" s="1" t="s">
        <v>941</v>
      </c>
      <c r="C942" s="3">
        <v>129</v>
      </c>
      <c r="E942" t="s">
        <v>25424</v>
      </c>
    </row>
    <row r="943" spans="1:5" x14ac:dyDescent="0.25">
      <c r="A943" s="1" t="s">
        <v>942</v>
      </c>
      <c r="C943" s="3">
        <v>129</v>
      </c>
      <c r="E943" t="s">
        <v>6007</v>
      </c>
    </row>
    <row r="944" spans="1:5" x14ac:dyDescent="0.25">
      <c r="A944" s="1" t="s">
        <v>943</v>
      </c>
      <c r="C944" s="3">
        <v>129</v>
      </c>
      <c r="E944" t="s">
        <v>1507</v>
      </c>
    </row>
    <row r="945" spans="1:5" x14ac:dyDescent="0.25">
      <c r="A945" s="1" t="s">
        <v>944</v>
      </c>
      <c r="C945" s="3">
        <v>129</v>
      </c>
      <c r="E945" t="s">
        <v>603</v>
      </c>
    </row>
    <row r="946" spans="1:5" x14ac:dyDescent="0.25">
      <c r="A946" s="1" t="s">
        <v>945</v>
      </c>
      <c r="C946" s="3">
        <v>129</v>
      </c>
      <c r="E946" t="s">
        <v>5538</v>
      </c>
    </row>
    <row r="947" spans="1:5" x14ac:dyDescent="0.25">
      <c r="A947" s="1" t="s">
        <v>946</v>
      </c>
      <c r="C947" s="3">
        <v>129</v>
      </c>
      <c r="E947" t="s">
        <v>537</v>
      </c>
    </row>
    <row r="948" spans="1:5" x14ac:dyDescent="0.25">
      <c r="A948" s="1" t="s">
        <v>947</v>
      </c>
      <c r="C948" s="3">
        <v>129</v>
      </c>
      <c r="E948" t="s">
        <v>14410</v>
      </c>
    </row>
    <row r="949" spans="1:5" x14ac:dyDescent="0.25">
      <c r="A949" s="1" t="s">
        <v>948</v>
      </c>
      <c r="C949" s="3">
        <v>129</v>
      </c>
      <c r="E949" t="s">
        <v>18859</v>
      </c>
    </row>
    <row r="950" spans="1:5" x14ac:dyDescent="0.25">
      <c r="A950" s="1" t="s">
        <v>949</v>
      </c>
      <c r="C950" s="3">
        <v>129</v>
      </c>
      <c r="E950" t="s">
        <v>23706</v>
      </c>
    </row>
    <row r="951" spans="1:5" x14ac:dyDescent="0.25">
      <c r="A951" s="1" t="s">
        <v>950</v>
      </c>
      <c r="C951" s="3">
        <v>128</v>
      </c>
      <c r="E951" t="s">
        <v>9980</v>
      </c>
    </row>
    <row r="952" spans="1:5" x14ac:dyDescent="0.25">
      <c r="A952" s="1" t="s">
        <v>951</v>
      </c>
      <c r="C952" s="3">
        <v>128</v>
      </c>
      <c r="E952" t="s">
        <v>1269</v>
      </c>
    </row>
    <row r="953" spans="1:5" x14ac:dyDescent="0.25">
      <c r="A953" s="1" t="s">
        <v>952</v>
      </c>
      <c r="C953" s="3">
        <v>128</v>
      </c>
      <c r="E953" t="s">
        <v>4704</v>
      </c>
    </row>
    <row r="954" spans="1:5" x14ac:dyDescent="0.25">
      <c r="A954" s="1" t="s">
        <v>953</v>
      </c>
      <c r="C954" s="3">
        <v>128</v>
      </c>
      <c r="E954" t="s">
        <v>25425</v>
      </c>
    </row>
    <row r="955" spans="1:5" x14ac:dyDescent="0.25">
      <c r="A955" s="1" t="s">
        <v>954</v>
      </c>
      <c r="C955" s="3">
        <v>128</v>
      </c>
      <c r="E955" t="s">
        <v>2496</v>
      </c>
    </row>
    <row r="956" spans="1:5" x14ac:dyDescent="0.25">
      <c r="A956" s="1" t="s">
        <v>955</v>
      </c>
      <c r="C956" s="3">
        <v>128</v>
      </c>
      <c r="E956" t="s">
        <v>14565</v>
      </c>
    </row>
    <row r="957" spans="1:5" x14ac:dyDescent="0.25">
      <c r="A957" s="1" t="s">
        <v>956</v>
      </c>
      <c r="C957" s="3">
        <v>128</v>
      </c>
      <c r="E957" t="s">
        <v>1555</v>
      </c>
    </row>
    <row r="958" spans="1:5" x14ac:dyDescent="0.25">
      <c r="A958" s="1" t="s">
        <v>957</v>
      </c>
      <c r="C958" s="3">
        <v>128</v>
      </c>
      <c r="E958" t="s">
        <v>4226</v>
      </c>
    </row>
    <row r="959" spans="1:5" x14ac:dyDescent="0.25">
      <c r="A959" s="1" t="s">
        <v>958</v>
      </c>
      <c r="C959" s="3">
        <v>128</v>
      </c>
      <c r="E959" t="s">
        <v>7656</v>
      </c>
    </row>
    <row r="960" spans="1:5" x14ac:dyDescent="0.25">
      <c r="A960" s="1" t="s">
        <v>959</v>
      </c>
      <c r="C960" s="3">
        <v>128</v>
      </c>
      <c r="E960" t="s">
        <v>7094</v>
      </c>
    </row>
    <row r="961" spans="1:5" x14ac:dyDescent="0.25">
      <c r="A961" s="1" t="s">
        <v>960</v>
      </c>
      <c r="C961" s="3">
        <v>127</v>
      </c>
      <c r="E961" t="s">
        <v>3439</v>
      </c>
    </row>
    <row r="962" spans="1:5" x14ac:dyDescent="0.25">
      <c r="A962" s="1" t="s">
        <v>961</v>
      </c>
      <c r="C962" s="3">
        <v>127</v>
      </c>
      <c r="E962" t="s">
        <v>12864</v>
      </c>
    </row>
    <row r="963" spans="1:5" x14ac:dyDescent="0.25">
      <c r="A963" s="1" t="s">
        <v>962</v>
      </c>
      <c r="C963" s="3">
        <v>127</v>
      </c>
      <c r="E963" t="s">
        <v>15879</v>
      </c>
    </row>
    <row r="964" spans="1:5" x14ac:dyDescent="0.25">
      <c r="A964" s="1" t="s">
        <v>963</v>
      </c>
      <c r="C964" s="3">
        <v>127</v>
      </c>
      <c r="E964" t="s">
        <v>14533</v>
      </c>
    </row>
    <row r="965" spans="1:5" x14ac:dyDescent="0.25">
      <c r="A965" s="1" t="s">
        <v>964</v>
      </c>
      <c r="C965" s="3">
        <v>127</v>
      </c>
      <c r="E965" t="s">
        <v>976</v>
      </c>
    </row>
    <row r="966" spans="1:5" x14ac:dyDescent="0.25">
      <c r="A966" s="1" t="s">
        <v>965</v>
      </c>
      <c r="C966" s="3">
        <v>127</v>
      </c>
      <c r="E966" t="s">
        <v>6259</v>
      </c>
    </row>
    <row r="967" spans="1:5" x14ac:dyDescent="0.25">
      <c r="A967" s="1" t="s">
        <v>966</v>
      </c>
      <c r="C967" s="3">
        <v>127</v>
      </c>
      <c r="E967" t="s">
        <v>25426</v>
      </c>
    </row>
    <row r="968" spans="1:5" x14ac:dyDescent="0.25">
      <c r="A968" s="1" t="s">
        <v>967</v>
      </c>
      <c r="C968" s="3">
        <v>127</v>
      </c>
      <c r="E968" t="s">
        <v>1154</v>
      </c>
    </row>
    <row r="969" spans="1:5" x14ac:dyDescent="0.25">
      <c r="A969" s="1" t="s">
        <v>968</v>
      </c>
      <c r="C969" s="3">
        <v>126</v>
      </c>
      <c r="E969" t="s">
        <v>4945</v>
      </c>
    </row>
    <row r="970" spans="1:5" x14ac:dyDescent="0.25">
      <c r="A970" s="1" t="s">
        <v>969</v>
      </c>
      <c r="C970" s="3">
        <v>126</v>
      </c>
      <c r="E970" t="s">
        <v>2650</v>
      </c>
    </row>
    <row r="971" spans="1:5" x14ac:dyDescent="0.25">
      <c r="A971" s="1" t="s">
        <v>970</v>
      </c>
      <c r="C971" s="3">
        <v>126</v>
      </c>
      <c r="E971" t="s">
        <v>221</v>
      </c>
    </row>
    <row r="972" spans="1:5" x14ac:dyDescent="0.25">
      <c r="A972" s="1" t="s">
        <v>971</v>
      </c>
      <c r="C972" s="3">
        <v>126</v>
      </c>
      <c r="E972" t="s">
        <v>10675</v>
      </c>
    </row>
    <row r="973" spans="1:5" x14ac:dyDescent="0.25">
      <c r="A973" s="1" t="s">
        <v>972</v>
      </c>
      <c r="C973" s="3">
        <v>126</v>
      </c>
      <c r="E973" t="s">
        <v>3166</v>
      </c>
    </row>
    <row r="974" spans="1:5" x14ac:dyDescent="0.25">
      <c r="A974" s="1" t="s">
        <v>973</v>
      </c>
      <c r="C974" s="3">
        <v>126</v>
      </c>
      <c r="E974" t="s">
        <v>487</v>
      </c>
    </row>
    <row r="975" spans="1:5" x14ac:dyDescent="0.25">
      <c r="A975" s="1" t="s">
        <v>974</v>
      </c>
      <c r="C975" s="3">
        <v>126</v>
      </c>
      <c r="E975" t="s">
        <v>4578</v>
      </c>
    </row>
    <row r="976" spans="1:5" x14ac:dyDescent="0.25">
      <c r="A976" s="1" t="s">
        <v>975</v>
      </c>
      <c r="C976" s="3">
        <v>126</v>
      </c>
      <c r="E976" t="s">
        <v>6707</v>
      </c>
    </row>
    <row r="977" spans="1:5" x14ac:dyDescent="0.25">
      <c r="A977" s="1" t="s">
        <v>976</v>
      </c>
      <c r="C977" s="3">
        <v>126</v>
      </c>
      <c r="E977" t="s">
        <v>1823</v>
      </c>
    </row>
    <row r="978" spans="1:5" x14ac:dyDescent="0.25">
      <c r="A978" s="1" t="s">
        <v>977</v>
      </c>
      <c r="C978" s="3">
        <v>126</v>
      </c>
      <c r="E978" t="s">
        <v>2459</v>
      </c>
    </row>
    <row r="979" spans="1:5" x14ac:dyDescent="0.25">
      <c r="A979" s="1" t="s">
        <v>978</v>
      </c>
      <c r="C979" s="3">
        <v>126</v>
      </c>
      <c r="E979" t="s">
        <v>4962</v>
      </c>
    </row>
    <row r="980" spans="1:5" x14ac:dyDescent="0.25">
      <c r="A980" s="1" t="s">
        <v>979</v>
      </c>
      <c r="C980" s="3">
        <v>126</v>
      </c>
      <c r="E980" t="s">
        <v>2732</v>
      </c>
    </row>
    <row r="981" spans="1:5" x14ac:dyDescent="0.25">
      <c r="A981" s="1" t="s">
        <v>980</v>
      </c>
      <c r="C981" s="3">
        <v>126</v>
      </c>
      <c r="E981" t="s">
        <v>1591</v>
      </c>
    </row>
    <row r="982" spans="1:5" x14ac:dyDescent="0.25">
      <c r="A982" s="1" t="s">
        <v>981</v>
      </c>
      <c r="C982" s="3">
        <v>126</v>
      </c>
      <c r="E982" t="s">
        <v>614</v>
      </c>
    </row>
    <row r="983" spans="1:5" x14ac:dyDescent="0.25">
      <c r="A983" s="1" t="s">
        <v>982</v>
      </c>
      <c r="C983" s="3">
        <v>126</v>
      </c>
      <c r="E983" t="s">
        <v>3524</v>
      </c>
    </row>
    <row r="984" spans="1:5" x14ac:dyDescent="0.25">
      <c r="A984" s="1" t="s">
        <v>983</v>
      </c>
      <c r="C984" s="3">
        <v>126</v>
      </c>
      <c r="E984" t="s">
        <v>12987</v>
      </c>
    </row>
    <row r="985" spans="1:5" x14ac:dyDescent="0.25">
      <c r="A985" s="1" t="s">
        <v>984</v>
      </c>
      <c r="C985" s="3">
        <v>125</v>
      </c>
      <c r="E985" t="s">
        <v>1772</v>
      </c>
    </row>
    <row r="986" spans="1:5" x14ac:dyDescent="0.25">
      <c r="A986" s="1" t="s">
        <v>985</v>
      </c>
      <c r="C986" s="3">
        <v>125</v>
      </c>
      <c r="E986" t="s">
        <v>11636</v>
      </c>
    </row>
    <row r="987" spans="1:5" x14ac:dyDescent="0.25">
      <c r="A987" s="1" t="s">
        <v>986</v>
      </c>
      <c r="C987" s="3">
        <v>125</v>
      </c>
      <c r="E987" t="s">
        <v>3506</v>
      </c>
    </row>
    <row r="988" spans="1:5" x14ac:dyDescent="0.25">
      <c r="A988" s="1" t="s">
        <v>987</v>
      </c>
      <c r="C988" s="3">
        <v>125</v>
      </c>
      <c r="E988" t="s">
        <v>1308</v>
      </c>
    </row>
    <row r="989" spans="1:5" x14ac:dyDescent="0.25">
      <c r="A989" s="1" t="s">
        <v>988</v>
      </c>
      <c r="C989" s="3">
        <v>125</v>
      </c>
      <c r="E989" t="s">
        <v>3639</v>
      </c>
    </row>
    <row r="990" spans="1:5" x14ac:dyDescent="0.25">
      <c r="A990" s="1" t="s">
        <v>989</v>
      </c>
      <c r="C990" s="3">
        <v>125</v>
      </c>
      <c r="E990" t="s">
        <v>6474</v>
      </c>
    </row>
    <row r="991" spans="1:5" x14ac:dyDescent="0.25">
      <c r="A991" s="1" t="s">
        <v>990</v>
      </c>
      <c r="C991" s="3">
        <v>125</v>
      </c>
      <c r="E991" t="s">
        <v>11288</v>
      </c>
    </row>
    <row r="992" spans="1:5" x14ac:dyDescent="0.25">
      <c r="A992" s="1" t="s">
        <v>991</v>
      </c>
      <c r="C992" s="3">
        <v>125</v>
      </c>
      <c r="E992" t="s">
        <v>10816</v>
      </c>
    </row>
    <row r="993" spans="1:5" x14ac:dyDescent="0.25">
      <c r="A993" s="1" t="s">
        <v>992</v>
      </c>
      <c r="C993" s="3">
        <v>125</v>
      </c>
      <c r="E993" t="s">
        <v>6975</v>
      </c>
    </row>
    <row r="994" spans="1:5" x14ac:dyDescent="0.25">
      <c r="A994" s="1" t="s">
        <v>993</v>
      </c>
      <c r="C994" s="3">
        <v>124</v>
      </c>
      <c r="E994" t="s">
        <v>8489</v>
      </c>
    </row>
    <row r="995" spans="1:5" x14ac:dyDescent="0.25">
      <c r="A995" s="1" t="s">
        <v>994</v>
      </c>
      <c r="C995" s="3">
        <v>124</v>
      </c>
      <c r="E995" t="s">
        <v>3887</v>
      </c>
    </row>
    <row r="996" spans="1:5" x14ac:dyDescent="0.25">
      <c r="A996" s="1" t="s">
        <v>995</v>
      </c>
      <c r="C996" s="3">
        <v>124</v>
      </c>
      <c r="E996" t="s">
        <v>13760</v>
      </c>
    </row>
    <row r="997" spans="1:5" x14ac:dyDescent="0.25">
      <c r="A997" s="1" t="s">
        <v>996</v>
      </c>
      <c r="C997" s="3">
        <v>124</v>
      </c>
      <c r="E997" t="s">
        <v>2999</v>
      </c>
    </row>
    <row r="998" spans="1:5" x14ac:dyDescent="0.25">
      <c r="A998" s="1" t="s">
        <v>997</v>
      </c>
      <c r="C998" s="3">
        <v>124</v>
      </c>
      <c r="E998" t="s">
        <v>2973</v>
      </c>
    </row>
    <row r="999" spans="1:5" x14ac:dyDescent="0.25">
      <c r="A999" s="1" t="s">
        <v>998</v>
      </c>
      <c r="C999" s="3">
        <v>124</v>
      </c>
      <c r="E999" t="s">
        <v>1559</v>
      </c>
    </row>
    <row r="1000" spans="1:5" x14ac:dyDescent="0.25">
      <c r="A1000" s="1" t="s">
        <v>999</v>
      </c>
      <c r="C1000" s="3">
        <v>124</v>
      </c>
      <c r="E1000" t="s">
        <v>7567</v>
      </c>
    </row>
    <row r="1001" spans="1:5" x14ac:dyDescent="0.25">
      <c r="A1001" s="1" t="s">
        <v>1000</v>
      </c>
      <c r="C1001" s="3">
        <v>123</v>
      </c>
      <c r="E1001" t="s">
        <v>8098</v>
      </c>
    </row>
    <row r="1002" spans="1:5" x14ac:dyDescent="0.25">
      <c r="A1002" s="1" t="s">
        <v>1001</v>
      </c>
      <c r="C1002" s="3">
        <v>123</v>
      </c>
      <c r="E1002" t="s">
        <v>8120</v>
      </c>
    </row>
    <row r="1003" spans="1:5" x14ac:dyDescent="0.25">
      <c r="A1003" s="1" t="s">
        <v>1002</v>
      </c>
      <c r="C1003" s="3">
        <v>123</v>
      </c>
      <c r="E1003" t="s">
        <v>7300</v>
      </c>
    </row>
    <row r="1004" spans="1:5" x14ac:dyDescent="0.25">
      <c r="A1004" s="1" t="s">
        <v>1003</v>
      </c>
      <c r="C1004" s="3">
        <v>123</v>
      </c>
      <c r="E1004" t="s">
        <v>403</v>
      </c>
    </row>
    <row r="1005" spans="1:5" x14ac:dyDescent="0.25">
      <c r="A1005" s="1" t="s">
        <v>1004</v>
      </c>
      <c r="C1005" s="3">
        <v>123</v>
      </c>
      <c r="E1005" t="s">
        <v>72</v>
      </c>
    </row>
    <row r="1006" spans="1:5" x14ac:dyDescent="0.25">
      <c r="A1006" s="1" t="s">
        <v>1005</v>
      </c>
      <c r="C1006" s="3">
        <v>123</v>
      </c>
      <c r="E1006" t="s">
        <v>19997</v>
      </c>
    </row>
    <row r="1007" spans="1:5" x14ac:dyDescent="0.25">
      <c r="A1007" s="1" t="s">
        <v>1006</v>
      </c>
      <c r="C1007" s="3">
        <v>123</v>
      </c>
      <c r="E1007" t="s">
        <v>8485</v>
      </c>
    </row>
    <row r="1008" spans="1:5" x14ac:dyDescent="0.25">
      <c r="A1008" s="1" t="s">
        <v>1007</v>
      </c>
      <c r="C1008" s="3">
        <v>123</v>
      </c>
      <c r="E1008" t="s">
        <v>1148</v>
      </c>
    </row>
    <row r="1009" spans="1:5" x14ac:dyDescent="0.25">
      <c r="A1009" s="1" t="s">
        <v>1008</v>
      </c>
      <c r="C1009" s="3">
        <v>123</v>
      </c>
      <c r="E1009" t="s">
        <v>32</v>
      </c>
    </row>
    <row r="1010" spans="1:5" x14ac:dyDescent="0.25">
      <c r="A1010" s="1" t="s">
        <v>1009</v>
      </c>
      <c r="C1010" s="3">
        <v>123</v>
      </c>
      <c r="E1010" t="s">
        <v>2302</v>
      </c>
    </row>
    <row r="1011" spans="1:5" x14ac:dyDescent="0.25">
      <c r="A1011" s="1" t="s">
        <v>1010</v>
      </c>
      <c r="C1011" s="3">
        <v>123</v>
      </c>
      <c r="E1011" t="s">
        <v>3819</v>
      </c>
    </row>
    <row r="1012" spans="1:5" x14ac:dyDescent="0.25">
      <c r="A1012" s="1" t="s">
        <v>1011</v>
      </c>
      <c r="C1012" s="3">
        <v>123</v>
      </c>
      <c r="E1012" t="s">
        <v>4855</v>
      </c>
    </row>
    <row r="1013" spans="1:5" x14ac:dyDescent="0.25">
      <c r="A1013" s="1" t="s">
        <v>1012</v>
      </c>
      <c r="C1013" s="3">
        <v>122</v>
      </c>
      <c r="E1013" t="s">
        <v>5053</v>
      </c>
    </row>
    <row r="1014" spans="1:5" x14ac:dyDescent="0.25">
      <c r="A1014" s="1" t="s">
        <v>1013</v>
      </c>
      <c r="C1014" s="3">
        <v>122</v>
      </c>
      <c r="E1014" t="s">
        <v>4181</v>
      </c>
    </row>
    <row r="1015" spans="1:5" x14ac:dyDescent="0.25">
      <c r="A1015" s="1" t="s">
        <v>1014</v>
      </c>
      <c r="C1015" s="3">
        <v>122</v>
      </c>
      <c r="E1015" t="s">
        <v>676</v>
      </c>
    </row>
    <row r="1016" spans="1:5" x14ac:dyDescent="0.25">
      <c r="A1016" s="1" t="s">
        <v>1015</v>
      </c>
      <c r="C1016" s="3">
        <v>122</v>
      </c>
      <c r="E1016" t="s">
        <v>4630</v>
      </c>
    </row>
    <row r="1017" spans="1:5" x14ac:dyDescent="0.25">
      <c r="A1017" s="1" t="s">
        <v>1016</v>
      </c>
      <c r="C1017" s="3">
        <v>122</v>
      </c>
      <c r="E1017" t="s">
        <v>22677</v>
      </c>
    </row>
    <row r="1018" spans="1:5" x14ac:dyDescent="0.25">
      <c r="A1018" s="1" t="s">
        <v>1017</v>
      </c>
      <c r="C1018" s="3">
        <v>122</v>
      </c>
      <c r="E1018" t="s">
        <v>17008</v>
      </c>
    </row>
    <row r="1019" spans="1:5" x14ac:dyDescent="0.25">
      <c r="A1019" s="1" t="s">
        <v>1018</v>
      </c>
      <c r="C1019" s="3">
        <v>122</v>
      </c>
      <c r="E1019" t="s">
        <v>10334</v>
      </c>
    </row>
    <row r="1020" spans="1:5" x14ac:dyDescent="0.25">
      <c r="A1020" s="1" t="s">
        <v>1019</v>
      </c>
      <c r="C1020" s="3">
        <v>122</v>
      </c>
      <c r="E1020" t="s">
        <v>12059</v>
      </c>
    </row>
    <row r="1021" spans="1:5" x14ac:dyDescent="0.25">
      <c r="A1021" s="1" t="s">
        <v>1020</v>
      </c>
      <c r="C1021" s="3">
        <v>122</v>
      </c>
      <c r="E1021" t="s">
        <v>2935</v>
      </c>
    </row>
    <row r="1022" spans="1:5" x14ac:dyDescent="0.25">
      <c r="A1022" s="1" t="s">
        <v>1021</v>
      </c>
      <c r="C1022" s="3">
        <v>121</v>
      </c>
      <c r="E1022" t="s">
        <v>4968</v>
      </c>
    </row>
    <row r="1023" spans="1:5" x14ac:dyDescent="0.25">
      <c r="A1023" s="1" t="s">
        <v>1022</v>
      </c>
      <c r="C1023" s="3">
        <v>121</v>
      </c>
      <c r="E1023" t="s">
        <v>868</v>
      </c>
    </row>
    <row r="1024" spans="1:5" x14ac:dyDescent="0.25">
      <c r="A1024" s="1" t="s">
        <v>1023</v>
      </c>
      <c r="C1024" s="3">
        <v>121</v>
      </c>
      <c r="E1024" t="s">
        <v>3223</v>
      </c>
    </row>
    <row r="1025" spans="1:5" x14ac:dyDescent="0.25">
      <c r="A1025" s="1" t="s">
        <v>1024</v>
      </c>
      <c r="C1025" s="3">
        <v>121</v>
      </c>
      <c r="E1025" t="s">
        <v>12273</v>
      </c>
    </row>
    <row r="1026" spans="1:5" x14ac:dyDescent="0.25">
      <c r="A1026" s="1" t="s">
        <v>1025</v>
      </c>
      <c r="C1026" s="3">
        <v>121</v>
      </c>
      <c r="E1026" t="s">
        <v>1399</v>
      </c>
    </row>
    <row r="1027" spans="1:5" x14ac:dyDescent="0.25">
      <c r="A1027" s="1" t="s">
        <v>1026</v>
      </c>
      <c r="C1027" s="3">
        <v>121</v>
      </c>
      <c r="E1027" t="s">
        <v>7001</v>
      </c>
    </row>
    <row r="1028" spans="1:5" x14ac:dyDescent="0.25">
      <c r="A1028" s="1" t="s">
        <v>1027</v>
      </c>
      <c r="C1028" s="3">
        <v>121</v>
      </c>
      <c r="E1028" t="s">
        <v>1489</v>
      </c>
    </row>
    <row r="1029" spans="1:5" x14ac:dyDescent="0.25">
      <c r="A1029" s="1" t="s">
        <v>1028</v>
      </c>
      <c r="C1029" s="3">
        <v>121</v>
      </c>
      <c r="E1029" t="s">
        <v>10979</v>
      </c>
    </row>
    <row r="1030" spans="1:5" x14ac:dyDescent="0.25">
      <c r="A1030" s="1" t="s">
        <v>1029</v>
      </c>
      <c r="C1030" s="3">
        <v>121</v>
      </c>
      <c r="E1030" t="s">
        <v>6389</v>
      </c>
    </row>
    <row r="1031" spans="1:5" x14ac:dyDescent="0.25">
      <c r="A1031" s="1" t="s">
        <v>1030</v>
      </c>
      <c r="C1031" s="3">
        <v>120</v>
      </c>
      <c r="E1031" t="s">
        <v>2381</v>
      </c>
    </row>
    <row r="1032" spans="1:5" x14ac:dyDescent="0.25">
      <c r="A1032" s="1" t="s">
        <v>1031</v>
      </c>
      <c r="C1032" s="3">
        <v>120</v>
      </c>
      <c r="E1032" t="s">
        <v>5801</v>
      </c>
    </row>
    <row r="1033" spans="1:5" x14ac:dyDescent="0.25">
      <c r="A1033" s="1" t="s">
        <v>1032</v>
      </c>
      <c r="C1033" s="3">
        <v>120</v>
      </c>
      <c r="E1033" t="s">
        <v>31</v>
      </c>
    </row>
    <row r="1034" spans="1:5" x14ac:dyDescent="0.25">
      <c r="A1034" s="1" t="s">
        <v>1033</v>
      </c>
      <c r="C1034" s="3">
        <v>120</v>
      </c>
      <c r="E1034" t="s">
        <v>1291</v>
      </c>
    </row>
    <row r="1035" spans="1:5" x14ac:dyDescent="0.25">
      <c r="A1035" s="1" t="s">
        <v>1034</v>
      </c>
      <c r="C1035" s="3">
        <v>120</v>
      </c>
      <c r="E1035" t="s">
        <v>9878</v>
      </c>
    </row>
    <row r="1036" spans="1:5" x14ac:dyDescent="0.25">
      <c r="A1036" s="1" t="s">
        <v>1035</v>
      </c>
      <c r="C1036" s="3">
        <v>120</v>
      </c>
      <c r="E1036" t="s">
        <v>2686</v>
      </c>
    </row>
    <row r="1037" spans="1:5" x14ac:dyDescent="0.25">
      <c r="A1037" s="1" t="s">
        <v>1036</v>
      </c>
      <c r="C1037" s="3">
        <v>120</v>
      </c>
      <c r="E1037" t="s">
        <v>7755</v>
      </c>
    </row>
    <row r="1038" spans="1:5" x14ac:dyDescent="0.25">
      <c r="A1038" s="1" t="s">
        <v>1037</v>
      </c>
      <c r="C1038" s="3">
        <v>119</v>
      </c>
      <c r="E1038" t="s">
        <v>762</v>
      </c>
    </row>
    <row r="1039" spans="1:5" x14ac:dyDescent="0.25">
      <c r="A1039" s="1" t="s">
        <v>1038</v>
      </c>
      <c r="C1039" s="3">
        <v>119</v>
      </c>
      <c r="E1039" t="s">
        <v>3446</v>
      </c>
    </row>
    <row r="1040" spans="1:5" x14ac:dyDescent="0.25">
      <c r="A1040" s="1" t="s">
        <v>1039</v>
      </c>
      <c r="C1040" s="3">
        <v>119</v>
      </c>
      <c r="E1040" t="s">
        <v>9141</v>
      </c>
    </row>
    <row r="1041" spans="1:5" x14ac:dyDescent="0.25">
      <c r="A1041" s="1" t="s">
        <v>1040</v>
      </c>
      <c r="C1041" s="3">
        <v>119</v>
      </c>
      <c r="E1041" t="s">
        <v>3452</v>
      </c>
    </row>
    <row r="1042" spans="1:5" x14ac:dyDescent="0.25">
      <c r="A1042" s="1" t="s">
        <v>1041</v>
      </c>
      <c r="C1042" s="3">
        <v>119</v>
      </c>
      <c r="E1042" t="s">
        <v>3953</v>
      </c>
    </row>
    <row r="1043" spans="1:5" x14ac:dyDescent="0.25">
      <c r="A1043" s="1" t="s">
        <v>1042</v>
      </c>
      <c r="C1043" s="3">
        <v>119</v>
      </c>
      <c r="E1043" t="s">
        <v>5591</v>
      </c>
    </row>
    <row r="1044" spans="1:5" x14ac:dyDescent="0.25">
      <c r="A1044" s="1" t="s">
        <v>1043</v>
      </c>
      <c r="C1044" s="3">
        <v>119</v>
      </c>
      <c r="E1044" t="s">
        <v>9286</v>
      </c>
    </row>
    <row r="1045" spans="1:5" x14ac:dyDescent="0.25">
      <c r="A1045" s="1" t="s">
        <v>1044</v>
      </c>
      <c r="C1045" s="3">
        <v>119</v>
      </c>
      <c r="E1045" t="s">
        <v>541</v>
      </c>
    </row>
    <row r="1046" spans="1:5" x14ac:dyDescent="0.25">
      <c r="A1046" s="1" t="s">
        <v>1045</v>
      </c>
      <c r="C1046" s="3">
        <v>119</v>
      </c>
      <c r="E1046" t="s">
        <v>5831</v>
      </c>
    </row>
    <row r="1047" spans="1:5" x14ac:dyDescent="0.25">
      <c r="A1047" s="1" t="s">
        <v>1046</v>
      </c>
      <c r="C1047" s="3">
        <v>119</v>
      </c>
      <c r="E1047" t="s">
        <v>16859</v>
      </c>
    </row>
    <row r="1048" spans="1:5" x14ac:dyDescent="0.25">
      <c r="A1048" s="1" t="s">
        <v>1047</v>
      </c>
      <c r="C1048" s="3">
        <v>119</v>
      </c>
      <c r="E1048" t="s">
        <v>1153</v>
      </c>
    </row>
    <row r="1049" spans="1:5" x14ac:dyDescent="0.25">
      <c r="A1049" s="1" t="s">
        <v>1048</v>
      </c>
      <c r="C1049" s="3">
        <v>118</v>
      </c>
      <c r="E1049" t="s">
        <v>462</v>
      </c>
    </row>
    <row r="1050" spans="1:5" x14ac:dyDescent="0.25">
      <c r="A1050" s="1" t="s">
        <v>1049</v>
      </c>
      <c r="C1050" s="3">
        <v>118</v>
      </c>
      <c r="E1050" t="s">
        <v>3191</v>
      </c>
    </row>
    <row r="1051" spans="1:5" x14ac:dyDescent="0.25">
      <c r="A1051" s="1" t="s">
        <v>1050</v>
      </c>
      <c r="C1051" s="3">
        <v>118</v>
      </c>
      <c r="E1051" t="s">
        <v>9948</v>
      </c>
    </row>
    <row r="1052" spans="1:5" x14ac:dyDescent="0.25">
      <c r="A1052" s="1" t="s">
        <v>1051</v>
      </c>
      <c r="C1052" s="3">
        <v>118</v>
      </c>
      <c r="E1052" t="s">
        <v>857</v>
      </c>
    </row>
    <row r="1053" spans="1:5" x14ac:dyDescent="0.25">
      <c r="A1053" s="1" t="s">
        <v>1052</v>
      </c>
      <c r="C1053" s="3">
        <v>118</v>
      </c>
      <c r="E1053" t="s">
        <v>5164</v>
      </c>
    </row>
    <row r="1054" spans="1:5" x14ac:dyDescent="0.25">
      <c r="A1054" s="1" t="s">
        <v>1053</v>
      </c>
      <c r="C1054" s="3">
        <v>118</v>
      </c>
      <c r="E1054" t="s">
        <v>8012</v>
      </c>
    </row>
    <row r="1055" spans="1:5" x14ac:dyDescent="0.25">
      <c r="A1055" s="1" t="s">
        <v>1054</v>
      </c>
      <c r="C1055" s="3">
        <v>118</v>
      </c>
      <c r="E1055" t="s">
        <v>533</v>
      </c>
    </row>
    <row r="1056" spans="1:5" x14ac:dyDescent="0.25">
      <c r="A1056" s="1" t="s">
        <v>1055</v>
      </c>
      <c r="C1056" s="3">
        <v>118</v>
      </c>
      <c r="E1056" t="s">
        <v>2168</v>
      </c>
    </row>
    <row r="1057" spans="1:5" x14ac:dyDescent="0.25">
      <c r="A1057" s="1" t="s">
        <v>1056</v>
      </c>
      <c r="C1057" s="3">
        <v>118</v>
      </c>
      <c r="E1057" t="s">
        <v>5679</v>
      </c>
    </row>
    <row r="1058" spans="1:5" x14ac:dyDescent="0.25">
      <c r="A1058" s="1" t="s">
        <v>1057</v>
      </c>
      <c r="C1058" s="3">
        <v>117</v>
      </c>
      <c r="E1058" t="s">
        <v>3609</v>
      </c>
    </row>
    <row r="1059" spans="1:5" x14ac:dyDescent="0.25">
      <c r="A1059" s="1" t="s">
        <v>1058</v>
      </c>
      <c r="C1059" s="3">
        <v>117</v>
      </c>
      <c r="E1059" t="s">
        <v>516</v>
      </c>
    </row>
    <row r="1060" spans="1:5" x14ac:dyDescent="0.25">
      <c r="A1060" s="1" t="s">
        <v>1059</v>
      </c>
      <c r="C1060" s="3">
        <v>117</v>
      </c>
      <c r="E1060" t="s">
        <v>14999</v>
      </c>
    </row>
    <row r="1061" spans="1:5" x14ac:dyDescent="0.25">
      <c r="A1061" s="1" t="s">
        <v>1060</v>
      </c>
      <c r="C1061" s="3">
        <v>117</v>
      </c>
      <c r="E1061" t="s">
        <v>15168</v>
      </c>
    </row>
    <row r="1062" spans="1:5" x14ac:dyDescent="0.25">
      <c r="A1062" s="1" t="s">
        <v>1061</v>
      </c>
      <c r="C1062" s="3">
        <v>117</v>
      </c>
      <c r="E1062" t="s">
        <v>13503</v>
      </c>
    </row>
    <row r="1063" spans="1:5" x14ac:dyDescent="0.25">
      <c r="A1063" s="1" t="s">
        <v>1062</v>
      </c>
      <c r="C1063" s="3">
        <v>117</v>
      </c>
      <c r="E1063" t="s">
        <v>4546</v>
      </c>
    </row>
    <row r="1064" spans="1:5" x14ac:dyDescent="0.25">
      <c r="A1064" s="1" t="s">
        <v>1063</v>
      </c>
      <c r="C1064" s="3">
        <v>117</v>
      </c>
      <c r="E1064" t="s">
        <v>6940</v>
      </c>
    </row>
    <row r="1065" spans="1:5" x14ac:dyDescent="0.25">
      <c r="A1065" s="1" t="s">
        <v>1064</v>
      </c>
      <c r="C1065" s="3">
        <v>117</v>
      </c>
      <c r="E1065" t="s">
        <v>11236</v>
      </c>
    </row>
    <row r="1066" spans="1:5" x14ac:dyDescent="0.25">
      <c r="A1066" s="1" t="s">
        <v>1065</v>
      </c>
      <c r="C1066" s="3">
        <v>117</v>
      </c>
      <c r="E1066" t="s">
        <v>3420</v>
      </c>
    </row>
    <row r="1067" spans="1:5" x14ac:dyDescent="0.25">
      <c r="A1067" s="1" t="s">
        <v>1066</v>
      </c>
      <c r="C1067" s="3">
        <v>117</v>
      </c>
      <c r="E1067" t="s">
        <v>24731</v>
      </c>
    </row>
    <row r="1068" spans="1:5" x14ac:dyDescent="0.25">
      <c r="A1068" s="1" t="s">
        <v>1067</v>
      </c>
      <c r="C1068" s="3">
        <v>116</v>
      </c>
      <c r="E1068" t="s">
        <v>25427</v>
      </c>
    </row>
    <row r="1069" spans="1:5" x14ac:dyDescent="0.25">
      <c r="A1069" s="1" t="s">
        <v>1068</v>
      </c>
      <c r="C1069" s="3">
        <v>116</v>
      </c>
      <c r="E1069" t="s">
        <v>671</v>
      </c>
    </row>
    <row r="1070" spans="1:5" x14ac:dyDescent="0.25">
      <c r="A1070" s="1" t="s">
        <v>1069</v>
      </c>
      <c r="C1070" s="3">
        <v>116</v>
      </c>
      <c r="E1070" t="s">
        <v>17758</v>
      </c>
    </row>
    <row r="1071" spans="1:5" x14ac:dyDescent="0.25">
      <c r="A1071" s="1" t="s">
        <v>1070</v>
      </c>
      <c r="C1071" s="3">
        <v>116</v>
      </c>
      <c r="E1071" t="s">
        <v>1262</v>
      </c>
    </row>
    <row r="1072" spans="1:5" x14ac:dyDescent="0.25">
      <c r="A1072" s="1" t="s">
        <v>1071</v>
      </c>
      <c r="C1072" s="3">
        <v>116</v>
      </c>
      <c r="E1072" t="s">
        <v>1251</v>
      </c>
    </row>
    <row r="1073" spans="1:5" x14ac:dyDescent="0.25">
      <c r="A1073" s="1" t="s">
        <v>1072</v>
      </c>
      <c r="C1073" s="3">
        <v>116</v>
      </c>
      <c r="E1073" t="s">
        <v>3922</v>
      </c>
    </row>
    <row r="1074" spans="1:5" x14ac:dyDescent="0.25">
      <c r="A1074" s="1" t="s">
        <v>1073</v>
      </c>
      <c r="C1074" s="3">
        <v>116</v>
      </c>
      <c r="E1074" t="s">
        <v>8</v>
      </c>
    </row>
    <row r="1075" spans="1:5" x14ac:dyDescent="0.25">
      <c r="A1075" s="1" t="s">
        <v>1074</v>
      </c>
      <c r="C1075" s="3">
        <v>116</v>
      </c>
      <c r="E1075" t="s">
        <v>76</v>
      </c>
    </row>
    <row r="1076" spans="1:5" x14ac:dyDescent="0.25">
      <c r="A1076" s="1" t="s">
        <v>1075</v>
      </c>
      <c r="C1076" s="3">
        <v>116</v>
      </c>
      <c r="E1076" t="s">
        <v>25428</v>
      </c>
    </row>
    <row r="1077" spans="1:5" x14ac:dyDescent="0.25">
      <c r="A1077" s="1" t="s">
        <v>1076</v>
      </c>
      <c r="C1077" s="3">
        <v>116</v>
      </c>
      <c r="E1077" t="s">
        <v>3262</v>
      </c>
    </row>
    <row r="1078" spans="1:5" x14ac:dyDescent="0.25">
      <c r="A1078" s="1" t="s">
        <v>1077</v>
      </c>
      <c r="C1078" s="3">
        <v>115</v>
      </c>
      <c r="E1078" t="s">
        <v>4585</v>
      </c>
    </row>
    <row r="1079" spans="1:5" x14ac:dyDescent="0.25">
      <c r="A1079" s="1" t="s">
        <v>1078</v>
      </c>
      <c r="C1079" s="3">
        <v>115</v>
      </c>
      <c r="E1079" t="s">
        <v>4617</v>
      </c>
    </row>
    <row r="1080" spans="1:5" x14ac:dyDescent="0.25">
      <c r="A1080" s="1" t="s">
        <v>1079</v>
      </c>
      <c r="C1080" s="3">
        <v>115</v>
      </c>
      <c r="E1080" t="s">
        <v>6849</v>
      </c>
    </row>
    <row r="1081" spans="1:5" x14ac:dyDescent="0.25">
      <c r="A1081" s="1" t="s">
        <v>1080</v>
      </c>
      <c r="C1081" s="3">
        <v>115</v>
      </c>
      <c r="E1081" t="s">
        <v>5989</v>
      </c>
    </row>
    <row r="1082" spans="1:5" x14ac:dyDescent="0.25">
      <c r="A1082" s="1" t="s">
        <v>1081</v>
      </c>
      <c r="C1082" s="3">
        <v>115</v>
      </c>
      <c r="E1082" t="s">
        <v>14470</v>
      </c>
    </row>
    <row r="1083" spans="1:5" x14ac:dyDescent="0.25">
      <c r="A1083" s="1" t="s">
        <v>1082</v>
      </c>
      <c r="C1083" s="3">
        <v>115</v>
      </c>
      <c r="E1083" t="s">
        <v>13009</v>
      </c>
    </row>
    <row r="1084" spans="1:5" x14ac:dyDescent="0.25">
      <c r="A1084" s="1" t="s">
        <v>1083</v>
      </c>
      <c r="C1084" s="3">
        <v>115</v>
      </c>
      <c r="E1084" t="s">
        <v>12135</v>
      </c>
    </row>
    <row r="1085" spans="1:5" x14ac:dyDescent="0.25">
      <c r="A1085" s="1" t="s">
        <v>1084</v>
      </c>
      <c r="C1085" s="3">
        <v>115</v>
      </c>
      <c r="E1085" t="s">
        <v>6571</v>
      </c>
    </row>
    <row r="1086" spans="1:5" x14ac:dyDescent="0.25">
      <c r="A1086" s="1" t="s">
        <v>1085</v>
      </c>
      <c r="C1086" s="3">
        <v>115</v>
      </c>
      <c r="E1086" t="s">
        <v>3078</v>
      </c>
    </row>
    <row r="1087" spans="1:5" x14ac:dyDescent="0.25">
      <c r="A1087" s="1" t="s">
        <v>1086</v>
      </c>
      <c r="C1087" s="3">
        <v>114</v>
      </c>
      <c r="E1087" t="s">
        <v>4307</v>
      </c>
    </row>
    <row r="1088" spans="1:5" x14ac:dyDescent="0.25">
      <c r="A1088" s="1" t="s">
        <v>1087</v>
      </c>
      <c r="C1088" s="3">
        <v>114</v>
      </c>
      <c r="E1088" t="s">
        <v>4660</v>
      </c>
    </row>
    <row r="1089" spans="1:5" x14ac:dyDescent="0.25">
      <c r="A1089" s="1" t="s">
        <v>1088</v>
      </c>
      <c r="C1089" s="3">
        <v>114</v>
      </c>
      <c r="E1089" t="s">
        <v>4923</v>
      </c>
    </row>
    <row r="1090" spans="1:5" x14ac:dyDescent="0.25">
      <c r="A1090" s="1" t="s">
        <v>1089</v>
      </c>
      <c r="C1090" s="3">
        <v>114</v>
      </c>
      <c r="E1090" t="s">
        <v>6901</v>
      </c>
    </row>
    <row r="1091" spans="1:5" x14ac:dyDescent="0.25">
      <c r="A1091" s="1" t="s">
        <v>1090</v>
      </c>
      <c r="C1091" s="3">
        <v>114</v>
      </c>
      <c r="E1091" t="s">
        <v>25305</v>
      </c>
    </row>
    <row r="1092" spans="1:5" x14ac:dyDescent="0.25">
      <c r="A1092" s="1" t="s">
        <v>1091</v>
      </c>
      <c r="C1092" s="3">
        <v>114</v>
      </c>
      <c r="E1092" t="s">
        <v>564</v>
      </c>
    </row>
    <row r="1093" spans="1:5" x14ac:dyDescent="0.25">
      <c r="A1093" s="1" t="s">
        <v>1092</v>
      </c>
      <c r="C1093" s="3">
        <v>114</v>
      </c>
      <c r="E1093" t="s">
        <v>7740</v>
      </c>
    </row>
    <row r="1094" spans="1:5" x14ac:dyDescent="0.25">
      <c r="A1094" s="1" t="s">
        <v>1093</v>
      </c>
      <c r="C1094" s="3">
        <v>114</v>
      </c>
      <c r="E1094" t="s">
        <v>4006</v>
      </c>
    </row>
    <row r="1095" spans="1:5" x14ac:dyDescent="0.25">
      <c r="A1095" s="1" t="s">
        <v>1094</v>
      </c>
      <c r="C1095" s="3">
        <v>114</v>
      </c>
      <c r="E1095" t="s">
        <v>3143</v>
      </c>
    </row>
    <row r="1096" spans="1:5" x14ac:dyDescent="0.25">
      <c r="A1096" s="1" t="s">
        <v>1095</v>
      </c>
      <c r="C1096" s="3">
        <v>114</v>
      </c>
      <c r="E1096" t="s">
        <v>1378</v>
      </c>
    </row>
    <row r="1097" spans="1:5" x14ac:dyDescent="0.25">
      <c r="A1097" s="1" t="s">
        <v>1096</v>
      </c>
      <c r="C1097" s="3">
        <v>114</v>
      </c>
      <c r="E1097" t="s">
        <v>5114</v>
      </c>
    </row>
    <row r="1098" spans="1:5" x14ac:dyDescent="0.25">
      <c r="A1098" s="1" t="s">
        <v>1097</v>
      </c>
      <c r="C1098" s="3">
        <v>113</v>
      </c>
      <c r="E1098" t="s">
        <v>23814</v>
      </c>
    </row>
    <row r="1099" spans="1:5" x14ac:dyDescent="0.25">
      <c r="A1099" s="1" t="s">
        <v>1098</v>
      </c>
      <c r="C1099" s="3">
        <v>113</v>
      </c>
      <c r="E1099" t="s">
        <v>25429</v>
      </c>
    </row>
    <row r="1100" spans="1:5" x14ac:dyDescent="0.25">
      <c r="A1100" s="1" t="s">
        <v>1099</v>
      </c>
      <c r="C1100" s="3">
        <v>113</v>
      </c>
      <c r="E1100" t="s">
        <v>576</v>
      </c>
    </row>
    <row r="1101" spans="1:5" x14ac:dyDescent="0.25">
      <c r="A1101" s="1" t="s">
        <v>1100</v>
      </c>
      <c r="C1101" s="3">
        <v>113</v>
      </c>
      <c r="E1101" t="s">
        <v>6633</v>
      </c>
    </row>
    <row r="1102" spans="1:5" x14ac:dyDescent="0.25">
      <c r="A1102" s="1" t="s">
        <v>1101</v>
      </c>
      <c r="C1102" s="3">
        <v>113</v>
      </c>
      <c r="E1102" t="s">
        <v>6955</v>
      </c>
    </row>
    <row r="1103" spans="1:5" x14ac:dyDescent="0.25">
      <c r="A1103" s="1" t="s">
        <v>1102</v>
      </c>
      <c r="C1103" s="3">
        <v>113</v>
      </c>
      <c r="E1103" t="s">
        <v>5919</v>
      </c>
    </row>
    <row r="1104" spans="1:5" x14ac:dyDescent="0.25">
      <c r="A1104" s="1" t="s">
        <v>1103</v>
      </c>
      <c r="C1104" s="3">
        <v>113</v>
      </c>
      <c r="E1104" t="s">
        <v>1353</v>
      </c>
    </row>
    <row r="1105" spans="1:5" x14ac:dyDescent="0.25">
      <c r="A1105" s="1" t="s">
        <v>1104</v>
      </c>
      <c r="C1105" s="3">
        <v>113</v>
      </c>
      <c r="E1105" t="s">
        <v>2006</v>
      </c>
    </row>
    <row r="1106" spans="1:5" x14ac:dyDescent="0.25">
      <c r="A1106" s="1" t="s">
        <v>1105</v>
      </c>
      <c r="C1106" s="3">
        <v>113</v>
      </c>
      <c r="E1106" t="s">
        <v>7006</v>
      </c>
    </row>
    <row r="1107" spans="1:5" x14ac:dyDescent="0.25">
      <c r="A1107" s="1" t="s">
        <v>1106</v>
      </c>
      <c r="C1107" s="3">
        <v>113</v>
      </c>
      <c r="E1107" t="s">
        <v>3844</v>
      </c>
    </row>
    <row r="1108" spans="1:5" x14ac:dyDescent="0.25">
      <c r="A1108" s="1" t="s">
        <v>1107</v>
      </c>
      <c r="C1108" s="3">
        <v>112</v>
      </c>
      <c r="E1108" t="s">
        <v>7150</v>
      </c>
    </row>
    <row r="1109" spans="1:5" x14ac:dyDescent="0.25">
      <c r="A1109" s="1" t="s">
        <v>1108</v>
      </c>
      <c r="C1109" s="3">
        <v>112</v>
      </c>
      <c r="E1109" t="s">
        <v>218</v>
      </c>
    </row>
    <row r="1110" spans="1:5" x14ac:dyDescent="0.25">
      <c r="A1110" s="1" t="s">
        <v>1109</v>
      </c>
      <c r="C1110" s="3">
        <v>112</v>
      </c>
      <c r="E1110" t="s">
        <v>859</v>
      </c>
    </row>
    <row r="1111" spans="1:5" x14ac:dyDescent="0.25">
      <c r="A1111" s="1" t="s">
        <v>1110</v>
      </c>
      <c r="C1111" s="3">
        <v>112</v>
      </c>
      <c r="E1111" t="s">
        <v>583</v>
      </c>
    </row>
    <row r="1112" spans="1:5" x14ac:dyDescent="0.25">
      <c r="A1112" s="1" t="s">
        <v>1111</v>
      </c>
      <c r="C1112" s="3">
        <v>112</v>
      </c>
      <c r="E1112" t="s">
        <v>191</v>
      </c>
    </row>
    <row r="1113" spans="1:5" x14ac:dyDescent="0.25">
      <c r="A1113" s="1" t="s">
        <v>1112</v>
      </c>
      <c r="C1113" s="3">
        <v>112</v>
      </c>
      <c r="E1113" t="s">
        <v>8681</v>
      </c>
    </row>
    <row r="1114" spans="1:5" x14ac:dyDescent="0.25">
      <c r="A1114" s="1" t="s">
        <v>1113</v>
      </c>
      <c r="C1114" s="3">
        <v>112</v>
      </c>
      <c r="E1114" t="s">
        <v>8837</v>
      </c>
    </row>
    <row r="1115" spans="1:5" x14ac:dyDescent="0.25">
      <c r="A1115" s="1" t="s">
        <v>1114</v>
      </c>
      <c r="C1115" s="3">
        <v>112</v>
      </c>
      <c r="E1115" t="s">
        <v>8112</v>
      </c>
    </row>
    <row r="1116" spans="1:5" x14ac:dyDescent="0.25">
      <c r="A1116" s="1" t="s">
        <v>1115</v>
      </c>
      <c r="C1116" s="3">
        <v>112</v>
      </c>
      <c r="E1116" t="s">
        <v>25430</v>
      </c>
    </row>
    <row r="1117" spans="1:5" x14ac:dyDescent="0.25">
      <c r="A1117" s="1" t="s">
        <v>1116</v>
      </c>
      <c r="C1117" s="3">
        <v>112</v>
      </c>
      <c r="E1117" t="s">
        <v>10768</v>
      </c>
    </row>
    <row r="1118" spans="1:5" x14ac:dyDescent="0.25">
      <c r="A1118" s="1" t="s">
        <v>1117</v>
      </c>
      <c r="C1118" s="3">
        <v>112</v>
      </c>
      <c r="E1118" t="s">
        <v>8334</v>
      </c>
    </row>
    <row r="1119" spans="1:5" x14ac:dyDescent="0.25">
      <c r="A1119" s="1" t="s">
        <v>1118</v>
      </c>
      <c r="C1119" s="3">
        <v>112</v>
      </c>
      <c r="E1119" t="s">
        <v>1781</v>
      </c>
    </row>
    <row r="1120" spans="1:5" x14ac:dyDescent="0.25">
      <c r="A1120" s="1" t="s">
        <v>1119</v>
      </c>
      <c r="C1120" s="3">
        <v>112</v>
      </c>
      <c r="E1120" t="s">
        <v>3089</v>
      </c>
    </row>
    <row r="1121" spans="1:5" x14ac:dyDescent="0.25">
      <c r="A1121" s="1" t="s">
        <v>1120</v>
      </c>
      <c r="C1121" s="3">
        <v>112</v>
      </c>
      <c r="E1121" t="s">
        <v>11779</v>
      </c>
    </row>
    <row r="1122" spans="1:5" x14ac:dyDescent="0.25">
      <c r="A1122" s="1" t="s">
        <v>1121</v>
      </c>
      <c r="C1122" s="3">
        <v>111</v>
      </c>
      <c r="E1122" t="s">
        <v>7226</v>
      </c>
    </row>
    <row r="1123" spans="1:5" x14ac:dyDescent="0.25">
      <c r="A1123" s="1" t="s">
        <v>1122</v>
      </c>
      <c r="C1123" s="3">
        <v>111</v>
      </c>
      <c r="E1123" t="s">
        <v>14096</v>
      </c>
    </row>
    <row r="1124" spans="1:5" x14ac:dyDescent="0.25">
      <c r="A1124" s="1" t="s">
        <v>1123</v>
      </c>
      <c r="C1124" s="3">
        <v>111</v>
      </c>
      <c r="E1124" t="s">
        <v>3332</v>
      </c>
    </row>
    <row r="1125" spans="1:5" x14ac:dyDescent="0.25">
      <c r="A1125" s="1" t="s">
        <v>1124</v>
      </c>
      <c r="C1125" s="3">
        <v>111</v>
      </c>
      <c r="E1125" t="s">
        <v>2623</v>
      </c>
    </row>
    <row r="1126" spans="1:5" x14ac:dyDescent="0.25">
      <c r="A1126" s="1" t="s">
        <v>1125</v>
      </c>
      <c r="C1126" s="3">
        <v>111</v>
      </c>
      <c r="E1126" t="s">
        <v>8134</v>
      </c>
    </row>
    <row r="1127" spans="1:5" x14ac:dyDescent="0.25">
      <c r="A1127" s="1" t="s">
        <v>1126</v>
      </c>
      <c r="C1127" s="3">
        <v>111</v>
      </c>
      <c r="E1127" t="s">
        <v>1811</v>
      </c>
    </row>
    <row r="1128" spans="1:5" x14ac:dyDescent="0.25">
      <c r="A1128" s="1" t="s">
        <v>1127</v>
      </c>
      <c r="C1128" s="3">
        <v>111</v>
      </c>
      <c r="E1128" t="s">
        <v>25431</v>
      </c>
    </row>
    <row r="1129" spans="1:5" x14ac:dyDescent="0.25">
      <c r="A1129" s="1" t="s">
        <v>1128</v>
      </c>
      <c r="C1129" s="3">
        <v>111</v>
      </c>
      <c r="E1129" t="s">
        <v>10562</v>
      </c>
    </row>
    <row r="1130" spans="1:5" x14ac:dyDescent="0.25">
      <c r="A1130" s="1" t="s">
        <v>1129</v>
      </c>
      <c r="C1130" s="3">
        <v>111</v>
      </c>
      <c r="E1130" t="s">
        <v>7032</v>
      </c>
    </row>
    <row r="1131" spans="1:5" x14ac:dyDescent="0.25">
      <c r="A1131" s="1" t="s">
        <v>1130</v>
      </c>
      <c r="C1131" s="3">
        <v>111</v>
      </c>
      <c r="E1131" t="s">
        <v>4927</v>
      </c>
    </row>
    <row r="1132" spans="1:5" x14ac:dyDescent="0.25">
      <c r="A1132" s="1" t="s">
        <v>1131</v>
      </c>
      <c r="C1132" s="3">
        <v>111</v>
      </c>
      <c r="E1132" t="s">
        <v>4214</v>
      </c>
    </row>
    <row r="1133" spans="1:5" x14ac:dyDescent="0.25">
      <c r="A1133" s="1" t="s">
        <v>1132</v>
      </c>
      <c r="C1133" s="3">
        <v>111</v>
      </c>
      <c r="E1133" t="s">
        <v>1970</v>
      </c>
    </row>
    <row r="1134" spans="1:5" x14ac:dyDescent="0.25">
      <c r="A1134" s="1" t="s">
        <v>1133</v>
      </c>
      <c r="C1134" s="3">
        <v>111</v>
      </c>
      <c r="E1134" t="s">
        <v>4285</v>
      </c>
    </row>
    <row r="1135" spans="1:5" x14ac:dyDescent="0.25">
      <c r="A1135" s="1" t="s">
        <v>1134</v>
      </c>
      <c r="C1135" s="3">
        <v>111</v>
      </c>
      <c r="E1135" t="s">
        <v>1744</v>
      </c>
    </row>
    <row r="1136" spans="1:5" x14ac:dyDescent="0.25">
      <c r="A1136" s="1" t="s">
        <v>1135</v>
      </c>
      <c r="C1136" s="3">
        <v>111</v>
      </c>
      <c r="E1136" t="s">
        <v>9319</v>
      </c>
    </row>
    <row r="1137" spans="1:5" x14ac:dyDescent="0.25">
      <c r="A1137" s="1" t="s">
        <v>1136</v>
      </c>
      <c r="C1137" s="3">
        <v>111</v>
      </c>
      <c r="E1137" t="s">
        <v>19349</v>
      </c>
    </row>
    <row r="1138" spans="1:5" x14ac:dyDescent="0.25">
      <c r="A1138" s="1" t="s">
        <v>1137</v>
      </c>
      <c r="C1138" s="3">
        <v>110</v>
      </c>
      <c r="E1138" t="s">
        <v>3994</v>
      </c>
    </row>
    <row r="1139" spans="1:5" x14ac:dyDescent="0.25">
      <c r="A1139" s="1" t="s">
        <v>1138</v>
      </c>
      <c r="C1139" s="3">
        <v>110</v>
      </c>
      <c r="E1139" t="s">
        <v>7840</v>
      </c>
    </row>
    <row r="1140" spans="1:5" x14ac:dyDescent="0.25">
      <c r="A1140" s="1" t="s">
        <v>1139</v>
      </c>
      <c r="C1140" s="3">
        <v>110</v>
      </c>
      <c r="E1140" t="s">
        <v>4463</v>
      </c>
    </row>
    <row r="1141" spans="1:5" x14ac:dyDescent="0.25">
      <c r="A1141" s="1" t="s">
        <v>1140</v>
      </c>
      <c r="C1141" s="3">
        <v>110</v>
      </c>
      <c r="E1141" t="s">
        <v>2431</v>
      </c>
    </row>
    <row r="1142" spans="1:5" x14ac:dyDescent="0.25">
      <c r="A1142" s="1" t="s">
        <v>1141</v>
      </c>
      <c r="C1142" s="3">
        <v>110</v>
      </c>
      <c r="E1142" t="s">
        <v>12382</v>
      </c>
    </row>
    <row r="1143" spans="1:5" x14ac:dyDescent="0.25">
      <c r="A1143" s="1" t="s">
        <v>1142</v>
      </c>
      <c r="C1143" s="3">
        <v>110</v>
      </c>
      <c r="E1143" t="s">
        <v>11842</v>
      </c>
    </row>
    <row r="1144" spans="1:5" x14ac:dyDescent="0.25">
      <c r="A1144" s="1" t="s">
        <v>1143</v>
      </c>
      <c r="C1144" s="3">
        <v>110</v>
      </c>
      <c r="E1144" t="s">
        <v>5112</v>
      </c>
    </row>
    <row r="1145" spans="1:5" x14ac:dyDescent="0.25">
      <c r="A1145" s="1" t="s">
        <v>1144</v>
      </c>
      <c r="C1145" s="3">
        <v>110</v>
      </c>
      <c r="E1145" t="s">
        <v>19996</v>
      </c>
    </row>
    <row r="1146" spans="1:5" x14ac:dyDescent="0.25">
      <c r="A1146" s="1" t="s">
        <v>1145</v>
      </c>
      <c r="C1146" s="3">
        <v>110</v>
      </c>
      <c r="E1146" t="s">
        <v>1421</v>
      </c>
    </row>
    <row r="1147" spans="1:5" x14ac:dyDescent="0.25">
      <c r="A1147" s="1" t="s">
        <v>1146</v>
      </c>
      <c r="C1147" s="3">
        <v>110</v>
      </c>
      <c r="E1147" t="s">
        <v>1805</v>
      </c>
    </row>
    <row r="1148" spans="1:5" x14ac:dyDescent="0.25">
      <c r="A1148" s="1" t="s">
        <v>1147</v>
      </c>
      <c r="C1148" s="3">
        <v>109</v>
      </c>
      <c r="E1148" t="s">
        <v>1754</v>
      </c>
    </row>
    <row r="1149" spans="1:5" x14ac:dyDescent="0.25">
      <c r="A1149" s="1" t="s">
        <v>1148</v>
      </c>
      <c r="C1149" s="3">
        <v>109</v>
      </c>
      <c r="E1149" t="s">
        <v>7049</v>
      </c>
    </row>
    <row r="1150" spans="1:5" x14ac:dyDescent="0.25">
      <c r="A1150" s="1" t="s">
        <v>1149</v>
      </c>
      <c r="C1150" s="3">
        <v>109</v>
      </c>
      <c r="E1150" t="s">
        <v>878</v>
      </c>
    </row>
    <row r="1151" spans="1:5" x14ac:dyDescent="0.25">
      <c r="A1151" s="1" t="s">
        <v>1150</v>
      </c>
      <c r="C1151" s="3">
        <v>109</v>
      </c>
      <c r="E1151" t="s">
        <v>15491</v>
      </c>
    </row>
    <row r="1152" spans="1:5" x14ac:dyDescent="0.25">
      <c r="A1152" s="1" t="s">
        <v>1151</v>
      </c>
      <c r="C1152" s="3">
        <v>109</v>
      </c>
      <c r="E1152" t="s">
        <v>2264</v>
      </c>
    </row>
    <row r="1153" spans="1:5" x14ac:dyDescent="0.25">
      <c r="A1153" s="1" t="s">
        <v>1152</v>
      </c>
      <c r="C1153" s="3">
        <v>109</v>
      </c>
      <c r="E1153" t="s">
        <v>2187</v>
      </c>
    </row>
    <row r="1154" spans="1:5" x14ac:dyDescent="0.25">
      <c r="A1154" s="1" t="s">
        <v>1153</v>
      </c>
      <c r="C1154" s="3">
        <v>108</v>
      </c>
      <c r="E1154" t="s">
        <v>2178</v>
      </c>
    </row>
    <row r="1155" spans="1:5" x14ac:dyDescent="0.25">
      <c r="A1155" s="1" t="s">
        <v>1154</v>
      </c>
      <c r="C1155" s="3">
        <v>108</v>
      </c>
      <c r="E1155" t="s">
        <v>25432</v>
      </c>
    </row>
    <row r="1156" spans="1:5" x14ac:dyDescent="0.25">
      <c r="A1156" s="1" t="s">
        <v>1155</v>
      </c>
      <c r="C1156" s="3">
        <v>108</v>
      </c>
      <c r="E1156" t="s">
        <v>7308</v>
      </c>
    </row>
    <row r="1157" spans="1:5" x14ac:dyDescent="0.25">
      <c r="A1157" s="1" t="s">
        <v>1156</v>
      </c>
      <c r="C1157" s="3">
        <v>108</v>
      </c>
      <c r="E1157" t="s">
        <v>10121</v>
      </c>
    </row>
    <row r="1158" spans="1:5" x14ac:dyDescent="0.25">
      <c r="A1158" s="1" t="s">
        <v>1157</v>
      </c>
      <c r="C1158" s="3">
        <v>108</v>
      </c>
      <c r="E1158" t="s">
        <v>7382</v>
      </c>
    </row>
    <row r="1159" spans="1:5" x14ac:dyDescent="0.25">
      <c r="A1159" s="1" t="s">
        <v>1158</v>
      </c>
      <c r="C1159" s="3">
        <v>108</v>
      </c>
      <c r="E1159" t="s">
        <v>10244</v>
      </c>
    </row>
    <row r="1160" spans="1:5" x14ac:dyDescent="0.25">
      <c r="A1160" s="1" t="s">
        <v>1159</v>
      </c>
      <c r="C1160" s="3">
        <v>108</v>
      </c>
      <c r="E1160" t="s">
        <v>492</v>
      </c>
    </row>
    <row r="1161" spans="1:5" x14ac:dyDescent="0.25">
      <c r="A1161" s="1" t="s">
        <v>1160</v>
      </c>
      <c r="C1161" s="3">
        <v>108</v>
      </c>
      <c r="E1161" t="s">
        <v>4254</v>
      </c>
    </row>
    <row r="1162" spans="1:5" x14ac:dyDescent="0.25">
      <c r="A1162" s="1" t="s">
        <v>1161</v>
      </c>
      <c r="C1162" s="3">
        <v>108</v>
      </c>
      <c r="E1162" t="s">
        <v>4959</v>
      </c>
    </row>
    <row r="1163" spans="1:5" x14ac:dyDescent="0.25">
      <c r="A1163" s="1" t="s">
        <v>1162</v>
      </c>
      <c r="C1163" s="3">
        <v>107</v>
      </c>
      <c r="E1163" t="s">
        <v>1361</v>
      </c>
    </row>
    <row r="1164" spans="1:5" x14ac:dyDescent="0.25">
      <c r="A1164" s="1" t="s">
        <v>1163</v>
      </c>
      <c r="C1164" s="3">
        <v>107</v>
      </c>
      <c r="E1164" t="s">
        <v>19049</v>
      </c>
    </row>
    <row r="1165" spans="1:5" x14ac:dyDescent="0.25">
      <c r="A1165" s="1" t="s">
        <v>1164</v>
      </c>
      <c r="C1165" s="3">
        <v>107</v>
      </c>
      <c r="E1165" t="s">
        <v>1749</v>
      </c>
    </row>
    <row r="1166" spans="1:5" x14ac:dyDescent="0.25">
      <c r="A1166" s="1" t="s">
        <v>1165</v>
      </c>
      <c r="C1166" s="3">
        <v>107</v>
      </c>
      <c r="E1166" t="s">
        <v>6956</v>
      </c>
    </row>
    <row r="1167" spans="1:5" x14ac:dyDescent="0.25">
      <c r="A1167" s="1" t="s">
        <v>1166</v>
      </c>
      <c r="C1167" s="3">
        <v>107</v>
      </c>
      <c r="E1167" t="s">
        <v>3360</v>
      </c>
    </row>
    <row r="1168" spans="1:5" x14ac:dyDescent="0.25">
      <c r="A1168" s="1" t="s">
        <v>1167</v>
      </c>
      <c r="C1168" s="3">
        <v>107</v>
      </c>
      <c r="E1168" t="s">
        <v>2629</v>
      </c>
    </row>
    <row r="1169" spans="1:5" x14ac:dyDescent="0.25">
      <c r="A1169" s="1" t="s">
        <v>1168</v>
      </c>
      <c r="C1169" s="3">
        <v>107</v>
      </c>
      <c r="E1169" t="s">
        <v>8467</v>
      </c>
    </row>
    <row r="1170" spans="1:5" x14ac:dyDescent="0.25">
      <c r="A1170" s="1" t="s">
        <v>1169</v>
      </c>
      <c r="C1170" s="3">
        <v>107</v>
      </c>
      <c r="E1170" t="s">
        <v>2181</v>
      </c>
    </row>
    <row r="1171" spans="1:5" x14ac:dyDescent="0.25">
      <c r="A1171" s="1" t="s">
        <v>1170</v>
      </c>
      <c r="C1171" s="3">
        <v>107</v>
      </c>
      <c r="E1171" t="s">
        <v>673</v>
      </c>
    </row>
    <row r="1172" spans="1:5" x14ac:dyDescent="0.25">
      <c r="A1172" s="1" t="s">
        <v>1171</v>
      </c>
      <c r="C1172" s="3">
        <v>107</v>
      </c>
      <c r="E1172" t="s">
        <v>1052</v>
      </c>
    </row>
    <row r="1173" spans="1:5" x14ac:dyDescent="0.25">
      <c r="A1173" s="1" t="s">
        <v>1172</v>
      </c>
      <c r="C1173" s="3">
        <v>107</v>
      </c>
      <c r="E1173" t="s">
        <v>436</v>
      </c>
    </row>
    <row r="1174" spans="1:5" x14ac:dyDescent="0.25">
      <c r="A1174" s="1" t="s">
        <v>1173</v>
      </c>
      <c r="C1174" s="3">
        <v>107</v>
      </c>
      <c r="E1174" t="s">
        <v>18080</v>
      </c>
    </row>
    <row r="1175" spans="1:5" x14ac:dyDescent="0.25">
      <c r="A1175" s="1" t="s">
        <v>1174</v>
      </c>
      <c r="C1175" s="3">
        <v>107</v>
      </c>
      <c r="E1175" t="s">
        <v>12966</v>
      </c>
    </row>
    <row r="1176" spans="1:5" x14ac:dyDescent="0.25">
      <c r="A1176" s="1" t="s">
        <v>1175</v>
      </c>
      <c r="C1176" s="3">
        <v>106</v>
      </c>
      <c r="E1176" t="s">
        <v>922</v>
      </c>
    </row>
    <row r="1177" spans="1:5" x14ac:dyDescent="0.25">
      <c r="A1177" s="1" t="s">
        <v>1176</v>
      </c>
      <c r="C1177" s="3">
        <v>106</v>
      </c>
      <c r="E1177" t="s">
        <v>9317</v>
      </c>
    </row>
    <row r="1178" spans="1:5" x14ac:dyDescent="0.25">
      <c r="A1178" s="1" t="s">
        <v>1177</v>
      </c>
      <c r="C1178" s="3">
        <v>106</v>
      </c>
      <c r="E1178" t="s">
        <v>19810</v>
      </c>
    </row>
    <row r="1179" spans="1:5" x14ac:dyDescent="0.25">
      <c r="A1179" s="1" t="s">
        <v>1178</v>
      </c>
      <c r="C1179" s="3">
        <v>106</v>
      </c>
      <c r="E1179" t="s">
        <v>12261</v>
      </c>
    </row>
    <row r="1180" spans="1:5" x14ac:dyDescent="0.25">
      <c r="A1180" s="1" t="s">
        <v>1179</v>
      </c>
      <c r="C1180" s="3">
        <v>106</v>
      </c>
      <c r="E1180" t="s">
        <v>2755</v>
      </c>
    </row>
    <row r="1181" spans="1:5" x14ac:dyDescent="0.25">
      <c r="A1181" s="1" t="s">
        <v>1180</v>
      </c>
      <c r="C1181" s="3">
        <v>106</v>
      </c>
      <c r="E1181" t="s">
        <v>6947</v>
      </c>
    </row>
    <row r="1182" spans="1:5" x14ac:dyDescent="0.25">
      <c r="A1182" s="1" t="s">
        <v>1181</v>
      </c>
      <c r="C1182" s="3">
        <v>106</v>
      </c>
      <c r="E1182" t="s">
        <v>1249</v>
      </c>
    </row>
    <row r="1183" spans="1:5" x14ac:dyDescent="0.25">
      <c r="A1183" s="1" t="s">
        <v>1182</v>
      </c>
      <c r="C1183" s="3">
        <v>106</v>
      </c>
      <c r="E1183" t="s">
        <v>14976</v>
      </c>
    </row>
    <row r="1184" spans="1:5" x14ac:dyDescent="0.25">
      <c r="A1184" s="1" t="s">
        <v>1183</v>
      </c>
      <c r="C1184" s="3">
        <v>106</v>
      </c>
      <c r="E1184" t="s">
        <v>137</v>
      </c>
    </row>
    <row r="1185" spans="1:5" x14ac:dyDescent="0.25">
      <c r="A1185" s="1" t="s">
        <v>1184</v>
      </c>
      <c r="C1185" s="3">
        <v>106</v>
      </c>
      <c r="E1185" t="s">
        <v>3144</v>
      </c>
    </row>
    <row r="1186" spans="1:5" x14ac:dyDescent="0.25">
      <c r="A1186" s="1" t="s">
        <v>1185</v>
      </c>
      <c r="C1186" s="3">
        <v>105</v>
      </c>
      <c r="E1186" t="s">
        <v>8918</v>
      </c>
    </row>
    <row r="1187" spans="1:5" x14ac:dyDescent="0.25">
      <c r="A1187" s="1" t="s">
        <v>1186</v>
      </c>
      <c r="C1187" s="3">
        <v>105</v>
      </c>
      <c r="E1187" t="s">
        <v>6043</v>
      </c>
    </row>
    <row r="1188" spans="1:5" x14ac:dyDescent="0.25">
      <c r="A1188" s="1" t="s">
        <v>1187</v>
      </c>
      <c r="C1188" s="3">
        <v>105</v>
      </c>
      <c r="E1188" t="s">
        <v>8121</v>
      </c>
    </row>
    <row r="1189" spans="1:5" x14ac:dyDescent="0.25">
      <c r="A1189" s="1" t="s">
        <v>1188</v>
      </c>
      <c r="C1189" s="3">
        <v>105</v>
      </c>
      <c r="E1189" t="s">
        <v>9356</v>
      </c>
    </row>
    <row r="1190" spans="1:5" x14ac:dyDescent="0.25">
      <c r="A1190" s="1" t="s">
        <v>1189</v>
      </c>
      <c r="C1190" s="3">
        <v>105</v>
      </c>
      <c r="E1190" t="s">
        <v>9314</v>
      </c>
    </row>
    <row r="1191" spans="1:5" x14ac:dyDescent="0.25">
      <c r="A1191" s="1" t="s">
        <v>1190</v>
      </c>
      <c r="C1191" s="3">
        <v>105</v>
      </c>
      <c r="E1191" t="s">
        <v>2463</v>
      </c>
    </row>
    <row r="1192" spans="1:5" x14ac:dyDescent="0.25">
      <c r="A1192" s="1" t="s">
        <v>1191</v>
      </c>
      <c r="C1192" s="3">
        <v>105</v>
      </c>
      <c r="E1192" t="s">
        <v>10389</v>
      </c>
    </row>
    <row r="1193" spans="1:5" x14ac:dyDescent="0.25">
      <c r="A1193" s="1" t="s">
        <v>1192</v>
      </c>
      <c r="C1193" s="3">
        <v>105</v>
      </c>
      <c r="E1193" t="s">
        <v>5942</v>
      </c>
    </row>
    <row r="1194" spans="1:5" x14ac:dyDescent="0.25">
      <c r="A1194" s="1" t="s">
        <v>1193</v>
      </c>
      <c r="C1194" s="3">
        <v>105</v>
      </c>
      <c r="E1194" t="s">
        <v>11210</v>
      </c>
    </row>
    <row r="1195" spans="1:5" x14ac:dyDescent="0.25">
      <c r="A1195" s="1" t="s">
        <v>1194</v>
      </c>
      <c r="C1195" s="3">
        <v>105</v>
      </c>
      <c r="E1195" t="s">
        <v>3597</v>
      </c>
    </row>
    <row r="1196" spans="1:5" x14ac:dyDescent="0.25">
      <c r="A1196" s="1" t="s">
        <v>1195</v>
      </c>
      <c r="C1196" s="3">
        <v>105</v>
      </c>
      <c r="E1196" t="s">
        <v>1033</v>
      </c>
    </row>
    <row r="1197" spans="1:5" x14ac:dyDescent="0.25">
      <c r="A1197" s="1" t="s">
        <v>1196</v>
      </c>
      <c r="C1197" s="3">
        <v>105</v>
      </c>
      <c r="E1197" t="s">
        <v>11906</v>
      </c>
    </row>
    <row r="1198" spans="1:5" x14ac:dyDescent="0.25">
      <c r="A1198" s="1" t="s">
        <v>1197</v>
      </c>
      <c r="C1198" s="3">
        <v>105</v>
      </c>
      <c r="E1198" t="s">
        <v>4517</v>
      </c>
    </row>
    <row r="1199" spans="1:5" x14ac:dyDescent="0.25">
      <c r="A1199" s="1" t="s">
        <v>1198</v>
      </c>
      <c r="C1199" s="3">
        <v>105</v>
      </c>
      <c r="E1199" t="s">
        <v>2072</v>
      </c>
    </row>
    <row r="1200" spans="1:5" x14ac:dyDescent="0.25">
      <c r="A1200" s="1" t="s">
        <v>1199</v>
      </c>
      <c r="C1200" s="3">
        <v>105</v>
      </c>
      <c r="E1200" t="s">
        <v>10152</v>
      </c>
    </row>
    <row r="1201" spans="1:5" x14ac:dyDescent="0.25">
      <c r="A1201" s="1" t="s">
        <v>1200</v>
      </c>
      <c r="C1201" s="3">
        <v>105</v>
      </c>
      <c r="E1201" t="s">
        <v>17182</v>
      </c>
    </row>
    <row r="1202" spans="1:5" x14ac:dyDescent="0.25">
      <c r="A1202" s="1" t="s">
        <v>1201</v>
      </c>
      <c r="C1202" s="3">
        <v>105</v>
      </c>
      <c r="E1202" t="s">
        <v>3802</v>
      </c>
    </row>
    <row r="1203" spans="1:5" x14ac:dyDescent="0.25">
      <c r="A1203" s="1" t="s">
        <v>1202</v>
      </c>
      <c r="C1203" s="3">
        <v>104</v>
      </c>
      <c r="E1203" t="s">
        <v>3600</v>
      </c>
    </row>
    <row r="1204" spans="1:5" x14ac:dyDescent="0.25">
      <c r="A1204" s="1" t="s">
        <v>1203</v>
      </c>
      <c r="C1204" s="3">
        <v>104</v>
      </c>
      <c r="E1204" t="s">
        <v>8651</v>
      </c>
    </row>
    <row r="1205" spans="1:5" x14ac:dyDescent="0.25">
      <c r="A1205" s="1" t="s">
        <v>1204</v>
      </c>
      <c r="C1205" s="3">
        <v>104</v>
      </c>
      <c r="E1205" t="s">
        <v>16481</v>
      </c>
    </row>
    <row r="1206" spans="1:5" x14ac:dyDescent="0.25">
      <c r="A1206" s="1" t="s">
        <v>1205</v>
      </c>
      <c r="C1206" s="3">
        <v>104</v>
      </c>
      <c r="E1206" t="s">
        <v>13015</v>
      </c>
    </row>
    <row r="1207" spans="1:5" x14ac:dyDescent="0.25">
      <c r="A1207" s="1" t="s">
        <v>1206</v>
      </c>
      <c r="C1207" s="3">
        <v>104</v>
      </c>
      <c r="E1207" t="s">
        <v>4995</v>
      </c>
    </row>
    <row r="1208" spans="1:5" x14ac:dyDescent="0.25">
      <c r="A1208" s="1" t="s">
        <v>1207</v>
      </c>
      <c r="C1208" s="3">
        <v>104</v>
      </c>
      <c r="E1208" t="s">
        <v>4064</v>
      </c>
    </row>
    <row r="1209" spans="1:5" x14ac:dyDescent="0.25">
      <c r="A1209" s="1" t="s">
        <v>1208</v>
      </c>
      <c r="C1209" s="3">
        <v>104</v>
      </c>
      <c r="E1209" t="s">
        <v>4708</v>
      </c>
    </row>
    <row r="1210" spans="1:5" x14ac:dyDescent="0.25">
      <c r="A1210" s="1" t="s">
        <v>1209</v>
      </c>
      <c r="C1210" s="3">
        <v>104</v>
      </c>
      <c r="E1210" t="s">
        <v>18397</v>
      </c>
    </row>
    <row r="1211" spans="1:5" x14ac:dyDescent="0.25">
      <c r="A1211" s="1" t="s">
        <v>1210</v>
      </c>
      <c r="C1211" s="3">
        <v>104</v>
      </c>
      <c r="E1211" t="s">
        <v>15746</v>
      </c>
    </row>
    <row r="1212" spans="1:5" x14ac:dyDescent="0.25">
      <c r="A1212" s="1" t="s">
        <v>1211</v>
      </c>
      <c r="C1212" s="3">
        <v>104</v>
      </c>
      <c r="E1212" t="s">
        <v>1367</v>
      </c>
    </row>
    <row r="1213" spans="1:5" x14ac:dyDescent="0.25">
      <c r="A1213" s="1" t="s">
        <v>1212</v>
      </c>
      <c r="C1213" s="3">
        <v>103</v>
      </c>
      <c r="E1213" t="s">
        <v>4877</v>
      </c>
    </row>
    <row r="1214" spans="1:5" x14ac:dyDescent="0.25">
      <c r="A1214" s="1" t="s">
        <v>1213</v>
      </c>
      <c r="C1214" s="3">
        <v>103</v>
      </c>
      <c r="E1214" t="s">
        <v>8573</v>
      </c>
    </row>
    <row r="1215" spans="1:5" x14ac:dyDescent="0.25">
      <c r="A1215" s="1" t="s">
        <v>1214</v>
      </c>
      <c r="C1215" s="3">
        <v>103</v>
      </c>
      <c r="E1215" t="s">
        <v>628</v>
      </c>
    </row>
    <row r="1216" spans="1:5" x14ac:dyDescent="0.25">
      <c r="A1216" s="1" t="s">
        <v>1215</v>
      </c>
      <c r="C1216" s="3">
        <v>103</v>
      </c>
      <c r="E1216" t="s">
        <v>171</v>
      </c>
    </row>
    <row r="1217" spans="1:5" x14ac:dyDescent="0.25">
      <c r="A1217" s="1" t="s">
        <v>1216</v>
      </c>
      <c r="C1217" s="3">
        <v>103</v>
      </c>
      <c r="E1217" t="s">
        <v>1443</v>
      </c>
    </row>
    <row r="1218" spans="1:5" x14ac:dyDescent="0.25">
      <c r="A1218" s="1" t="s">
        <v>1217</v>
      </c>
      <c r="C1218" s="3">
        <v>103</v>
      </c>
      <c r="E1218" t="s">
        <v>13488</v>
      </c>
    </row>
    <row r="1219" spans="1:5" x14ac:dyDescent="0.25">
      <c r="A1219" s="1" t="s">
        <v>1218</v>
      </c>
      <c r="C1219" s="3">
        <v>103</v>
      </c>
      <c r="E1219" t="s">
        <v>1329</v>
      </c>
    </row>
    <row r="1220" spans="1:5" x14ac:dyDescent="0.25">
      <c r="A1220" s="1" t="s">
        <v>1219</v>
      </c>
      <c r="C1220" s="3">
        <v>103</v>
      </c>
      <c r="E1220" t="s">
        <v>9486</v>
      </c>
    </row>
    <row r="1221" spans="1:5" x14ac:dyDescent="0.25">
      <c r="A1221" s="1" t="s">
        <v>1220</v>
      </c>
      <c r="C1221" s="3">
        <v>103</v>
      </c>
      <c r="E1221" t="s">
        <v>779</v>
      </c>
    </row>
    <row r="1222" spans="1:5" x14ac:dyDescent="0.25">
      <c r="A1222" s="1" t="s">
        <v>1221</v>
      </c>
      <c r="C1222" s="3">
        <v>103</v>
      </c>
      <c r="E1222" t="s">
        <v>6179</v>
      </c>
    </row>
    <row r="1223" spans="1:5" x14ac:dyDescent="0.25">
      <c r="A1223" s="1" t="s">
        <v>1222</v>
      </c>
      <c r="C1223" s="3">
        <v>103</v>
      </c>
      <c r="E1223" t="s">
        <v>7036</v>
      </c>
    </row>
    <row r="1224" spans="1:5" x14ac:dyDescent="0.25">
      <c r="A1224" s="1" t="s">
        <v>1223</v>
      </c>
      <c r="C1224" s="3">
        <v>103</v>
      </c>
      <c r="E1224" t="s">
        <v>2220</v>
      </c>
    </row>
    <row r="1225" spans="1:5" x14ac:dyDescent="0.25">
      <c r="A1225" s="1" t="s">
        <v>1224</v>
      </c>
      <c r="C1225" s="3">
        <v>103</v>
      </c>
      <c r="E1225" t="s">
        <v>2550</v>
      </c>
    </row>
    <row r="1226" spans="1:5" x14ac:dyDescent="0.25">
      <c r="A1226" s="1" t="s">
        <v>1225</v>
      </c>
      <c r="C1226" s="3">
        <v>102</v>
      </c>
      <c r="E1226" t="s">
        <v>802</v>
      </c>
    </row>
    <row r="1227" spans="1:5" x14ac:dyDescent="0.25">
      <c r="A1227" s="1" t="s">
        <v>1226</v>
      </c>
      <c r="C1227" s="3">
        <v>102</v>
      </c>
      <c r="E1227" t="s">
        <v>10644</v>
      </c>
    </row>
    <row r="1228" spans="1:5" x14ac:dyDescent="0.25">
      <c r="A1228" s="1" t="s">
        <v>1227</v>
      </c>
      <c r="C1228" s="3">
        <v>102</v>
      </c>
      <c r="E1228" t="s">
        <v>5444</v>
      </c>
    </row>
    <row r="1229" spans="1:5" x14ac:dyDescent="0.25">
      <c r="A1229" s="1" t="s">
        <v>1228</v>
      </c>
      <c r="C1229" s="3">
        <v>102</v>
      </c>
      <c r="E1229" t="s">
        <v>5661</v>
      </c>
    </row>
    <row r="1230" spans="1:5" x14ac:dyDescent="0.25">
      <c r="A1230" s="1" t="s">
        <v>1229</v>
      </c>
      <c r="C1230" s="3">
        <v>102</v>
      </c>
      <c r="E1230" t="s">
        <v>1149</v>
      </c>
    </row>
    <row r="1231" spans="1:5" x14ac:dyDescent="0.25">
      <c r="A1231" s="1" t="s">
        <v>1230</v>
      </c>
      <c r="C1231" s="3">
        <v>102</v>
      </c>
      <c r="E1231" t="s">
        <v>1090</v>
      </c>
    </row>
    <row r="1232" spans="1:5" x14ac:dyDescent="0.25">
      <c r="A1232" s="1" t="s">
        <v>1231</v>
      </c>
      <c r="C1232" s="3">
        <v>102</v>
      </c>
      <c r="E1232" t="s">
        <v>7815</v>
      </c>
    </row>
    <row r="1233" spans="1:5" x14ac:dyDescent="0.25">
      <c r="A1233" s="1" t="s">
        <v>1232</v>
      </c>
      <c r="C1233" s="3">
        <v>102</v>
      </c>
      <c r="E1233" t="s">
        <v>3222</v>
      </c>
    </row>
    <row r="1234" spans="1:5" x14ac:dyDescent="0.25">
      <c r="A1234" s="1" t="s">
        <v>1233</v>
      </c>
      <c r="C1234" s="3">
        <v>102</v>
      </c>
      <c r="E1234" t="s">
        <v>15196</v>
      </c>
    </row>
    <row r="1235" spans="1:5" x14ac:dyDescent="0.25">
      <c r="A1235" s="1" t="s">
        <v>1234</v>
      </c>
      <c r="C1235" s="3">
        <v>102</v>
      </c>
      <c r="E1235" t="s">
        <v>3985</v>
      </c>
    </row>
    <row r="1236" spans="1:5" x14ac:dyDescent="0.25">
      <c r="A1236" s="1" t="s">
        <v>1235</v>
      </c>
      <c r="C1236" s="3">
        <v>102</v>
      </c>
      <c r="E1236" t="s">
        <v>13719</v>
      </c>
    </row>
    <row r="1237" spans="1:5" x14ac:dyDescent="0.25">
      <c r="A1237" s="1" t="s">
        <v>1236</v>
      </c>
      <c r="C1237" s="3">
        <v>102</v>
      </c>
      <c r="E1237" t="s">
        <v>2932</v>
      </c>
    </row>
    <row r="1238" spans="1:5" x14ac:dyDescent="0.25">
      <c r="A1238" s="1" t="s">
        <v>1237</v>
      </c>
      <c r="C1238" s="3">
        <v>102</v>
      </c>
      <c r="E1238" t="s">
        <v>2464</v>
      </c>
    </row>
    <row r="1239" spans="1:5" x14ac:dyDescent="0.25">
      <c r="A1239" s="1" t="s">
        <v>1238</v>
      </c>
      <c r="C1239" s="3">
        <v>102</v>
      </c>
      <c r="E1239" t="s">
        <v>13038</v>
      </c>
    </row>
    <row r="1240" spans="1:5" x14ac:dyDescent="0.25">
      <c r="A1240" s="1" t="s">
        <v>1239</v>
      </c>
      <c r="C1240" s="3">
        <v>102</v>
      </c>
      <c r="E1240" t="s">
        <v>12880</v>
      </c>
    </row>
    <row r="1241" spans="1:5" x14ac:dyDescent="0.25">
      <c r="A1241" s="1" t="s">
        <v>1240</v>
      </c>
      <c r="C1241" s="3">
        <v>102</v>
      </c>
      <c r="E1241" t="s">
        <v>8062</v>
      </c>
    </row>
    <row r="1242" spans="1:5" x14ac:dyDescent="0.25">
      <c r="A1242" s="1" t="s">
        <v>1241</v>
      </c>
      <c r="C1242" s="3">
        <v>102</v>
      </c>
      <c r="E1242" t="s">
        <v>10170</v>
      </c>
    </row>
    <row r="1243" spans="1:5" x14ac:dyDescent="0.25">
      <c r="A1243" s="1" t="s">
        <v>1242</v>
      </c>
      <c r="C1243" s="3">
        <v>102</v>
      </c>
      <c r="E1243" t="s">
        <v>4843</v>
      </c>
    </row>
    <row r="1244" spans="1:5" x14ac:dyDescent="0.25">
      <c r="A1244" s="1" t="s">
        <v>1243</v>
      </c>
      <c r="C1244" s="3">
        <v>101</v>
      </c>
      <c r="E1244" t="s">
        <v>2495</v>
      </c>
    </row>
    <row r="1245" spans="1:5" x14ac:dyDescent="0.25">
      <c r="A1245" s="1" t="s">
        <v>1244</v>
      </c>
      <c r="C1245" s="3">
        <v>101</v>
      </c>
      <c r="E1245" t="s">
        <v>25433</v>
      </c>
    </row>
    <row r="1246" spans="1:5" x14ac:dyDescent="0.25">
      <c r="A1246" s="1" t="s">
        <v>1245</v>
      </c>
      <c r="C1246" s="3">
        <v>101</v>
      </c>
      <c r="E1246" t="s">
        <v>4934</v>
      </c>
    </row>
    <row r="1247" spans="1:5" x14ac:dyDescent="0.25">
      <c r="A1247" s="1" t="s">
        <v>1246</v>
      </c>
      <c r="C1247" s="3">
        <v>101</v>
      </c>
      <c r="E1247" t="s">
        <v>6010</v>
      </c>
    </row>
    <row r="1248" spans="1:5" x14ac:dyDescent="0.25">
      <c r="A1248" s="1" t="s">
        <v>1247</v>
      </c>
      <c r="C1248" s="3">
        <v>101</v>
      </c>
      <c r="E1248" t="s">
        <v>21989</v>
      </c>
    </row>
    <row r="1249" spans="1:5" x14ac:dyDescent="0.25">
      <c r="A1249" s="1" t="s">
        <v>1248</v>
      </c>
      <c r="C1249" s="3">
        <v>101</v>
      </c>
      <c r="E1249" t="s">
        <v>2286</v>
      </c>
    </row>
    <row r="1250" spans="1:5" x14ac:dyDescent="0.25">
      <c r="A1250" s="1" t="s">
        <v>1249</v>
      </c>
      <c r="C1250" s="3">
        <v>101</v>
      </c>
      <c r="E1250" t="s">
        <v>377</v>
      </c>
    </row>
    <row r="1251" spans="1:5" x14ac:dyDescent="0.25">
      <c r="A1251" s="1" t="s">
        <v>1250</v>
      </c>
      <c r="C1251" s="3">
        <v>101</v>
      </c>
      <c r="E1251" t="s">
        <v>320</v>
      </c>
    </row>
    <row r="1252" spans="1:5" x14ac:dyDescent="0.25">
      <c r="A1252" s="1" t="s">
        <v>1251</v>
      </c>
      <c r="C1252" s="3">
        <v>101</v>
      </c>
      <c r="E1252" t="s">
        <v>12023</v>
      </c>
    </row>
    <row r="1253" spans="1:5" x14ac:dyDescent="0.25">
      <c r="A1253" s="1" t="s">
        <v>1252</v>
      </c>
      <c r="C1253" s="3">
        <v>101</v>
      </c>
      <c r="E1253" t="s">
        <v>11977</v>
      </c>
    </row>
    <row r="1254" spans="1:5" x14ac:dyDescent="0.25">
      <c r="A1254" s="1" t="s">
        <v>1253</v>
      </c>
      <c r="C1254" s="3">
        <v>101</v>
      </c>
      <c r="E1254" t="s">
        <v>7706</v>
      </c>
    </row>
    <row r="1255" spans="1:5" x14ac:dyDescent="0.25">
      <c r="A1255" s="1" t="s">
        <v>1254</v>
      </c>
      <c r="C1255" s="3">
        <v>101</v>
      </c>
      <c r="E1255" t="s">
        <v>11578</v>
      </c>
    </row>
    <row r="1256" spans="1:5" x14ac:dyDescent="0.25">
      <c r="A1256" s="1" t="s">
        <v>1255</v>
      </c>
      <c r="C1256" s="3">
        <v>101</v>
      </c>
      <c r="E1256" t="s">
        <v>11696</v>
      </c>
    </row>
    <row r="1257" spans="1:5" x14ac:dyDescent="0.25">
      <c r="A1257" s="1" t="s">
        <v>1256</v>
      </c>
      <c r="C1257" s="3">
        <v>101</v>
      </c>
      <c r="E1257" t="s">
        <v>2209</v>
      </c>
    </row>
    <row r="1258" spans="1:5" x14ac:dyDescent="0.25">
      <c r="A1258" s="2" t="s">
        <v>1257</v>
      </c>
      <c r="C1258" s="4">
        <v>100</v>
      </c>
      <c r="E1258" t="s">
        <v>10295</v>
      </c>
    </row>
    <row r="1259" spans="1:5" x14ac:dyDescent="0.25">
      <c r="A1259" s="1" t="s">
        <v>1258</v>
      </c>
      <c r="C1259" s="3">
        <v>100</v>
      </c>
      <c r="E1259" t="s">
        <v>6154</v>
      </c>
    </row>
    <row r="1260" spans="1:5" x14ac:dyDescent="0.25">
      <c r="A1260" s="1" t="s">
        <v>1259</v>
      </c>
      <c r="C1260" s="3">
        <v>100</v>
      </c>
      <c r="E1260" t="s">
        <v>19756</v>
      </c>
    </row>
    <row r="1261" spans="1:5" x14ac:dyDescent="0.25">
      <c r="A1261" s="1" t="s">
        <v>1260</v>
      </c>
      <c r="C1261" s="3">
        <v>100</v>
      </c>
      <c r="E1261" t="s">
        <v>3417</v>
      </c>
    </row>
    <row r="1262" spans="1:5" x14ac:dyDescent="0.25">
      <c r="A1262" s="1" t="s">
        <v>1261</v>
      </c>
      <c r="C1262" s="3">
        <v>100</v>
      </c>
      <c r="E1262" t="s">
        <v>1012</v>
      </c>
    </row>
    <row r="1263" spans="1:5" x14ac:dyDescent="0.25">
      <c r="A1263" s="1" t="s">
        <v>1262</v>
      </c>
      <c r="C1263" s="3">
        <v>100</v>
      </c>
      <c r="E1263" t="s">
        <v>3087</v>
      </c>
    </row>
    <row r="1264" spans="1:5" x14ac:dyDescent="0.25">
      <c r="A1264" s="1" t="s">
        <v>1263</v>
      </c>
      <c r="C1264" s="3">
        <v>100</v>
      </c>
      <c r="E1264" t="s">
        <v>2795</v>
      </c>
    </row>
    <row r="1265" spans="1:5" x14ac:dyDescent="0.25">
      <c r="A1265" s="1" t="s">
        <v>1264</v>
      </c>
      <c r="C1265" s="3">
        <v>100</v>
      </c>
      <c r="E1265" t="s">
        <v>5860</v>
      </c>
    </row>
    <row r="1266" spans="1:5" x14ac:dyDescent="0.25">
      <c r="A1266" s="1" t="s">
        <v>1265</v>
      </c>
      <c r="C1266" s="3">
        <v>100</v>
      </c>
      <c r="E1266" t="s">
        <v>4544</v>
      </c>
    </row>
    <row r="1267" spans="1:5" x14ac:dyDescent="0.25">
      <c r="A1267" s="1" t="s">
        <v>1266</v>
      </c>
      <c r="C1267" s="3">
        <v>100</v>
      </c>
      <c r="E1267" t="s">
        <v>6040</v>
      </c>
    </row>
    <row r="1268" spans="1:5" x14ac:dyDescent="0.25">
      <c r="A1268" s="1" t="s">
        <v>1267</v>
      </c>
      <c r="C1268" s="3">
        <v>100</v>
      </c>
      <c r="E1268" t="s">
        <v>371</v>
      </c>
    </row>
    <row r="1269" spans="1:5" x14ac:dyDescent="0.25">
      <c r="A1269" s="1" t="s">
        <v>1268</v>
      </c>
      <c r="C1269" s="3">
        <v>100</v>
      </c>
      <c r="E1269" t="s">
        <v>7997</v>
      </c>
    </row>
    <row r="1270" spans="1:5" x14ac:dyDescent="0.25">
      <c r="A1270" s="1" t="s">
        <v>1269</v>
      </c>
      <c r="C1270" s="3">
        <v>99</v>
      </c>
      <c r="E1270" t="s">
        <v>25434</v>
      </c>
    </row>
    <row r="1271" spans="1:5" x14ac:dyDescent="0.25">
      <c r="A1271" s="1" t="s">
        <v>1270</v>
      </c>
      <c r="C1271" s="3">
        <v>99</v>
      </c>
      <c r="E1271" t="s">
        <v>8864</v>
      </c>
    </row>
    <row r="1272" spans="1:5" x14ac:dyDescent="0.25">
      <c r="A1272" s="1" t="s">
        <v>1271</v>
      </c>
      <c r="C1272" s="3">
        <v>99</v>
      </c>
      <c r="E1272" t="s">
        <v>1232</v>
      </c>
    </row>
    <row r="1273" spans="1:5" x14ac:dyDescent="0.25">
      <c r="A1273" s="1" t="s">
        <v>1272</v>
      </c>
      <c r="C1273" s="3">
        <v>99</v>
      </c>
      <c r="E1273" t="s">
        <v>3581</v>
      </c>
    </row>
    <row r="1274" spans="1:5" x14ac:dyDescent="0.25">
      <c r="A1274" s="1" t="s">
        <v>1273</v>
      </c>
      <c r="C1274" s="3">
        <v>99</v>
      </c>
      <c r="E1274" t="s">
        <v>6930</v>
      </c>
    </row>
    <row r="1275" spans="1:5" x14ac:dyDescent="0.25">
      <c r="A1275" s="1" t="s">
        <v>1274</v>
      </c>
      <c r="C1275" s="3">
        <v>99</v>
      </c>
      <c r="E1275" t="s">
        <v>25435</v>
      </c>
    </row>
    <row r="1276" spans="1:5" x14ac:dyDescent="0.25">
      <c r="A1276" s="1" t="s">
        <v>1275</v>
      </c>
      <c r="C1276" s="3">
        <v>99</v>
      </c>
      <c r="E1276" t="s">
        <v>16761</v>
      </c>
    </row>
    <row r="1277" spans="1:5" x14ac:dyDescent="0.25">
      <c r="A1277" s="1" t="s">
        <v>1276</v>
      </c>
      <c r="C1277" s="3">
        <v>99</v>
      </c>
      <c r="E1277" t="s">
        <v>2637</v>
      </c>
    </row>
    <row r="1278" spans="1:5" x14ac:dyDescent="0.25">
      <c r="A1278" s="1" t="s">
        <v>1277</v>
      </c>
      <c r="C1278" s="3">
        <v>99</v>
      </c>
      <c r="E1278" t="s">
        <v>2448</v>
      </c>
    </row>
    <row r="1279" spans="1:5" x14ac:dyDescent="0.25">
      <c r="A1279" s="1" t="s">
        <v>1278</v>
      </c>
      <c r="C1279" s="3">
        <v>99</v>
      </c>
      <c r="E1279" t="s">
        <v>12702</v>
      </c>
    </row>
    <row r="1280" spans="1:5" x14ac:dyDescent="0.25">
      <c r="A1280" s="1" t="s">
        <v>1279</v>
      </c>
      <c r="C1280" s="3">
        <v>99</v>
      </c>
      <c r="E1280" t="s">
        <v>3967</v>
      </c>
    </row>
    <row r="1281" spans="1:5" x14ac:dyDescent="0.25">
      <c r="A1281" s="1" t="s">
        <v>1280</v>
      </c>
      <c r="C1281" s="3">
        <v>99</v>
      </c>
      <c r="E1281" t="s">
        <v>12706</v>
      </c>
    </row>
    <row r="1282" spans="1:5" x14ac:dyDescent="0.25">
      <c r="A1282" s="1" t="s">
        <v>1281</v>
      </c>
      <c r="C1282" s="3">
        <v>99</v>
      </c>
      <c r="E1282" t="s">
        <v>1856</v>
      </c>
    </row>
    <row r="1283" spans="1:5" x14ac:dyDescent="0.25">
      <c r="A1283" s="1" t="s">
        <v>1282</v>
      </c>
      <c r="C1283" s="3">
        <v>99</v>
      </c>
      <c r="E1283" t="s">
        <v>13549</v>
      </c>
    </row>
    <row r="1284" spans="1:5" x14ac:dyDescent="0.25">
      <c r="A1284" s="1" t="s">
        <v>1283</v>
      </c>
      <c r="C1284" s="3">
        <v>99</v>
      </c>
      <c r="E1284" t="s">
        <v>3794</v>
      </c>
    </row>
    <row r="1285" spans="1:5" x14ac:dyDescent="0.25">
      <c r="A1285" s="1" t="s">
        <v>1284</v>
      </c>
      <c r="C1285" s="3">
        <v>99</v>
      </c>
      <c r="E1285" t="s">
        <v>4252</v>
      </c>
    </row>
    <row r="1286" spans="1:5" x14ac:dyDescent="0.25">
      <c r="A1286" s="1" t="s">
        <v>1285</v>
      </c>
      <c r="C1286" s="3">
        <v>99</v>
      </c>
      <c r="E1286" t="s">
        <v>5471</v>
      </c>
    </row>
    <row r="1287" spans="1:5" x14ac:dyDescent="0.25">
      <c r="A1287" s="1" t="s">
        <v>1286</v>
      </c>
      <c r="C1287" s="3">
        <v>98</v>
      </c>
      <c r="E1287" t="s">
        <v>8142</v>
      </c>
    </row>
    <row r="1288" spans="1:5" x14ac:dyDescent="0.25">
      <c r="A1288" s="1" t="s">
        <v>1287</v>
      </c>
      <c r="C1288" s="3">
        <v>98</v>
      </c>
      <c r="E1288" t="s">
        <v>7858</v>
      </c>
    </row>
    <row r="1289" spans="1:5" x14ac:dyDescent="0.25">
      <c r="A1289" s="1" t="s">
        <v>1288</v>
      </c>
      <c r="C1289" s="3">
        <v>98</v>
      </c>
      <c r="E1289" t="s">
        <v>838</v>
      </c>
    </row>
    <row r="1290" spans="1:5" x14ac:dyDescent="0.25">
      <c r="A1290" s="1" t="s">
        <v>1289</v>
      </c>
      <c r="C1290" s="3">
        <v>98</v>
      </c>
      <c r="E1290" t="s">
        <v>13424</v>
      </c>
    </row>
    <row r="1291" spans="1:5" x14ac:dyDescent="0.25">
      <c r="A1291" s="1" t="s">
        <v>1290</v>
      </c>
      <c r="C1291" s="3">
        <v>98</v>
      </c>
      <c r="E1291" t="s">
        <v>10436</v>
      </c>
    </row>
    <row r="1292" spans="1:5" x14ac:dyDescent="0.25">
      <c r="A1292" s="1" t="s">
        <v>1291</v>
      </c>
      <c r="C1292" s="3">
        <v>98</v>
      </c>
      <c r="E1292" t="s">
        <v>6780</v>
      </c>
    </row>
    <row r="1293" spans="1:5" x14ac:dyDescent="0.25">
      <c r="A1293" s="1" t="s">
        <v>1292</v>
      </c>
      <c r="C1293" s="3">
        <v>98</v>
      </c>
      <c r="E1293" t="s">
        <v>4313</v>
      </c>
    </row>
    <row r="1294" spans="1:5" x14ac:dyDescent="0.25">
      <c r="A1294" s="1" t="s">
        <v>1293</v>
      </c>
      <c r="C1294" s="3">
        <v>98</v>
      </c>
      <c r="E1294" t="s">
        <v>602</v>
      </c>
    </row>
    <row r="1295" spans="1:5" x14ac:dyDescent="0.25">
      <c r="A1295" s="1" t="s">
        <v>1294</v>
      </c>
      <c r="C1295" s="3">
        <v>98</v>
      </c>
      <c r="E1295" t="s">
        <v>433</v>
      </c>
    </row>
    <row r="1296" spans="1:5" x14ac:dyDescent="0.25">
      <c r="A1296" s="1" t="s">
        <v>1295</v>
      </c>
      <c r="C1296" s="3">
        <v>98</v>
      </c>
      <c r="E1296" t="s">
        <v>5755</v>
      </c>
    </row>
    <row r="1297" spans="1:5" x14ac:dyDescent="0.25">
      <c r="A1297" s="1" t="s">
        <v>1296</v>
      </c>
      <c r="C1297" s="3">
        <v>98</v>
      </c>
      <c r="E1297" t="s">
        <v>14848</v>
      </c>
    </row>
    <row r="1298" spans="1:5" x14ac:dyDescent="0.25">
      <c r="A1298" s="1" t="s">
        <v>1297</v>
      </c>
      <c r="C1298" s="3">
        <v>98</v>
      </c>
      <c r="E1298" t="s">
        <v>7637</v>
      </c>
    </row>
    <row r="1299" spans="1:5" x14ac:dyDescent="0.25">
      <c r="A1299" s="1" t="s">
        <v>1298</v>
      </c>
      <c r="C1299" s="3">
        <v>98</v>
      </c>
      <c r="E1299" t="s">
        <v>2134</v>
      </c>
    </row>
    <row r="1300" spans="1:5" x14ac:dyDescent="0.25">
      <c r="A1300" s="1" t="s">
        <v>1299</v>
      </c>
      <c r="C1300" s="3">
        <v>98</v>
      </c>
      <c r="E1300" t="s">
        <v>869</v>
      </c>
    </row>
    <row r="1301" spans="1:5" x14ac:dyDescent="0.25">
      <c r="A1301" s="1" t="s">
        <v>1300</v>
      </c>
      <c r="C1301" s="3">
        <v>98</v>
      </c>
      <c r="E1301" t="s">
        <v>8531</v>
      </c>
    </row>
    <row r="1302" spans="1:5" x14ac:dyDescent="0.25">
      <c r="A1302" s="1" t="s">
        <v>1301</v>
      </c>
      <c r="C1302" s="3">
        <v>98</v>
      </c>
      <c r="E1302" t="s">
        <v>452</v>
      </c>
    </row>
    <row r="1303" spans="1:5" x14ac:dyDescent="0.25">
      <c r="A1303" s="1" t="s">
        <v>1302</v>
      </c>
      <c r="C1303" s="3">
        <v>98</v>
      </c>
      <c r="E1303" t="s">
        <v>3508</v>
      </c>
    </row>
    <row r="1304" spans="1:5" x14ac:dyDescent="0.25">
      <c r="A1304" s="1" t="s">
        <v>1303</v>
      </c>
      <c r="C1304" s="3">
        <v>98</v>
      </c>
      <c r="E1304" t="s">
        <v>2772</v>
      </c>
    </row>
    <row r="1305" spans="1:5" x14ac:dyDescent="0.25">
      <c r="A1305" s="1" t="s">
        <v>1304</v>
      </c>
      <c r="C1305" s="3">
        <v>97</v>
      </c>
      <c r="E1305" t="s">
        <v>8552</v>
      </c>
    </row>
    <row r="1306" spans="1:5" x14ac:dyDescent="0.25">
      <c r="A1306" s="1" t="s">
        <v>1305</v>
      </c>
      <c r="C1306" s="3">
        <v>97</v>
      </c>
      <c r="E1306" t="s">
        <v>14065</v>
      </c>
    </row>
    <row r="1307" spans="1:5" x14ac:dyDescent="0.25">
      <c r="A1307" s="1" t="s">
        <v>1306</v>
      </c>
      <c r="C1307" s="3">
        <v>97</v>
      </c>
      <c r="E1307" t="s">
        <v>4493</v>
      </c>
    </row>
    <row r="1308" spans="1:5" x14ac:dyDescent="0.25">
      <c r="A1308" s="1" t="s">
        <v>1307</v>
      </c>
      <c r="C1308" s="3">
        <v>97</v>
      </c>
      <c r="E1308" t="s">
        <v>7536</v>
      </c>
    </row>
    <row r="1309" spans="1:5" x14ac:dyDescent="0.25">
      <c r="A1309" s="1" t="s">
        <v>1308</v>
      </c>
      <c r="C1309" s="3">
        <v>97</v>
      </c>
      <c r="E1309" t="s">
        <v>7866</v>
      </c>
    </row>
    <row r="1310" spans="1:5" x14ac:dyDescent="0.25">
      <c r="A1310" s="1" t="s">
        <v>1309</v>
      </c>
      <c r="C1310" s="3">
        <v>97</v>
      </c>
      <c r="E1310" t="s">
        <v>7901</v>
      </c>
    </row>
    <row r="1311" spans="1:5" x14ac:dyDescent="0.25">
      <c r="A1311" s="1" t="s">
        <v>1310</v>
      </c>
      <c r="C1311" s="3">
        <v>97</v>
      </c>
      <c r="E1311" t="s">
        <v>2964</v>
      </c>
    </row>
    <row r="1312" spans="1:5" x14ac:dyDescent="0.25">
      <c r="A1312" s="1" t="s">
        <v>1311</v>
      </c>
      <c r="C1312" s="3">
        <v>97</v>
      </c>
      <c r="E1312" t="s">
        <v>2688</v>
      </c>
    </row>
    <row r="1313" spans="1:5" x14ac:dyDescent="0.25">
      <c r="A1313" s="1" t="s">
        <v>1312</v>
      </c>
      <c r="C1313" s="3">
        <v>97</v>
      </c>
      <c r="E1313" t="s">
        <v>7798</v>
      </c>
    </row>
    <row r="1314" spans="1:5" x14ac:dyDescent="0.25">
      <c r="A1314" s="1" t="s">
        <v>1313</v>
      </c>
      <c r="C1314" s="3">
        <v>97</v>
      </c>
      <c r="E1314" t="s">
        <v>1274</v>
      </c>
    </row>
    <row r="1315" spans="1:5" x14ac:dyDescent="0.25">
      <c r="A1315" s="1" t="s">
        <v>1314</v>
      </c>
      <c r="C1315" s="3">
        <v>97</v>
      </c>
      <c r="E1315" t="s">
        <v>1621</v>
      </c>
    </row>
    <row r="1316" spans="1:5" x14ac:dyDescent="0.25">
      <c r="A1316" s="1" t="s">
        <v>1315</v>
      </c>
      <c r="C1316" s="3">
        <v>97</v>
      </c>
      <c r="E1316" t="s">
        <v>2907</v>
      </c>
    </row>
    <row r="1317" spans="1:5" x14ac:dyDescent="0.25">
      <c r="A1317" s="1" t="s">
        <v>1316</v>
      </c>
      <c r="C1317" s="3">
        <v>97</v>
      </c>
      <c r="E1317" t="s">
        <v>10824</v>
      </c>
    </row>
    <row r="1318" spans="1:5" x14ac:dyDescent="0.25">
      <c r="A1318" s="1" t="s">
        <v>1317</v>
      </c>
      <c r="C1318" s="3">
        <v>97</v>
      </c>
      <c r="E1318" t="s">
        <v>626</v>
      </c>
    </row>
    <row r="1319" spans="1:5" x14ac:dyDescent="0.25">
      <c r="A1319" s="1" t="s">
        <v>1318</v>
      </c>
      <c r="C1319" s="3">
        <v>97</v>
      </c>
      <c r="E1319" t="s">
        <v>3592</v>
      </c>
    </row>
    <row r="1320" spans="1:5" x14ac:dyDescent="0.25">
      <c r="A1320" s="1" t="s">
        <v>1319</v>
      </c>
      <c r="C1320" s="3">
        <v>97</v>
      </c>
      <c r="E1320" t="s">
        <v>586</v>
      </c>
    </row>
    <row r="1321" spans="1:5" x14ac:dyDescent="0.25">
      <c r="A1321" s="1" t="s">
        <v>1320</v>
      </c>
      <c r="C1321" s="3">
        <v>96</v>
      </c>
      <c r="E1321" t="s">
        <v>4119</v>
      </c>
    </row>
    <row r="1322" spans="1:5" x14ac:dyDescent="0.25">
      <c r="A1322" s="1" t="s">
        <v>1321</v>
      </c>
      <c r="C1322" s="3">
        <v>96</v>
      </c>
      <c r="E1322" t="s">
        <v>4689</v>
      </c>
    </row>
    <row r="1323" spans="1:5" x14ac:dyDescent="0.25">
      <c r="A1323" s="1" t="s">
        <v>1322</v>
      </c>
      <c r="C1323" s="3">
        <v>96</v>
      </c>
      <c r="E1323" t="s">
        <v>9036</v>
      </c>
    </row>
    <row r="1324" spans="1:5" x14ac:dyDescent="0.25">
      <c r="A1324" s="1" t="s">
        <v>1323</v>
      </c>
      <c r="C1324" s="3">
        <v>96</v>
      </c>
      <c r="E1324" t="s">
        <v>523</v>
      </c>
    </row>
    <row r="1325" spans="1:5" x14ac:dyDescent="0.25">
      <c r="A1325" s="1" t="s">
        <v>1324</v>
      </c>
      <c r="C1325" s="3">
        <v>96</v>
      </c>
      <c r="E1325" t="s">
        <v>252</v>
      </c>
    </row>
    <row r="1326" spans="1:5" x14ac:dyDescent="0.25">
      <c r="A1326" s="1" t="s">
        <v>1325</v>
      </c>
      <c r="C1326" s="3">
        <v>96</v>
      </c>
      <c r="E1326" t="s">
        <v>4782</v>
      </c>
    </row>
    <row r="1327" spans="1:5" x14ac:dyDescent="0.25">
      <c r="A1327" s="1" t="s">
        <v>1326</v>
      </c>
      <c r="C1327" s="3">
        <v>96</v>
      </c>
      <c r="E1327" t="s">
        <v>342</v>
      </c>
    </row>
    <row r="1328" spans="1:5" x14ac:dyDescent="0.25">
      <c r="A1328" s="1" t="s">
        <v>1327</v>
      </c>
      <c r="C1328" s="3">
        <v>96</v>
      </c>
      <c r="E1328" t="s">
        <v>1021</v>
      </c>
    </row>
    <row r="1329" spans="1:5" x14ac:dyDescent="0.25">
      <c r="A1329" s="1" t="s">
        <v>1328</v>
      </c>
      <c r="C1329" s="3">
        <v>96</v>
      </c>
      <c r="E1329" t="s">
        <v>2471</v>
      </c>
    </row>
    <row r="1330" spans="1:5" x14ac:dyDescent="0.25">
      <c r="A1330" s="1" t="s">
        <v>1329</v>
      </c>
      <c r="C1330" s="3">
        <v>96</v>
      </c>
      <c r="E1330" t="s">
        <v>6866</v>
      </c>
    </row>
    <row r="1331" spans="1:5" x14ac:dyDescent="0.25">
      <c r="A1331" s="1" t="s">
        <v>1330</v>
      </c>
      <c r="C1331" s="3">
        <v>96</v>
      </c>
      <c r="E1331" t="s">
        <v>5706</v>
      </c>
    </row>
    <row r="1332" spans="1:5" x14ac:dyDescent="0.25">
      <c r="A1332" s="1" t="s">
        <v>1331</v>
      </c>
      <c r="C1332" s="3">
        <v>96</v>
      </c>
      <c r="E1332" t="s">
        <v>4337</v>
      </c>
    </row>
    <row r="1333" spans="1:5" x14ac:dyDescent="0.25">
      <c r="A1333" s="1" t="s">
        <v>1332</v>
      </c>
      <c r="C1333" s="3">
        <v>96</v>
      </c>
      <c r="E1333" t="s">
        <v>4670</v>
      </c>
    </row>
    <row r="1334" spans="1:5" x14ac:dyDescent="0.25">
      <c r="A1334" s="1" t="s">
        <v>1333</v>
      </c>
      <c r="C1334" s="3">
        <v>96</v>
      </c>
      <c r="E1334" t="s">
        <v>14975</v>
      </c>
    </row>
    <row r="1335" spans="1:5" x14ac:dyDescent="0.25">
      <c r="A1335" s="1" t="s">
        <v>1334</v>
      </c>
      <c r="C1335" s="3">
        <v>96</v>
      </c>
      <c r="E1335" t="s">
        <v>8902</v>
      </c>
    </row>
    <row r="1336" spans="1:5" x14ac:dyDescent="0.25">
      <c r="A1336" s="1" t="s">
        <v>1335</v>
      </c>
      <c r="C1336" s="3">
        <v>96</v>
      </c>
      <c r="E1336" t="s">
        <v>6079</v>
      </c>
    </row>
    <row r="1337" spans="1:5" x14ac:dyDescent="0.25">
      <c r="A1337" s="1" t="s">
        <v>1336</v>
      </c>
      <c r="C1337" s="3">
        <v>96</v>
      </c>
      <c r="E1337" t="s">
        <v>10120</v>
      </c>
    </row>
    <row r="1338" spans="1:5" x14ac:dyDescent="0.25">
      <c r="A1338" s="1" t="s">
        <v>1337</v>
      </c>
      <c r="C1338" s="3">
        <v>96</v>
      </c>
      <c r="E1338" t="s">
        <v>5382</v>
      </c>
    </row>
    <row r="1339" spans="1:5" x14ac:dyDescent="0.25">
      <c r="A1339" s="1" t="s">
        <v>1338</v>
      </c>
      <c r="C1339" s="3">
        <v>96</v>
      </c>
      <c r="E1339" t="s">
        <v>1277</v>
      </c>
    </row>
    <row r="1340" spans="1:5" x14ac:dyDescent="0.25">
      <c r="A1340" s="1" t="s">
        <v>1339</v>
      </c>
      <c r="C1340" s="3">
        <v>96</v>
      </c>
      <c r="E1340" t="s">
        <v>11644</v>
      </c>
    </row>
    <row r="1341" spans="1:5" x14ac:dyDescent="0.25">
      <c r="A1341" s="1" t="s">
        <v>1340</v>
      </c>
      <c r="C1341" s="3">
        <v>96</v>
      </c>
      <c r="E1341" t="s">
        <v>13192</v>
      </c>
    </row>
    <row r="1342" spans="1:5" x14ac:dyDescent="0.25">
      <c r="A1342" s="1" t="s">
        <v>1341</v>
      </c>
      <c r="C1342" s="3">
        <v>96</v>
      </c>
      <c r="E1342" t="s">
        <v>2031</v>
      </c>
    </row>
    <row r="1343" spans="1:5" x14ac:dyDescent="0.25">
      <c r="A1343" s="1" t="s">
        <v>1342</v>
      </c>
      <c r="C1343" s="3">
        <v>96</v>
      </c>
      <c r="E1343" t="s">
        <v>20</v>
      </c>
    </row>
    <row r="1344" spans="1:5" x14ac:dyDescent="0.25">
      <c r="A1344" s="1" t="s">
        <v>1343</v>
      </c>
      <c r="C1344" s="3">
        <v>96</v>
      </c>
      <c r="E1344" t="s">
        <v>4550</v>
      </c>
    </row>
    <row r="1345" spans="1:5" x14ac:dyDescent="0.25">
      <c r="A1345" s="1" t="s">
        <v>1344</v>
      </c>
      <c r="C1345" s="3">
        <v>96</v>
      </c>
      <c r="E1345" t="s">
        <v>368</v>
      </c>
    </row>
    <row r="1346" spans="1:5" x14ac:dyDescent="0.25">
      <c r="A1346" s="1" t="s">
        <v>1345</v>
      </c>
      <c r="C1346" s="3">
        <v>96</v>
      </c>
      <c r="E1346" t="s">
        <v>5960</v>
      </c>
    </row>
    <row r="1347" spans="1:5" x14ac:dyDescent="0.25">
      <c r="A1347" s="1" t="s">
        <v>1346</v>
      </c>
      <c r="C1347" s="3">
        <v>95</v>
      </c>
      <c r="E1347" t="s">
        <v>3005</v>
      </c>
    </row>
    <row r="1348" spans="1:5" x14ac:dyDescent="0.25">
      <c r="A1348" s="1" t="s">
        <v>1347</v>
      </c>
      <c r="C1348" s="3">
        <v>95</v>
      </c>
      <c r="E1348" t="s">
        <v>67</v>
      </c>
    </row>
    <row r="1349" spans="1:5" x14ac:dyDescent="0.25">
      <c r="A1349" s="1" t="s">
        <v>1348</v>
      </c>
      <c r="C1349" s="3">
        <v>95</v>
      </c>
      <c r="E1349" t="s">
        <v>10628</v>
      </c>
    </row>
    <row r="1350" spans="1:5" x14ac:dyDescent="0.25">
      <c r="A1350" s="1" t="s">
        <v>1349</v>
      </c>
      <c r="C1350" s="3">
        <v>95</v>
      </c>
      <c r="E1350" t="s">
        <v>435</v>
      </c>
    </row>
    <row r="1351" spans="1:5" x14ac:dyDescent="0.25">
      <c r="A1351" s="1" t="s">
        <v>1350</v>
      </c>
      <c r="C1351" s="3">
        <v>95</v>
      </c>
      <c r="E1351" t="s">
        <v>761</v>
      </c>
    </row>
    <row r="1352" spans="1:5" x14ac:dyDescent="0.25">
      <c r="A1352" s="1" t="s">
        <v>1351</v>
      </c>
      <c r="C1352" s="3">
        <v>95</v>
      </c>
      <c r="E1352" t="s">
        <v>361</v>
      </c>
    </row>
    <row r="1353" spans="1:5" x14ac:dyDescent="0.25">
      <c r="A1353" s="1" t="s">
        <v>1352</v>
      </c>
      <c r="C1353" s="3">
        <v>95</v>
      </c>
      <c r="E1353" t="s">
        <v>8691</v>
      </c>
    </row>
    <row r="1354" spans="1:5" x14ac:dyDescent="0.25">
      <c r="A1354" s="1" t="s">
        <v>1353</v>
      </c>
      <c r="C1354" s="3">
        <v>95</v>
      </c>
      <c r="E1354" t="s">
        <v>5618</v>
      </c>
    </row>
    <row r="1355" spans="1:5" x14ac:dyDescent="0.25">
      <c r="A1355" s="1" t="s">
        <v>1354</v>
      </c>
      <c r="C1355" s="3">
        <v>95</v>
      </c>
      <c r="E1355" t="s">
        <v>3809</v>
      </c>
    </row>
    <row r="1356" spans="1:5" x14ac:dyDescent="0.25">
      <c r="A1356" s="1" t="s">
        <v>1355</v>
      </c>
      <c r="C1356" s="3">
        <v>95</v>
      </c>
      <c r="E1356" t="s">
        <v>7255</v>
      </c>
    </row>
    <row r="1357" spans="1:5" x14ac:dyDescent="0.25">
      <c r="A1357" s="1" t="s">
        <v>1356</v>
      </c>
      <c r="C1357" s="3">
        <v>95</v>
      </c>
      <c r="E1357" t="s">
        <v>1529</v>
      </c>
    </row>
    <row r="1358" spans="1:5" x14ac:dyDescent="0.25">
      <c r="A1358" s="1" t="s">
        <v>1357</v>
      </c>
      <c r="C1358" s="3">
        <v>95</v>
      </c>
      <c r="E1358" t="s">
        <v>11211</v>
      </c>
    </row>
    <row r="1359" spans="1:5" x14ac:dyDescent="0.25">
      <c r="A1359" s="1" t="s">
        <v>1358</v>
      </c>
      <c r="C1359" s="3">
        <v>95</v>
      </c>
      <c r="E1359" t="s">
        <v>3902</v>
      </c>
    </row>
    <row r="1360" spans="1:5" x14ac:dyDescent="0.25">
      <c r="A1360" s="1" t="s">
        <v>1359</v>
      </c>
      <c r="C1360" s="3">
        <v>95</v>
      </c>
      <c r="E1360" t="s">
        <v>25436</v>
      </c>
    </row>
    <row r="1361" spans="1:5" x14ac:dyDescent="0.25">
      <c r="A1361" s="1" t="s">
        <v>1360</v>
      </c>
      <c r="C1361" s="3">
        <v>95</v>
      </c>
      <c r="E1361" t="s">
        <v>6911</v>
      </c>
    </row>
    <row r="1362" spans="1:5" x14ac:dyDescent="0.25">
      <c r="A1362" s="1" t="s">
        <v>1361</v>
      </c>
      <c r="C1362" s="3">
        <v>95</v>
      </c>
      <c r="E1362" t="s">
        <v>2544</v>
      </c>
    </row>
    <row r="1363" spans="1:5" x14ac:dyDescent="0.25">
      <c r="A1363" s="1" t="s">
        <v>1362</v>
      </c>
      <c r="C1363" s="3">
        <v>94</v>
      </c>
      <c r="E1363" t="s">
        <v>14730</v>
      </c>
    </row>
    <row r="1364" spans="1:5" x14ac:dyDescent="0.25">
      <c r="A1364" s="1" t="s">
        <v>1363</v>
      </c>
      <c r="C1364" s="3">
        <v>94</v>
      </c>
      <c r="E1364" t="s">
        <v>1019</v>
      </c>
    </row>
    <row r="1365" spans="1:5" x14ac:dyDescent="0.25">
      <c r="A1365" s="1" t="s">
        <v>1364</v>
      </c>
      <c r="C1365" s="3">
        <v>94</v>
      </c>
      <c r="E1365" t="s">
        <v>3038</v>
      </c>
    </row>
    <row r="1366" spans="1:5" x14ac:dyDescent="0.25">
      <c r="A1366" s="1" t="s">
        <v>1365</v>
      </c>
      <c r="C1366" s="3">
        <v>94</v>
      </c>
      <c r="E1366" t="s">
        <v>19719</v>
      </c>
    </row>
    <row r="1367" spans="1:5" x14ac:dyDescent="0.25">
      <c r="A1367" s="1" t="s">
        <v>1366</v>
      </c>
      <c r="C1367" s="3">
        <v>94</v>
      </c>
      <c r="E1367" t="s">
        <v>657</v>
      </c>
    </row>
    <row r="1368" spans="1:5" x14ac:dyDescent="0.25">
      <c r="A1368" s="1" t="s">
        <v>1367</v>
      </c>
      <c r="C1368" s="3">
        <v>94</v>
      </c>
      <c r="E1368" t="s">
        <v>3732</v>
      </c>
    </row>
    <row r="1369" spans="1:5" x14ac:dyDescent="0.25">
      <c r="A1369" s="1" t="s">
        <v>1368</v>
      </c>
      <c r="C1369" s="3">
        <v>94</v>
      </c>
      <c r="E1369" t="s">
        <v>6753</v>
      </c>
    </row>
    <row r="1370" spans="1:5" x14ac:dyDescent="0.25">
      <c r="A1370" s="1" t="s">
        <v>1369</v>
      </c>
      <c r="C1370" s="3">
        <v>94</v>
      </c>
      <c r="E1370" t="s">
        <v>15227</v>
      </c>
    </row>
    <row r="1371" spans="1:5" x14ac:dyDescent="0.25">
      <c r="A1371" s="1" t="s">
        <v>1370</v>
      </c>
      <c r="C1371" s="3">
        <v>94</v>
      </c>
      <c r="E1371" t="s">
        <v>7718</v>
      </c>
    </row>
    <row r="1372" spans="1:5" x14ac:dyDescent="0.25">
      <c r="A1372" s="1" t="s">
        <v>1371</v>
      </c>
      <c r="C1372" s="3">
        <v>94</v>
      </c>
      <c r="E1372" t="s">
        <v>1639</v>
      </c>
    </row>
    <row r="1373" spans="1:5" x14ac:dyDescent="0.25">
      <c r="A1373" s="1" t="s">
        <v>1372</v>
      </c>
      <c r="C1373" s="3">
        <v>94</v>
      </c>
      <c r="E1373" t="s">
        <v>7996</v>
      </c>
    </row>
    <row r="1374" spans="1:5" x14ac:dyDescent="0.25">
      <c r="A1374" s="1" t="s">
        <v>1373</v>
      </c>
      <c r="C1374" s="3">
        <v>94</v>
      </c>
      <c r="E1374" t="s">
        <v>12389</v>
      </c>
    </row>
    <row r="1375" spans="1:5" x14ac:dyDescent="0.25">
      <c r="A1375" s="1" t="s">
        <v>1374</v>
      </c>
      <c r="C1375" s="3">
        <v>94</v>
      </c>
      <c r="E1375" t="s">
        <v>9490</v>
      </c>
    </row>
    <row r="1376" spans="1:5" x14ac:dyDescent="0.25">
      <c r="A1376" s="1" t="s">
        <v>1375</v>
      </c>
      <c r="C1376" s="3">
        <v>94</v>
      </c>
      <c r="E1376" t="s">
        <v>1488</v>
      </c>
    </row>
    <row r="1377" spans="1:5" x14ac:dyDescent="0.25">
      <c r="A1377" s="1" t="s">
        <v>1376</v>
      </c>
      <c r="C1377" s="3">
        <v>94</v>
      </c>
      <c r="E1377" t="s">
        <v>2321</v>
      </c>
    </row>
    <row r="1378" spans="1:5" x14ac:dyDescent="0.25">
      <c r="A1378" s="1" t="s">
        <v>1377</v>
      </c>
      <c r="C1378" s="3">
        <v>93</v>
      </c>
      <c r="E1378" t="s">
        <v>3338</v>
      </c>
    </row>
    <row r="1379" spans="1:5" x14ac:dyDescent="0.25">
      <c r="A1379" s="1" t="s">
        <v>1378</v>
      </c>
      <c r="C1379" s="3">
        <v>93</v>
      </c>
      <c r="E1379" t="s">
        <v>20012</v>
      </c>
    </row>
    <row r="1380" spans="1:5" x14ac:dyDescent="0.25">
      <c r="A1380" s="1" t="s">
        <v>1379</v>
      </c>
      <c r="C1380" s="3">
        <v>93</v>
      </c>
      <c r="E1380" t="s">
        <v>5272</v>
      </c>
    </row>
    <row r="1381" spans="1:5" x14ac:dyDescent="0.25">
      <c r="A1381" s="1" t="s">
        <v>1380</v>
      </c>
      <c r="C1381" s="3">
        <v>93</v>
      </c>
      <c r="E1381" t="s">
        <v>2490</v>
      </c>
    </row>
    <row r="1382" spans="1:5" x14ac:dyDescent="0.25">
      <c r="A1382" s="1" t="s">
        <v>1381</v>
      </c>
      <c r="C1382" s="3">
        <v>93</v>
      </c>
      <c r="E1382" t="s">
        <v>7256</v>
      </c>
    </row>
    <row r="1383" spans="1:5" x14ac:dyDescent="0.25">
      <c r="A1383" s="1" t="s">
        <v>1382</v>
      </c>
      <c r="C1383" s="3">
        <v>93</v>
      </c>
      <c r="E1383" t="s">
        <v>3131</v>
      </c>
    </row>
    <row r="1384" spans="1:5" x14ac:dyDescent="0.25">
      <c r="A1384" s="1" t="s">
        <v>1383</v>
      </c>
      <c r="C1384" s="3">
        <v>93</v>
      </c>
      <c r="E1384" t="s">
        <v>204</v>
      </c>
    </row>
    <row r="1385" spans="1:5" x14ac:dyDescent="0.25">
      <c r="A1385" s="1" t="s">
        <v>1384</v>
      </c>
      <c r="C1385" s="3">
        <v>93</v>
      </c>
      <c r="E1385" t="s">
        <v>8654</v>
      </c>
    </row>
    <row r="1386" spans="1:5" x14ac:dyDescent="0.25">
      <c r="A1386" s="1" t="s">
        <v>1385</v>
      </c>
      <c r="C1386" s="3">
        <v>93</v>
      </c>
      <c r="E1386" t="s">
        <v>250</v>
      </c>
    </row>
    <row r="1387" spans="1:5" x14ac:dyDescent="0.25">
      <c r="A1387" s="1" t="s">
        <v>1386</v>
      </c>
      <c r="C1387" s="3">
        <v>93</v>
      </c>
      <c r="E1387" t="s">
        <v>3744</v>
      </c>
    </row>
    <row r="1388" spans="1:5" x14ac:dyDescent="0.25">
      <c r="A1388" s="1" t="s">
        <v>1387</v>
      </c>
      <c r="C1388" s="3">
        <v>93</v>
      </c>
      <c r="E1388" t="s">
        <v>1927</v>
      </c>
    </row>
    <row r="1389" spans="1:5" x14ac:dyDescent="0.25">
      <c r="A1389" s="1" t="s">
        <v>1388</v>
      </c>
      <c r="C1389" s="3">
        <v>93</v>
      </c>
      <c r="E1389" t="s">
        <v>3207</v>
      </c>
    </row>
    <row r="1390" spans="1:5" x14ac:dyDescent="0.25">
      <c r="A1390" s="1" t="s">
        <v>1389</v>
      </c>
      <c r="C1390" s="3">
        <v>93</v>
      </c>
      <c r="E1390" t="s">
        <v>2234</v>
      </c>
    </row>
    <row r="1391" spans="1:5" x14ac:dyDescent="0.25">
      <c r="A1391" s="1" t="s">
        <v>1390</v>
      </c>
      <c r="C1391" s="3">
        <v>93</v>
      </c>
      <c r="E1391" t="s">
        <v>11382</v>
      </c>
    </row>
    <row r="1392" spans="1:5" x14ac:dyDescent="0.25">
      <c r="A1392" s="1" t="s">
        <v>1391</v>
      </c>
      <c r="C1392" s="3">
        <v>93</v>
      </c>
      <c r="E1392" t="s">
        <v>20645</v>
      </c>
    </row>
    <row r="1393" spans="1:5" x14ac:dyDescent="0.25">
      <c r="A1393" s="1" t="s">
        <v>1392</v>
      </c>
      <c r="C1393" s="3">
        <v>92</v>
      </c>
      <c r="E1393" t="s">
        <v>758</v>
      </c>
    </row>
    <row r="1394" spans="1:5" x14ac:dyDescent="0.25">
      <c r="A1394" s="1" t="s">
        <v>1393</v>
      </c>
      <c r="C1394" s="3">
        <v>92</v>
      </c>
      <c r="E1394" t="s">
        <v>2582</v>
      </c>
    </row>
    <row r="1395" spans="1:5" x14ac:dyDescent="0.25">
      <c r="A1395" s="1" t="s">
        <v>1394</v>
      </c>
      <c r="C1395" s="3">
        <v>92</v>
      </c>
      <c r="E1395" t="s">
        <v>7412</v>
      </c>
    </row>
    <row r="1396" spans="1:5" x14ac:dyDescent="0.25">
      <c r="A1396" s="1" t="s">
        <v>1395</v>
      </c>
      <c r="C1396" s="3">
        <v>92</v>
      </c>
      <c r="E1396" t="s">
        <v>5935</v>
      </c>
    </row>
    <row r="1397" spans="1:5" x14ac:dyDescent="0.25">
      <c r="A1397" s="1" t="s">
        <v>1396</v>
      </c>
      <c r="C1397" s="3">
        <v>92</v>
      </c>
      <c r="E1397" t="s">
        <v>257</v>
      </c>
    </row>
    <row r="1398" spans="1:5" x14ac:dyDescent="0.25">
      <c r="A1398" s="1" t="s">
        <v>1397</v>
      </c>
      <c r="C1398" s="3">
        <v>92</v>
      </c>
      <c r="E1398" t="s">
        <v>3359</v>
      </c>
    </row>
    <row r="1399" spans="1:5" x14ac:dyDescent="0.25">
      <c r="A1399" s="1" t="s">
        <v>1398</v>
      </c>
      <c r="C1399" s="3">
        <v>92</v>
      </c>
      <c r="E1399" t="s">
        <v>1386</v>
      </c>
    </row>
    <row r="1400" spans="1:5" x14ac:dyDescent="0.25">
      <c r="A1400" s="1" t="s">
        <v>1399</v>
      </c>
      <c r="C1400" s="3">
        <v>92</v>
      </c>
      <c r="E1400" t="s">
        <v>823</v>
      </c>
    </row>
    <row r="1401" spans="1:5" x14ac:dyDescent="0.25">
      <c r="A1401" s="1" t="s">
        <v>1400</v>
      </c>
      <c r="C1401" s="3">
        <v>92</v>
      </c>
      <c r="E1401" t="s">
        <v>21062</v>
      </c>
    </row>
    <row r="1402" spans="1:5" x14ac:dyDescent="0.25">
      <c r="A1402" s="1" t="s">
        <v>1401</v>
      </c>
      <c r="C1402" s="3">
        <v>92</v>
      </c>
      <c r="E1402" t="s">
        <v>4763</v>
      </c>
    </row>
    <row r="1403" spans="1:5" x14ac:dyDescent="0.25">
      <c r="A1403" s="1" t="s">
        <v>1402</v>
      </c>
      <c r="C1403" s="3">
        <v>92</v>
      </c>
      <c r="E1403" t="s">
        <v>7639</v>
      </c>
    </row>
    <row r="1404" spans="1:5" x14ac:dyDescent="0.25">
      <c r="A1404" s="1" t="s">
        <v>1403</v>
      </c>
      <c r="C1404" s="3">
        <v>92</v>
      </c>
      <c r="E1404" t="s">
        <v>6284</v>
      </c>
    </row>
    <row r="1405" spans="1:5" x14ac:dyDescent="0.25">
      <c r="A1405" s="1" t="s">
        <v>1404</v>
      </c>
      <c r="C1405" s="3">
        <v>92</v>
      </c>
      <c r="E1405" t="s">
        <v>3762</v>
      </c>
    </row>
    <row r="1406" spans="1:5" x14ac:dyDescent="0.25">
      <c r="A1406" s="1" t="s">
        <v>1405</v>
      </c>
      <c r="C1406" s="3">
        <v>92</v>
      </c>
      <c r="E1406" t="s">
        <v>6511</v>
      </c>
    </row>
    <row r="1407" spans="1:5" x14ac:dyDescent="0.25">
      <c r="A1407" s="1" t="s">
        <v>1406</v>
      </c>
      <c r="C1407" s="3">
        <v>92</v>
      </c>
      <c r="E1407" t="s">
        <v>20303</v>
      </c>
    </row>
    <row r="1408" spans="1:5" x14ac:dyDescent="0.25">
      <c r="A1408" s="1" t="s">
        <v>1407</v>
      </c>
      <c r="C1408" s="3">
        <v>92</v>
      </c>
      <c r="E1408" t="s">
        <v>1738</v>
      </c>
    </row>
    <row r="1409" spans="1:5" x14ac:dyDescent="0.25">
      <c r="A1409" s="1" t="s">
        <v>1408</v>
      </c>
      <c r="C1409" s="3">
        <v>92</v>
      </c>
      <c r="E1409" t="s">
        <v>7699</v>
      </c>
    </row>
    <row r="1410" spans="1:5" x14ac:dyDescent="0.25">
      <c r="A1410" s="1" t="s">
        <v>1409</v>
      </c>
      <c r="C1410" s="3">
        <v>92</v>
      </c>
      <c r="E1410" t="s">
        <v>4858</v>
      </c>
    </row>
    <row r="1411" spans="1:5" x14ac:dyDescent="0.25">
      <c r="A1411" s="1" t="s">
        <v>1410</v>
      </c>
      <c r="C1411" s="3">
        <v>92</v>
      </c>
      <c r="E1411" t="s">
        <v>1582</v>
      </c>
    </row>
    <row r="1412" spans="1:5" x14ac:dyDescent="0.25">
      <c r="A1412" s="1" t="s">
        <v>1411</v>
      </c>
      <c r="C1412" s="3">
        <v>92</v>
      </c>
      <c r="E1412" t="s">
        <v>7209</v>
      </c>
    </row>
    <row r="1413" spans="1:5" x14ac:dyDescent="0.25">
      <c r="A1413" s="1" t="s">
        <v>1412</v>
      </c>
      <c r="C1413" s="3">
        <v>91</v>
      </c>
      <c r="E1413" t="s">
        <v>312</v>
      </c>
    </row>
    <row r="1414" spans="1:5" x14ac:dyDescent="0.25">
      <c r="A1414" s="1" t="s">
        <v>1413</v>
      </c>
      <c r="C1414" s="3">
        <v>91</v>
      </c>
      <c r="E1414" t="s">
        <v>13082</v>
      </c>
    </row>
    <row r="1415" spans="1:5" x14ac:dyDescent="0.25">
      <c r="A1415" s="1" t="s">
        <v>1414</v>
      </c>
      <c r="C1415" s="3">
        <v>91</v>
      </c>
      <c r="E1415" t="s">
        <v>270</v>
      </c>
    </row>
    <row r="1416" spans="1:5" x14ac:dyDescent="0.25">
      <c r="A1416" s="1" t="s">
        <v>1415</v>
      </c>
      <c r="C1416" s="3">
        <v>91</v>
      </c>
      <c r="E1416" t="s">
        <v>13103</v>
      </c>
    </row>
    <row r="1417" spans="1:5" x14ac:dyDescent="0.25">
      <c r="A1417" s="1" t="s">
        <v>1416</v>
      </c>
      <c r="C1417" s="3">
        <v>91</v>
      </c>
      <c r="E1417" t="s">
        <v>8231</v>
      </c>
    </row>
    <row r="1418" spans="1:5" x14ac:dyDescent="0.25">
      <c r="A1418" s="1" t="s">
        <v>1417</v>
      </c>
      <c r="C1418" s="3">
        <v>91</v>
      </c>
      <c r="E1418" t="s">
        <v>11110</v>
      </c>
    </row>
    <row r="1419" spans="1:5" x14ac:dyDescent="0.25">
      <c r="A1419" s="1" t="s">
        <v>1418</v>
      </c>
      <c r="C1419" s="3">
        <v>91</v>
      </c>
      <c r="E1419" t="s">
        <v>465</v>
      </c>
    </row>
    <row r="1420" spans="1:5" x14ac:dyDescent="0.25">
      <c r="A1420" s="1" t="s">
        <v>1419</v>
      </c>
      <c r="C1420" s="3">
        <v>91</v>
      </c>
      <c r="E1420" t="s">
        <v>7985</v>
      </c>
    </row>
    <row r="1421" spans="1:5" x14ac:dyDescent="0.25">
      <c r="A1421" s="1" t="s">
        <v>1420</v>
      </c>
      <c r="C1421" s="3">
        <v>91</v>
      </c>
      <c r="E1421" t="s">
        <v>6771</v>
      </c>
    </row>
    <row r="1422" spans="1:5" x14ac:dyDescent="0.25">
      <c r="A1422" s="1" t="s">
        <v>1421</v>
      </c>
      <c r="C1422" s="3">
        <v>91</v>
      </c>
      <c r="E1422" t="s">
        <v>10648</v>
      </c>
    </row>
    <row r="1423" spans="1:5" x14ac:dyDescent="0.25">
      <c r="A1423" s="1" t="s">
        <v>1422</v>
      </c>
      <c r="C1423" s="3">
        <v>91</v>
      </c>
      <c r="E1423" t="s">
        <v>1876</v>
      </c>
    </row>
    <row r="1424" spans="1:5" x14ac:dyDescent="0.25">
      <c r="A1424" s="1" t="s">
        <v>1423</v>
      </c>
      <c r="C1424" s="3">
        <v>91</v>
      </c>
      <c r="E1424" t="s">
        <v>8256</v>
      </c>
    </row>
    <row r="1425" spans="1:5" x14ac:dyDescent="0.25">
      <c r="A1425" s="1" t="s">
        <v>1424</v>
      </c>
      <c r="C1425" s="3">
        <v>91</v>
      </c>
      <c r="E1425" t="s">
        <v>978</v>
      </c>
    </row>
    <row r="1426" spans="1:5" x14ac:dyDescent="0.25">
      <c r="A1426" s="1" t="s">
        <v>1425</v>
      </c>
      <c r="C1426" s="3">
        <v>91</v>
      </c>
      <c r="E1426" t="s">
        <v>9580</v>
      </c>
    </row>
    <row r="1427" spans="1:5" x14ac:dyDescent="0.25">
      <c r="A1427" s="1" t="s">
        <v>1426</v>
      </c>
      <c r="C1427" s="3">
        <v>91</v>
      </c>
      <c r="E1427" t="s">
        <v>8906</v>
      </c>
    </row>
    <row r="1428" spans="1:5" x14ac:dyDescent="0.25">
      <c r="A1428" s="1" t="s">
        <v>1427</v>
      </c>
      <c r="C1428" s="3">
        <v>90</v>
      </c>
      <c r="E1428" t="s">
        <v>2662</v>
      </c>
    </row>
    <row r="1429" spans="1:5" x14ac:dyDescent="0.25">
      <c r="A1429" s="1" t="s">
        <v>1428</v>
      </c>
      <c r="C1429" s="3">
        <v>90</v>
      </c>
      <c r="E1429" t="s">
        <v>2604</v>
      </c>
    </row>
    <row r="1430" spans="1:5" x14ac:dyDescent="0.25">
      <c r="A1430" s="1" t="s">
        <v>1429</v>
      </c>
      <c r="C1430" s="3">
        <v>90</v>
      </c>
      <c r="E1430" t="s">
        <v>3674</v>
      </c>
    </row>
    <row r="1431" spans="1:5" x14ac:dyDescent="0.25">
      <c r="A1431" s="1" t="s">
        <v>1430</v>
      </c>
      <c r="C1431" s="3">
        <v>90</v>
      </c>
      <c r="E1431" t="s">
        <v>3014</v>
      </c>
    </row>
    <row r="1432" spans="1:5" x14ac:dyDescent="0.25">
      <c r="A1432" s="1" t="s">
        <v>1431</v>
      </c>
      <c r="C1432" s="3">
        <v>90</v>
      </c>
      <c r="E1432" t="s">
        <v>8755</v>
      </c>
    </row>
    <row r="1433" spans="1:5" x14ac:dyDescent="0.25">
      <c r="A1433" s="1" t="s">
        <v>1432</v>
      </c>
      <c r="C1433" s="3">
        <v>90</v>
      </c>
      <c r="E1433" t="s">
        <v>5966</v>
      </c>
    </row>
    <row r="1434" spans="1:5" x14ac:dyDescent="0.25">
      <c r="A1434" s="1" t="s">
        <v>1433</v>
      </c>
      <c r="C1434" s="3">
        <v>90</v>
      </c>
      <c r="E1434" t="s">
        <v>1997</v>
      </c>
    </row>
    <row r="1435" spans="1:5" x14ac:dyDescent="0.25">
      <c r="A1435" s="1" t="s">
        <v>1434</v>
      </c>
      <c r="C1435" s="3">
        <v>90</v>
      </c>
      <c r="E1435" t="s">
        <v>7281</v>
      </c>
    </row>
    <row r="1436" spans="1:5" x14ac:dyDescent="0.25">
      <c r="A1436" s="1" t="s">
        <v>1435</v>
      </c>
      <c r="C1436" s="3">
        <v>90</v>
      </c>
      <c r="E1436" t="s">
        <v>398</v>
      </c>
    </row>
    <row r="1437" spans="1:5" x14ac:dyDescent="0.25">
      <c r="A1437" s="1" t="s">
        <v>1436</v>
      </c>
      <c r="C1437" s="3">
        <v>90</v>
      </c>
      <c r="E1437" t="s">
        <v>7954</v>
      </c>
    </row>
    <row r="1438" spans="1:5" x14ac:dyDescent="0.25">
      <c r="A1438" s="1" t="s">
        <v>1437</v>
      </c>
      <c r="C1438" s="3">
        <v>90</v>
      </c>
      <c r="E1438" t="s">
        <v>527</v>
      </c>
    </row>
    <row r="1439" spans="1:5" x14ac:dyDescent="0.25">
      <c r="A1439" s="1" t="s">
        <v>1438</v>
      </c>
      <c r="C1439" s="3">
        <v>90</v>
      </c>
      <c r="E1439" t="s">
        <v>99</v>
      </c>
    </row>
    <row r="1440" spans="1:5" x14ac:dyDescent="0.25">
      <c r="A1440" s="1" t="s">
        <v>1439</v>
      </c>
      <c r="C1440" s="3">
        <v>90</v>
      </c>
      <c r="E1440" t="s">
        <v>314</v>
      </c>
    </row>
    <row r="1441" spans="1:5" x14ac:dyDescent="0.25">
      <c r="A1441" s="1" t="s">
        <v>1440</v>
      </c>
      <c r="C1441" s="3">
        <v>90</v>
      </c>
      <c r="E1441" t="s">
        <v>3170</v>
      </c>
    </row>
    <row r="1442" spans="1:5" x14ac:dyDescent="0.25">
      <c r="A1442" s="1" t="s">
        <v>1441</v>
      </c>
      <c r="C1442" s="3">
        <v>90</v>
      </c>
      <c r="E1442" t="s">
        <v>661</v>
      </c>
    </row>
    <row r="1443" spans="1:5" x14ac:dyDescent="0.25">
      <c r="A1443" s="1" t="s">
        <v>1442</v>
      </c>
      <c r="C1443" s="3">
        <v>90</v>
      </c>
      <c r="E1443" t="s">
        <v>1222</v>
      </c>
    </row>
    <row r="1444" spans="1:5" x14ac:dyDescent="0.25">
      <c r="A1444" s="1" t="s">
        <v>1443</v>
      </c>
      <c r="C1444" s="3">
        <v>90</v>
      </c>
      <c r="E1444" t="s">
        <v>16338</v>
      </c>
    </row>
    <row r="1445" spans="1:5" x14ac:dyDescent="0.25">
      <c r="A1445" s="1" t="s">
        <v>1444</v>
      </c>
      <c r="C1445" s="3">
        <v>90</v>
      </c>
      <c r="E1445" t="s">
        <v>8420</v>
      </c>
    </row>
    <row r="1446" spans="1:5" x14ac:dyDescent="0.25">
      <c r="A1446" s="1" t="s">
        <v>1445</v>
      </c>
      <c r="C1446" s="3">
        <v>90</v>
      </c>
      <c r="E1446" t="s">
        <v>185</v>
      </c>
    </row>
    <row r="1447" spans="1:5" x14ac:dyDescent="0.25">
      <c r="A1447" s="1" t="s">
        <v>1446</v>
      </c>
      <c r="C1447" s="3">
        <v>90</v>
      </c>
      <c r="E1447" t="s">
        <v>937</v>
      </c>
    </row>
    <row r="1448" spans="1:5" x14ac:dyDescent="0.25">
      <c r="A1448" s="1" t="s">
        <v>1447</v>
      </c>
      <c r="C1448" s="3">
        <v>90</v>
      </c>
      <c r="E1448" t="s">
        <v>302</v>
      </c>
    </row>
    <row r="1449" spans="1:5" x14ac:dyDescent="0.25">
      <c r="A1449" s="1" t="s">
        <v>1448</v>
      </c>
      <c r="C1449" s="3">
        <v>90</v>
      </c>
      <c r="E1449" t="s">
        <v>12821</v>
      </c>
    </row>
    <row r="1450" spans="1:5" x14ac:dyDescent="0.25">
      <c r="A1450" s="1" t="s">
        <v>1449</v>
      </c>
      <c r="C1450" s="3">
        <v>90</v>
      </c>
      <c r="E1450" t="s">
        <v>4820</v>
      </c>
    </row>
    <row r="1451" spans="1:5" x14ac:dyDescent="0.25">
      <c r="A1451" s="1" t="s">
        <v>1450</v>
      </c>
      <c r="C1451" s="3">
        <v>90</v>
      </c>
      <c r="E1451" t="s">
        <v>2142</v>
      </c>
    </row>
    <row r="1452" spans="1:5" x14ac:dyDescent="0.25">
      <c r="A1452" s="1" t="s">
        <v>1451</v>
      </c>
      <c r="C1452" s="3">
        <v>90</v>
      </c>
      <c r="E1452" t="s">
        <v>4668</v>
      </c>
    </row>
    <row r="1453" spans="1:5" x14ac:dyDescent="0.25">
      <c r="A1453" s="1" t="s">
        <v>1452</v>
      </c>
      <c r="C1453" s="3">
        <v>90</v>
      </c>
      <c r="E1453" t="s">
        <v>6027</v>
      </c>
    </row>
    <row r="1454" spans="1:5" x14ac:dyDescent="0.25">
      <c r="A1454" s="1" t="s">
        <v>1453</v>
      </c>
      <c r="C1454" s="3">
        <v>90</v>
      </c>
      <c r="E1454" t="s">
        <v>1461</v>
      </c>
    </row>
    <row r="1455" spans="1:5" x14ac:dyDescent="0.25">
      <c r="A1455" s="1" t="s">
        <v>1454</v>
      </c>
      <c r="C1455" s="3">
        <v>89</v>
      </c>
      <c r="E1455" t="s">
        <v>6701</v>
      </c>
    </row>
    <row r="1456" spans="1:5" x14ac:dyDescent="0.25">
      <c r="A1456" s="1" t="s">
        <v>1455</v>
      </c>
      <c r="C1456" s="3">
        <v>89</v>
      </c>
      <c r="E1456" t="s">
        <v>5079</v>
      </c>
    </row>
    <row r="1457" spans="1:5" x14ac:dyDescent="0.25">
      <c r="A1457" s="1" t="s">
        <v>1456</v>
      </c>
      <c r="C1457" s="3">
        <v>89</v>
      </c>
      <c r="E1457" t="s">
        <v>6264</v>
      </c>
    </row>
    <row r="1458" spans="1:5" x14ac:dyDescent="0.25">
      <c r="A1458" s="1" t="s">
        <v>1457</v>
      </c>
      <c r="C1458" s="3">
        <v>89</v>
      </c>
      <c r="E1458" t="s">
        <v>3136</v>
      </c>
    </row>
    <row r="1459" spans="1:5" x14ac:dyDescent="0.25">
      <c r="A1459" s="1" t="s">
        <v>1458</v>
      </c>
      <c r="C1459" s="3">
        <v>89</v>
      </c>
      <c r="E1459" t="s">
        <v>9850</v>
      </c>
    </row>
    <row r="1460" spans="1:5" x14ac:dyDescent="0.25">
      <c r="A1460" s="1" t="s">
        <v>1459</v>
      </c>
      <c r="C1460" s="3">
        <v>89</v>
      </c>
      <c r="E1460" t="s">
        <v>1648</v>
      </c>
    </row>
    <row r="1461" spans="1:5" x14ac:dyDescent="0.25">
      <c r="A1461" s="1" t="s">
        <v>1460</v>
      </c>
      <c r="C1461" s="3">
        <v>89</v>
      </c>
      <c r="E1461" t="s">
        <v>3274</v>
      </c>
    </row>
    <row r="1462" spans="1:5" x14ac:dyDescent="0.25">
      <c r="A1462" s="1" t="s">
        <v>1461</v>
      </c>
      <c r="C1462" s="3">
        <v>89</v>
      </c>
      <c r="E1462" t="s">
        <v>8442</v>
      </c>
    </row>
    <row r="1463" spans="1:5" x14ac:dyDescent="0.25">
      <c r="A1463" s="1" t="s">
        <v>1462</v>
      </c>
      <c r="C1463" s="3">
        <v>89</v>
      </c>
      <c r="E1463" t="s">
        <v>2152</v>
      </c>
    </row>
    <row r="1464" spans="1:5" x14ac:dyDescent="0.25">
      <c r="A1464" s="1" t="s">
        <v>1463</v>
      </c>
      <c r="C1464" s="3">
        <v>89</v>
      </c>
      <c r="E1464" t="s">
        <v>5861</v>
      </c>
    </row>
    <row r="1465" spans="1:5" x14ac:dyDescent="0.25">
      <c r="A1465" s="1" t="s">
        <v>1464</v>
      </c>
      <c r="C1465" s="3">
        <v>89</v>
      </c>
      <c r="E1465" t="s">
        <v>334</v>
      </c>
    </row>
    <row r="1466" spans="1:5" x14ac:dyDescent="0.25">
      <c r="A1466" s="1" t="s">
        <v>1465</v>
      </c>
      <c r="C1466" s="3">
        <v>89</v>
      </c>
      <c r="E1466" t="s">
        <v>16333</v>
      </c>
    </row>
    <row r="1467" spans="1:5" x14ac:dyDescent="0.25">
      <c r="A1467" s="1" t="s">
        <v>1466</v>
      </c>
      <c r="C1467" s="3">
        <v>89</v>
      </c>
      <c r="E1467" t="s">
        <v>13040</v>
      </c>
    </row>
    <row r="1468" spans="1:5" x14ac:dyDescent="0.25">
      <c r="A1468" s="1" t="s">
        <v>1467</v>
      </c>
      <c r="C1468" s="3">
        <v>89</v>
      </c>
      <c r="E1468" t="s">
        <v>15809</v>
      </c>
    </row>
    <row r="1469" spans="1:5" x14ac:dyDescent="0.25">
      <c r="A1469" s="1" t="s">
        <v>1468</v>
      </c>
      <c r="C1469" s="3">
        <v>89</v>
      </c>
      <c r="E1469" t="s">
        <v>8850</v>
      </c>
    </row>
    <row r="1470" spans="1:5" x14ac:dyDescent="0.25">
      <c r="A1470" s="1" t="s">
        <v>1469</v>
      </c>
      <c r="C1470" s="3">
        <v>89</v>
      </c>
      <c r="E1470" t="s">
        <v>6812</v>
      </c>
    </row>
    <row r="1471" spans="1:5" x14ac:dyDescent="0.25">
      <c r="A1471" s="1" t="s">
        <v>1470</v>
      </c>
      <c r="C1471" s="3">
        <v>89</v>
      </c>
      <c r="E1471" t="s">
        <v>1994</v>
      </c>
    </row>
    <row r="1472" spans="1:5" x14ac:dyDescent="0.25">
      <c r="A1472" s="1" t="s">
        <v>1471</v>
      </c>
      <c r="C1472" s="3">
        <v>89</v>
      </c>
      <c r="E1472" t="s">
        <v>2367</v>
      </c>
    </row>
    <row r="1473" spans="1:5" x14ac:dyDescent="0.25">
      <c r="A1473" s="1" t="s">
        <v>1472</v>
      </c>
      <c r="C1473" s="3">
        <v>89</v>
      </c>
      <c r="E1473" t="s">
        <v>117</v>
      </c>
    </row>
    <row r="1474" spans="1:5" x14ac:dyDescent="0.25">
      <c r="A1474" s="1" t="s">
        <v>1473</v>
      </c>
      <c r="C1474" s="3">
        <v>89</v>
      </c>
      <c r="E1474" t="s">
        <v>8376</v>
      </c>
    </row>
    <row r="1475" spans="1:5" x14ac:dyDescent="0.25">
      <c r="A1475" s="1" t="s">
        <v>1474</v>
      </c>
      <c r="C1475" s="3">
        <v>89</v>
      </c>
      <c r="E1475" t="s">
        <v>2236</v>
      </c>
    </row>
    <row r="1476" spans="1:5" x14ac:dyDescent="0.25">
      <c r="A1476" s="1" t="s">
        <v>1475</v>
      </c>
      <c r="C1476" s="3">
        <v>89</v>
      </c>
      <c r="E1476" t="s">
        <v>7301</v>
      </c>
    </row>
    <row r="1477" spans="1:5" x14ac:dyDescent="0.25">
      <c r="A1477" s="1" t="s">
        <v>1476</v>
      </c>
      <c r="C1477" s="3">
        <v>88</v>
      </c>
      <c r="E1477" t="s">
        <v>5678</v>
      </c>
    </row>
    <row r="1478" spans="1:5" x14ac:dyDescent="0.25">
      <c r="A1478" s="1" t="s">
        <v>1477</v>
      </c>
      <c r="C1478" s="3">
        <v>88</v>
      </c>
      <c r="E1478" t="s">
        <v>18481</v>
      </c>
    </row>
    <row r="1479" spans="1:5" x14ac:dyDescent="0.25">
      <c r="A1479" s="1" t="s">
        <v>1478</v>
      </c>
      <c r="C1479" s="3">
        <v>88</v>
      </c>
      <c r="E1479" t="s">
        <v>3689</v>
      </c>
    </row>
    <row r="1480" spans="1:5" x14ac:dyDescent="0.25">
      <c r="A1480" s="1" t="s">
        <v>1479</v>
      </c>
      <c r="C1480" s="3">
        <v>88</v>
      </c>
      <c r="E1480" t="s">
        <v>7282</v>
      </c>
    </row>
    <row r="1481" spans="1:5" x14ac:dyDescent="0.25">
      <c r="A1481" s="1" t="s">
        <v>1480</v>
      </c>
      <c r="C1481" s="3">
        <v>88</v>
      </c>
      <c r="E1481" t="s">
        <v>9902</v>
      </c>
    </row>
    <row r="1482" spans="1:5" x14ac:dyDescent="0.25">
      <c r="A1482" s="1" t="s">
        <v>1481</v>
      </c>
      <c r="C1482" s="3">
        <v>88</v>
      </c>
      <c r="E1482" t="s">
        <v>8238</v>
      </c>
    </row>
    <row r="1483" spans="1:5" x14ac:dyDescent="0.25">
      <c r="A1483" s="1" t="s">
        <v>1482</v>
      </c>
      <c r="C1483" s="3">
        <v>88</v>
      </c>
      <c r="E1483" t="s">
        <v>5529</v>
      </c>
    </row>
    <row r="1484" spans="1:5" x14ac:dyDescent="0.25">
      <c r="A1484" s="1" t="s">
        <v>1483</v>
      </c>
      <c r="C1484" s="3">
        <v>88</v>
      </c>
      <c r="E1484" t="s">
        <v>4577</v>
      </c>
    </row>
    <row r="1485" spans="1:5" x14ac:dyDescent="0.25">
      <c r="A1485" s="1" t="s">
        <v>1484</v>
      </c>
      <c r="C1485" s="3">
        <v>88</v>
      </c>
      <c r="E1485" t="s">
        <v>5220</v>
      </c>
    </row>
    <row r="1486" spans="1:5" x14ac:dyDescent="0.25">
      <c r="A1486" s="1" t="s">
        <v>1485</v>
      </c>
      <c r="C1486" s="3">
        <v>88</v>
      </c>
      <c r="E1486" t="s">
        <v>3217</v>
      </c>
    </row>
    <row r="1487" spans="1:5" x14ac:dyDescent="0.25">
      <c r="A1487" s="1" t="s">
        <v>1486</v>
      </c>
      <c r="C1487" s="3">
        <v>88</v>
      </c>
      <c r="E1487" t="s">
        <v>3212</v>
      </c>
    </row>
    <row r="1488" spans="1:5" x14ac:dyDescent="0.25">
      <c r="A1488" s="1" t="s">
        <v>1487</v>
      </c>
      <c r="C1488" s="3">
        <v>88</v>
      </c>
      <c r="E1488" t="s">
        <v>4147</v>
      </c>
    </row>
    <row r="1489" spans="1:5" x14ac:dyDescent="0.25">
      <c r="A1489" s="1" t="s">
        <v>1488</v>
      </c>
      <c r="C1489" s="3">
        <v>88</v>
      </c>
      <c r="E1489" t="s">
        <v>3109</v>
      </c>
    </row>
    <row r="1490" spans="1:5" x14ac:dyDescent="0.25">
      <c r="A1490" s="1" t="s">
        <v>1489</v>
      </c>
      <c r="C1490" s="3">
        <v>88</v>
      </c>
      <c r="E1490" t="s">
        <v>3904</v>
      </c>
    </row>
    <row r="1491" spans="1:5" x14ac:dyDescent="0.25">
      <c r="A1491" s="1" t="s">
        <v>1490</v>
      </c>
      <c r="C1491" s="3">
        <v>88</v>
      </c>
      <c r="E1491" t="s">
        <v>2848</v>
      </c>
    </row>
    <row r="1492" spans="1:5" x14ac:dyDescent="0.25">
      <c r="A1492" s="1" t="s">
        <v>1491</v>
      </c>
      <c r="C1492" s="3">
        <v>88</v>
      </c>
      <c r="E1492" t="s">
        <v>15500</v>
      </c>
    </row>
    <row r="1493" spans="1:5" x14ac:dyDescent="0.25">
      <c r="A1493" s="1" t="s">
        <v>1492</v>
      </c>
      <c r="C1493" s="3">
        <v>88</v>
      </c>
      <c r="E1493" t="s">
        <v>4220</v>
      </c>
    </row>
    <row r="1494" spans="1:5" x14ac:dyDescent="0.25">
      <c r="A1494" s="1" t="s">
        <v>1493</v>
      </c>
      <c r="C1494" s="3">
        <v>88</v>
      </c>
      <c r="E1494" t="s">
        <v>1991</v>
      </c>
    </row>
    <row r="1495" spans="1:5" x14ac:dyDescent="0.25">
      <c r="A1495" s="1" t="s">
        <v>1494</v>
      </c>
      <c r="C1495" s="3">
        <v>88</v>
      </c>
      <c r="E1495" t="s">
        <v>14796</v>
      </c>
    </row>
    <row r="1496" spans="1:5" x14ac:dyDescent="0.25">
      <c r="A1496" s="1" t="s">
        <v>1495</v>
      </c>
      <c r="C1496" s="3">
        <v>88</v>
      </c>
      <c r="E1496" t="s">
        <v>9211</v>
      </c>
    </row>
    <row r="1497" spans="1:5" x14ac:dyDescent="0.25">
      <c r="A1497" s="1" t="s">
        <v>1496</v>
      </c>
      <c r="C1497" s="3">
        <v>88</v>
      </c>
      <c r="E1497" t="s">
        <v>24244</v>
      </c>
    </row>
    <row r="1498" spans="1:5" x14ac:dyDescent="0.25">
      <c r="A1498" s="1" t="s">
        <v>1497</v>
      </c>
      <c r="C1498" s="3">
        <v>88</v>
      </c>
      <c r="E1498" t="s">
        <v>3167</v>
      </c>
    </row>
    <row r="1499" spans="1:5" x14ac:dyDescent="0.25">
      <c r="A1499" s="1" t="s">
        <v>1498</v>
      </c>
      <c r="C1499" s="3">
        <v>88</v>
      </c>
      <c r="E1499" t="s">
        <v>4583</v>
      </c>
    </row>
    <row r="1500" spans="1:5" x14ac:dyDescent="0.25">
      <c r="A1500" s="1" t="s">
        <v>1499</v>
      </c>
      <c r="C1500" s="3">
        <v>87</v>
      </c>
      <c r="E1500" t="s">
        <v>20659</v>
      </c>
    </row>
    <row r="1501" spans="1:5" x14ac:dyDescent="0.25">
      <c r="A1501" s="1" t="s">
        <v>1500</v>
      </c>
      <c r="C1501" s="3">
        <v>87</v>
      </c>
      <c r="E1501" t="s">
        <v>4682</v>
      </c>
    </row>
    <row r="1502" spans="1:5" x14ac:dyDescent="0.25">
      <c r="A1502" s="1" t="s">
        <v>1501</v>
      </c>
      <c r="C1502" s="3">
        <v>87</v>
      </c>
      <c r="E1502" t="s">
        <v>5088</v>
      </c>
    </row>
    <row r="1503" spans="1:5" x14ac:dyDescent="0.25">
      <c r="A1503" s="1" t="s">
        <v>1502</v>
      </c>
      <c r="C1503" s="3">
        <v>87</v>
      </c>
      <c r="E1503" t="s">
        <v>933</v>
      </c>
    </row>
    <row r="1504" spans="1:5" x14ac:dyDescent="0.25">
      <c r="A1504" s="1" t="s">
        <v>1503</v>
      </c>
      <c r="C1504" s="3">
        <v>87</v>
      </c>
      <c r="E1504" t="s">
        <v>1133</v>
      </c>
    </row>
    <row r="1505" spans="1:5" x14ac:dyDescent="0.25">
      <c r="A1505" s="1" t="s">
        <v>1504</v>
      </c>
      <c r="C1505" s="3">
        <v>87</v>
      </c>
      <c r="E1505" t="s">
        <v>2122</v>
      </c>
    </row>
    <row r="1506" spans="1:5" x14ac:dyDescent="0.25">
      <c r="A1506" s="1" t="s">
        <v>1505</v>
      </c>
      <c r="C1506" s="3">
        <v>87</v>
      </c>
      <c r="E1506" t="s">
        <v>118</v>
      </c>
    </row>
    <row r="1507" spans="1:5" x14ac:dyDescent="0.25">
      <c r="A1507" s="1" t="s">
        <v>1506</v>
      </c>
      <c r="C1507" s="3">
        <v>87</v>
      </c>
      <c r="E1507" t="s">
        <v>6880</v>
      </c>
    </row>
    <row r="1508" spans="1:5" x14ac:dyDescent="0.25">
      <c r="A1508" s="1" t="s">
        <v>1507</v>
      </c>
      <c r="C1508" s="3">
        <v>87</v>
      </c>
      <c r="E1508" t="s">
        <v>10656</v>
      </c>
    </row>
    <row r="1509" spans="1:5" x14ac:dyDescent="0.25">
      <c r="A1509" s="1" t="s">
        <v>1508</v>
      </c>
      <c r="C1509" s="3">
        <v>87</v>
      </c>
      <c r="E1509" t="s">
        <v>772</v>
      </c>
    </row>
    <row r="1510" spans="1:5" x14ac:dyDescent="0.25">
      <c r="A1510" s="1" t="s">
        <v>1509</v>
      </c>
      <c r="C1510" s="3">
        <v>87</v>
      </c>
      <c r="E1510" t="s">
        <v>11041</v>
      </c>
    </row>
    <row r="1511" spans="1:5" x14ac:dyDescent="0.25">
      <c r="A1511" s="1" t="s">
        <v>1510</v>
      </c>
      <c r="C1511" s="3">
        <v>87</v>
      </c>
      <c r="E1511" t="s">
        <v>3548</v>
      </c>
    </row>
    <row r="1512" spans="1:5" x14ac:dyDescent="0.25">
      <c r="A1512" s="1" t="s">
        <v>1511</v>
      </c>
      <c r="C1512" s="3">
        <v>87</v>
      </c>
      <c r="E1512" t="s">
        <v>4101</v>
      </c>
    </row>
    <row r="1513" spans="1:5" x14ac:dyDescent="0.25">
      <c r="A1513" s="1" t="s">
        <v>1512</v>
      </c>
      <c r="C1513" s="3">
        <v>87</v>
      </c>
      <c r="E1513" t="s">
        <v>5289</v>
      </c>
    </row>
    <row r="1514" spans="1:5" x14ac:dyDescent="0.25">
      <c r="A1514" s="1" t="s">
        <v>1513</v>
      </c>
      <c r="C1514" s="3">
        <v>87</v>
      </c>
      <c r="E1514" t="s">
        <v>5550</v>
      </c>
    </row>
    <row r="1515" spans="1:5" x14ac:dyDescent="0.25">
      <c r="A1515" s="1" t="s">
        <v>1514</v>
      </c>
      <c r="C1515" s="3">
        <v>87</v>
      </c>
      <c r="E1515" t="s">
        <v>3786</v>
      </c>
    </row>
    <row r="1516" spans="1:5" x14ac:dyDescent="0.25">
      <c r="A1516" s="1" t="s">
        <v>1515</v>
      </c>
      <c r="C1516" s="3">
        <v>87</v>
      </c>
      <c r="E1516" t="s">
        <v>3921</v>
      </c>
    </row>
    <row r="1517" spans="1:5" x14ac:dyDescent="0.25">
      <c r="A1517" s="1" t="s">
        <v>1516</v>
      </c>
      <c r="C1517" s="3">
        <v>87</v>
      </c>
      <c r="E1517" t="s">
        <v>13303</v>
      </c>
    </row>
    <row r="1518" spans="1:5" x14ac:dyDescent="0.25">
      <c r="A1518" s="1" t="s">
        <v>1517</v>
      </c>
      <c r="C1518" s="3">
        <v>87</v>
      </c>
      <c r="E1518" t="s">
        <v>1255</v>
      </c>
    </row>
    <row r="1519" spans="1:5" x14ac:dyDescent="0.25">
      <c r="A1519" s="1" t="s">
        <v>1518</v>
      </c>
      <c r="C1519" s="3">
        <v>87</v>
      </c>
      <c r="E1519" t="s">
        <v>1788</v>
      </c>
    </row>
    <row r="1520" spans="1:5" x14ac:dyDescent="0.25">
      <c r="A1520" s="1" t="s">
        <v>1519</v>
      </c>
      <c r="C1520" s="3">
        <v>87</v>
      </c>
      <c r="E1520" t="s">
        <v>14776</v>
      </c>
    </row>
    <row r="1521" spans="1:5" x14ac:dyDescent="0.25">
      <c r="A1521" s="1" t="s">
        <v>1520</v>
      </c>
      <c r="C1521" s="3">
        <v>86</v>
      </c>
      <c r="E1521" t="s">
        <v>2452</v>
      </c>
    </row>
    <row r="1522" spans="1:5" x14ac:dyDescent="0.25">
      <c r="A1522" s="1" t="s">
        <v>1521</v>
      </c>
      <c r="C1522" s="3">
        <v>86</v>
      </c>
      <c r="E1522" t="s">
        <v>2677</v>
      </c>
    </row>
    <row r="1523" spans="1:5" x14ac:dyDescent="0.25">
      <c r="A1523" s="1" t="s">
        <v>1522</v>
      </c>
      <c r="C1523" s="3">
        <v>86</v>
      </c>
      <c r="E1523" t="s">
        <v>15548</v>
      </c>
    </row>
    <row r="1524" spans="1:5" x14ac:dyDescent="0.25">
      <c r="A1524" s="1" t="s">
        <v>1523</v>
      </c>
      <c r="C1524" s="3">
        <v>86</v>
      </c>
      <c r="E1524" t="s">
        <v>2</v>
      </c>
    </row>
    <row r="1525" spans="1:5" x14ac:dyDescent="0.25">
      <c r="A1525" s="1" t="s">
        <v>1524</v>
      </c>
      <c r="C1525" s="3">
        <v>86</v>
      </c>
      <c r="E1525" t="s">
        <v>574</v>
      </c>
    </row>
    <row r="1526" spans="1:5" x14ac:dyDescent="0.25">
      <c r="A1526" s="1" t="s">
        <v>1525</v>
      </c>
      <c r="C1526" s="3">
        <v>86</v>
      </c>
      <c r="E1526" t="s">
        <v>16073</v>
      </c>
    </row>
    <row r="1527" spans="1:5" x14ac:dyDescent="0.25">
      <c r="A1527" s="1" t="s">
        <v>1526</v>
      </c>
      <c r="C1527" s="3">
        <v>86</v>
      </c>
      <c r="E1527" t="s">
        <v>3587</v>
      </c>
    </row>
    <row r="1528" spans="1:5" x14ac:dyDescent="0.25">
      <c r="A1528" s="1" t="s">
        <v>1527</v>
      </c>
      <c r="C1528" s="3">
        <v>86</v>
      </c>
      <c r="E1528" t="s">
        <v>7491</v>
      </c>
    </row>
    <row r="1529" spans="1:5" x14ac:dyDescent="0.25">
      <c r="A1529" s="1" t="s">
        <v>1528</v>
      </c>
      <c r="C1529" s="3">
        <v>86</v>
      </c>
      <c r="E1529" t="s">
        <v>4846</v>
      </c>
    </row>
    <row r="1530" spans="1:5" x14ac:dyDescent="0.25">
      <c r="A1530" s="1" t="s">
        <v>1529</v>
      </c>
      <c r="C1530" s="3">
        <v>86</v>
      </c>
      <c r="E1530" t="s">
        <v>17214</v>
      </c>
    </row>
    <row r="1531" spans="1:5" x14ac:dyDescent="0.25">
      <c r="A1531" s="1" t="s">
        <v>1530</v>
      </c>
      <c r="C1531" s="3">
        <v>86</v>
      </c>
      <c r="E1531" t="s">
        <v>3403</v>
      </c>
    </row>
    <row r="1532" spans="1:5" x14ac:dyDescent="0.25">
      <c r="A1532" s="1" t="s">
        <v>1531</v>
      </c>
      <c r="C1532" s="3">
        <v>86</v>
      </c>
      <c r="E1532" t="s">
        <v>353</v>
      </c>
    </row>
    <row r="1533" spans="1:5" x14ac:dyDescent="0.25">
      <c r="A1533" s="1" t="s">
        <v>1532</v>
      </c>
      <c r="C1533" s="3">
        <v>86</v>
      </c>
      <c r="E1533" t="s">
        <v>11273</v>
      </c>
    </row>
    <row r="1534" spans="1:5" x14ac:dyDescent="0.25">
      <c r="A1534" s="1" t="s">
        <v>1533</v>
      </c>
      <c r="C1534" s="3">
        <v>86</v>
      </c>
      <c r="E1534" t="s">
        <v>20784</v>
      </c>
    </row>
    <row r="1535" spans="1:5" x14ac:dyDescent="0.25">
      <c r="A1535" s="1" t="s">
        <v>1534</v>
      </c>
      <c r="C1535" s="3">
        <v>86</v>
      </c>
      <c r="E1535" t="s">
        <v>9483</v>
      </c>
    </row>
    <row r="1536" spans="1:5" x14ac:dyDescent="0.25">
      <c r="A1536" s="1" t="s">
        <v>1535</v>
      </c>
      <c r="C1536" s="3">
        <v>86</v>
      </c>
      <c r="E1536" t="s">
        <v>7531</v>
      </c>
    </row>
    <row r="1537" spans="1:5" x14ac:dyDescent="0.25">
      <c r="A1537" s="1" t="s">
        <v>1536</v>
      </c>
      <c r="C1537" s="3">
        <v>86</v>
      </c>
      <c r="E1537" t="s">
        <v>4453</v>
      </c>
    </row>
    <row r="1538" spans="1:5" x14ac:dyDescent="0.25">
      <c r="A1538" s="1" t="s">
        <v>1537</v>
      </c>
      <c r="C1538" s="3">
        <v>86</v>
      </c>
      <c r="E1538" t="s">
        <v>3553</v>
      </c>
    </row>
    <row r="1539" spans="1:5" x14ac:dyDescent="0.25">
      <c r="A1539" s="1" t="s">
        <v>1538</v>
      </c>
      <c r="C1539" s="3">
        <v>86</v>
      </c>
      <c r="E1539" t="s">
        <v>18084</v>
      </c>
    </row>
    <row r="1540" spans="1:5" x14ac:dyDescent="0.25">
      <c r="A1540" s="1" t="s">
        <v>1539</v>
      </c>
      <c r="C1540" s="3">
        <v>86</v>
      </c>
      <c r="E1540" t="s">
        <v>3576</v>
      </c>
    </row>
    <row r="1541" spans="1:5" x14ac:dyDescent="0.25">
      <c r="A1541" s="1" t="s">
        <v>1540</v>
      </c>
      <c r="C1541" s="3">
        <v>86</v>
      </c>
      <c r="E1541" t="s">
        <v>894</v>
      </c>
    </row>
    <row r="1542" spans="1:5" x14ac:dyDescent="0.25">
      <c r="A1542" s="1" t="s">
        <v>1541</v>
      </c>
      <c r="C1542" s="3">
        <v>86</v>
      </c>
      <c r="E1542" t="s">
        <v>6198</v>
      </c>
    </row>
    <row r="1543" spans="1:5" x14ac:dyDescent="0.25">
      <c r="A1543" s="1" t="s">
        <v>1542</v>
      </c>
      <c r="C1543" s="3">
        <v>85</v>
      </c>
      <c r="E1543" t="s">
        <v>6902</v>
      </c>
    </row>
    <row r="1544" spans="1:5" x14ac:dyDescent="0.25">
      <c r="A1544" s="1" t="s">
        <v>1543</v>
      </c>
      <c r="C1544" s="3">
        <v>85</v>
      </c>
      <c r="E1544" t="s">
        <v>5181</v>
      </c>
    </row>
    <row r="1545" spans="1:5" x14ac:dyDescent="0.25">
      <c r="A1545" s="1" t="s">
        <v>1544</v>
      </c>
      <c r="C1545" s="3">
        <v>85</v>
      </c>
      <c r="E1545" t="s">
        <v>2398</v>
      </c>
    </row>
    <row r="1546" spans="1:5" x14ac:dyDescent="0.25">
      <c r="A1546" s="1" t="s">
        <v>1545</v>
      </c>
      <c r="C1546" s="3">
        <v>85</v>
      </c>
      <c r="E1546" t="s">
        <v>6353</v>
      </c>
    </row>
    <row r="1547" spans="1:5" x14ac:dyDescent="0.25">
      <c r="A1547" s="1" t="s">
        <v>1546</v>
      </c>
      <c r="C1547" s="3">
        <v>85</v>
      </c>
      <c r="E1547" t="s">
        <v>54</v>
      </c>
    </row>
    <row r="1548" spans="1:5" x14ac:dyDescent="0.25">
      <c r="A1548" s="1" t="s">
        <v>1547</v>
      </c>
      <c r="C1548" s="3">
        <v>85</v>
      </c>
      <c r="E1548" t="s">
        <v>8887</v>
      </c>
    </row>
    <row r="1549" spans="1:5" x14ac:dyDescent="0.25">
      <c r="A1549" s="1" t="s">
        <v>1548</v>
      </c>
      <c r="C1549" s="3">
        <v>85</v>
      </c>
      <c r="E1549" t="s">
        <v>5012</v>
      </c>
    </row>
    <row r="1550" spans="1:5" x14ac:dyDescent="0.25">
      <c r="A1550" s="1" t="s">
        <v>1549</v>
      </c>
      <c r="C1550" s="3">
        <v>85</v>
      </c>
      <c r="E1550" t="s">
        <v>13967</v>
      </c>
    </row>
    <row r="1551" spans="1:5" x14ac:dyDescent="0.25">
      <c r="A1551" s="1" t="s">
        <v>1550</v>
      </c>
      <c r="C1551" s="3">
        <v>85</v>
      </c>
      <c r="E1551" t="s">
        <v>7147</v>
      </c>
    </row>
    <row r="1552" spans="1:5" x14ac:dyDescent="0.25">
      <c r="A1552" s="1" t="s">
        <v>1551</v>
      </c>
      <c r="C1552" s="3">
        <v>85</v>
      </c>
      <c r="E1552" t="s">
        <v>4046</v>
      </c>
    </row>
    <row r="1553" spans="1:5" x14ac:dyDescent="0.25">
      <c r="A1553" s="1" t="s">
        <v>1552</v>
      </c>
      <c r="C1553" s="3">
        <v>85</v>
      </c>
      <c r="E1553" t="s">
        <v>923</v>
      </c>
    </row>
    <row r="1554" spans="1:5" x14ac:dyDescent="0.25">
      <c r="A1554" s="1" t="s">
        <v>1553</v>
      </c>
      <c r="C1554" s="3">
        <v>85</v>
      </c>
      <c r="E1554" t="s">
        <v>3390</v>
      </c>
    </row>
    <row r="1555" spans="1:5" x14ac:dyDescent="0.25">
      <c r="A1555" s="1" t="s">
        <v>1554</v>
      </c>
      <c r="C1555" s="3">
        <v>85</v>
      </c>
      <c r="E1555" t="s">
        <v>3394</v>
      </c>
    </row>
    <row r="1556" spans="1:5" x14ac:dyDescent="0.25">
      <c r="A1556" s="1" t="s">
        <v>1555</v>
      </c>
      <c r="C1556" s="3">
        <v>85</v>
      </c>
      <c r="E1556" t="s">
        <v>4560</v>
      </c>
    </row>
    <row r="1557" spans="1:5" x14ac:dyDescent="0.25">
      <c r="A1557" s="1" t="s">
        <v>1556</v>
      </c>
      <c r="C1557" s="3">
        <v>85</v>
      </c>
      <c r="E1557" t="s">
        <v>7415</v>
      </c>
    </row>
    <row r="1558" spans="1:5" x14ac:dyDescent="0.25">
      <c r="A1558" s="1" t="s">
        <v>1557</v>
      </c>
      <c r="C1558" s="3">
        <v>84</v>
      </c>
      <c r="E1558" t="s">
        <v>4943</v>
      </c>
    </row>
    <row r="1559" spans="1:5" x14ac:dyDescent="0.25">
      <c r="A1559" s="1" t="s">
        <v>1558</v>
      </c>
      <c r="C1559" s="3">
        <v>84</v>
      </c>
      <c r="E1559" t="s">
        <v>3002</v>
      </c>
    </row>
    <row r="1560" spans="1:5" x14ac:dyDescent="0.25">
      <c r="A1560" s="1" t="s">
        <v>1559</v>
      </c>
      <c r="C1560" s="3">
        <v>84</v>
      </c>
      <c r="E1560" t="s">
        <v>393</v>
      </c>
    </row>
    <row r="1561" spans="1:5" x14ac:dyDescent="0.25">
      <c r="A1561" s="1" t="s">
        <v>1560</v>
      </c>
      <c r="C1561" s="3">
        <v>84</v>
      </c>
      <c r="E1561" t="s">
        <v>10193</v>
      </c>
    </row>
    <row r="1562" spans="1:5" x14ac:dyDescent="0.25">
      <c r="A1562" s="1" t="s">
        <v>1561</v>
      </c>
      <c r="C1562" s="3">
        <v>84</v>
      </c>
      <c r="E1562" t="s">
        <v>3683</v>
      </c>
    </row>
    <row r="1563" spans="1:5" x14ac:dyDescent="0.25">
      <c r="A1563" s="1" t="s">
        <v>1562</v>
      </c>
      <c r="C1563" s="3">
        <v>84</v>
      </c>
      <c r="E1563" t="s">
        <v>621</v>
      </c>
    </row>
    <row r="1564" spans="1:5" x14ac:dyDescent="0.25">
      <c r="A1564" s="1" t="s">
        <v>1563</v>
      </c>
      <c r="C1564" s="3">
        <v>84</v>
      </c>
      <c r="E1564" t="s">
        <v>2485</v>
      </c>
    </row>
    <row r="1565" spans="1:5" x14ac:dyDescent="0.25">
      <c r="A1565" s="1" t="s">
        <v>1564</v>
      </c>
      <c r="C1565" s="3">
        <v>84</v>
      </c>
      <c r="E1565" t="s">
        <v>16531</v>
      </c>
    </row>
    <row r="1566" spans="1:5" x14ac:dyDescent="0.25">
      <c r="A1566" s="1" t="s">
        <v>1565</v>
      </c>
      <c r="C1566" s="3">
        <v>84</v>
      </c>
      <c r="E1566" t="s">
        <v>12242</v>
      </c>
    </row>
    <row r="1567" spans="1:5" x14ac:dyDescent="0.25">
      <c r="A1567" s="1" t="s">
        <v>1566</v>
      </c>
      <c r="C1567" s="3">
        <v>84</v>
      </c>
      <c r="E1567" t="s">
        <v>2073</v>
      </c>
    </row>
    <row r="1568" spans="1:5" x14ac:dyDescent="0.25">
      <c r="A1568" s="1" t="s">
        <v>1567</v>
      </c>
      <c r="C1568" s="3">
        <v>84</v>
      </c>
      <c r="E1568" t="s">
        <v>2982</v>
      </c>
    </row>
    <row r="1569" spans="1:5" x14ac:dyDescent="0.25">
      <c r="A1569" s="1" t="s">
        <v>1568</v>
      </c>
      <c r="C1569" s="3">
        <v>84</v>
      </c>
      <c r="E1569" t="s">
        <v>9282</v>
      </c>
    </row>
    <row r="1570" spans="1:5" x14ac:dyDescent="0.25">
      <c r="A1570" s="1" t="s">
        <v>1569</v>
      </c>
      <c r="C1570" s="3">
        <v>84</v>
      </c>
      <c r="E1570" t="s">
        <v>2141</v>
      </c>
    </row>
    <row r="1571" spans="1:5" x14ac:dyDescent="0.25">
      <c r="A1571" s="1" t="s">
        <v>1570</v>
      </c>
      <c r="C1571" s="3">
        <v>84</v>
      </c>
      <c r="E1571" t="s">
        <v>1303</v>
      </c>
    </row>
    <row r="1572" spans="1:5" x14ac:dyDescent="0.25">
      <c r="A1572" s="1" t="s">
        <v>1571</v>
      </c>
      <c r="C1572" s="3">
        <v>84</v>
      </c>
      <c r="E1572" t="s">
        <v>3726</v>
      </c>
    </row>
    <row r="1573" spans="1:5" x14ac:dyDescent="0.25">
      <c r="A1573" s="1" t="s">
        <v>1572</v>
      </c>
      <c r="C1573" s="3">
        <v>84</v>
      </c>
      <c r="E1573" t="s">
        <v>1638</v>
      </c>
    </row>
    <row r="1574" spans="1:5" x14ac:dyDescent="0.25">
      <c r="A1574" s="1" t="s">
        <v>1573</v>
      </c>
      <c r="C1574" s="3">
        <v>84</v>
      </c>
      <c r="E1574" t="s">
        <v>3496</v>
      </c>
    </row>
    <row r="1575" spans="1:5" x14ac:dyDescent="0.25">
      <c r="A1575" s="1" t="s">
        <v>1574</v>
      </c>
      <c r="C1575" s="3">
        <v>84</v>
      </c>
      <c r="E1575" t="s">
        <v>289</v>
      </c>
    </row>
    <row r="1576" spans="1:5" x14ac:dyDescent="0.25">
      <c r="A1576" s="1" t="s">
        <v>1575</v>
      </c>
      <c r="C1576" s="3">
        <v>84</v>
      </c>
      <c r="E1576" t="s">
        <v>11350</v>
      </c>
    </row>
    <row r="1577" spans="1:5" x14ac:dyDescent="0.25">
      <c r="A1577" s="1" t="s">
        <v>1576</v>
      </c>
      <c r="C1577" s="3">
        <v>84</v>
      </c>
      <c r="E1577" t="s">
        <v>13172</v>
      </c>
    </row>
    <row r="1578" spans="1:5" x14ac:dyDescent="0.25">
      <c r="A1578" s="1" t="s">
        <v>1577</v>
      </c>
      <c r="C1578" s="3">
        <v>84</v>
      </c>
      <c r="E1578" t="s">
        <v>6841</v>
      </c>
    </row>
    <row r="1579" spans="1:5" x14ac:dyDescent="0.25">
      <c r="A1579" s="1" t="s">
        <v>1578</v>
      </c>
      <c r="C1579" s="3">
        <v>84</v>
      </c>
      <c r="E1579" t="s">
        <v>11326</v>
      </c>
    </row>
    <row r="1580" spans="1:5" x14ac:dyDescent="0.25">
      <c r="A1580" s="1" t="s">
        <v>1579</v>
      </c>
      <c r="C1580" s="3">
        <v>84</v>
      </c>
      <c r="E1580" t="s">
        <v>10671</v>
      </c>
    </row>
    <row r="1581" spans="1:5" x14ac:dyDescent="0.25">
      <c r="A1581" s="1" t="s">
        <v>1580</v>
      </c>
      <c r="C1581" s="3">
        <v>84</v>
      </c>
      <c r="E1581" t="s">
        <v>14884</v>
      </c>
    </row>
    <row r="1582" spans="1:5" x14ac:dyDescent="0.25">
      <c r="A1582" s="1" t="s">
        <v>1581</v>
      </c>
      <c r="C1582" s="3">
        <v>83</v>
      </c>
      <c r="E1582" t="s">
        <v>4150</v>
      </c>
    </row>
    <row r="1583" spans="1:5" x14ac:dyDescent="0.25">
      <c r="A1583" s="1" t="s">
        <v>1582</v>
      </c>
      <c r="C1583" s="3">
        <v>83</v>
      </c>
      <c r="E1583" t="s">
        <v>8577</v>
      </c>
    </row>
    <row r="1584" spans="1:5" x14ac:dyDescent="0.25">
      <c r="A1584" s="1" t="s">
        <v>1583</v>
      </c>
      <c r="C1584" s="3">
        <v>83</v>
      </c>
      <c r="E1584" t="s">
        <v>1155</v>
      </c>
    </row>
    <row r="1585" spans="1:5" x14ac:dyDescent="0.25">
      <c r="A1585" s="1" t="s">
        <v>1584</v>
      </c>
      <c r="C1585" s="3">
        <v>83</v>
      </c>
      <c r="E1585" t="s">
        <v>1761</v>
      </c>
    </row>
    <row r="1586" spans="1:5" x14ac:dyDescent="0.25">
      <c r="A1586" s="1" t="s">
        <v>1585</v>
      </c>
      <c r="C1586" s="3">
        <v>83</v>
      </c>
      <c r="E1586" t="s">
        <v>7872</v>
      </c>
    </row>
    <row r="1587" spans="1:5" x14ac:dyDescent="0.25">
      <c r="A1587" s="1" t="s">
        <v>1586</v>
      </c>
      <c r="C1587" s="3">
        <v>83</v>
      </c>
      <c r="E1587" t="s">
        <v>8554</v>
      </c>
    </row>
    <row r="1588" spans="1:5" x14ac:dyDescent="0.25">
      <c r="A1588" s="1" t="s">
        <v>1587</v>
      </c>
      <c r="C1588" s="3">
        <v>83</v>
      </c>
      <c r="E1588" t="s">
        <v>9003</v>
      </c>
    </row>
    <row r="1589" spans="1:5" x14ac:dyDescent="0.25">
      <c r="A1589" s="1" t="s">
        <v>1588</v>
      </c>
      <c r="C1589" s="3">
        <v>83</v>
      </c>
      <c r="E1589" t="s">
        <v>9579</v>
      </c>
    </row>
    <row r="1590" spans="1:5" x14ac:dyDescent="0.25">
      <c r="A1590" s="1" t="s">
        <v>1589</v>
      </c>
      <c r="C1590" s="3">
        <v>83</v>
      </c>
      <c r="E1590" t="s">
        <v>1196</v>
      </c>
    </row>
    <row r="1591" spans="1:5" x14ac:dyDescent="0.25">
      <c r="A1591" s="1" t="s">
        <v>1590</v>
      </c>
      <c r="C1591" s="3">
        <v>83</v>
      </c>
      <c r="E1591" t="s">
        <v>4152</v>
      </c>
    </row>
    <row r="1592" spans="1:5" x14ac:dyDescent="0.25">
      <c r="A1592" s="1" t="s">
        <v>1591</v>
      </c>
      <c r="C1592" s="3">
        <v>83</v>
      </c>
      <c r="E1592" t="s">
        <v>6230</v>
      </c>
    </row>
    <row r="1593" spans="1:5" x14ac:dyDescent="0.25">
      <c r="A1593" s="1" t="s">
        <v>1592</v>
      </c>
      <c r="C1593" s="3">
        <v>82</v>
      </c>
      <c r="E1593" t="s">
        <v>6916</v>
      </c>
    </row>
    <row r="1594" spans="1:5" x14ac:dyDescent="0.25">
      <c r="A1594" s="1" t="s">
        <v>1593</v>
      </c>
      <c r="C1594" s="3">
        <v>82</v>
      </c>
      <c r="E1594" t="s">
        <v>1197</v>
      </c>
    </row>
    <row r="1595" spans="1:5" x14ac:dyDescent="0.25">
      <c r="A1595" s="1" t="s">
        <v>1594</v>
      </c>
      <c r="C1595" s="3">
        <v>82</v>
      </c>
      <c r="E1595" t="s">
        <v>14020</v>
      </c>
    </row>
    <row r="1596" spans="1:5" x14ac:dyDescent="0.25">
      <c r="A1596" s="1" t="s">
        <v>1595</v>
      </c>
      <c r="C1596" s="3">
        <v>82</v>
      </c>
      <c r="E1596" t="s">
        <v>1226</v>
      </c>
    </row>
    <row r="1597" spans="1:5" x14ac:dyDescent="0.25">
      <c r="A1597" s="1" t="s">
        <v>1596</v>
      </c>
      <c r="C1597" s="3">
        <v>82</v>
      </c>
      <c r="E1597" t="s">
        <v>25</v>
      </c>
    </row>
    <row r="1598" spans="1:5" x14ac:dyDescent="0.25">
      <c r="A1598" s="1" t="s">
        <v>1597</v>
      </c>
      <c r="C1598" s="3">
        <v>82</v>
      </c>
      <c r="E1598" t="s">
        <v>21160</v>
      </c>
    </row>
    <row r="1599" spans="1:5" x14ac:dyDescent="0.25">
      <c r="A1599" s="1" t="s">
        <v>1598</v>
      </c>
      <c r="C1599" s="3">
        <v>82</v>
      </c>
      <c r="E1599" t="s">
        <v>5621</v>
      </c>
    </row>
    <row r="1600" spans="1:5" x14ac:dyDescent="0.25">
      <c r="A1600" s="1" t="s">
        <v>1599</v>
      </c>
      <c r="C1600" s="3">
        <v>82</v>
      </c>
      <c r="E1600" t="s">
        <v>3344</v>
      </c>
    </row>
    <row r="1601" spans="1:5" x14ac:dyDescent="0.25">
      <c r="A1601" s="1" t="s">
        <v>1600</v>
      </c>
      <c r="C1601" s="3">
        <v>82</v>
      </c>
      <c r="E1601" t="s">
        <v>444</v>
      </c>
    </row>
    <row r="1602" spans="1:5" x14ac:dyDescent="0.25">
      <c r="A1602" s="1" t="s">
        <v>1601</v>
      </c>
      <c r="C1602" s="3">
        <v>82</v>
      </c>
      <c r="E1602" t="s">
        <v>15142</v>
      </c>
    </row>
    <row r="1603" spans="1:5" x14ac:dyDescent="0.25">
      <c r="A1603" s="1" t="s">
        <v>1602</v>
      </c>
      <c r="C1603" s="3">
        <v>82</v>
      </c>
      <c r="E1603" t="s">
        <v>14871</v>
      </c>
    </row>
    <row r="1604" spans="1:5" x14ac:dyDescent="0.25">
      <c r="A1604" s="1" t="s">
        <v>1603</v>
      </c>
      <c r="C1604" s="3">
        <v>82</v>
      </c>
      <c r="E1604" t="s">
        <v>4027</v>
      </c>
    </row>
    <row r="1605" spans="1:5" x14ac:dyDescent="0.25">
      <c r="A1605" s="1" t="s">
        <v>1604</v>
      </c>
      <c r="C1605" s="3">
        <v>82</v>
      </c>
      <c r="E1605" t="s">
        <v>12394</v>
      </c>
    </row>
    <row r="1606" spans="1:5" x14ac:dyDescent="0.25">
      <c r="A1606" s="1" t="s">
        <v>1605</v>
      </c>
      <c r="C1606" s="3">
        <v>82</v>
      </c>
      <c r="E1606" t="s">
        <v>7158</v>
      </c>
    </row>
    <row r="1607" spans="1:5" x14ac:dyDescent="0.25">
      <c r="A1607" s="1" t="s">
        <v>1606</v>
      </c>
      <c r="C1607" s="3">
        <v>82</v>
      </c>
      <c r="E1607" t="s">
        <v>12015</v>
      </c>
    </row>
    <row r="1608" spans="1:5" x14ac:dyDescent="0.25">
      <c r="A1608" s="1" t="s">
        <v>1607</v>
      </c>
      <c r="C1608" s="3">
        <v>82</v>
      </c>
      <c r="E1608" t="s">
        <v>1841</v>
      </c>
    </row>
    <row r="1609" spans="1:5" x14ac:dyDescent="0.25">
      <c r="A1609" s="1" t="s">
        <v>1608</v>
      </c>
      <c r="C1609" s="3">
        <v>82</v>
      </c>
      <c r="E1609" t="s">
        <v>2353</v>
      </c>
    </row>
    <row r="1610" spans="1:5" x14ac:dyDescent="0.25">
      <c r="A1610" s="1" t="s">
        <v>1609</v>
      </c>
      <c r="C1610" s="3">
        <v>82</v>
      </c>
      <c r="E1610" t="s">
        <v>8470</v>
      </c>
    </row>
    <row r="1611" spans="1:5" x14ac:dyDescent="0.25">
      <c r="A1611" s="1" t="s">
        <v>1610</v>
      </c>
      <c r="C1611" s="3">
        <v>82</v>
      </c>
      <c r="E1611" t="s">
        <v>1289</v>
      </c>
    </row>
    <row r="1612" spans="1:5" x14ac:dyDescent="0.25">
      <c r="A1612" s="1" t="s">
        <v>1611</v>
      </c>
      <c r="C1612" s="3">
        <v>82</v>
      </c>
      <c r="E1612" t="s">
        <v>13482</v>
      </c>
    </row>
    <row r="1613" spans="1:5" x14ac:dyDescent="0.25">
      <c r="A1613" s="1" t="s">
        <v>1612</v>
      </c>
      <c r="C1613" s="3">
        <v>82</v>
      </c>
      <c r="E1613" t="s">
        <v>4480</v>
      </c>
    </row>
    <row r="1614" spans="1:5" x14ac:dyDescent="0.25">
      <c r="A1614" s="1" t="s">
        <v>1613</v>
      </c>
      <c r="C1614" s="3">
        <v>82</v>
      </c>
      <c r="E1614" t="s">
        <v>4163</v>
      </c>
    </row>
    <row r="1615" spans="1:5" x14ac:dyDescent="0.25">
      <c r="A1615" s="1" t="s">
        <v>1614</v>
      </c>
      <c r="C1615" s="3">
        <v>82</v>
      </c>
      <c r="E1615" t="s">
        <v>1694</v>
      </c>
    </row>
    <row r="1616" spans="1:5" x14ac:dyDescent="0.25">
      <c r="A1616" s="1" t="s">
        <v>1615</v>
      </c>
      <c r="C1616" s="3">
        <v>82</v>
      </c>
      <c r="E1616" t="s">
        <v>19672</v>
      </c>
    </row>
    <row r="1617" spans="1:5" x14ac:dyDescent="0.25">
      <c r="A1617" s="1" t="s">
        <v>1616</v>
      </c>
      <c r="C1617" s="3">
        <v>82</v>
      </c>
      <c r="E1617" t="s">
        <v>2673</v>
      </c>
    </row>
    <row r="1618" spans="1:5" x14ac:dyDescent="0.25">
      <c r="A1618" s="1" t="s">
        <v>1617</v>
      </c>
      <c r="C1618" s="3">
        <v>82</v>
      </c>
      <c r="E1618" t="s">
        <v>684</v>
      </c>
    </row>
    <row r="1619" spans="1:5" x14ac:dyDescent="0.25">
      <c r="A1619" s="1" t="s">
        <v>1618</v>
      </c>
      <c r="C1619" s="3">
        <v>82</v>
      </c>
      <c r="E1619" t="s">
        <v>7563</v>
      </c>
    </row>
    <row r="1620" spans="1:5" x14ac:dyDescent="0.25">
      <c r="A1620" s="1" t="s">
        <v>1619</v>
      </c>
      <c r="C1620" s="3">
        <v>81</v>
      </c>
      <c r="E1620" t="s">
        <v>15276</v>
      </c>
    </row>
    <row r="1621" spans="1:5" x14ac:dyDescent="0.25">
      <c r="A1621" s="1" t="s">
        <v>1620</v>
      </c>
      <c r="C1621" s="3">
        <v>81</v>
      </c>
      <c r="E1621" t="s">
        <v>5568</v>
      </c>
    </row>
    <row r="1622" spans="1:5" x14ac:dyDescent="0.25">
      <c r="A1622" s="1" t="s">
        <v>1621</v>
      </c>
      <c r="C1622" s="3">
        <v>81</v>
      </c>
      <c r="E1622" t="s">
        <v>14891</v>
      </c>
    </row>
    <row r="1623" spans="1:5" x14ac:dyDescent="0.25">
      <c r="A1623" s="1" t="s">
        <v>1622</v>
      </c>
      <c r="C1623" s="3">
        <v>81</v>
      </c>
      <c r="E1623" t="s">
        <v>2990</v>
      </c>
    </row>
    <row r="1624" spans="1:5" x14ac:dyDescent="0.25">
      <c r="A1624" s="1" t="s">
        <v>1623</v>
      </c>
      <c r="C1624" s="3">
        <v>81</v>
      </c>
      <c r="E1624" t="s">
        <v>3756</v>
      </c>
    </row>
    <row r="1625" spans="1:5" x14ac:dyDescent="0.25">
      <c r="A1625" s="1" t="s">
        <v>1624</v>
      </c>
      <c r="C1625" s="3">
        <v>81</v>
      </c>
      <c r="E1625" t="s">
        <v>1947</v>
      </c>
    </row>
    <row r="1626" spans="1:5" x14ac:dyDescent="0.25">
      <c r="A1626" s="1" t="s">
        <v>1625</v>
      </c>
      <c r="C1626" s="3">
        <v>81</v>
      </c>
      <c r="E1626" t="s">
        <v>18026</v>
      </c>
    </row>
    <row r="1627" spans="1:5" x14ac:dyDescent="0.25">
      <c r="A1627" s="1" t="s">
        <v>1626</v>
      </c>
      <c r="C1627" s="3">
        <v>81</v>
      </c>
      <c r="E1627" t="s">
        <v>7620</v>
      </c>
    </row>
    <row r="1628" spans="1:5" x14ac:dyDescent="0.25">
      <c r="A1628" s="1" t="s">
        <v>1627</v>
      </c>
      <c r="C1628" s="3">
        <v>81</v>
      </c>
      <c r="E1628" t="s">
        <v>3748</v>
      </c>
    </row>
    <row r="1629" spans="1:5" x14ac:dyDescent="0.25">
      <c r="A1629" s="1" t="s">
        <v>1628</v>
      </c>
      <c r="C1629" s="3">
        <v>81</v>
      </c>
      <c r="E1629" t="s">
        <v>9293</v>
      </c>
    </row>
    <row r="1630" spans="1:5" x14ac:dyDescent="0.25">
      <c r="A1630" s="1" t="s">
        <v>1629</v>
      </c>
      <c r="C1630" s="3">
        <v>81</v>
      </c>
      <c r="E1630" t="s">
        <v>14739</v>
      </c>
    </row>
    <row r="1631" spans="1:5" x14ac:dyDescent="0.25">
      <c r="A1631" s="1" t="s">
        <v>1630</v>
      </c>
      <c r="C1631" s="3">
        <v>81</v>
      </c>
      <c r="E1631" t="s">
        <v>16310</v>
      </c>
    </row>
    <row r="1632" spans="1:5" x14ac:dyDescent="0.25">
      <c r="A1632" s="1" t="s">
        <v>1631</v>
      </c>
      <c r="C1632" s="3">
        <v>81</v>
      </c>
      <c r="E1632" t="s">
        <v>74</v>
      </c>
    </row>
    <row r="1633" spans="1:5" x14ac:dyDescent="0.25">
      <c r="A1633" s="1" t="s">
        <v>1632</v>
      </c>
      <c r="C1633" s="3">
        <v>81</v>
      </c>
      <c r="E1633" t="s">
        <v>477</v>
      </c>
    </row>
    <row r="1634" spans="1:5" x14ac:dyDescent="0.25">
      <c r="A1634" s="1" t="s">
        <v>1633</v>
      </c>
      <c r="C1634" s="3">
        <v>81</v>
      </c>
      <c r="E1634" t="s">
        <v>15967</v>
      </c>
    </row>
    <row r="1635" spans="1:5" x14ac:dyDescent="0.25">
      <c r="A1635" s="1" t="s">
        <v>1634</v>
      </c>
      <c r="C1635" s="3">
        <v>81</v>
      </c>
      <c r="E1635" t="s">
        <v>440</v>
      </c>
    </row>
    <row r="1636" spans="1:5" x14ac:dyDescent="0.25">
      <c r="A1636" s="1" t="s">
        <v>1635</v>
      </c>
      <c r="C1636" s="3">
        <v>81</v>
      </c>
      <c r="E1636" t="s">
        <v>827</v>
      </c>
    </row>
    <row r="1637" spans="1:5" x14ac:dyDescent="0.25">
      <c r="A1637" s="1" t="s">
        <v>1636</v>
      </c>
      <c r="C1637" s="3">
        <v>81</v>
      </c>
      <c r="E1637" t="s">
        <v>23905</v>
      </c>
    </row>
    <row r="1638" spans="1:5" x14ac:dyDescent="0.25">
      <c r="A1638" s="1" t="s">
        <v>1637</v>
      </c>
      <c r="C1638" s="3">
        <v>81</v>
      </c>
      <c r="E1638" t="s">
        <v>5003</v>
      </c>
    </row>
    <row r="1639" spans="1:5" x14ac:dyDescent="0.25">
      <c r="A1639" s="1" t="s">
        <v>1638</v>
      </c>
      <c r="C1639" s="3">
        <v>81</v>
      </c>
      <c r="E1639" t="s">
        <v>975</v>
      </c>
    </row>
    <row r="1640" spans="1:5" x14ac:dyDescent="0.25">
      <c r="A1640" s="1" t="s">
        <v>1639</v>
      </c>
      <c r="C1640" s="3">
        <v>81</v>
      </c>
      <c r="E1640" t="s">
        <v>7826</v>
      </c>
    </row>
    <row r="1641" spans="1:5" x14ac:dyDescent="0.25">
      <c r="A1641" s="1" t="s">
        <v>1640</v>
      </c>
      <c r="C1641" s="3">
        <v>81</v>
      </c>
      <c r="E1641" t="s">
        <v>102</v>
      </c>
    </row>
    <row r="1642" spans="1:5" x14ac:dyDescent="0.25">
      <c r="A1642" s="1" t="s">
        <v>1641</v>
      </c>
      <c r="C1642" s="3">
        <v>81</v>
      </c>
      <c r="E1642" t="s">
        <v>6283</v>
      </c>
    </row>
    <row r="1643" spans="1:5" x14ac:dyDescent="0.25">
      <c r="A1643" s="1" t="s">
        <v>1642</v>
      </c>
      <c r="C1643" s="3">
        <v>80</v>
      </c>
      <c r="E1643" t="s">
        <v>6805</v>
      </c>
    </row>
    <row r="1644" spans="1:5" x14ac:dyDescent="0.25">
      <c r="A1644" s="1" t="s">
        <v>1643</v>
      </c>
      <c r="C1644" s="3">
        <v>80</v>
      </c>
      <c r="E1644" t="s">
        <v>13005</v>
      </c>
    </row>
    <row r="1645" spans="1:5" x14ac:dyDescent="0.25">
      <c r="A1645" s="1" t="s">
        <v>1644</v>
      </c>
      <c r="C1645" s="3">
        <v>80</v>
      </c>
      <c r="E1645" t="s">
        <v>6682</v>
      </c>
    </row>
    <row r="1646" spans="1:5" x14ac:dyDescent="0.25">
      <c r="A1646" s="1" t="s">
        <v>1645</v>
      </c>
      <c r="C1646" s="3">
        <v>80</v>
      </c>
      <c r="E1646" t="s">
        <v>167</v>
      </c>
    </row>
    <row r="1647" spans="1:5" x14ac:dyDescent="0.25">
      <c r="A1647" s="1" t="s">
        <v>1646</v>
      </c>
      <c r="C1647" s="3">
        <v>80</v>
      </c>
      <c r="E1647" t="s">
        <v>1810</v>
      </c>
    </row>
    <row r="1648" spans="1:5" x14ac:dyDescent="0.25">
      <c r="A1648" s="1" t="s">
        <v>1647</v>
      </c>
      <c r="C1648" s="3">
        <v>80</v>
      </c>
      <c r="E1648" t="s">
        <v>1018</v>
      </c>
    </row>
    <row r="1649" spans="1:5" x14ac:dyDescent="0.25">
      <c r="A1649" s="1" t="s">
        <v>1648</v>
      </c>
      <c r="C1649" s="3">
        <v>80</v>
      </c>
      <c r="E1649" t="s">
        <v>6110</v>
      </c>
    </row>
    <row r="1650" spans="1:5" x14ac:dyDescent="0.25">
      <c r="A1650" s="1" t="s">
        <v>1649</v>
      </c>
      <c r="C1650" s="3">
        <v>80</v>
      </c>
      <c r="E1650" t="s">
        <v>14773</v>
      </c>
    </row>
    <row r="1651" spans="1:5" x14ac:dyDescent="0.25">
      <c r="A1651" s="1" t="s">
        <v>1650</v>
      </c>
      <c r="C1651" s="3">
        <v>80</v>
      </c>
      <c r="E1651" t="s">
        <v>5473</v>
      </c>
    </row>
    <row r="1652" spans="1:5" x14ac:dyDescent="0.25">
      <c r="A1652" s="1" t="s">
        <v>1651</v>
      </c>
      <c r="C1652" s="3">
        <v>80</v>
      </c>
      <c r="E1652" t="s">
        <v>1880</v>
      </c>
    </row>
    <row r="1653" spans="1:5" x14ac:dyDescent="0.25">
      <c r="A1653" s="1" t="s">
        <v>1652</v>
      </c>
      <c r="C1653" s="3">
        <v>80</v>
      </c>
      <c r="E1653" t="s">
        <v>14251</v>
      </c>
    </row>
    <row r="1654" spans="1:5" x14ac:dyDescent="0.25">
      <c r="A1654" s="1" t="s">
        <v>1653</v>
      </c>
      <c r="C1654" s="3">
        <v>80</v>
      </c>
      <c r="E1654" t="s">
        <v>19654</v>
      </c>
    </row>
    <row r="1655" spans="1:5" x14ac:dyDescent="0.25">
      <c r="A1655" s="1" t="s">
        <v>1654</v>
      </c>
      <c r="C1655" s="3">
        <v>80</v>
      </c>
      <c r="E1655" t="s">
        <v>9931</v>
      </c>
    </row>
    <row r="1656" spans="1:5" x14ac:dyDescent="0.25">
      <c r="A1656" s="1" t="s">
        <v>1655</v>
      </c>
      <c r="C1656" s="3">
        <v>80</v>
      </c>
      <c r="E1656" t="s">
        <v>23871</v>
      </c>
    </row>
    <row r="1657" spans="1:5" x14ac:dyDescent="0.25">
      <c r="A1657" s="1" t="s">
        <v>1656</v>
      </c>
      <c r="C1657" s="3">
        <v>80</v>
      </c>
      <c r="E1657" t="s">
        <v>2449</v>
      </c>
    </row>
    <row r="1658" spans="1:5" x14ac:dyDescent="0.25">
      <c r="A1658" s="1" t="s">
        <v>1657</v>
      </c>
      <c r="C1658" s="3">
        <v>80</v>
      </c>
      <c r="E1658" t="s">
        <v>2752</v>
      </c>
    </row>
    <row r="1659" spans="1:5" x14ac:dyDescent="0.25">
      <c r="A1659" s="1" t="s">
        <v>1658</v>
      </c>
      <c r="C1659" s="3">
        <v>80</v>
      </c>
      <c r="E1659" t="s">
        <v>13286</v>
      </c>
    </row>
    <row r="1660" spans="1:5" x14ac:dyDescent="0.25">
      <c r="A1660" s="1" t="s">
        <v>1659</v>
      </c>
      <c r="C1660" s="3">
        <v>80</v>
      </c>
      <c r="E1660" t="s">
        <v>94</v>
      </c>
    </row>
    <row r="1661" spans="1:5" x14ac:dyDescent="0.25">
      <c r="A1661" s="1" t="s">
        <v>1660</v>
      </c>
      <c r="C1661" s="3">
        <v>80</v>
      </c>
      <c r="E1661" t="s">
        <v>6933</v>
      </c>
    </row>
    <row r="1662" spans="1:5" x14ac:dyDescent="0.25">
      <c r="A1662" s="1" t="s">
        <v>1661</v>
      </c>
      <c r="C1662" s="3">
        <v>80</v>
      </c>
      <c r="E1662" t="s">
        <v>2320</v>
      </c>
    </row>
    <row r="1663" spans="1:5" x14ac:dyDescent="0.25">
      <c r="A1663" s="1" t="s">
        <v>1662</v>
      </c>
      <c r="C1663" s="3">
        <v>80</v>
      </c>
      <c r="E1663" t="s">
        <v>1294</v>
      </c>
    </row>
    <row r="1664" spans="1:5" x14ac:dyDescent="0.25">
      <c r="A1664" s="1" t="s">
        <v>1663</v>
      </c>
      <c r="C1664" s="3">
        <v>80</v>
      </c>
      <c r="E1664" t="s">
        <v>3147</v>
      </c>
    </row>
    <row r="1665" spans="1:5" x14ac:dyDescent="0.25">
      <c r="A1665" s="1" t="s">
        <v>1664</v>
      </c>
      <c r="C1665" s="3">
        <v>80</v>
      </c>
      <c r="E1665" t="s">
        <v>4817</v>
      </c>
    </row>
    <row r="1666" spans="1:5" x14ac:dyDescent="0.25">
      <c r="A1666" s="1" t="s">
        <v>1665</v>
      </c>
      <c r="C1666" s="3">
        <v>80</v>
      </c>
      <c r="E1666" t="s">
        <v>697</v>
      </c>
    </row>
    <row r="1667" spans="1:5" x14ac:dyDescent="0.25">
      <c r="A1667" s="1" t="s">
        <v>1666</v>
      </c>
      <c r="C1667" s="3">
        <v>80</v>
      </c>
      <c r="E1667" t="s">
        <v>4100</v>
      </c>
    </row>
    <row r="1668" spans="1:5" x14ac:dyDescent="0.25">
      <c r="A1668" s="1" t="s">
        <v>1667</v>
      </c>
      <c r="C1668" s="3">
        <v>80</v>
      </c>
      <c r="E1668" t="s">
        <v>25437</v>
      </c>
    </row>
    <row r="1669" spans="1:5" x14ac:dyDescent="0.25">
      <c r="A1669" s="1" t="s">
        <v>1668</v>
      </c>
      <c r="C1669" s="3">
        <v>80</v>
      </c>
      <c r="E1669" t="s">
        <v>5090</v>
      </c>
    </row>
    <row r="1670" spans="1:5" x14ac:dyDescent="0.25">
      <c r="A1670" s="1" t="s">
        <v>1669</v>
      </c>
      <c r="C1670" s="3">
        <v>79</v>
      </c>
      <c r="E1670" t="s">
        <v>3028</v>
      </c>
    </row>
    <row r="1671" spans="1:5" x14ac:dyDescent="0.25">
      <c r="A1671" s="1" t="s">
        <v>1670</v>
      </c>
      <c r="C1671" s="3">
        <v>79</v>
      </c>
      <c r="E1671" t="s">
        <v>9187</v>
      </c>
    </row>
    <row r="1672" spans="1:5" x14ac:dyDescent="0.25">
      <c r="A1672" s="1" t="s">
        <v>1671</v>
      </c>
      <c r="C1672" s="3">
        <v>79</v>
      </c>
      <c r="E1672" t="s">
        <v>974</v>
      </c>
    </row>
    <row r="1673" spans="1:5" x14ac:dyDescent="0.25">
      <c r="A1673" s="1" t="s">
        <v>1672</v>
      </c>
      <c r="C1673" s="3">
        <v>79</v>
      </c>
      <c r="E1673" t="s">
        <v>8159</v>
      </c>
    </row>
    <row r="1674" spans="1:5" x14ac:dyDescent="0.25">
      <c r="A1674" s="1" t="s">
        <v>1673</v>
      </c>
      <c r="C1674" s="3">
        <v>79</v>
      </c>
      <c r="E1674" t="s">
        <v>154</v>
      </c>
    </row>
    <row r="1675" spans="1:5" x14ac:dyDescent="0.25">
      <c r="A1675" s="1" t="s">
        <v>1674</v>
      </c>
      <c r="C1675" s="3">
        <v>79</v>
      </c>
      <c r="E1675" t="s">
        <v>11309</v>
      </c>
    </row>
    <row r="1676" spans="1:5" x14ac:dyDescent="0.25">
      <c r="A1676" s="1" t="s">
        <v>1675</v>
      </c>
      <c r="C1676" s="3">
        <v>79</v>
      </c>
      <c r="E1676" t="s">
        <v>946</v>
      </c>
    </row>
    <row r="1677" spans="1:5" x14ac:dyDescent="0.25">
      <c r="A1677" s="1" t="s">
        <v>1676</v>
      </c>
      <c r="C1677" s="3">
        <v>79</v>
      </c>
      <c r="E1677" t="s">
        <v>11605</v>
      </c>
    </row>
    <row r="1678" spans="1:5" x14ac:dyDescent="0.25">
      <c r="A1678" s="1" t="s">
        <v>1677</v>
      </c>
      <c r="C1678" s="3">
        <v>79</v>
      </c>
      <c r="E1678" t="s">
        <v>10597</v>
      </c>
    </row>
    <row r="1679" spans="1:5" x14ac:dyDescent="0.25">
      <c r="A1679" s="1" t="s">
        <v>1678</v>
      </c>
      <c r="C1679" s="3">
        <v>79</v>
      </c>
      <c r="E1679" t="s">
        <v>3656</v>
      </c>
    </row>
    <row r="1680" spans="1:5" x14ac:dyDescent="0.25">
      <c r="A1680" s="1" t="s">
        <v>1679</v>
      </c>
      <c r="C1680" s="3">
        <v>79</v>
      </c>
      <c r="E1680" t="s">
        <v>1441</v>
      </c>
    </row>
    <row r="1681" spans="1:5" x14ac:dyDescent="0.25">
      <c r="A1681" s="1" t="s">
        <v>1680</v>
      </c>
      <c r="C1681" s="3">
        <v>79</v>
      </c>
      <c r="E1681" t="s">
        <v>2833</v>
      </c>
    </row>
    <row r="1682" spans="1:5" x14ac:dyDescent="0.25">
      <c r="A1682" s="1" t="s">
        <v>1681</v>
      </c>
      <c r="C1682" s="3">
        <v>79</v>
      </c>
      <c r="E1682" t="s">
        <v>13860</v>
      </c>
    </row>
    <row r="1683" spans="1:5" x14ac:dyDescent="0.25">
      <c r="A1683" s="1" t="s">
        <v>1682</v>
      </c>
      <c r="C1683" s="3">
        <v>79</v>
      </c>
      <c r="E1683" t="s">
        <v>25438</v>
      </c>
    </row>
    <row r="1684" spans="1:5" x14ac:dyDescent="0.25">
      <c r="A1684" s="1" t="s">
        <v>1683</v>
      </c>
      <c r="C1684" s="3">
        <v>79</v>
      </c>
      <c r="E1684" t="s">
        <v>7</v>
      </c>
    </row>
    <row r="1685" spans="1:5" x14ac:dyDescent="0.25">
      <c r="A1685" s="1" t="s">
        <v>1684</v>
      </c>
      <c r="C1685" s="3">
        <v>79</v>
      </c>
      <c r="E1685" t="s">
        <v>2814</v>
      </c>
    </row>
    <row r="1686" spans="1:5" x14ac:dyDescent="0.25">
      <c r="A1686" s="1" t="s">
        <v>1685</v>
      </c>
      <c r="C1686" s="3">
        <v>79</v>
      </c>
      <c r="E1686" t="s">
        <v>1322</v>
      </c>
    </row>
    <row r="1687" spans="1:5" x14ac:dyDescent="0.25">
      <c r="A1687" s="1" t="s">
        <v>1686</v>
      </c>
      <c r="C1687" s="3">
        <v>79</v>
      </c>
      <c r="E1687" t="s">
        <v>12777</v>
      </c>
    </row>
    <row r="1688" spans="1:5" x14ac:dyDescent="0.25">
      <c r="A1688" s="1" t="s">
        <v>1687</v>
      </c>
      <c r="C1688" s="3">
        <v>79</v>
      </c>
      <c r="E1688" t="s">
        <v>3368</v>
      </c>
    </row>
    <row r="1689" spans="1:5" x14ac:dyDescent="0.25">
      <c r="A1689" s="1" t="s">
        <v>1688</v>
      </c>
      <c r="C1689" s="3">
        <v>79</v>
      </c>
      <c r="E1689" t="s">
        <v>5241</v>
      </c>
    </row>
    <row r="1690" spans="1:5" x14ac:dyDescent="0.25">
      <c r="A1690" s="1" t="s">
        <v>1689</v>
      </c>
      <c r="C1690" s="3">
        <v>79</v>
      </c>
      <c r="E1690" t="s">
        <v>9805</v>
      </c>
    </row>
    <row r="1691" spans="1:5" x14ac:dyDescent="0.25">
      <c r="A1691" s="1" t="s">
        <v>1690</v>
      </c>
      <c r="C1691" s="3">
        <v>79</v>
      </c>
      <c r="E1691" t="s">
        <v>1829</v>
      </c>
    </row>
    <row r="1692" spans="1:5" x14ac:dyDescent="0.25">
      <c r="A1692" s="1" t="s">
        <v>1691</v>
      </c>
      <c r="C1692" s="3">
        <v>79</v>
      </c>
      <c r="E1692" t="s">
        <v>12840</v>
      </c>
    </row>
    <row r="1693" spans="1:5" x14ac:dyDescent="0.25">
      <c r="A1693" s="1" t="s">
        <v>1692</v>
      </c>
      <c r="C1693" s="3">
        <v>79</v>
      </c>
      <c r="E1693" t="s">
        <v>2635</v>
      </c>
    </row>
    <row r="1694" spans="1:5" x14ac:dyDescent="0.25">
      <c r="A1694" s="1" t="s">
        <v>1693</v>
      </c>
      <c r="C1694" s="3">
        <v>79</v>
      </c>
      <c r="E1694" t="s">
        <v>4656</v>
      </c>
    </row>
    <row r="1695" spans="1:5" x14ac:dyDescent="0.25">
      <c r="A1695" s="1" t="s">
        <v>1694</v>
      </c>
      <c r="C1695" s="3">
        <v>79</v>
      </c>
      <c r="E1695" t="s">
        <v>201</v>
      </c>
    </row>
    <row r="1696" spans="1:5" x14ac:dyDescent="0.25">
      <c r="A1696" s="1" t="s">
        <v>1695</v>
      </c>
      <c r="C1696" s="3">
        <v>79</v>
      </c>
      <c r="E1696" t="s">
        <v>1084</v>
      </c>
    </row>
    <row r="1697" spans="1:5" x14ac:dyDescent="0.25">
      <c r="A1697" s="1" t="s">
        <v>1696</v>
      </c>
      <c r="C1697" s="3">
        <v>78</v>
      </c>
      <c r="E1697" t="s">
        <v>1934</v>
      </c>
    </row>
    <row r="1698" spans="1:5" x14ac:dyDescent="0.25">
      <c r="A1698" s="1" t="s">
        <v>1697</v>
      </c>
      <c r="C1698" s="3">
        <v>78</v>
      </c>
      <c r="E1698" t="s">
        <v>9566</v>
      </c>
    </row>
    <row r="1699" spans="1:5" x14ac:dyDescent="0.25">
      <c r="A1699" s="1" t="s">
        <v>1698</v>
      </c>
      <c r="C1699" s="3">
        <v>78</v>
      </c>
      <c r="E1699" t="s">
        <v>5121</v>
      </c>
    </row>
    <row r="1700" spans="1:5" x14ac:dyDescent="0.25">
      <c r="A1700" s="1" t="s">
        <v>1699</v>
      </c>
      <c r="C1700" s="3">
        <v>78</v>
      </c>
      <c r="E1700" t="s">
        <v>5532</v>
      </c>
    </row>
    <row r="1701" spans="1:5" x14ac:dyDescent="0.25">
      <c r="A1701" s="1" t="s">
        <v>1700</v>
      </c>
      <c r="C1701" s="3">
        <v>78</v>
      </c>
      <c r="E1701" t="s">
        <v>6319</v>
      </c>
    </row>
    <row r="1702" spans="1:5" x14ac:dyDescent="0.25">
      <c r="A1702" s="1" t="s">
        <v>1701</v>
      </c>
      <c r="C1702" s="3">
        <v>78</v>
      </c>
      <c r="E1702" t="s">
        <v>3339</v>
      </c>
    </row>
    <row r="1703" spans="1:5" x14ac:dyDescent="0.25">
      <c r="A1703" s="1" t="s">
        <v>1702</v>
      </c>
      <c r="C1703" s="3">
        <v>78</v>
      </c>
      <c r="E1703" t="s">
        <v>3705</v>
      </c>
    </row>
    <row r="1704" spans="1:5" x14ac:dyDescent="0.25">
      <c r="A1704" s="1" t="s">
        <v>1703</v>
      </c>
      <c r="C1704" s="3">
        <v>78</v>
      </c>
      <c r="E1704" t="s">
        <v>1541</v>
      </c>
    </row>
    <row r="1705" spans="1:5" x14ac:dyDescent="0.25">
      <c r="A1705" s="1" t="s">
        <v>1704</v>
      </c>
      <c r="C1705" s="3">
        <v>78</v>
      </c>
      <c r="E1705" t="s">
        <v>7067</v>
      </c>
    </row>
    <row r="1706" spans="1:5" x14ac:dyDescent="0.25">
      <c r="A1706" s="1" t="s">
        <v>1705</v>
      </c>
      <c r="C1706" s="3">
        <v>78</v>
      </c>
      <c r="E1706" t="s">
        <v>9865</v>
      </c>
    </row>
    <row r="1707" spans="1:5" x14ac:dyDescent="0.25">
      <c r="A1707" s="1" t="s">
        <v>1706</v>
      </c>
      <c r="C1707" s="3">
        <v>78</v>
      </c>
      <c r="E1707" t="s">
        <v>1931</v>
      </c>
    </row>
    <row r="1708" spans="1:5" x14ac:dyDescent="0.25">
      <c r="A1708" s="1" t="s">
        <v>1707</v>
      </c>
      <c r="C1708" s="3">
        <v>78</v>
      </c>
      <c r="E1708" t="s">
        <v>2420</v>
      </c>
    </row>
    <row r="1709" spans="1:5" x14ac:dyDescent="0.25">
      <c r="A1709" s="1" t="s">
        <v>1708</v>
      </c>
      <c r="C1709" s="3">
        <v>78</v>
      </c>
      <c r="E1709" t="s">
        <v>16467</v>
      </c>
    </row>
    <row r="1710" spans="1:5" x14ac:dyDescent="0.25">
      <c r="A1710" s="1" t="s">
        <v>1709</v>
      </c>
      <c r="C1710" s="3">
        <v>78</v>
      </c>
      <c r="E1710" t="s">
        <v>15842</v>
      </c>
    </row>
    <row r="1711" spans="1:5" x14ac:dyDescent="0.25">
      <c r="A1711" s="1" t="s">
        <v>1710</v>
      </c>
      <c r="C1711" s="3">
        <v>78</v>
      </c>
      <c r="E1711" t="s">
        <v>766</v>
      </c>
    </row>
    <row r="1712" spans="1:5" x14ac:dyDescent="0.25">
      <c r="A1712" s="1" t="s">
        <v>1711</v>
      </c>
      <c r="C1712" s="3">
        <v>78</v>
      </c>
      <c r="E1712" t="s">
        <v>1375</v>
      </c>
    </row>
    <row r="1713" spans="1:5" x14ac:dyDescent="0.25">
      <c r="A1713" s="1" t="s">
        <v>1712</v>
      </c>
      <c r="C1713" s="3">
        <v>78</v>
      </c>
      <c r="E1713" t="s">
        <v>3197</v>
      </c>
    </row>
    <row r="1714" spans="1:5" x14ac:dyDescent="0.25">
      <c r="A1714" s="1" t="s">
        <v>1713</v>
      </c>
      <c r="C1714" s="3">
        <v>78</v>
      </c>
      <c r="E1714" t="s">
        <v>10321</v>
      </c>
    </row>
    <row r="1715" spans="1:5" x14ac:dyDescent="0.25">
      <c r="A1715" s="1" t="s">
        <v>1714</v>
      </c>
      <c r="C1715" s="3">
        <v>77</v>
      </c>
      <c r="E1715" t="s">
        <v>2880</v>
      </c>
    </row>
    <row r="1716" spans="1:5" x14ac:dyDescent="0.25">
      <c r="A1716" s="1" t="s">
        <v>1715</v>
      </c>
      <c r="C1716" s="3">
        <v>77</v>
      </c>
      <c r="E1716" t="s">
        <v>2035</v>
      </c>
    </row>
    <row r="1717" spans="1:5" x14ac:dyDescent="0.25">
      <c r="A1717" s="1" t="s">
        <v>1716</v>
      </c>
      <c r="C1717" s="3">
        <v>77</v>
      </c>
      <c r="E1717" t="s">
        <v>5404</v>
      </c>
    </row>
    <row r="1718" spans="1:5" x14ac:dyDescent="0.25">
      <c r="A1718" s="1" t="s">
        <v>1717</v>
      </c>
      <c r="C1718" s="3">
        <v>77</v>
      </c>
      <c r="E1718" t="s">
        <v>970</v>
      </c>
    </row>
    <row r="1719" spans="1:5" x14ac:dyDescent="0.25">
      <c r="A1719" s="1" t="s">
        <v>1718</v>
      </c>
      <c r="C1719" s="3">
        <v>77</v>
      </c>
      <c r="E1719" t="s">
        <v>7263</v>
      </c>
    </row>
    <row r="1720" spans="1:5" x14ac:dyDescent="0.25">
      <c r="A1720" s="1" t="s">
        <v>1719</v>
      </c>
      <c r="C1720" s="3">
        <v>77</v>
      </c>
      <c r="E1720" t="s">
        <v>7456</v>
      </c>
    </row>
    <row r="1721" spans="1:5" x14ac:dyDescent="0.25">
      <c r="A1721" s="1" t="s">
        <v>1720</v>
      </c>
      <c r="C1721" s="3">
        <v>77</v>
      </c>
      <c r="E1721" t="s">
        <v>11724</v>
      </c>
    </row>
    <row r="1722" spans="1:5" x14ac:dyDescent="0.25">
      <c r="A1722" s="1" t="s">
        <v>1721</v>
      </c>
      <c r="C1722" s="3">
        <v>77</v>
      </c>
      <c r="E1722" t="s">
        <v>23936</v>
      </c>
    </row>
    <row r="1723" spans="1:5" x14ac:dyDescent="0.25">
      <c r="A1723" s="1" t="s">
        <v>1722</v>
      </c>
      <c r="C1723" s="3">
        <v>77</v>
      </c>
      <c r="E1723" t="s">
        <v>11992</v>
      </c>
    </row>
    <row r="1724" spans="1:5" x14ac:dyDescent="0.25">
      <c r="A1724" s="1" t="s">
        <v>1723</v>
      </c>
      <c r="C1724" s="3">
        <v>77</v>
      </c>
      <c r="E1724" t="s">
        <v>2509</v>
      </c>
    </row>
    <row r="1725" spans="1:5" x14ac:dyDescent="0.25">
      <c r="A1725" s="1" t="s">
        <v>1724</v>
      </c>
      <c r="C1725" s="3">
        <v>77</v>
      </c>
      <c r="E1725" t="s">
        <v>10744</v>
      </c>
    </row>
    <row r="1726" spans="1:5" x14ac:dyDescent="0.25">
      <c r="A1726" s="1" t="s">
        <v>1725</v>
      </c>
      <c r="C1726" s="3">
        <v>77</v>
      </c>
      <c r="E1726" t="s">
        <v>25075</v>
      </c>
    </row>
    <row r="1727" spans="1:5" x14ac:dyDescent="0.25">
      <c r="A1727" s="1" t="s">
        <v>1726</v>
      </c>
      <c r="C1727" s="3">
        <v>77</v>
      </c>
      <c r="E1727" t="s">
        <v>21893</v>
      </c>
    </row>
    <row r="1728" spans="1:5" x14ac:dyDescent="0.25">
      <c r="A1728" s="1" t="s">
        <v>1727</v>
      </c>
      <c r="C1728" s="3">
        <v>77</v>
      </c>
      <c r="E1728" t="s">
        <v>5278</v>
      </c>
    </row>
    <row r="1729" spans="1:5" x14ac:dyDescent="0.25">
      <c r="A1729" s="1" t="s">
        <v>1728</v>
      </c>
      <c r="C1729" s="3">
        <v>77</v>
      </c>
      <c r="E1729" t="s">
        <v>8096</v>
      </c>
    </row>
    <row r="1730" spans="1:5" x14ac:dyDescent="0.25">
      <c r="A1730" s="1" t="s">
        <v>1729</v>
      </c>
      <c r="C1730" s="3">
        <v>77</v>
      </c>
      <c r="E1730" t="s">
        <v>1505</v>
      </c>
    </row>
    <row r="1731" spans="1:5" x14ac:dyDescent="0.25">
      <c r="A1731" s="1" t="s">
        <v>1730</v>
      </c>
      <c r="C1731" s="3">
        <v>77</v>
      </c>
      <c r="E1731" t="s">
        <v>10055</v>
      </c>
    </row>
    <row r="1732" spans="1:5" x14ac:dyDescent="0.25">
      <c r="A1732" s="1" t="s">
        <v>1731</v>
      </c>
      <c r="C1732" s="3">
        <v>77</v>
      </c>
      <c r="E1732" t="s">
        <v>15052</v>
      </c>
    </row>
    <row r="1733" spans="1:5" x14ac:dyDescent="0.25">
      <c r="A1733" s="1" t="s">
        <v>1732</v>
      </c>
      <c r="C1733" s="3">
        <v>77</v>
      </c>
      <c r="E1733" t="s">
        <v>14682</v>
      </c>
    </row>
    <row r="1734" spans="1:5" x14ac:dyDescent="0.25">
      <c r="A1734" s="1" t="s">
        <v>1733</v>
      </c>
      <c r="C1734" s="3">
        <v>77</v>
      </c>
      <c r="E1734" t="s">
        <v>491</v>
      </c>
    </row>
    <row r="1735" spans="1:5" x14ac:dyDescent="0.25">
      <c r="A1735" s="1" t="s">
        <v>1734</v>
      </c>
      <c r="C1735" s="3">
        <v>77</v>
      </c>
      <c r="E1735" t="s">
        <v>14994</v>
      </c>
    </row>
    <row r="1736" spans="1:5" x14ac:dyDescent="0.25">
      <c r="A1736" s="1" t="s">
        <v>1735</v>
      </c>
      <c r="C1736" s="3">
        <v>77</v>
      </c>
      <c r="E1736" t="s">
        <v>1904</v>
      </c>
    </row>
    <row r="1737" spans="1:5" x14ac:dyDescent="0.25">
      <c r="A1737" s="1" t="s">
        <v>1736</v>
      </c>
      <c r="C1737" s="3">
        <v>77</v>
      </c>
      <c r="E1737" t="s">
        <v>571</v>
      </c>
    </row>
    <row r="1738" spans="1:5" x14ac:dyDescent="0.25">
      <c r="A1738" s="1" t="s">
        <v>1737</v>
      </c>
      <c r="C1738" s="3">
        <v>77</v>
      </c>
      <c r="E1738" t="s">
        <v>3476</v>
      </c>
    </row>
    <row r="1739" spans="1:5" x14ac:dyDescent="0.25">
      <c r="A1739" s="1" t="s">
        <v>1738</v>
      </c>
      <c r="C1739" s="3">
        <v>77</v>
      </c>
      <c r="E1739" t="s">
        <v>951</v>
      </c>
    </row>
    <row r="1740" spans="1:5" x14ac:dyDescent="0.25">
      <c r="A1740" s="1" t="s">
        <v>1739</v>
      </c>
      <c r="C1740" s="3">
        <v>76</v>
      </c>
      <c r="E1740" t="s">
        <v>2409</v>
      </c>
    </row>
    <row r="1741" spans="1:5" x14ac:dyDescent="0.25">
      <c r="A1741" s="1" t="s">
        <v>1740</v>
      </c>
      <c r="C1741" s="3">
        <v>76</v>
      </c>
      <c r="E1741" t="s">
        <v>3073</v>
      </c>
    </row>
    <row r="1742" spans="1:5" x14ac:dyDescent="0.25">
      <c r="A1742" s="1" t="s">
        <v>1741</v>
      </c>
      <c r="C1742" s="3">
        <v>76</v>
      </c>
      <c r="E1742" t="s">
        <v>25439</v>
      </c>
    </row>
    <row r="1743" spans="1:5" x14ac:dyDescent="0.25">
      <c r="A1743" s="1" t="s">
        <v>1742</v>
      </c>
      <c r="C1743" s="3">
        <v>76</v>
      </c>
      <c r="E1743" t="s">
        <v>3691</v>
      </c>
    </row>
    <row r="1744" spans="1:5" x14ac:dyDescent="0.25">
      <c r="A1744" s="1" t="s">
        <v>1743</v>
      </c>
      <c r="C1744" s="3">
        <v>76</v>
      </c>
      <c r="E1744" t="s">
        <v>3027</v>
      </c>
    </row>
    <row r="1745" spans="1:5" x14ac:dyDescent="0.25">
      <c r="A1745" s="1" t="s">
        <v>1744</v>
      </c>
      <c r="C1745" s="3">
        <v>76</v>
      </c>
      <c r="E1745" t="s">
        <v>5940</v>
      </c>
    </row>
    <row r="1746" spans="1:5" x14ac:dyDescent="0.25">
      <c r="A1746" s="1" t="s">
        <v>1745</v>
      </c>
      <c r="C1746" s="3">
        <v>76</v>
      </c>
      <c r="E1746" t="s">
        <v>1279</v>
      </c>
    </row>
    <row r="1747" spans="1:5" x14ac:dyDescent="0.25">
      <c r="A1747" s="1" t="s">
        <v>1746</v>
      </c>
      <c r="C1747" s="3">
        <v>76</v>
      </c>
      <c r="E1747" t="s">
        <v>15502</v>
      </c>
    </row>
    <row r="1748" spans="1:5" x14ac:dyDescent="0.25">
      <c r="A1748" s="1" t="s">
        <v>1747</v>
      </c>
      <c r="C1748" s="3">
        <v>76</v>
      </c>
      <c r="E1748" t="s">
        <v>1198</v>
      </c>
    </row>
    <row r="1749" spans="1:5" x14ac:dyDescent="0.25">
      <c r="A1749" s="1" t="s">
        <v>1748</v>
      </c>
      <c r="C1749" s="3">
        <v>76</v>
      </c>
      <c r="E1749" t="s">
        <v>4187</v>
      </c>
    </row>
    <row r="1750" spans="1:5" x14ac:dyDescent="0.25">
      <c r="A1750" s="1" t="s">
        <v>1749</v>
      </c>
      <c r="C1750" s="3">
        <v>76</v>
      </c>
      <c r="E1750" t="s">
        <v>552</v>
      </c>
    </row>
    <row r="1751" spans="1:5" x14ac:dyDescent="0.25">
      <c r="A1751" s="1" t="s">
        <v>1750</v>
      </c>
      <c r="C1751" s="3">
        <v>76</v>
      </c>
      <c r="E1751" t="s">
        <v>9602</v>
      </c>
    </row>
    <row r="1752" spans="1:5" x14ac:dyDescent="0.25">
      <c r="A1752" s="1" t="s">
        <v>1751</v>
      </c>
      <c r="C1752" s="3">
        <v>76</v>
      </c>
      <c r="E1752" t="s">
        <v>6544</v>
      </c>
    </row>
    <row r="1753" spans="1:5" x14ac:dyDescent="0.25">
      <c r="A1753" s="1" t="s">
        <v>1752</v>
      </c>
      <c r="C1753" s="3">
        <v>76</v>
      </c>
      <c r="E1753" t="s">
        <v>291</v>
      </c>
    </row>
    <row r="1754" spans="1:5" x14ac:dyDescent="0.25">
      <c r="A1754" s="1" t="s">
        <v>1753</v>
      </c>
      <c r="C1754" s="3">
        <v>76</v>
      </c>
      <c r="E1754" t="s">
        <v>1359</v>
      </c>
    </row>
    <row r="1755" spans="1:5" x14ac:dyDescent="0.25">
      <c r="A1755" s="1" t="s">
        <v>1754</v>
      </c>
      <c r="C1755" s="3">
        <v>76</v>
      </c>
      <c r="E1755" t="s">
        <v>6161</v>
      </c>
    </row>
    <row r="1756" spans="1:5" x14ac:dyDescent="0.25">
      <c r="A1756" s="1" t="s">
        <v>1755</v>
      </c>
      <c r="C1756" s="3">
        <v>76</v>
      </c>
      <c r="E1756" t="s">
        <v>2206</v>
      </c>
    </row>
    <row r="1757" spans="1:5" x14ac:dyDescent="0.25">
      <c r="A1757" s="1" t="s">
        <v>1756</v>
      </c>
      <c r="C1757" s="3">
        <v>76</v>
      </c>
      <c r="E1757" t="s">
        <v>1653</v>
      </c>
    </row>
    <row r="1758" spans="1:5" x14ac:dyDescent="0.25">
      <c r="A1758" s="1" t="s">
        <v>1757</v>
      </c>
      <c r="C1758" s="3">
        <v>76</v>
      </c>
      <c r="E1758" t="s">
        <v>24948</v>
      </c>
    </row>
    <row r="1759" spans="1:5" x14ac:dyDescent="0.25">
      <c r="A1759" s="1" t="s">
        <v>1758</v>
      </c>
      <c r="C1759" s="3">
        <v>76</v>
      </c>
      <c r="E1759" t="s">
        <v>1073</v>
      </c>
    </row>
    <row r="1760" spans="1:5" x14ac:dyDescent="0.25">
      <c r="A1760" s="1" t="s">
        <v>1759</v>
      </c>
      <c r="C1760" s="3">
        <v>76</v>
      </c>
      <c r="E1760" t="s">
        <v>2963</v>
      </c>
    </row>
    <row r="1761" spans="1:5" x14ac:dyDescent="0.25">
      <c r="A1761" s="1" t="s">
        <v>1760</v>
      </c>
      <c r="C1761" s="3">
        <v>76</v>
      </c>
      <c r="E1761" t="s">
        <v>2593</v>
      </c>
    </row>
    <row r="1762" spans="1:5" x14ac:dyDescent="0.25">
      <c r="A1762" s="1" t="s">
        <v>1761</v>
      </c>
      <c r="C1762" s="3">
        <v>76</v>
      </c>
      <c r="E1762" t="s">
        <v>4683</v>
      </c>
    </row>
    <row r="1763" spans="1:5" x14ac:dyDescent="0.25">
      <c r="A1763" s="1" t="s">
        <v>1762</v>
      </c>
      <c r="C1763" s="3">
        <v>76</v>
      </c>
      <c r="E1763" t="s">
        <v>7941</v>
      </c>
    </row>
    <row r="1764" spans="1:5" x14ac:dyDescent="0.25">
      <c r="A1764" s="1" t="s">
        <v>1763</v>
      </c>
      <c r="C1764" s="3">
        <v>76</v>
      </c>
      <c r="E1764" t="s">
        <v>1049</v>
      </c>
    </row>
    <row r="1765" spans="1:5" x14ac:dyDescent="0.25">
      <c r="A1765" s="1" t="s">
        <v>1764</v>
      </c>
      <c r="C1765" s="3">
        <v>76</v>
      </c>
      <c r="E1765" t="s">
        <v>1298</v>
      </c>
    </row>
    <row r="1766" spans="1:5" x14ac:dyDescent="0.25">
      <c r="A1766" s="1" t="s">
        <v>1765</v>
      </c>
      <c r="C1766" s="3">
        <v>76</v>
      </c>
      <c r="E1766" t="s">
        <v>5039</v>
      </c>
    </row>
    <row r="1767" spans="1:5" x14ac:dyDescent="0.25">
      <c r="A1767" s="1" t="s">
        <v>1766</v>
      </c>
      <c r="C1767" s="3">
        <v>75</v>
      </c>
      <c r="E1767" t="s">
        <v>7206</v>
      </c>
    </row>
    <row r="1768" spans="1:5" x14ac:dyDescent="0.25">
      <c r="A1768" s="1" t="s">
        <v>1767</v>
      </c>
      <c r="C1768" s="3">
        <v>75</v>
      </c>
      <c r="E1768" t="s">
        <v>7732</v>
      </c>
    </row>
    <row r="1769" spans="1:5" x14ac:dyDescent="0.25">
      <c r="A1769" s="1" t="s">
        <v>1768</v>
      </c>
      <c r="C1769" s="3">
        <v>75</v>
      </c>
      <c r="E1769" t="s">
        <v>6763</v>
      </c>
    </row>
    <row r="1770" spans="1:5" x14ac:dyDescent="0.25">
      <c r="A1770" s="1" t="s">
        <v>1769</v>
      </c>
      <c r="C1770" s="3">
        <v>75</v>
      </c>
      <c r="E1770" t="s">
        <v>5214</v>
      </c>
    </row>
    <row r="1771" spans="1:5" x14ac:dyDescent="0.25">
      <c r="A1771" s="1" t="s">
        <v>1770</v>
      </c>
      <c r="C1771" s="3">
        <v>75</v>
      </c>
      <c r="E1771" t="s">
        <v>7452</v>
      </c>
    </row>
    <row r="1772" spans="1:5" x14ac:dyDescent="0.25">
      <c r="A1772" s="1" t="s">
        <v>1771</v>
      </c>
      <c r="C1772" s="3">
        <v>75</v>
      </c>
      <c r="E1772" t="s">
        <v>9076</v>
      </c>
    </row>
    <row r="1773" spans="1:5" x14ac:dyDescent="0.25">
      <c r="A1773" s="1" t="s">
        <v>1772</v>
      </c>
      <c r="C1773" s="3">
        <v>75</v>
      </c>
      <c r="E1773" t="s">
        <v>6272</v>
      </c>
    </row>
    <row r="1774" spans="1:5" x14ac:dyDescent="0.25">
      <c r="A1774" s="1" t="s">
        <v>1773</v>
      </c>
      <c r="C1774" s="3">
        <v>75</v>
      </c>
      <c r="E1774" t="s">
        <v>22408</v>
      </c>
    </row>
    <row r="1775" spans="1:5" x14ac:dyDescent="0.25">
      <c r="A1775" s="1" t="s">
        <v>1774</v>
      </c>
      <c r="C1775" s="3">
        <v>75</v>
      </c>
      <c r="E1775" t="s">
        <v>2728</v>
      </c>
    </row>
    <row r="1776" spans="1:5" x14ac:dyDescent="0.25">
      <c r="A1776" s="1" t="s">
        <v>1775</v>
      </c>
      <c r="C1776" s="3">
        <v>75</v>
      </c>
      <c r="E1776" t="s">
        <v>5836</v>
      </c>
    </row>
    <row r="1777" spans="1:5" x14ac:dyDescent="0.25">
      <c r="A1777" s="1" t="s">
        <v>1776</v>
      </c>
      <c r="C1777" s="3">
        <v>75</v>
      </c>
      <c r="E1777" t="s">
        <v>5157</v>
      </c>
    </row>
    <row r="1778" spans="1:5" x14ac:dyDescent="0.25">
      <c r="A1778" s="1" t="s">
        <v>1777</v>
      </c>
      <c r="C1778" s="3">
        <v>75</v>
      </c>
      <c r="E1778" t="s">
        <v>2560</v>
      </c>
    </row>
    <row r="1779" spans="1:5" x14ac:dyDescent="0.25">
      <c r="A1779" s="1" t="s">
        <v>1778</v>
      </c>
      <c r="C1779" s="3">
        <v>75</v>
      </c>
      <c r="E1779" t="s">
        <v>1774</v>
      </c>
    </row>
    <row r="1780" spans="1:5" x14ac:dyDescent="0.25">
      <c r="A1780" s="1" t="s">
        <v>1779</v>
      </c>
      <c r="C1780" s="3">
        <v>75</v>
      </c>
      <c r="E1780" t="s">
        <v>3978</v>
      </c>
    </row>
    <row r="1781" spans="1:5" x14ac:dyDescent="0.25">
      <c r="A1781" s="1" t="s">
        <v>1780</v>
      </c>
      <c r="C1781" s="3">
        <v>75</v>
      </c>
      <c r="E1781" t="s">
        <v>2511</v>
      </c>
    </row>
    <row r="1782" spans="1:5" x14ac:dyDescent="0.25">
      <c r="A1782" s="1" t="s">
        <v>1781</v>
      </c>
      <c r="C1782" s="3">
        <v>75</v>
      </c>
      <c r="E1782" t="s">
        <v>182</v>
      </c>
    </row>
    <row r="1783" spans="1:5" x14ac:dyDescent="0.25">
      <c r="A1783" s="1" t="s">
        <v>1782</v>
      </c>
      <c r="C1783" s="3">
        <v>75</v>
      </c>
      <c r="E1783" t="s">
        <v>25440</v>
      </c>
    </row>
    <row r="1784" spans="1:5" x14ac:dyDescent="0.25">
      <c r="A1784" s="1" t="s">
        <v>1783</v>
      </c>
      <c r="C1784" s="3">
        <v>75</v>
      </c>
      <c r="E1784" t="s">
        <v>3293</v>
      </c>
    </row>
    <row r="1785" spans="1:5" x14ac:dyDescent="0.25">
      <c r="A1785" s="1" t="s">
        <v>1784</v>
      </c>
      <c r="C1785" s="3">
        <v>75</v>
      </c>
      <c r="E1785" t="s">
        <v>9459</v>
      </c>
    </row>
    <row r="1786" spans="1:5" x14ac:dyDescent="0.25">
      <c r="A1786" s="1" t="s">
        <v>1785</v>
      </c>
      <c r="C1786" s="3">
        <v>75</v>
      </c>
      <c r="E1786" t="s">
        <v>3990</v>
      </c>
    </row>
    <row r="1787" spans="1:5" x14ac:dyDescent="0.25">
      <c r="A1787" s="1" t="s">
        <v>1786</v>
      </c>
      <c r="C1787" s="3">
        <v>75</v>
      </c>
      <c r="E1787" t="s">
        <v>3491</v>
      </c>
    </row>
    <row r="1788" spans="1:5" x14ac:dyDescent="0.25">
      <c r="A1788" s="1" t="s">
        <v>1787</v>
      </c>
      <c r="C1788" s="3">
        <v>75</v>
      </c>
      <c r="E1788" t="s">
        <v>2283</v>
      </c>
    </row>
    <row r="1789" spans="1:5" x14ac:dyDescent="0.25">
      <c r="A1789" s="1" t="s">
        <v>1788</v>
      </c>
      <c r="C1789" s="3">
        <v>75</v>
      </c>
      <c r="E1789" t="s">
        <v>10443</v>
      </c>
    </row>
    <row r="1790" spans="1:5" x14ac:dyDescent="0.25">
      <c r="A1790" s="1" t="s">
        <v>1789</v>
      </c>
      <c r="C1790" s="3">
        <v>75</v>
      </c>
      <c r="E1790" t="s">
        <v>1718</v>
      </c>
    </row>
    <row r="1791" spans="1:5" x14ac:dyDescent="0.25">
      <c r="A1791" s="1" t="s">
        <v>1790</v>
      </c>
      <c r="C1791" s="3">
        <v>75</v>
      </c>
      <c r="E1791" t="s">
        <v>5400</v>
      </c>
    </row>
    <row r="1792" spans="1:5" x14ac:dyDescent="0.25">
      <c r="A1792" s="1" t="s">
        <v>1791</v>
      </c>
      <c r="C1792" s="3">
        <v>75</v>
      </c>
      <c r="E1792" t="s">
        <v>3979</v>
      </c>
    </row>
    <row r="1793" spans="1:5" x14ac:dyDescent="0.25">
      <c r="A1793" s="1" t="s">
        <v>1792</v>
      </c>
      <c r="C1793" s="3">
        <v>75</v>
      </c>
      <c r="E1793" t="s">
        <v>4852</v>
      </c>
    </row>
    <row r="1794" spans="1:5" x14ac:dyDescent="0.25">
      <c r="A1794" s="1" t="s">
        <v>1793</v>
      </c>
      <c r="C1794" s="3">
        <v>75</v>
      </c>
      <c r="E1794" t="s">
        <v>2950</v>
      </c>
    </row>
    <row r="1795" spans="1:5" x14ac:dyDescent="0.25">
      <c r="A1795" s="1" t="s">
        <v>1794</v>
      </c>
      <c r="C1795" s="3">
        <v>75</v>
      </c>
      <c r="E1795" t="s">
        <v>19889</v>
      </c>
    </row>
    <row r="1796" spans="1:5" x14ac:dyDescent="0.25">
      <c r="A1796" s="1" t="s">
        <v>1795</v>
      </c>
      <c r="C1796" s="3">
        <v>75</v>
      </c>
      <c r="E1796" t="s">
        <v>1770</v>
      </c>
    </row>
    <row r="1797" spans="1:5" x14ac:dyDescent="0.25">
      <c r="A1797" s="1" t="s">
        <v>1796</v>
      </c>
      <c r="C1797" s="3">
        <v>75</v>
      </c>
      <c r="E1797" t="s">
        <v>1990</v>
      </c>
    </row>
    <row r="1798" spans="1:5" x14ac:dyDescent="0.25">
      <c r="A1798" s="1" t="s">
        <v>1797</v>
      </c>
      <c r="C1798" s="3">
        <v>75</v>
      </c>
      <c r="E1798" t="s">
        <v>5343</v>
      </c>
    </row>
    <row r="1799" spans="1:5" x14ac:dyDescent="0.25">
      <c r="A1799" s="1" t="s">
        <v>1798</v>
      </c>
      <c r="C1799" s="3">
        <v>75</v>
      </c>
      <c r="E1799" t="s">
        <v>9922</v>
      </c>
    </row>
    <row r="1800" spans="1:5" x14ac:dyDescent="0.25">
      <c r="A1800" s="1" t="s">
        <v>1799</v>
      </c>
      <c r="C1800" s="3">
        <v>74</v>
      </c>
      <c r="E1800" t="s">
        <v>8411</v>
      </c>
    </row>
    <row r="1801" spans="1:5" x14ac:dyDescent="0.25">
      <c r="A1801" s="1" t="s">
        <v>1800</v>
      </c>
      <c r="C1801" s="3">
        <v>74</v>
      </c>
      <c r="E1801" t="s">
        <v>13835</v>
      </c>
    </row>
    <row r="1802" spans="1:5" x14ac:dyDescent="0.25">
      <c r="A1802" s="1" t="s">
        <v>1801</v>
      </c>
      <c r="C1802" s="3">
        <v>74</v>
      </c>
      <c r="E1802" t="s">
        <v>792</v>
      </c>
    </row>
    <row r="1803" spans="1:5" x14ac:dyDescent="0.25">
      <c r="A1803" s="1" t="s">
        <v>1802</v>
      </c>
      <c r="C1803" s="3">
        <v>74</v>
      </c>
      <c r="E1803" t="s">
        <v>4963</v>
      </c>
    </row>
    <row r="1804" spans="1:5" x14ac:dyDescent="0.25">
      <c r="A1804" s="1" t="s">
        <v>1803</v>
      </c>
      <c r="C1804" s="3">
        <v>74</v>
      </c>
      <c r="E1804" t="s">
        <v>10037</v>
      </c>
    </row>
    <row r="1805" spans="1:5" x14ac:dyDescent="0.25">
      <c r="A1805" s="1" t="s">
        <v>1804</v>
      </c>
      <c r="C1805" s="3">
        <v>74</v>
      </c>
      <c r="E1805" t="s">
        <v>2154</v>
      </c>
    </row>
    <row r="1806" spans="1:5" x14ac:dyDescent="0.25">
      <c r="A1806" s="1" t="s">
        <v>1805</v>
      </c>
      <c r="C1806" s="3">
        <v>74</v>
      </c>
      <c r="E1806" t="s">
        <v>3550</v>
      </c>
    </row>
    <row r="1807" spans="1:5" x14ac:dyDescent="0.25">
      <c r="A1807" s="1" t="s">
        <v>1806</v>
      </c>
      <c r="C1807" s="3">
        <v>74</v>
      </c>
      <c r="E1807" t="s">
        <v>2538</v>
      </c>
    </row>
    <row r="1808" spans="1:5" x14ac:dyDescent="0.25">
      <c r="A1808" s="1" t="s">
        <v>1807</v>
      </c>
      <c r="C1808" s="3">
        <v>74</v>
      </c>
      <c r="E1808" t="s">
        <v>9688</v>
      </c>
    </row>
    <row r="1809" spans="1:5" x14ac:dyDescent="0.25">
      <c r="A1809" s="1" t="s">
        <v>1808</v>
      </c>
      <c r="C1809" s="3">
        <v>74</v>
      </c>
      <c r="E1809" t="s">
        <v>2865</v>
      </c>
    </row>
    <row r="1810" spans="1:5" x14ac:dyDescent="0.25">
      <c r="A1810" s="1" t="s">
        <v>1809</v>
      </c>
      <c r="C1810" s="3">
        <v>74</v>
      </c>
      <c r="E1810" t="s">
        <v>7780</v>
      </c>
    </row>
    <row r="1811" spans="1:5" x14ac:dyDescent="0.25">
      <c r="A1811" s="1" t="s">
        <v>1810</v>
      </c>
      <c r="C1811" s="3">
        <v>74</v>
      </c>
      <c r="E1811" t="s">
        <v>3037</v>
      </c>
    </row>
    <row r="1812" spans="1:5" x14ac:dyDescent="0.25">
      <c r="A1812" s="1" t="s">
        <v>1811</v>
      </c>
      <c r="C1812" s="3">
        <v>74</v>
      </c>
      <c r="E1812" t="s">
        <v>6063</v>
      </c>
    </row>
    <row r="1813" spans="1:5" x14ac:dyDescent="0.25">
      <c r="A1813" s="1" t="s">
        <v>1812</v>
      </c>
      <c r="C1813" s="3">
        <v>74</v>
      </c>
      <c r="E1813" t="s">
        <v>828</v>
      </c>
    </row>
    <row r="1814" spans="1:5" x14ac:dyDescent="0.25">
      <c r="A1814" s="1" t="s">
        <v>1813</v>
      </c>
      <c r="C1814" s="3">
        <v>74</v>
      </c>
      <c r="E1814" t="s">
        <v>2011</v>
      </c>
    </row>
    <row r="1815" spans="1:5" x14ac:dyDescent="0.25">
      <c r="A1815" s="1" t="s">
        <v>1814</v>
      </c>
      <c r="C1815" s="3">
        <v>74</v>
      </c>
      <c r="E1815" t="s">
        <v>4429</v>
      </c>
    </row>
    <row r="1816" spans="1:5" x14ac:dyDescent="0.25">
      <c r="A1816" s="1" t="s">
        <v>1815</v>
      </c>
      <c r="C1816" s="3">
        <v>74</v>
      </c>
      <c r="E1816" t="s">
        <v>979</v>
      </c>
    </row>
    <row r="1817" spans="1:5" x14ac:dyDescent="0.25">
      <c r="A1817" s="1" t="s">
        <v>1816</v>
      </c>
      <c r="C1817" s="3">
        <v>74</v>
      </c>
      <c r="E1817" t="s">
        <v>219</v>
      </c>
    </row>
    <row r="1818" spans="1:5" x14ac:dyDescent="0.25">
      <c r="A1818" s="1" t="s">
        <v>1817</v>
      </c>
      <c r="C1818" s="3">
        <v>74</v>
      </c>
      <c r="E1818" t="s">
        <v>5269</v>
      </c>
    </row>
    <row r="1819" spans="1:5" x14ac:dyDescent="0.25">
      <c r="A1819" s="1" t="s">
        <v>1818</v>
      </c>
      <c r="C1819" s="3">
        <v>74</v>
      </c>
      <c r="E1819" t="s">
        <v>5687</v>
      </c>
    </row>
    <row r="1820" spans="1:5" x14ac:dyDescent="0.25">
      <c r="A1820" s="1" t="s">
        <v>1819</v>
      </c>
      <c r="C1820" s="3">
        <v>74</v>
      </c>
      <c r="E1820" t="s">
        <v>1311</v>
      </c>
    </row>
    <row r="1821" spans="1:5" x14ac:dyDescent="0.25">
      <c r="A1821" s="1" t="s">
        <v>1820</v>
      </c>
      <c r="C1821" s="3">
        <v>73</v>
      </c>
      <c r="E1821" t="s">
        <v>24827</v>
      </c>
    </row>
    <row r="1822" spans="1:5" x14ac:dyDescent="0.25">
      <c r="A1822" s="1" t="s">
        <v>1821</v>
      </c>
      <c r="C1822" s="3">
        <v>73</v>
      </c>
      <c r="E1822" t="s">
        <v>261</v>
      </c>
    </row>
    <row r="1823" spans="1:5" x14ac:dyDescent="0.25">
      <c r="A1823" s="1" t="s">
        <v>1822</v>
      </c>
      <c r="C1823" s="3">
        <v>73</v>
      </c>
      <c r="E1823" t="s">
        <v>3940</v>
      </c>
    </row>
    <row r="1824" spans="1:5" x14ac:dyDescent="0.25">
      <c r="A1824" s="1" t="s">
        <v>1823</v>
      </c>
      <c r="C1824" s="3">
        <v>73</v>
      </c>
      <c r="E1824" t="s">
        <v>2587</v>
      </c>
    </row>
    <row r="1825" spans="1:5" x14ac:dyDescent="0.25">
      <c r="A1825" s="1" t="s">
        <v>1824</v>
      </c>
      <c r="C1825" s="3">
        <v>73</v>
      </c>
      <c r="E1825" t="s">
        <v>5540</v>
      </c>
    </row>
    <row r="1826" spans="1:5" x14ac:dyDescent="0.25">
      <c r="A1826" s="1" t="s">
        <v>1825</v>
      </c>
      <c r="C1826" s="3">
        <v>73</v>
      </c>
      <c r="E1826" t="s">
        <v>9863</v>
      </c>
    </row>
    <row r="1827" spans="1:5" x14ac:dyDescent="0.25">
      <c r="A1827" s="1" t="s">
        <v>1826</v>
      </c>
      <c r="C1827" s="3">
        <v>73</v>
      </c>
      <c r="E1827" t="s">
        <v>7305</v>
      </c>
    </row>
    <row r="1828" spans="1:5" x14ac:dyDescent="0.25">
      <c r="A1828" s="1" t="s">
        <v>1827</v>
      </c>
      <c r="C1828" s="3">
        <v>73</v>
      </c>
      <c r="E1828" t="s">
        <v>427</v>
      </c>
    </row>
    <row r="1829" spans="1:5" x14ac:dyDescent="0.25">
      <c r="A1829" s="1" t="s">
        <v>1828</v>
      </c>
      <c r="C1829" s="3">
        <v>73</v>
      </c>
      <c r="E1829" t="s">
        <v>7489</v>
      </c>
    </row>
    <row r="1830" spans="1:5" x14ac:dyDescent="0.25">
      <c r="A1830" s="1" t="s">
        <v>1829</v>
      </c>
      <c r="C1830" s="3">
        <v>73</v>
      </c>
      <c r="E1830" t="s">
        <v>1850</v>
      </c>
    </row>
    <row r="1831" spans="1:5" x14ac:dyDescent="0.25">
      <c r="A1831" s="1" t="s">
        <v>1830</v>
      </c>
      <c r="C1831" s="3">
        <v>73</v>
      </c>
      <c r="E1831" t="s">
        <v>12064</v>
      </c>
    </row>
    <row r="1832" spans="1:5" x14ac:dyDescent="0.25">
      <c r="A1832" s="1" t="s">
        <v>1831</v>
      </c>
      <c r="C1832" s="3">
        <v>73</v>
      </c>
      <c r="E1832" t="s">
        <v>9862</v>
      </c>
    </row>
    <row r="1833" spans="1:5" x14ac:dyDescent="0.25">
      <c r="A1833" s="1" t="s">
        <v>1832</v>
      </c>
      <c r="C1833" s="3">
        <v>73</v>
      </c>
      <c r="E1833" t="s">
        <v>1297</v>
      </c>
    </row>
    <row r="1834" spans="1:5" x14ac:dyDescent="0.25">
      <c r="A1834" s="1" t="s">
        <v>1833</v>
      </c>
      <c r="C1834" s="3">
        <v>73</v>
      </c>
      <c r="E1834" t="s">
        <v>921</v>
      </c>
    </row>
    <row r="1835" spans="1:5" x14ac:dyDescent="0.25">
      <c r="A1835" s="1" t="s">
        <v>1834</v>
      </c>
      <c r="C1835" s="3">
        <v>73</v>
      </c>
      <c r="E1835" t="s">
        <v>5416</v>
      </c>
    </row>
    <row r="1836" spans="1:5" x14ac:dyDescent="0.25">
      <c r="A1836" s="1" t="s">
        <v>1835</v>
      </c>
      <c r="C1836" s="3">
        <v>73</v>
      </c>
      <c r="E1836" t="s">
        <v>1695</v>
      </c>
    </row>
    <row r="1837" spans="1:5" x14ac:dyDescent="0.25">
      <c r="A1837" s="1" t="s">
        <v>1836</v>
      </c>
      <c r="C1837" s="3">
        <v>73</v>
      </c>
      <c r="E1837" t="s">
        <v>692</v>
      </c>
    </row>
    <row r="1838" spans="1:5" x14ac:dyDescent="0.25">
      <c r="A1838" s="1" t="s">
        <v>1837</v>
      </c>
      <c r="C1838" s="3">
        <v>73</v>
      </c>
      <c r="E1838" t="s">
        <v>14285</v>
      </c>
    </row>
    <row r="1839" spans="1:5" x14ac:dyDescent="0.25">
      <c r="A1839" s="1" t="s">
        <v>1838</v>
      </c>
      <c r="C1839" s="3">
        <v>73</v>
      </c>
      <c r="E1839" t="s">
        <v>1832</v>
      </c>
    </row>
    <row r="1840" spans="1:5" x14ac:dyDescent="0.25">
      <c r="A1840" s="1" t="s">
        <v>1839</v>
      </c>
      <c r="C1840" s="3">
        <v>73</v>
      </c>
      <c r="E1840" t="s">
        <v>3720</v>
      </c>
    </row>
    <row r="1841" spans="1:5" x14ac:dyDescent="0.25">
      <c r="A1841" s="1" t="s">
        <v>1840</v>
      </c>
      <c r="C1841" s="3">
        <v>73</v>
      </c>
      <c r="E1841" t="s">
        <v>13504</v>
      </c>
    </row>
    <row r="1842" spans="1:5" x14ac:dyDescent="0.25">
      <c r="A1842" s="1" t="s">
        <v>1841</v>
      </c>
      <c r="C1842" s="3">
        <v>73</v>
      </c>
      <c r="E1842" t="s">
        <v>50</v>
      </c>
    </row>
    <row r="1843" spans="1:5" x14ac:dyDescent="0.25">
      <c r="A1843" s="1" t="s">
        <v>1842</v>
      </c>
      <c r="C1843" s="3">
        <v>73</v>
      </c>
      <c r="E1843" t="s">
        <v>3824</v>
      </c>
    </row>
    <row r="1844" spans="1:5" x14ac:dyDescent="0.25">
      <c r="A1844" s="1" t="s">
        <v>1843</v>
      </c>
      <c r="C1844" s="3">
        <v>73</v>
      </c>
      <c r="E1844" t="s">
        <v>6684</v>
      </c>
    </row>
    <row r="1845" spans="1:5" x14ac:dyDescent="0.25">
      <c r="A1845" s="1" t="s">
        <v>1844</v>
      </c>
      <c r="C1845" s="3">
        <v>73</v>
      </c>
      <c r="E1845" t="s">
        <v>6222</v>
      </c>
    </row>
    <row r="1846" spans="1:5" x14ac:dyDescent="0.25">
      <c r="A1846" s="1" t="s">
        <v>1845</v>
      </c>
      <c r="C1846" s="3">
        <v>73</v>
      </c>
      <c r="E1846" t="s">
        <v>1791</v>
      </c>
    </row>
    <row r="1847" spans="1:5" x14ac:dyDescent="0.25">
      <c r="A1847" s="1" t="s">
        <v>1846</v>
      </c>
      <c r="C1847" s="3">
        <v>73</v>
      </c>
      <c r="E1847" t="s">
        <v>6191</v>
      </c>
    </row>
    <row r="1848" spans="1:5" x14ac:dyDescent="0.25">
      <c r="A1848" s="1" t="s">
        <v>1847</v>
      </c>
      <c r="C1848" s="3">
        <v>73</v>
      </c>
      <c r="E1848" t="s">
        <v>3992</v>
      </c>
    </row>
    <row r="1849" spans="1:5" x14ac:dyDescent="0.25">
      <c r="A1849" s="1" t="s">
        <v>1848</v>
      </c>
      <c r="C1849" s="3">
        <v>73</v>
      </c>
      <c r="E1849" t="s">
        <v>25441</v>
      </c>
    </row>
    <row r="1850" spans="1:5" x14ac:dyDescent="0.25">
      <c r="A1850" s="1" t="s">
        <v>1849</v>
      </c>
      <c r="C1850" s="3">
        <v>73</v>
      </c>
      <c r="E1850" t="s">
        <v>12789</v>
      </c>
    </row>
    <row r="1851" spans="1:5" x14ac:dyDescent="0.25">
      <c r="A1851" s="1" t="s">
        <v>1850</v>
      </c>
      <c r="C1851" s="3">
        <v>73</v>
      </c>
      <c r="E1851" t="s">
        <v>980</v>
      </c>
    </row>
    <row r="1852" spans="1:5" x14ac:dyDescent="0.25">
      <c r="A1852" s="1" t="s">
        <v>1851</v>
      </c>
      <c r="C1852" s="3">
        <v>72</v>
      </c>
      <c r="E1852" t="s">
        <v>803</v>
      </c>
    </row>
    <row r="1853" spans="1:5" x14ac:dyDescent="0.25">
      <c r="A1853" s="1" t="s">
        <v>1852</v>
      </c>
      <c r="C1853" s="3">
        <v>72</v>
      </c>
      <c r="E1853" t="s">
        <v>843</v>
      </c>
    </row>
    <row r="1854" spans="1:5" x14ac:dyDescent="0.25">
      <c r="A1854" s="1" t="s">
        <v>1853</v>
      </c>
      <c r="C1854" s="3">
        <v>72</v>
      </c>
      <c r="E1854" t="s">
        <v>13344</v>
      </c>
    </row>
    <row r="1855" spans="1:5" x14ac:dyDescent="0.25">
      <c r="A1855" s="1" t="s">
        <v>1854</v>
      </c>
      <c r="C1855" s="3">
        <v>72</v>
      </c>
      <c r="E1855" t="s">
        <v>2304</v>
      </c>
    </row>
    <row r="1856" spans="1:5" x14ac:dyDescent="0.25">
      <c r="A1856" s="1" t="s">
        <v>1855</v>
      </c>
      <c r="C1856" s="3">
        <v>72</v>
      </c>
      <c r="E1856" t="s">
        <v>1006</v>
      </c>
    </row>
    <row r="1857" spans="1:5" x14ac:dyDescent="0.25">
      <c r="A1857" s="1" t="s">
        <v>1856</v>
      </c>
      <c r="C1857" s="3">
        <v>72</v>
      </c>
      <c r="E1857" t="s">
        <v>4209</v>
      </c>
    </row>
    <row r="1858" spans="1:5" x14ac:dyDescent="0.25">
      <c r="A1858" s="1" t="s">
        <v>1857</v>
      </c>
      <c r="C1858" s="3">
        <v>72</v>
      </c>
      <c r="E1858" t="s">
        <v>13565</v>
      </c>
    </row>
    <row r="1859" spans="1:5" x14ac:dyDescent="0.25">
      <c r="A1859" s="1" t="s">
        <v>1858</v>
      </c>
      <c r="C1859" s="3">
        <v>72</v>
      </c>
      <c r="E1859" t="s">
        <v>4447</v>
      </c>
    </row>
    <row r="1860" spans="1:5" x14ac:dyDescent="0.25">
      <c r="A1860" s="1" t="s">
        <v>1859</v>
      </c>
      <c r="C1860" s="3">
        <v>72</v>
      </c>
      <c r="E1860" t="s">
        <v>3149</v>
      </c>
    </row>
    <row r="1861" spans="1:5" x14ac:dyDescent="0.25">
      <c r="A1861" s="1" t="s">
        <v>1860</v>
      </c>
      <c r="C1861" s="3">
        <v>72</v>
      </c>
      <c r="E1861" t="s">
        <v>7673</v>
      </c>
    </row>
    <row r="1862" spans="1:5" x14ac:dyDescent="0.25">
      <c r="A1862" s="1" t="s">
        <v>1861</v>
      </c>
      <c r="C1862" s="3">
        <v>72</v>
      </c>
      <c r="E1862" t="s">
        <v>5613</v>
      </c>
    </row>
    <row r="1863" spans="1:5" x14ac:dyDescent="0.25">
      <c r="A1863" s="1" t="s">
        <v>1862</v>
      </c>
      <c r="C1863" s="3">
        <v>72</v>
      </c>
      <c r="E1863" t="s">
        <v>3880</v>
      </c>
    </row>
    <row r="1864" spans="1:5" x14ac:dyDescent="0.25">
      <c r="A1864" s="1" t="s">
        <v>1863</v>
      </c>
      <c r="C1864" s="3">
        <v>72</v>
      </c>
      <c r="E1864" t="s">
        <v>6160</v>
      </c>
    </row>
    <row r="1865" spans="1:5" x14ac:dyDescent="0.25">
      <c r="A1865" s="1" t="s">
        <v>1864</v>
      </c>
      <c r="C1865" s="3">
        <v>72</v>
      </c>
      <c r="E1865" t="s">
        <v>5494</v>
      </c>
    </row>
    <row r="1866" spans="1:5" x14ac:dyDescent="0.25">
      <c r="A1866" s="1" t="s">
        <v>1865</v>
      </c>
      <c r="C1866" s="3">
        <v>72</v>
      </c>
      <c r="E1866" t="s">
        <v>5037</v>
      </c>
    </row>
    <row r="1867" spans="1:5" x14ac:dyDescent="0.25">
      <c r="A1867" s="1" t="s">
        <v>1866</v>
      </c>
      <c r="C1867" s="3">
        <v>72</v>
      </c>
      <c r="E1867" t="s">
        <v>2227</v>
      </c>
    </row>
    <row r="1868" spans="1:5" x14ac:dyDescent="0.25">
      <c r="A1868" s="1" t="s">
        <v>1867</v>
      </c>
      <c r="C1868" s="3">
        <v>72</v>
      </c>
      <c r="E1868" t="s">
        <v>15151</v>
      </c>
    </row>
    <row r="1869" spans="1:5" x14ac:dyDescent="0.25">
      <c r="A1869" s="1" t="s">
        <v>1868</v>
      </c>
      <c r="C1869" s="3">
        <v>72</v>
      </c>
      <c r="E1869" t="s">
        <v>13245</v>
      </c>
    </row>
    <row r="1870" spans="1:5" x14ac:dyDescent="0.25">
      <c r="A1870" s="1" t="s">
        <v>1869</v>
      </c>
      <c r="C1870" s="3">
        <v>72</v>
      </c>
      <c r="E1870" t="s">
        <v>508</v>
      </c>
    </row>
    <row r="1871" spans="1:5" x14ac:dyDescent="0.25">
      <c r="A1871" s="1" t="s">
        <v>1870</v>
      </c>
      <c r="C1871" s="3">
        <v>72</v>
      </c>
      <c r="E1871" t="s">
        <v>2603</v>
      </c>
    </row>
    <row r="1872" spans="1:5" x14ac:dyDescent="0.25">
      <c r="A1872" s="1" t="s">
        <v>1871</v>
      </c>
      <c r="C1872" s="3">
        <v>72</v>
      </c>
      <c r="E1872" t="s">
        <v>3001</v>
      </c>
    </row>
    <row r="1873" spans="1:5" x14ac:dyDescent="0.25">
      <c r="A1873" s="1" t="s">
        <v>1872</v>
      </c>
      <c r="C1873" s="3">
        <v>72</v>
      </c>
      <c r="E1873" t="s">
        <v>16427</v>
      </c>
    </row>
    <row r="1874" spans="1:5" x14ac:dyDescent="0.25">
      <c r="A1874" s="1" t="s">
        <v>1873</v>
      </c>
      <c r="C1874" s="3">
        <v>72</v>
      </c>
      <c r="E1874" t="s">
        <v>7357</v>
      </c>
    </row>
    <row r="1875" spans="1:5" x14ac:dyDescent="0.25">
      <c r="A1875" s="1" t="s">
        <v>1874</v>
      </c>
      <c r="C1875" s="3">
        <v>72</v>
      </c>
      <c r="E1875" t="s">
        <v>3257</v>
      </c>
    </row>
    <row r="1876" spans="1:5" x14ac:dyDescent="0.25">
      <c r="A1876" s="1" t="s">
        <v>1875</v>
      </c>
      <c r="C1876" s="3">
        <v>72</v>
      </c>
      <c r="E1876" t="s">
        <v>1942</v>
      </c>
    </row>
    <row r="1877" spans="1:5" x14ac:dyDescent="0.25">
      <c r="A1877" s="1" t="s">
        <v>1876</v>
      </c>
      <c r="C1877" s="3">
        <v>72</v>
      </c>
      <c r="E1877" t="s">
        <v>3991</v>
      </c>
    </row>
    <row r="1878" spans="1:5" x14ac:dyDescent="0.25">
      <c r="A1878" s="1" t="s">
        <v>1877</v>
      </c>
      <c r="C1878" s="3">
        <v>72</v>
      </c>
      <c r="E1878" t="s">
        <v>1445</v>
      </c>
    </row>
    <row r="1879" spans="1:5" x14ac:dyDescent="0.25">
      <c r="A1879" s="1" t="s">
        <v>1878</v>
      </c>
      <c r="C1879" s="3">
        <v>72</v>
      </c>
      <c r="E1879" t="s">
        <v>1176</v>
      </c>
    </row>
    <row r="1880" spans="1:5" x14ac:dyDescent="0.25">
      <c r="A1880" s="1" t="s">
        <v>1879</v>
      </c>
      <c r="C1880" s="3">
        <v>72</v>
      </c>
      <c r="E1880" t="s">
        <v>3118</v>
      </c>
    </row>
    <row r="1881" spans="1:5" x14ac:dyDescent="0.25">
      <c r="A1881" s="1" t="s">
        <v>1880</v>
      </c>
      <c r="C1881" s="3">
        <v>72</v>
      </c>
      <c r="E1881" t="s">
        <v>1869</v>
      </c>
    </row>
    <row r="1882" spans="1:5" x14ac:dyDescent="0.25">
      <c r="A1882" s="1" t="s">
        <v>1881</v>
      </c>
      <c r="C1882" s="3">
        <v>71</v>
      </c>
      <c r="E1882" t="s">
        <v>1683</v>
      </c>
    </row>
    <row r="1883" spans="1:5" x14ac:dyDescent="0.25">
      <c r="A1883" s="1" t="s">
        <v>1882</v>
      </c>
      <c r="C1883" s="3">
        <v>71</v>
      </c>
      <c r="E1883" t="s">
        <v>22732</v>
      </c>
    </row>
    <row r="1884" spans="1:5" x14ac:dyDescent="0.25">
      <c r="A1884" s="1" t="s">
        <v>1883</v>
      </c>
      <c r="C1884" s="3">
        <v>71</v>
      </c>
      <c r="E1884" t="s">
        <v>11820</v>
      </c>
    </row>
    <row r="1885" spans="1:5" x14ac:dyDescent="0.25">
      <c r="A1885" s="1" t="s">
        <v>1884</v>
      </c>
      <c r="C1885" s="3">
        <v>71</v>
      </c>
      <c r="E1885" t="s">
        <v>7356</v>
      </c>
    </row>
    <row r="1886" spans="1:5" x14ac:dyDescent="0.25">
      <c r="A1886" s="1" t="s">
        <v>1885</v>
      </c>
      <c r="C1886" s="3">
        <v>71</v>
      </c>
      <c r="E1886" t="s">
        <v>1440</v>
      </c>
    </row>
    <row r="1887" spans="1:5" x14ac:dyDescent="0.25">
      <c r="A1887" s="1" t="s">
        <v>1886</v>
      </c>
      <c r="C1887" s="3">
        <v>71</v>
      </c>
      <c r="E1887" t="s">
        <v>4745</v>
      </c>
    </row>
    <row r="1888" spans="1:5" x14ac:dyDescent="0.25">
      <c r="A1888" s="1" t="s">
        <v>1887</v>
      </c>
      <c r="C1888" s="3">
        <v>71</v>
      </c>
      <c r="E1888" t="s">
        <v>8484</v>
      </c>
    </row>
    <row r="1889" spans="1:5" x14ac:dyDescent="0.25">
      <c r="A1889" s="1" t="s">
        <v>1888</v>
      </c>
      <c r="C1889" s="3">
        <v>71</v>
      </c>
      <c r="E1889" t="s">
        <v>7565</v>
      </c>
    </row>
    <row r="1890" spans="1:5" x14ac:dyDescent="0.25">
      <c r="A1890" s="1" t="s">
        <v>1889</v>
      </c>
      <c r="C1890" s="3">
        <v>71</v>
      </c>
      <c r="E1890" t="s">
        <v>7264</v>
      </c>
    </row>
    <row r="1891" spans="1:5" x14ac:dyDescent="0.25">
      <c r="A1891" s="1" t="s">
        <v>1890</v>
      </c>
      <c r="C1891" s="3">
        <v>71</v>
      </c>
      <c r="E1891" t="s">
        <v>1745</v>
      </c>
    </row>
    <row r="1892" spans="1:5" x14ac:dyDescent="0.25">
      <c r="A1892" s="1" t="s">
        <v>1891</v>
      </c>
      <c r="C1892" s="3">
        <v>71</v>
      </c>
      <c r="E1892" t="s">
        <v>9946</v>
      </c>
    </row>
    <row r="1893" spans="1:5" x14ac:dyDescent="0.25">
      <c r="A1893" s="1" t="s">
        <v>1892</v>
      </c>
      <c r="C1893" s="3">
        <v>71</v>
      </c>
      <c r="E1893" t="s">
        <v>8779</v>
      </c>
    </row>
    <row r="1894" spans="1:5" x14ac:dyDescent="0.25">
      <c r="A1894" s="1" t="s">
        <v>1893</v>
      </c>
      <c r="C1894" s="3">
        <v>71</v>
      </c>
      <c r="E1894" t="s">
        <v>14</v>
      </c>
    </row>
    <row r="1895" spans="1:5" x14ac:dyDescent="0.25">
      <c r="A1895" s="1" t="s">
        <v>1894</v>
      </c>
      <c r="C1895" s="3">
        <v>71</v>
      </c>
      <c r="E1895" t="s">
        <v>2919</v>
      </c>
    </row>
    <row r="1896" spans="1:5" x14ac:dyDescent="0.25">
      <c r="A1896" s="1" t="s">
        <v>1895</v>
      </c>
      <c r="C1896" s="3">
        <v>71</v>
      </c>
      <c r="E1896" t="s">
        <v>4136</v>
      </c>
    </row>
    <row r="1897" spans="1:5" x14ac:dyDescent="0.25">
      <c r="A1897" s="1" t="s">
        <v>1896</v>
      </c>
      <c r="C1897" s="3">
        <v>71</v>
      </c>
      <c r="E1897" t="s">
        <v>7779</v>
      </c>
    </row>
    <row r="1898" spans="1:5" x14ac:dyDescent="0.25">
      <c r="A1898" s="1" t="s">
        <v>1897</v>
      </c>
      <c r="C1898" s="3">
        <v>71</v>
      </c>
      <c r="E1898" t="s">
        <v>13042</v>
      </c>
    </row>
    <row r="1899" spans="1:5" x14ac:dyDescent="0.25">
      <c r="A1899" s="1" t="s">
        <v>1898</v>
      </c>
      <c r="C1899" s="3">
        <v>71</v>
      </c>
      <c r="E1899" t="s">
        <v>484</v>
      </c>
    </row>
    <row r="1900" spans="1:5" x14ac:dyDescent="0.25">
      <c r="A1900" s="1" t="s">
        <v>1899</v>
      </c>
      <c r="C1900" s="3">
        <v>71</v>
      </c>
      <c r="E1900" t="s">
        <v>1924</v>
      </c>
    </row>
    <row r="1901" spans="1:5" x14ac:dyDescent="0.25">
      <c r="A1901" s="1" t="s">
        <v>1900</v>
      </c>
      <c r="C1901" s="3">
        <v>71</v>
      </c>
      <c r="E1901" t="s">
        <v>5146</v>
      </c>
    </row>
    <row r="1902" spans="1:5" x14ac:dyDescent="0.25">
      <c r="A1902" s="1" t="s">
        <v>1901</v>
      </c>
      <c r="C1902" s="3">
        <v>71</v>
      </c>
      <c r="E1902" t="s">
        <v>969</v>
      </c>
    </row>
    <row r="1903" spans="1:5" x14ac:dyDescent="0.25">
      <c r="A1903" s="1" t="s">
        <v>1902</v>
      </c>
      <c r="C1903" s="3">
        <v>71</v>
      </c>
      <c r="E1903" t="s">
        <v>2599</v>
      </c>
    </row>
    <row r="1904" spans="1:5" x14ac:dyDescent="0.25">
      <c r="A1904" s="1" t="s">
        <v>1903</v>
      </c>
      <c r="C1904" s="3">
        <v>71</v>
      </c>
      <c r="E1904" t="s">
        <v>14273</v>
      </c>
    </row>
    <row r="1905" spans="1:5" x14ac:dyDescent="0.25">
      <c r="A1905" s="1" t="s">
        <v>1904</v>
      </c>
      <c r="C1905" s="3">
        <v>71</v>
      </c>
      <c r="E1905" t="s">
        <v>25442</v>
      </c>
    </row>
    <row r="1906" spans="1:5" x14ac:dyDescent="0.25">
      <c r="A1906" s="1" t="s">
        <v>1905</v>
      </c>
      <c r="C1906" s="3">
        <v>71</v>
      </c>
      <c r="E1906" t="s">
        <v>4230</v>
      </c>
    </row>
    <row r="1907" spans="1:5" x14ac:dyDescent="0.25">
      <c r="A1907" s="1" t="s">
        <v>1906</v>
      </c>
      <c r="C1907" s="3">
        <v>71</v>
      </c>
      <c r="E1907" t="s">
        <v>7658</v>
      </c>
    </row>
    <row r="1908" spans="1:5" x14ac:dyDescent="0.25">
      <c r="A1908" s="1" t="s">
        <v>1907</v>
      </c>
      <c r="C1908" s="3">
        <v>71</v>
      </c>
      <c r="E1908" t="s">
        <v>5014</v>
      </c>
    </row>
    <row r="1909" spans="1:5" x14ac:dyDescent="0.25">
      <c r="A1909" s="1" t="s">
        <v>1908</v>
      </c>
      <c r="C1909" s="3">
        <v>71</v>
      </c>
      <c r="E1909" t="s">
        <v>617</v>
      </c>
    </row>
    <row r="1910" spans="1:5" x14ac:dyDescent="0.25">
      <c r="A1910" s="1" t="s">
        <v>1909</v>
      </c>
      <c r="C1910" s="3">
        <v>71</v>
      </c>
      <c r="E1910" t="s">
        <v>1681</v>
      </c>
    </row>
    <row r="1911" spans="1:5" x14ac:dyDescent="0.25">
      <c r="A1911" s="1" t="s">
        <v>1910</v>
      </c>
      <c r="C1911" s="3">
        <v>71</v>
      </c>
      <c r="E1911" t="s">
        <v>12083</v>
      </c>
    </row>
    <row r="1912" spans="1:5" x14ac:dyDescent="0.25">
      <c r="A1912" s="1" t="s">
        <v>1911</v>
      </c>
      <c r="C1912" s="3">
        <v>71</v>
      </c>
      <c r="E1912" t="s">
        <v>8664</v>
      </c>
    </row>
    <row r="1913" spans="1:5" x14ac:dyDescent="0.25">
      <c r="A1913" s="1" t="s">
        <v>1912</v>
      </c>
      <c r="C1913" s="3">
        <v>71</v>
      </c>
      <c r="E1913" t="s">
        <v>5418</v>
      </c>
    </row>
    <row r="1914" spans="1:5" x14ac:dyDescent="0.25">
      <c r="A1914" s="1" t="s">
        <v>1913</v>
      </c>
      <c r="C1914" s="3">
        <v>71</v>
      </c>
      <c r="E1914" t="s">
        <v>79</v>
      </c>
    </row>
    <row r="1915" spans="1:5" x14ac:dyDescent="0.25">
      <c r="A1915" s="1" t="s">
        <v>1914</v>
      </c>
      <c r="C1915" s="3">
        <v>71</v>
      </c>
      <c r="E1915" t="s">
        <v>4247</v>
      </c>
    </row>
    <row r="1916" spans="1:5" x14ac:dyDescent="0.25">
      <c r="A1916" s="2" t="s">
        <v>1915</v>
      </c>
      <c r="C1916" s="4">
        <v>70</v>
      </c>
      <c r="E1916" t="s">
        <v>2394</v>
      </c>
    </row>
    <row r="1917" spans="1:5" x14ac:dyDescent="0.25">
      <c r="A1917" s="1" t="s">
        <v>1916</v>
      </c>
      <c r="C1917" s="3">
        <v>70</v>
      </c>
      <c r="E1917" t="s">
        <v>138</v>
      </c>
    </row>
    <row r="1918" spans="1:5" x14ac:dyDescent="0.25">
      <c r="A1918" s="1" t="s">
        <v>1917</v>
      </c>
      <c r="C1918" s="3">
        <v>70</v>
      </c>
      <c r="E1918" t="s">
        <v>16267</v>
      </c>
    </row>
    <row r="1919" spans="1:5" x14ac:dyDescent="0.25">
      <c r="A1919" s="1" t="s">
        <v>1918</v>
      </c>
      <c r="C1919" s="3">
        <v>70</v>
      </c>
      <c r="E1919" t="s">
        <v>2770</v>
      </c>
    </row>
    <row r="1920" spans="1:5" x14ac:dyDescent="0.25">
      <c r="A1920" s="1" t="s">
        <v>1919</v>
      </c>
      <c r="C1920" s="3">
        <v>70</v>
      </c>
      <c r="E1920" t="s">
        <v>14495</v>
      </c>
    </row>
    <row r="1921" spans="1:5" x14ac:dyDescent="0.25">
      <c r="A1921" s="1" t="s">
        <v>1920</v>
      </c>
      <c r="C1921" s="3">
        <v>70</v>
      </c>
      <c r="E1921" t="s">
        <v>1048</v>
      </c>
    </row>
    <row r="1922" spans="1:5" x14ac:dyDescent="0.25">
      <c r="A1922" s="1" t="s">
        <v>1921</v>
      </c>
      <c r="C1922" s="3">
        <v>70</v>
      </c>
      <c r="E1922" t="s">
        <v>3227</v>
      </c>
    </row>
    <row r="1923" spans="1:5" x14ac:dyDescent="0.25">
      <c r="A1923" s="1" t="s">
        <v>1922</v>
      </c>
      <c r="C1923" s="3">
        <v>70</v>
      </c>
      <c r="E1923" t="s">
        <v>18724</v>
      </c>
    </row>
    <row r="1924" spans="1:5" x14ac:dyDescent="0.25">
      <c r="A1924" s="1" t="s">
        <v>1923</v>
      </c>
      <c r="C1924" s="3">
        <v>70</v>
      </c>
      <c r="E1924" t="s">
        <v>2681</v>
      </c>
    </row>
    <row r="1925" spans="1:5" x14ac:dyDescent="0.25">
      <c r="A1925" s="1" t="s">
        <v>1924</v>
      </c>
      <c r="C1925" s="3">
        <v>70</v>
      </c>
      <c r="E1925" t="s">
        <v>1167</v>
      </c>
    </row>
    <row r="1926" spans="1:5" x14ac:dyDescent="0.25">
      <c r="A1926" s="1" t="s">
        <v>1925</v>
      </c>
      <c r="C1926" s="3">
        <v>70</v>
      </c>
      <c r="E1926" t="s">
        <v>1553</v>
      </c>
    </row>
    <row r="1927" spans="1:5" x14ac:dyDescent="0.25">
      <c r="A1927" s="1" t="s">
        <v>1926</v>
      </c>
      <c r="C1927" s="3">
        <v>70</v>
      </c>
      <c r="E1927" t="s">
        <v>22054</v>
      </c>
    </row>
    <row r="1928" spans="1:5" x14ac:dyDescent="0.25">
      <c r="A1928" s="1" t="s">
        <v>1927</v>
      </c>
      <c r="C1928" s="3">
        <v>70</v>
      </c>
      <c r="E1928" t="s">
        <v>3173</v>
      </c>
    </row>
    <row r="1929" spans="1:5" x14ac:dyDescent="0.25">
      <c r="A1929" s="1" t="s">
        <v>1928</v>
      </c>
      <c r="C1929" s="3">
        <v>70</v>
      </c>
      <c r="E1929" t="s">
        <v>3415</v>
      </c>
    </row>
    <row r="1930" spans="1:5" x14ac:dyDescent="0.25">
      <c r="A1930" s="1" t="s">
        <v>1929</v>
      </c>
      <c r="C1930" s="3">
        <v>70</v>
      </c>
      <c r="E1930" t="s">
        <v>5346</v>
      </c>
    </row>
    <row r="1931" spans="1:5" x14ac:dyDescent="0.25">
      <c r="A1931" s="1" t="s">
        <v>1930</v>
      </c>
      <c r="C1931" s="3">
        <v>70</v>
      </c>
      <c r="E1931" t="s">
        <v>841</v>
      </c>
    </row>
    <row r="1932" spans="1:5" x14ac:dyDescent="0.25">
      <c r="A1932" s="1" t="s">
        <v>1931</v>
      </c>
      <c r="C1932" s="3">
        <v>70</v>
      </c>
      <c r="E1932" t="s">
        <v>5638</v>
      </c>
    </row>
    <row r="1933" spans="1:5" x14ac:dyDescent="0.25">
      <c r="A1933" s="1" t="s">
        <v>1932</v>
      </c>
      <c r="C1933" s="3">
        <v>70</v>
      </c>
      <c r="E1933" t="s">
        <v>13841</v>
      </c>
    </row>
    <row r="1934" spans="1:5" x14ac:dyDescent="0.25">
      <c r="A1934" s="1" t="s">
        <v>1933</v>
      </c>
      <c r="C1934" s="3">
        <v>70</v>
      </c>
      <c r="E1934" t="s">
        <v>6357</v>
      </c>
    </row>
    <row r="1935" spans="1:5" x14ac:dyDescent="0.25">
      <c r="A1935" s="1" t="s">
        <v>1934</v>
      </c>
      <c r="C1935" s="3">
        <v>70</v>
      </c>
      <c r="E1935" t="s">
        <v>5353</v>
      </c>
    </row>
    <row r="1936" spans="1:5" x14ac:dyDescent="0.25">
      <c r="A1936" s="1" t="s">
        <v>1935</v>
      </c>
      <c r="C1936" s="3">
        <v>70</v>
      </c>
      <c r="E1936" t="s">
        <v>2111</v>
      </c>
    </row>
    <row r="1937" spans="1:5" x14ac:dyDescent="0.25">
      <c r="A1937" s="1" t="s">
        <v>1936</v>
      </c>
      <c r="C1937" s="3">
        <v>70</v>
      </c>
      <c r="E1937" t="s">
        <v>5993</v>
      </c>
    </row>
    <row r="1938" spans="1:5" x14ac:dyDescent="0.25">
      <c r="A1938" s="1" t="s">
        <v>1937</v>
      </c>
      <c r="C1938" s="3">
        <v>70</v>
      </c>
      <c r="E1938" t="s">
        <v>4333</v>
      </c>
    </row>
    <row r="1939" spans="1:5" x14ac:dyDescent="0.25">
      <c r="A1939" s="1" t="s">
        <v>1938</v>
      </c>
      <c r="C1939" s="3">
        <v>70</v>
      </c>
      <c r="E1939" t="s">
        <v>6855</v>
      </c>
    </row>
    <row r="1940" spans="1:5" x14ac:dyDescent="0.25">
      <c r="A1940" s="1" t="s">
        <v>1939</v>
      </c>
      <c r="C1940" s="3">
        <v>70</v>
      </c>
      <c r="E1940" t="s">
        <v>1163</v>
      </c>
    </row>
    <row r="1941" spans="1:5" x14ac:dyDescent="0.25">
      <c r="A1941" s="1" t="s">
        <v>1940</v>
      </c>
      <c r="C1941" s="3">
        <v>70</v>
      </c>
      <c r="E1941" t="s">
        <v>6948</v>
      </c>
    </row>
    <row r="1942" spans="1:5" x14ac:dyDescent="0.25">
      <c r="A1942" s="1" t="s">
        <v>1941</v>
      </c>
      <c r="C1942" s="3">
        <v>70</v>
      </c>
      <c r="E1942" t="s">
        <v>9066</v>
      </c>
    </row>
    <row r="1943" spans="1:5" x14ac:dyDescent="0.25">
      <c r="A1943" s="1" t="s">
        <v>1942</v>
      </c>
      <c r="C1943" s="3">
        <v>70</v>
      </c>
      <c r="E1943" t="s">
        <v>4343</v>
      </c>
    </row>
    <row r="1944" spans="1:5" x14ac:dyDescent="0.25">
      <c r="A1944" s="1" t="s">
        <v>1943</v>
      </c>
      <c r="C1944" s="3">
        <v>70</v>
      </c>
      <c r="E1944" t="s">
        <v>4339</v>
      </c>
    </row>
    <row r="1945" spans="1:5" x14ac:dyDescent="0.25">
      <c r="A1945" s="1" t="s">
        <v>1944</v>
      </c>
      <c r="C1945" s="3">
        <v>70</v>
      </c>
      <c r="E1945" t="s">
        <v>7749</v>
      </c>
    </row>
    <row r="1946" spans="1:5" x14ac:dyDescent="0.25">
      <c r="A1946" s="1" t="s">
        <v>1945</v>
      </c>
      <c r="C1946" s="3">
        <v>70</v>
      </c>
      <c r="E1946" t="s">
        <v>11620</v>
      </c>
    </row>
    <row r="1947" spans="1:5" x14ac:dyDescent="0.25">
      <c r="A1947" s="1" t="s">
        <v>1946</v>
      </c>
      <c r="C1947" s="3">
        <v>70</v>
      </c>
      <c r="E1947" t="s">
        <v>5825</v>
      </c>
    </row>
    <row r="1948" spans="1:5" x14ac:dyDescent="0.25">
      <c r="A1948" s="1" t="s">
        <v>1947</v>
      </c>
      <c r="C1948" s="3">
        <v>69</v>
      </c>
      <c r="E1948" t="s">
        <v>17196</v>
      </c>
    </row>
    <row r="1949" spans="1:5" x14ac:dyDescent="0.25">
      <c r="A1949" s="1" t="s">
        <v>1948</v>
      </c>
      <c r="C1949" s="3">
        <v>69</v>
      </c>
      <c r="E1949" t="s">
        <v>3668</v>
      </c>
    </row>
    <row r="1950" spans="1:5" x14ac:dyDescent="0.25">
      <c r="A1950" s="1" t="s">
        <v>1949</v>
      </c>
      <c r="C1950" s="3">
        <v>69</v>
      </c>
      <c r="E1950" t="s">
        <v>6977</v>
      </c>
    </row>
    <row r="1951" spans="1:5" x14ac:dyDescent="0.25">
      <c r="A1951" s="1" t="s">
        <v>1950</v>
      </c>
      <c r="C1951" s="3">
        <v>69</v>
      </c>
      <c r="E1951" t="s">
        <v>16835</v>
      </c>
    </row>
    <row r="1952" spans="1:5" x14ac:dyDescent="0.25">
      <c r="A1952" s="1" t="s">
        <v>1951</v>
      </c>
      <c r="C1952" s="3">
        <v>69</v>
      </c>
      <c r="E1952" t="s">
        <v>5615</v>
      </c>
    </row>
    <row r="1953" spans="1:5" x14ac:dyDescent="0.25">
      <c r="A1953" s="1" t="s">
        <v>1952</v>
      </c>
      <c r="C1953" s="3">
        <v>69</v>
      </c>
      <c r="E1953" t="s">
        <v>2216</v>
      </c>
    </row>
    <row r="1954" spans="1:5" x14ac:dyDescent="0.25">
      <c r="A1954" s="1" t="s">
        <v>1953</v>
      </c>
      <c r="C1954" s="3">
        <v>69</v>
      </c>
      <c r="E1954" t="s">
        <v>1723</v>
      </c>
    </row>
    <row r="1955" spans="1:5" x14ac:dyDescent="0.25">
      <c r="A1955" s="1" t="s">
        <v>1954</v>
      </c>
      <c r="C1955" s="3">
        <v>69</v>
      </c>
      <c r="E1955" t="s">
        <v>12409</v>
      </c>
    </row>
    <row r="1956" spans="1:5" x14ac:dyDescent="0.25">
      <c r="A1956" s="1" t="s">
        <v>1955</v>
      </c>
      <c r="C1956" s="3">
        <v>69</v>
      </c>
      <c r="E1956" t="s">
        <v>6088</v>
      </c>
    </row>
    <row r="1957" spans="1:5" x14ac:dyDescent="0.25">
      <c r="A1957" s="1" t="s">
        <v>1956</v>
      </c>
      <c r="C1957" s="3">
        <v>69</v>
      </c>
      <c r="E1957" t="s">
        <v>7010</v>
      </c>
    </row>
    <row r="1958" spans="1:5" x14ac:dyDescent="0.25">
      <c r="A1958" s="1" t="s">
        <v>1957</v>
      </c>
      <c r="C1958" s="3">
        <v>69</v>
      </c>
      <c r="E1958" t="s">
        <v>9307</v>
      </c>
    </row>
    <row r="1959" spans="1:5" x14ac:dyDescent="0.25">
      <c r="A1959" s="1" t="s">
        <v>1958</v>
      </c>
      <c r="C1959" s="3">
        <v>69</v>
      </c>
      <c r="E1959" t="s">
        <v>29</v>
      </c>
    </row>
    <row r="1960" spans="1:5" x14ac:dyDescent="0.25">
      <c r="A1960" s="1" t="s">
        <v>1959</v>
      </c>
      <c r="C1960" s="3">
        <v>69</v>
      </c>
      <c r="E1960" t="s">
        <v>2975</v>
      </c>
    </row>
    <row r="1961" spans="1:5" x14ac:dyDescent="0.25">
      <c r="A1961" s="1" t="s">
        <v>1960</v>
      </c>
      <c r="C1961" s="3">
        <v>69</v>
      </c>
      <c r="E1961" t="s">
        <v>6065</v>
      </c>
    </row>
    <row r="1962" spans="1:5" x14ac:dyDescent="0.25">
      <c r="A1962" s="1" t="s">
        <v>1961</v>
      </c>
      <c r="C1962" s="3">
        <v>69</v>
      </c>
      <c r="E1962" t="s">
        <v>10854</v>
      </c>
    </row>
    <row r="1963" spans="1:5" x14ac:dyDescent="0.25">
      <c r="A1963" s="1" t="s">
        <v>1962</v>
      </c>
      <c r="C1963" s="3">
        <v>69</v>
      </c>
      <c r="E1963" t="s">
        <v>4910</v>
      </c>
    </row>
    <row r="1964" spans="1:5" x14ac:dyDescent="0.25">
      <c r="A1964" s="1" t="s">
        <v>1963</v>
      </c>
      <c r="C1964" s="3">
        <v>69</v>
      </c>
      <c r="E1964" t="s">
        <v>24208</v>
      </c>
    </row>
    <row r="1965" spans="1:5" x14ac:dyDescent="0.25">
      <c r="A1965" s="1" t="s">
        <v>1964</v>
      </c>
      <c r="C1965" s="3">
        <v>69</v>
      </c>
      <c r="E1965" t="s">
        <v>2312</v>
      </c>
    </row>
    <row r="1966" spans="1:5" x14ac:dyDescent="0.25">
      <c r="A1966" s="1" t="s">
        <v>1965</v>
      </c>
      <c r="C1966" s="3">
        <v>69</v>
      </c>
      <c r="E1966" t="s">
        <v>8007</v>
      </c>
    </row>
    <row r="1967" spans="1:5" x14ac:dyDescent="0.25">
      <c r="A1967" s="1" t="s">
        <v>1966</v>
      </c>
      <c r="C1967" s="3">
        <v>69</v>
      </c>
      <c r="E1967" t="s">
        <v>1703</v>
      </c>
    </row>
    <row r="1968" spans="1:5" x14ac:dyDescent="0.25">
      <c r="A1968" s="1" t="s">
        <v>1967</v>
      </c>
      <c r="C1968" s="3">
        <v>69</v>
      </c>
      <c r="E1968" t="s">
        <v>1215</v>
      </c>
    </row>
    <row r="1969" spans="1:5" x14ac:dyDescent="0.25">
      <c r="A1969" s="1" t="s">
        <v>1968</v>
      </c>
      <c r="C1969" s="3">
        <v>69</v>
      </c>
      <c r="E1969" t="s">
        <v>6980</v>
      </c>
    </row>
    <row r="1970" spans="1:5" x14ac:dyDescent="0.25">
      <c r="A1970" s="1" t="s">
        <v>1969</v>
      </c>
      <c r="C1970" s="3">
        <v>69</v>
      </c>
      <c r="E1970" t="s">
        <v>25149</v>
      </c>
    </row>
    <row r="1971" spans="1:5" x14ac:dyDescent="0.25">
      <c r="A1971" s="1" t="s">
        <v>1970</v>
      </c>
      <c r="C1971" s="3">
        <v>69</v>
      </c>
      <c r="E1971" t="s">
        <v>3238</v>
      </c>
    </row>
    <row r="1972" spans="1:5" x14ac:dyDescent="0.25">
      <c r="A1972" s="1" t="s">
        <v>1971</v>
      </c>
      <c r="C1972" s="3">
        <v>69</v>
      </c>
      <c r="E1972" t="s">
        <v>18263</v>
      </c>
    </row>
    <row r="1973" spans="1:5" x14ac:dyDescent="0.25">
      <c r="A1973" s="1" t="s">
        <v>1972</v>
      </c>
      <c r="C1973" s="3">
        <v>69</v>
      </c>
      <c r="E1973" t="s">
        <v>2341</v>
      </c>
    </row>
    <row r="1974" spans="1:5" x14ac:dyDescent="0.25">
      <c r="A1974" s="1" t="s">
        <v>1973</v>
      </c>
      <c r="C1974" s="3">
        <v>69</v>
      </c>
      <c r="E1974" t="s">
        <v>6569</v>
      </c>
    </row>
    <row r="1975" spans="1:5" x14ac:dyDescent="0.25">
      <c r="A1975" s="1" t="s">
        <v>1974</v>
      </c>
      <c r="C1975" s="3">
        <v>68</v>
      </c>
      <c r="E1975" t="s">
        <v>5295</v>
      </c>
    </row>
    <row r="1976" spans="1:5" x14ac:dyDescent="0.25">
      <c r="A1976" s="1" t="s">
        <v>1975</v>
      </c>
      <c r="C1976" s="3">
        <v>68</v>
      </c>
      <c r="E1976" t="s">
        <v>5963</v>
      </c>
    </row>
    <row r="1977" spans="1:5" x14ac:dyDescent="0.25">
      <c r="A1977" s="1" t="s">
        <v>1976</v>
      </c>
      <c r="C1977" s="3">
        <v>68</v>
      </c>
      <c r="E1977" t="s">
        <v>2571</v>
      </c>
    </row>
    <row r="1978" spans="1:5" x14ac:dyDescent="0.25">
      <c r="A1978" s="1" t="s">
        <v>1977</v>
      </c>
      <c r="C1978" s="3">
        <v>68</v>
      </c>
      <c r="E1978" t="s">
        <v>3590</v>
      </c>
    </row>
    <row r="1979" spans="1:5" x14ac:dyDescent="0.25">
      <c r="A1979" s="1" t="s">
        <v>1978</v>
      </c>
      <c r="C1979" s="3">
        <v>68</v>
      </c>
      <c r="E1979" t="s">
        <v>1809</v>
      </c>
    </row>
    <row r="1980" spans="1:5" x14ac:dyDescent="0.25">
      <c r="A1980" s="1" t="s">
        <v>1979</v>
      </c>
      <c r="C1980" s="3">
        <v>68</v>
      </c>
      <c r="E1980" t="s">
        <v>4177</v>
      </c>
    </row>
    <row r="1981" spans="1:5" x14ac:dyDescent="0.25">
      <c r="A1981" s="1" t="s">
        <v>1980</v>
      </c>
      <c r="C1981" s="3">
        <v>68</v>
      </c>
      <c r="E1981" t="s">
        <v>2053</v>
      </c>
    </row>
    <row r="1982" spans="1:5" x14ac:dyDescent="0.25">
      <c r="A1982" s="1" t="s">
        <v>1981</v>
      </c>
      <c r="C1982" s="3">
        <v>68</v>
      </c>
      <c r="E1982" t="s">
        <v>10306</v>
      </c>
    </row>
    <row r="1983" spans="1:5" x14ac:dyDescent="0.25">
      <c r="A1983" s="1" t="s">
        <v>1982</v>
      </c>
      <c r="C1983" s="3">
        <v>68</v>
      </c>
      <c r="E1983" t="s">
        <v>16503</v>
      </c>
    </row>
    <row r="1984" spans="1:5" x14ac:dyDescent="0.25">
      <c r="A1984" s="1" t="s">
        <v>1983</v>
      </c>
      <c r="C1984" s="3">
        <v>68</v>
      </c>
      <c r="E1984" t="s">
        <v>34</v>
      </c>
    </row>
    <row r="1985" spans="1:5" x14ac:dyDescent="0.25">
      <c r="A1985" s="1" t="s">
        <v>1984</v>
      </c>
      <c r="C1985" s="3">
        <v>68</v>
      </c>
      <c r="E1985" t="s">
        <v>3377</v>
      </c>
    </row>
    <row r="1986" spans="1:5" x14ac:dyDescent="0.25">
      <c r="A1986" s="1" t="s">
        <v>1985</v>
      </c>
      <c r="C1986" s="3">
        <v>68</v>
      </c>
      <c r="E1986" t="s">
        <v>4227</v>
      </c>
    </row>
    <row r="1987" spans="1:5" x14ac:dyDescent="0.25">
      <c r="A1987" s="1" t="s">
        <v>1986</v>
      </c>
      <c r="C1987" s="3">
        <v>68</v>
      </c>
      <c r="E1987" t="s">
        <v>2453</v>
      </c>
    </row>
    <row r="1988" spans="1:5" x14ac:dyDescent="0.25">
      <c r="A1988" s="1" t="s">
        <v>1987</v>
      </c>
      <c r="C1988" s="3">
        <v>68</v>
      </c>
      <c r="E1988" t="s">
        <v>17127</v>
      </c>
    </row>
    <row r="1989" spans="1:5" x14ac:dyDescent="0.25">
      <c r="A1989" s="1" t="s">
        <v>1988</v>
      </c>
      <c r="C1989" s="3">
        <v>68</v>
      </c>
      <c r="E1989" t="s">
        <v>19640</v>
      </c>
    </row>
    <row r="1990" spans="1:5" x14ac:dyDescent="0.25">
      <c r="A1990" s="1" t="s">
        <v>1989</v>
      </c>
      <c r="C1990" s="3">
        <v>68</v>
      </c>
      <c r="E1990" t="s">
        <v>2418</v>
      </c>
    </row>
    <row r="1991" spans="1:5" x14ac:dyDescent="0.25">
      <c r="A1991" s="1" t="s">
        <v>1990</v>
      </c>
      <c r="C1991" s="3">
        <v>68</v>
      </c>
      <c r="E1991" t="s">
        <v>4775</v>
      </c>
    </row>
    <row r="1992" spans="1:5" x14ac:dyDescent="0.25">
      <c r="A1992" s="1" t="s">
        <v>1991</v>
      </c>
      <c r="C1992" s="3">
        <v>68</v>
      </c>
      <c r="E1992" t="s">
        <v>5077</v>
      </c>
    </row>
    <row r="1993" spans="1:5" x14ac:dyDescent="0.25">
      <c r="A1993" s="1" t="s">
        <v>1992</v>
      </c>
      <c r="C1993" s="3">
        <v>68</v>
      </c>
      <c r="E1993" t="s">
        <v>129</v>
      </c>
    </row>
    <row r="1994" spans="1:5" x14ac:dyDescent="0.25">
      <c r="A1994" s="1" t="s">
        <v>1993</v>
      </c>
      <c r="C1994" s="3">
        <v>68</v>
      </c>
      <c r="E1994" t="s">
        <v>15308</v>
      </c>
    </row>
    <row r="1995" spans="1:5" x14ac:dyDescent="0.25">
      <c r="A1995" s="1" t="s">
        <v>1994</v>
      </c>
      <c r="C1995" s="3">
        <v>68</v>
      </c>
      <c r="E1995" t="s">
        <v>5717</v>
      </c>
    </row>
    <row r="1996" spans="1:5" x14ac:dyDescent="0.25">
      <c r="A1996" s="1" t="s">
        <v>1995</v>
      </c>
      <c r="C1996" s="3">
        <v>68</v>
      </c>
      <c r="E1996" t="s">
        <v>1346</v>
      </c>
    </row>
    <row r="1997" spans="1:5" x14ac:dyDescent="0.25">
      <c r="A1997" s="1" t="s">
        <v>1996</v>
      </c>
      <c r="C1997" s="3">
        <v>68</v>
      </c>
      <c r="E1997" t="s">
        <v>7233</v>
      </c>
    </row>
    <row r="1998" spans="1:5" x14ac:dyDescent="0.25">
      <c r="A1998" s="1" t="s">
        <v>1997</v>
      </c>
      <c r="C1998" s="3">
        <v>68</v>
      </c>
      <c r="E1998" t="s">
        <v>4624</v>
      </c>
    </row>
    <row r="1999" spans="1:5" x14ac:dyDescent="0.25">
      <c r="A1999" s="1" t="s">
        <v>1998</v>
      </c>
      <c r="C1999" s="3">
        <v>68</v>
      </c>
      <c r="E1999" t="s">
        <v>683</v>
      </c>
    </row>
    <row r="2000" spans="1:5" x14ac:dyDescent="0.25">
      <c r="A2000" s="1" t="s">
        <v>1999</v>
      </c>
      <c r="C2000" s="3">
        <v>68</v>
      </c>
      <c r="E2000" t="s">
        <v>2272</v>
      </c>
    </row>
    <row r="2001" spans="1:5" x14ac:dyDescent="0.25">
      <c r="A2001" s="1" t="s">
        <v>2000</v>
      </c>
      <c r="C2001" s="3">
        <v>68</v>
      </c>
      <c r="E2001" t="s">
        <v>1730</v>
      </c>
    </row>
    <row r="2002" spans="1:5" x14ac:dyDescent="0.25">
      <c r="A2002" s="1" t="s">
        <v>2001</v>
      </c>
      <c r="C2002" s="3">
        <v>68</v>
      </c>
      <c r="E2002" t="s">
        <v>2097</v>
      </c>
    </row>
    <row r="2003" spans="1:5" x14ac:dyDescent="0.25">
      <c r="A2003" s="1" t="s">
        <v>2002</v>
      </c>
      <c r="C2003" s="3">
        <v>68</v>
      </c>
      <c r="E2003" t="s">
        <v>12377</v>
      </c>
    </row>
    <row r="2004" spans="1:5" x14ac:dyDescent="0.25">
      <c r="A2004" s="1" t="s">
        <v>2003</v>
      </c>
      <c r="C2004" s="3">
        <v>68</v>
      </c>
      <c r="E2004" t="s">
        <v>10954</v>
      </c>
    </row>
    <row r="2005" spans="1:5" x14ac:dyDescent="0.25">
      <c r="A2005" s="1" t="s">
        <v>2004</v>
      </c>
      <c r="C2005" s="3">
        <v>68</v>
      </c>
      <c r="E2005" t="s">
        <v>1394</v>
      </c>
    </row>
    <row r="2006" spans="1:5" x14ac:dyDescent="0.25">
      <c r="A2006" s="1" t="s">
        <v>2005</v>
      </c>
      <c r="C2006" s="3">
        <v>68</v>
      </c>
      <c r="E2006" t="s">
        <v>10271</v>
      </c>
    </row>
    <row r="2007" spans="1:5" x14ac:dyDescent="0.25">
      <c r="A2007" s="1" t="s">
        <v>2006</v>
      </c>
      <c r="C2007" s="3">
        <v>68</v>
      </c>
      <c r="E2007" t="s">
        <v>2811</v>
      </c>
    </row>
    <row r="2008" spans="1:5" x14ac:dyDescent="0.25">
      <c r="A2008" s="1" t="s">
        <v>2007</v>
      </c>
      <c r="C2008" s="3">
        <v>67</v>
      </c>
      <c r="E2008" t="s">
        <v>16403</v>
      </c>
    </row>
    <row r="2009" spans="1:5" x14ac:dyDescent="0.25">
      <c r="A2009" s="1" t="s">
        <v>2008</v>
      </c>
      <c r="C2009" s="3">
        <v>67</v>
      </c>
      <c r="E2009" t="s">
        <v>2198</v>
      </c>
    </row>
    <row r="2010" spans="1:5" x14ac:dyDescent="0.25">
      <c r="A2010" s="1" t="s">
        <v>2009</v>
      </c>
      <c r="C2010" s="3">
        <v>67</v>
      </c>
      <c r="E2010" t="s">
        <v>5292</v>
      </c>
    </row>
    <row r="2011" spans="1:5" x14ac:dyDescent="0.25">
      <c r="A2011" s="1" t="s">
        <v>2010</v>
      </c>
      <c r="C2011" s="3">
        <v>67</v>
      </c>
      <c r="E2011" t="s">
        <v>4033</v>
      </c>
    </row>
    <row r="2012" spans="1:5" x14ac:dyDescent="0.25">
      <c r="A2012" s="1" t="s">
        <v>2011</v>
      </c>
      <c r="C2012" s="3">
        <v>67</v>
      </c>
      <c r="E2012" t="s">
        <v>4710</v>
      </c>
    </row>
    <row r="2013" spans="1:5" x14ac:dyDescent="0.25">
      <c r="A2013" s="1" t="s">
        <v>2012</v>
      </c>
      <c r="C2013" s="3">
        <v>67</v>
      </c>
      <c r="E2013" t="s">
        <v>5704</v>
      </c>
    </row>
    <row r="2014" spans="1:5" x14ac:dyDescent="0.25">
      <c r="A2014" s="1" t="s">
        <v>2013</v>
      </c>
      <c r="C2014" s="3">
        <v>67</v>
      </c>
      <c r="E2014" t="s">
        <v>432</v>
      </c>
    </row>
    <row r="2015" spans="1:5" x14ac:dyDescent="0.25">
      <c r="A2015" s="1" t="s">
        <v>2014</v>
      </c>
      <c r="C2015" s="3">
        <v>67</v>
      </c>
      <c r="E2015" t="s">
        <v>5256</v>
      </c>
    </row>
    <row r="2016" spans="1:5" x14ac:dyDescent="0.25">
      <c r="A2016" s="1" t="s">
        <v>2015</v>
      </c>
      <c r="C2016" s="3">
        <v>67</v>
      </c>
      <c r="E2016" t="s">
        <v>2089</v>
      </c>
    </row>
    <row r="2017" spans="1:5" x14ac:dyDescent="0.25">
      <c r="A2017" s="1" t="s">
        <v>2016</v>
      </c>
      <c r="C2017" s="3">
        <v>67</v>
      </c>
      <c r="E2017" t="s">
        <v>4458</v>
      </c>
    </row>
    <row r="2018" spans="1:5" x14ac:dyDescent="0.25">
      <c r="A2018" s="1" t="s">
        <v>2017</v>
      </c>
      <c r="C2018" s="3">
        <v>67</v>
      </c>
      <c r="E2018" t="s">
        <v>14085</v>
      </c>
    </row>
    <row r="2019" spans="1:5" x14ac:dyDescent="0.25">
      <c r="A2019" s="1" t="s">
        <v>2018</v>
      </c>
      <c r="C2019" s="3">
        <v>67</v>
      </c>
      <c r="E2019" t="s">
        <v>3497</v>
      </c>
    </row>
    <row r="2020" spans="1:5" x14ac:dyDescent="0.25">
      <c r="A2020" s="1" t="s">
        <v>2019</v>
      </c>
      <c r="C2020" s="3">
        <v>67</v>
      </c>
      <c r="E2020" t="s">
        <v>7758</v>
      </c>
    </row>
    <row r="2021" spans="1:5" x14ac:dyDescent="0.25">
      <c r="A2021" s="1" t="s">
        <v>2020</v>
      </c>
      <c r="C2021" s="3">
        <v>67</v>
      </c>
      <c r="E2021" t="s">
        <v>357</v>
      </c>
    </row>
    <row r="2022" spans="1:5" x14ac:dyDescent="0.25">
      <c r="A2022" s="1" t="s">
        <v>2021</v>
      </c>
      <c r="C2022" s="3">
        <v>67</v>
      </c>
      <c r="E2022" t="s">
        <v>3271</v>
      </c>
    </row>
    <row r="2023" spans="1:5" x14ac:dyDescent="0.25">
      <c r="A2023" s="1" t="s">
        <v>2022</v>
      </c>
      <c r="C2023" s="3">
        <v>67</v>
      </c>
      <c r="E2023" t="s">
        <v>8686</v>
      </c>
    </row>
    <row r="2024" spans="1:5" x14ac:dyDescent="0.25">
      <c r="A2024" s="1" t="s">
        <v>2023</v>
      </c>
      <c r="C2024" s="3">
        <v>67</v>
      </c>
      <c r="E2024" t="s">
        <v>20622</v>
      </c>
    </row>
    <row r="2025" spans="1:5" x14ac:dyDescent="0.25">
      <c r="A2025" s="1" t="s">
        <v>2024</v>
      </c>
      <c r="C2025" s="3">
        <v>67</v>
      </c>
      <c r="E2025" t="s">
        <v>1944</v>
      </c>
    </row>
    <row r="2026" spans="1:5" x14ac:dyDescent="0.25">
      <c r="A2026" s="1" t="s">
        <v>2025</v>
      </c>
      <c r="C2026" s="3">
        <v>67</v>
      </c>
      <c r="E2026" t="s">
        <v>4629</v>
      </c>
    </row>
    <row r="2027" spans="1:5" x14ac:dyDescent="0.25">
      <c r="A2027" s="1" t="s">
        <v>2026</v>
      </c>
      <c r="C2027" s="3">
        <v>67</v>
      </c>
      <c r="E2027" t="s">
        <v>1102</v>
      </c>
    </row>
    <row r="2028" spans="1:5" x14ac:dyDescent="0.25">
      <c r="A2028" s="1" t="s">
        <v>2027</v>
      </c>
      <c r="C2028" s="3">
        <v>67</v>
      </c>
      <c r="E2028" t="s">
        <v>1812</v>
      </c>
    </row>
    <row r="2029" spans="1:5" x14ac:dyDescent="0.25">
      <c r="A2029" s="1" t="s">
        <v>2028</v>
      </c>
      <c r="C2029" s="3">
        <v>67</v>
      </c>
      <c r="E2029" t="s">
        <v>25443</v>
      </c>
    </row>
    <row r="2030" spans="1:5" x14ac:dyDescent="0.25">
      <c r="A2030" s="1" t="s">
        <v>2029</v>
      </c>
      <c r="C2030" s="3">
        <v>67</v>
      </c>
      <c r="E2030" t="s">
        <v>9629</v>
      </c>
    </row>
    <row r="2031" spans="1:5" x14ac:dyDescent="0.25">
      <c r="A2031" s="1" t="s">
        <v>2030</v>
      </c>
      <c r="C2031" s="3">
        <v>67</v>
      </c>
      <c r="E2031" t="s">
        <v>2138</v>
      </c>
    </row>
    <row r="2032" spans="1:5" x14ac:dyDescent="0.25">
      <c r="A2032" s="1" t="s">
        <v>2031</v>
      </c>
      <c r="C2032" s="3">
        <v>67</v>
      </c>
      <c r="E2032" t="s">
        <v>13696</v>
      </c>
    </row>
    <row r="2033" spans="1:5" x14ac:dyDescent="0.25">
      <c r="A2033" s="1" t="s">
        <v>2032</v>
      </c>
      <c r="C2033" s="3">
        <v>67</v>
      </c>
      <c r="E2033" t="s">
        <v>2586</v>
      </c>
    </row>
    <row r="2034" spans="1:5" x14ac:dyDescent="0.25">
      <c r="A2034" s="1" t="s">
        <v>2033</v>
      </c>
      <c r="C2034" s="3">
        <v>67</v>
      </c>
      <c r="E2034" t="s">
        <v>1066</v>
      </c>
    </row>
    <row r="2035" spans="1:5" x14ac:dyDescent="0.25">
      <c r="A2035" s="1" t="s">
        <v>2034</v>
      </c>
      <c r="C2035" s="3">
        <v>67</v>
      </c>
      <c r="E2035" t="s">
        <v>25444</v>
      </c>
    </row>
    <row r="2036" spans="1:5" x14ac:dyDescent="0.25">
      <c r="A2036" s="1" t="s">
        <v>2035</v>
      </c>
      <c r="C2036" s="3">
        <v>67</v>
      </c>
      <c r="E2036" t="s">
        <v>834</v>
      </c>
    </row>
    <row r="2037" spans="1:5" x14ac:dyDescent="0.25">
      <c r="A2037" s="1" t="s">
        <v>2036</v>
      </c>
      <c r="C2037" s="3">
        <v>67</v>
      </c>
      <c r="E2037" t="s">
        <v>7935</v>
      </c>
    </row>
    <row r="2038" spans="1:5" x14ac:dyDescent="0.25">
      <c r="A2038" s="1" t="s">
        <v>2037</v>
      </c>
      <c r="C2038" s="3">
        <v>67</v>
      </c>
      <c r="E2038" t="s">
        <v>8475</v>
      </c>
    </row>
    <row r="2039" spans="1:5" x14ac:dyDescent="0.25">
      <c r="A2039" s="1" t="s">
        <v>2038</v>
      </c>
      <c r="C2039" s="3">
        <v>67</v>
      </c>
      <c r="E2039" t="s">
        <v>16808</v>
      </c>
    </row>
    <row r="2040" spans="1:5" x14ac:dyDescent="0.25">
      <c r="A2040" s="1" t="s">
        <v>2039</v>
      </c>
      <c r="C2040" s="3">
        <v>67</v>
      </c>
      <c r="E2040" t="s">
        <v>2040</v>
      </c>
    </row>
    <row r="2041" spans="1:5" x14ac:dyDescent="0.25">
      <c r="A2041" s="1" t="s">
        <v>2040</v>
      </c>
      <c r="C2041" s="3">
        <v>67</v>
      </c>
      <c r="E2041" t="s">
        <v>715</v>
      </c>
    </row>
    <row r="2042" spans="1:5" x14ac:dyDescent="0.25">
      <c r="A2042" s="1" t="s">
        <v>2041</v>
      </c>
      <c r="C2042" s="3">
        <v>67</v>
      </c>
      <c r="E2042" t="s">
        <v>511</v>
      </c>
    </row>
    <row r="2043" spans="1:5" x14ac:dyDescent="0.25">
      <c r="A2043" s="1" t="s">
        <v>2042</v>
      </c>
      <c r="C2043" s="3">
        <v>67</v>
      </c>
      <c r="E2043" t="s">
        <v>2532</v>
      </c>
    </row>
    <row r="2044" spans="1:5" x14ac:dyDescent="0.25">
      <c r="A2044" s="1" t="s">
        <v>2043</v>
      </c>
      <c r="C2044" s="3">
        <v>67</v>
      </c>
      <c r="E2044" t="s">
        <v>1664</v>
      </c>
    </row>
    <row r="2045" spans="1:5" x14ac:dyDescent="0.25">
      <c r="A2045" s="1" t="s">
        <v>2044</v>
      </c>
      <c r="C2045" s="3">
        <v>67</v>
      </c>
      <c r="E2045" t="s">
        <v>4903</v>
      </c>
    </row>
    <row r="2046" spans="1:5" x14ac:dyDescent="0.25">
      <c r="A2046" s="1" t="s">
        <v>2045</v>
      </c>
      <c r="C2046" s="3">
        <v>67</v>
      </c>
      <c r="E2046" t="s">
        <v>8082</v>
      </c>
    </row>
    <row r="2047" spans="1:5" x14ac:dyDescent="0.25">
      <c r="A2047" s="1" t="s">
        <v>2046</v>
      </c>
      <c r="C2047" s="3">
        <v>67</v>
      </c>
      <c r="E2047" t="s">
        <v>439</v>
      </c>
    </row>
    <row r="2048" spans="1:5" x14ac:dyDescent="0.25">
      <c r="A2048" s="1" t="s">
        <v>2047</v>
      </c>
      <c r="C2048" s="3">
        <v>66</v>
      </c>
      <c r="E2048" t="s">
        <v>19241</v>
      </c>
    </row>
    <row r="2049" spans="1:5" x14ac:dyDescent="0.25">
      <c r="A2049" s="1" t="s">
        <v>2048</v>
      </c>
      <c r="C2049" s="3">
        <v>66</v>
      </c>
      <c r="E2049" t="s">
        <v>11171</v>
      </c>
    </row>
    <row r="2050" spans="1:5" x14ac:dyDescent="0.25">
      <c r="A2050" s="1" t="s">
        <v>2049</v>
      </c>
      <c r="C2050" s="3">
        <v>66</v>
      </c>
      <c r="E2050" t="s">
        <v>3063</v>
      </c>
    </row>
    <row r="2051" spans="1:5" x14ac:dyDescent="0.25">
      <c r="A2051" s="1" t="s">
        <v>2050</v>
      </c>
      <c r="C2051" s="3">
        <v>66</v>
      </c>
      <c r="E2051" t="s">
        <v>1659</v>
      </c>
    </row>
    <row r="2052" spans="1:5" x14ac:dyDescent="0.25">
      <c r="A2052" s="1" t="s">
        <v>2051</v>
      </c>
      <c r="C2052" s="3">
        <v>66</v>
      </c>
      <c r="E2052" t="s">
        <v>2533</v>
      </c>
    </row>
    <row r="2053" spans="1:5" x14ac:dyDescent="0.25">
      <c r="A2053" s="1" t="s">
        <v>2052</v>
      </c>
      <c r="C2053" s="3">
        <v>66</v>
      </c>
      <c r="E2053" t="s">
        <v>1143</v>
      </c>
    </row>
    <row r="2054" spans="1:5" x14ac:dyDescent="0.25">
      <c r="A2054" s="1" t="s">
        <v>2053</v>
      </c>
      <c r="C2054" s="3">
        <v>66</v>
      </c>
      <c r="E2054" t="s">
        <v>4525</v>
      </c>
    </row>
    <row r="2055" spans="1:5" x14ac:dyDescent="0.25">
      <c r="A2055" s="1" t="s">
        <v>2054</v>
      </c>
      <c r="C2055" s="3">
        <v>66</v>
      </c>
      <c r="E2055" t="s">
        <v>808</v>
      </c>
    </row>
    <row r="2056" spans="1:5" x14ac:dyDescent="0.25">
      <c r="A2056" s="1" t="s">
        <v>2055</v>
      </c>
      <c r="C2056" s="3">
        <v>66</v>
      </c>
      <c r="E2056" t="s">
        <v>8791</v>
      </c>
    </row>
    <row r="2057" spans="1:5" x14ac:dyDescent="0.25">
      <c r="A2057" s="1" t="s">
        <v>2056</v>
      </c>
      <c r="C2057" s="3">
        <v>66</v>
      </c>
      <c r="E2057" t="s">
        <v>3340</v>
      </c>
    </row>
    <row r="2058" spans="1:5" x14ac:dyDescent="0.25">
      <c r="A2058" s="1" t="s">
        <v>2057</v>
      </c>
      <c r="C2058" s="3">
        <v>66</v>
      </c>
      <c r="E2058" t="s">
        <v>46</v>
      </c>
    </row>
    <row r="2059" spans="1:5" x14ac:dyDescent="0.25">
      <c r="A2059" s="1" t="s">
        <v>2058</v>
      </c>
      <c r="C2059" s="3">
        <v>66</v>
      </c>
      <c r="E2059" t="s">
        <v>1865</v>
      </c>
    </row>
    <row r="2060" spans="1:5" x14ac:dyDescent="0.25">
      <c r="A2060" s="1" t="s">
        <v>2059</v>
      </c>
      <c r="C2060" s="3">
        <v>66</v>
      </c>
      <c r="E2060" t="s">
        <v>864</v>
      </c>
    </row>
    <row r="2061" spans="1:5" x14ac:dyDescent="0.25">
      <c r="A2061" s="1" t="s">
        <v>2060</v>
      </c>
      <c r="C2061" s="3">
        <v>66</v>
      </c>
      <c r="E2061" t="s">
        <v>8164</v>
      </c>
    </row>
    <row r="2062" spans="1:5" x14ac:dyDescent="0.25">
      <c r="A2062" s="1" t="s">
        <v>2061</v>
      </c>
      <c r="C2062" s="3">
        <v>66</v>
      </c>
      <c r="E2062" t="s">
        <v>6359</v>
      </c>
    </row>
    <row r="2063" spans="1:5" x14ac:dyDescent="0.25">
      <c r="A2063" s="1" t="s">
        <v>2062</v>
      </c>
      <c r="C2063" s="3">
        <v>66</v>
      </c>
      <c r="E2063" t="s">
        <v>8652</v>
      </c>
    </row>
    <row r="2064" spans="1:5" x14ac:dyDescent="0.25">
      <c r="A2064" s="1" t="s">
        <v>2063</v>
      </c>
      <c r="C2064" s="3">
        <v>66</v>
      </c>
      <c r="E2064" t="s">
        <v>10353</v>
      </c>
    </row>
    <row r="2065" spans="1:5" x14ac:dyDescent="0.25">
      <c r="A2065" s="1" t="s">
        <v>2064</v>
      </c>
      <c r="C2065" s="3">
        <v>66</v>
      </c>
      <c r="E2065" t="s">
        <v>14383</v>
      </c>
    </row>
    <row r="2066" spans="1:5" x14ac:dyDescent="0.25">
      <c r="A2066" s="1" t="s">
        <v>2065</v>
      </c>
      <c r="C2066" s="3">
        <v>66</v>
      </c>
      <c r="E2066" t="s">
        <v>10107</v>
      </c>
    </row>
    <row r="2067" spans="1:5" x14ac:dyDescent="0.25">
      <c r="A2067" s="1" t="s">
        <v>2066</v>
      </c>
      <c r="C2067" s="3">
        <v>66</v>
      </c>
      <c r="E2067" t="s">
        <v>271</v>
      </c>
    </row>
    <row r="2068" spans="1:5" x14ac:dyDescent="0.25">
      <c r="A2068" s="1" t="s">
        <v>2067</v>
      </c>
      <c r="C2068" s="3">
        <v>66</v>
      </c>
      <c r="E2068" t="s">
        <v>1121</v>
      </c>
    </row>
    <row r="2069" spans="1:5" x14ac:dyDescent="0.25">
      <c r="A2069" s="1" t="s">
        <v>2068</v>
      </c>
      <c r="C2069" s="3">
        <v>66</v>
      </c>
      <c r="E2069" t="s">
        <v>3493</v>
      </c>
    </row>
    <row r="2070" spans="1:5" x14ac:dyDescent="0.25">
      <c r="A2070" s="1" t="s">
        <v>2069</v>
      </c>
      <c r="C2070" s="3">
        <v>66</v>
      </c>
      <c r="E2070" t="s">
        <v>4275</v>
      </c>
    </row>
    <row r="2071" spans="1:5" x14ac:dyDescent="0.25">
      <c r="A2071" s="1" t="s">
        <v>2070</v>
      </c>
      <c r="C2071" s="3">
        <v>66</v>
      </c>
      <c r="E2071" t="s">
        <v>3679</v>
      </c>
    </row>
    <row r="2072" spans="1:5" x14ac:dyDescent="0.25">
      <c r="A2072" s="1" t="s">
        <v>2071</v>
      </c>
      <c r="C2072" s="3">
        <v>66</v>
      </c>
      <c r="E2072" t="s">
        <v>16229</v>
      </c>
    </row>
    <row r="2073" spans="1:5" x14ac:dyDescent="0.25">
      <c r="A2073" s="1" t="s">
        <v>2072</v>
      </c>
      <c r="C2073" s="3">
        <v>66</v>
      </c>
      <c r="E2073" t="s">
        <v>3665</v>
      </c>
    </row>
    <row r="2074" spans="1:5" x14ac:dyDescent="0.25">
      <c r="A2074" s="1" t="s">
        <v>2073</v>
      </c>
      <c r="C2074" s="3">
        <v>66</v>
      </c>
      <c r="E2074" t="s">
        <v>5875</v>
      </c>
    </row>
    <row r="2075" spans="1:5" x14ac:dyDescent="0.25">
      <c r="A2075" s="1" t="s">
        <v>2074</v>
      </c>
      <c r="C2075" s="3">
        <v>66</v>
      </c>
      <c r="E2075" t="s">
        <v>3817</v>
      </c>
    </row>
    <row r="2076" spans="1:5" x14ac:dyDescent="0.25">
      <c r="A2076" s="1" t="s">
        <v>2075</v>
      </c>
      <c r="C2076" s="3">
        <v>66</v>
      </c>
      <c r="E2076" t="s">
        <v>11661</v>
      </c>
    </row>
    <row r="2077" spans="1:5" x14ac:dyDescent="0.25">
      <c r="A2077" s="1" t="s">
        <v>2076</v>
      </c>
      <c r="C2077" s="3">
        <v>66</v>
      </c>
      <c r="E2077" t="s">
        <v>14761</v>
      </c>
    </row>
    <row r="2078" spans="1:5" x14ac:dyDescent="0.25">
      <c r="A2078" s="1" t="s">
        <v>2077</v>
      </c>
      <c r="C2078" s="3">
        <v>66</v>
      </c>
      <c r="E2078" t="s">
        <v>997</v>
      </c>
    </row>
    <row r="2079" spans="1:5" x14ac:dyDescent="0.25">
      <c r="A2079" s="1" t="s">
        <v>2078</v>
      </c>
      <c r="C2079" s="3">
        <v>65</v>
      </c>
      <c r="E2079" t="s">
        <v>11852</v>
      </c>
    </row>
    <row r="2080" spans="1:5" x14ac:dyDescent="0.25">
      <c r="A2080" s="1" t="s">
        <v>2079</v>
      </c>
      <c r="C2080" s="3">
        <v>65</v>
      </c>
      <c r="E2080" t="s">
        <v>12391</v>
      </c>
    </row>
    <row r="2081" spans="1:5" x14ac:dyDescent="0.25">
      <c r="A2081" s="1" t="s">
        <v>2080</v>
      </c>
      <c r="C2081" s="3">
        <v>65</v>
      </c>
      <c r="E2081" t="s">
        <v>3055</v>
      </c>
    </row>
    <row r="2082" spans="1:5" x14ac:dyDescent="0.25">
      <c r="A2082" s="1" t="s">
        <v>2081</v>
      </c>
      <c r="C2082" s="3">
        <v>65</v>
      </c>
      <c r="E2082" t="s">
        <v>3984</v>
      </c>
    </row>
    <row r="2083" spans="1:5" x14ac:dyDescent="0.25">
      <c r="A2083" s="1" t="s">
        <v>2082</v>
      </c>
      <c r="C2083" s="3">
        <v>65</v>
      </c>
      <c r="E2083" t="s">
        <v>14225</v>
      </c>
    </row>
    <row r="2084" spans="1:5" x14ac:dyDescent="0.25">
      <c r="A2084" s="1" t="s">
        <v>2083</v>
      </c>
      <c r="C2084" s="3">
        <v>65</v>
      </c>
      <c r="E2084" t="s">
        <v>1165</v>
      </c>
    </row>
    <row r="2085" spans="1:5" x14ac:dyDescent="0.25">
      <c r="A2085" s="1" t="s">
        <v>2084</v>
      </c>
      <c r="C2085" s="3">
        <v>65</v>
      </c>
      <c r="E2085" t="s">
        <v>8440</v>
      </c>
    </row>
    <row r="2086" spans="1:5" x14ac:dyDescent="0.25">
      <c r="A2086" s="1" t="s">
        <v>2085</v>
      </c>
      <c r="C2086" s="3">
        <v>65</v>
      </c>
      <c r="E2086" t="s">
        <v>1408</v>
      </c>
    </row>
    <row r="2087" spans="1:5" x14ac:dyDescent="0.25">
      <c r="A2087" s="1" t="s">
        <v>2086</v>
      </c>
      <c r="C2087" s="3">
        <v>65</v>
      </c>
      <c r="E2087" t="s">
        <v>1497</v>
      </c>
    </row>
    <row r="2088" spans="1:5" x14ac:dyDescent="0.25">
      <c r="A2088" s="1" t="s">
        <v>2087</v>
      </c>
      <c r="C2088" s="3">
        <v>65</v>
      </c>
      <c r="E2088" t="s">
        <v>1112</v>
      </c>
    </row>
    <row r="2089" spans="1:5" x14ac:dyDescent="0.25">
      <c r="A2089" s="1" t="s">
        <v>2088</v>
      </c>
      <c r="C2089" s="3">
        <v>65</v>
      </c>
      <c r="E2089" t="s">
        <v>9628</v>
      </c>
    </row>
    <row r="2090" spans="1:5" x14ac:dyDescent="0.25">
      <c r="A2090" s="1" t="s">
        <v>2089</v>
      </c>
      <c r="C2090" s="3">
        <v>65</v>
      </c>
      <c r="E2090" t="s">
        <v>3459</v>
      </c>
    </row>
    <row r="2091" spans="1:5" x14ac:dyDescent="0.25">
      <c r="A2091" s="1" t="s">
        <v>2090</v>
      </c>
      <c r="C2091" s="3">
        <v>65</v>
      </c>
      <c r="E2091" t="s">
        <v>3773</v>
      </c>
    </row>
    <row r="2092" spans="1:5" x14ac:dyDescent="0.25">
      <c r="A2092" s="1" t="s">
        <v>2091</v>
      </c>
      <c r="C2092" s="3">
        <v>65</v>
      </c>
      <c r="E2092" t="s">
        <v>1016</v>
      </c>
    </row>
    <row r="2093" spans="1:5" x14ac:dyDescent="0.25">
      <c r="A2093" s="1" t="s">
        <v>2092</v>
      </c>
      <c r="C2093" s="3">
        <v>65</v>
      </c>
      <c r="E2093" t="s">
        <v>1714</v>
      </c>
    </row>
    <row r="2094" spans="1:5" x14ac:dyDescent="0.25">
      <c r="A2094" s="1" t="s">
        <v>2093</v>
      </c>
      <c r="C2094" s="3">
        <v>65</v>
      </c>
      <c r="E2094" t="s">
        <v>1268</v>
      </c>
    </row>
    <row r="2095" spans="1:5" x14ac:dyDescent="0.25">
      <c r="A2095" s="1" t="s">
        <v>2094</v>
      </c>
      <c r="C2095" s="3">
        <v>65</v>
      </c>
      <c r="E2095" t="s">
        <v>2739</v>
      </c>
    </row>
    <row r="2096" spans="1:5" x14ac:dyDescent="0.25">
      <c r="A2096" s="1" t="s">
        <v>2095</v>
      </c>
      <c r="C2096" s="3">
        <v>65</v>
      </c>
      <c r="E2096" t="s">
        <v>3290</v>
      </c>
    </row>
    <row r="2097" spans="1:5" x14ac:dyDescent="0.25">
      <c r="A2097" s="1" t="s">
        <v>2096</v>
      </c>
      <c r="C2097" s="3">
        <v>65</v>
      </c>
      <c r="E2097" t="s">
        <v>3152</v>
      </c>
    </row>
    <row r="2098" spans="1:5" x14ac:dyDescent="0.25">
      <c r="A2098" s="1" t="s">
        <v>2097</v>
      </c>
      <c r="C2098" s="3">
        <v>65</v>
      </c>
      <c r="E2098" t="s">
        <v>753</v>
      </c>
    </row>
    <row r="2099" spans="1:5" x14ac:dyDescent="0.25">
      <c r="A2099" s="1" t="s">
        <v>2098</v>
      </c>
      <c r="C2099" s="3">
        <v>65</v>
      </c>
      <c r="E2099" t="s">
        <v>1769</v>
      </c>
    </row>
    <row r="2100" spans="1:5" x14ac:dyDescent="0.25">
      <c r="A2100" s="1" t="s">
        <v>2099</v>
      </c>
      <c r="C2100" s="3">
        <v>65</v>
      </c>
      <c r="E2100" t="s">
        <v>5083</v>
      </c>
    </row>
    <row r="2101" spans="1:5" x14ac:dyDescent="0.25">
      <c r="A2101" s="1" t="s">
        <v>2100</v>
      </c>
      <c r="C2101" s="3">
        <v>65</v>
      </c>
      <c r="E2101" t="s">
        <v>5669</v>
      </c>
    </row>
    <row r="2102" spans="1:5" x14ac:dyDescent="0.25">
      <c r="A2102" s="1" t="s">
        <v>2101</v>
      </c>
      <c r="C2102" s="3">
        <v>65</v>
      </c>
      <c r="E2102" t="s">
        <v>25373</v>
      </c>
    </row>
    <row r="2103" spans="1:5" x14ac:dyDescent="0.25">
      <c r="A2103" s="1" t="s">
        <v>2102</v>
      </c>
      <c r="C2103" s="3">
        <v>65</v>
      </c>
      <c r="E2103" t="s">
        <v>2149</v>
      </c>
    </row>
    <row r="2104" spans="1:5" x14ac:dyDescent="0.25">
      <c r="A2104" s="1" t="s">
        <v>2103</v>
      </c>
      <c r="C2104" s="3">
        <v>65</v>
      </c>
      <c r="E2104" t="s">
        <v>3192</v>
      </c>
    </row>
    <row r="2105" spans="1:5" x14ac:dyDescent="0.25">
      <c r="A2105" s="1" t="s">
        <v>2104</v>
      </c>
      <c r="C2105" s="3">
        <v>65</v>
      </c>
      <c r="E2105" t="s">
        <v>3169</v>
      </c>
    </row>
    <row r="2106" spans="1:5" x14ac:dyDescent="0.25">
      <c r="A2106" s="1" t="s">
        <v>2105</v>
      </c>
      <c r="C2106" s="3">
        <v>65</v>
      </c>
      <c r="E2106" t="s">
        <v>7816</v>
      </c>
    </row>
    <row r="2107" spans="1:5" x14ac:dyDescent="0.25">
      <c r="A2107" s="1" t="s">
        <v>2106</v>
      </c>
      <c r="C2107" s="3">
        <v>65</v>
      </c>
      <c r="E2107" t="s">
        <v>2832</v>
      </c>
    </row>
    <row r="2108" spans="1:5" x14ac:dyDescent="0.25">
      <c r="A2108" s="1" t="s">
        <v>2107</v>
      </c>
      <c r="C2108" s="3">
        <v>65</v>
      </c>
      <c r="E2108" t="s">
        <v>732</v>
      </c>
    </row>
    <row r="2109" spans="1:5" x14ac:dyDescent="0.25">
      <c r="A2109" s="1" t="s">
        <v>2108</v>
      </c>
      <c r="C2109" s="3">
        <v>65</v>
      </c>
      <c r="E2109" t="s">
        <v>1566</v>
      </c>
    </row>
    <row r="2110" spans="1:5" x14ac:dyDescent="0.25">
      <c r="A2110" s="1" t="s">
        <v>2109</v>
      </c>
      <c r="C2110" s="3">
        <v>65</v>
      </c>
      <c r="E2110" t="s">
        <v>11029</v>
      </c>
    </row>
    <row r="2111" spans="1:5" x14ac:dyDescent="0.25">
      <c r="A2111" s="1" t="s">
        <v>2110</v>
      </c>
      <c r="C2111" s="3">
        <v>65</v>
      </c>
      <c r="E2111" t="s">
        <v>17093</v>
      </c>
    </row>
    <row r="2112" spans="1:5" x14ac:dyDescent="0.25">
      <c r="A2112" s="1" t="s">
        <v>2111</v>
      </c>
      <c r="C2112" s="3">
        <v>65</v>
      </c>
      <c r="E2112" t="s">
        <v>391</v>
      </c>
    </row>
    <row r="2113" spans="1:5" x14ac:dyDescent="0.25">
      <c r="A2113" s="1" t="s">
        <v>2112</v>
      </c>
      <c r="C2113" s="3">
        <v>65</v>
      </c>
      <c r="E2113" t="s">
        <v>2193</v>
      </c>
    </row>
    <row r="2114" spans="1:5" x14ac:dyDescent="0.25">
      <c r="A2114" s="1" t="s">
        <v>2113</v>
      </c>
      <c r="C2114" s="3">
        <v>65</v>
      </c>
      <c r="E2114" t="s">
        <v>760</v>
      </c>
    </row>
    <row r="2115" spans="1:5" x14ac:dyDescent="0.25">
      <c r="A2115" s="1" t="s">
        <v>2114</v>
      </c>
      <c r="C2115" s="3">
        <v>65</v>
      </c>
      <c r="E2115" t="s">
        <v>20816</v>
      </c>
    </row>
    <row r="2116" spans="1:5" x14ac:dyDescent="0.25">
      <c r="A2116" s="1" t="s">
        <v>2115</v>
      </c>
      <c r="C2116" s="3">
        <v>65</v>
      </c>
      <c r="E2116" t="s">
        <v>3750</v>
      </c>
    </row>
    <row r="2117" spans="1:5" x14ac:dyDescent="0.25">
      <c r="A2117" s="1" t="s">
        <v>2116</v>
      </c>
      <c r="C2117" s="3">
        <v>65</v>
      </c>
      <c r="E2117" t="s">
        <v>2316</v>
      </c>
    </row>
    <row r="2118" spans="1:5" x14ac:dyDescent="0.25">
      <c r="A2118" s="1" t="s">
        <v>2117</v>
      </c>
      <c r="C2118" s="3">
        <v>65</v>
      </c>
      <c r="E2118" t="s">
        <v>15818</v>
      </c>
    </row>
    <row r="2119" spans="1:5" x14ac:dyDescent="0.25">
      <c r="A2119" s="1" t="s">
        <v>2118</v>
      </c>
      <c r="C2119" s="3">
        <v>65</v>
      </c>
      <c r="E2119" t="s">
        <v>7614</v>
      </c>
    </row>
    <row r="2120" spans="1:5" x14ac:dyDescent="0.25">
      <c r="A2120" s="1" t="s">
        <v>2119</v>
      </c>
      <c r="C2120" s="3">
        <v>65</v>
      </c>
      <c r="E2120" t="s">
        <v>3427</v>
      </c>
    </row>
    <row r="2121" spans="1:5" x14ac:dyDescent="0.25">
      <c r="A2121" s="1" t="s">
        <v>2120</v>
      </c>
      <c r="C2121" s="3">
        <v>65</v>
      </c>
      <c r="E2121" t="s">
        <v>5571</v>
      </c>
    </row>
    <row r="2122" spans="1:5" x14ac:dyDescent="0.25">
      <c r="A2122" s="1" t="s">
        <v>2121</v>
      </c>
      <c r="C2122" s="3">
        <v>65</v>
      </c>
      <c r="E2122" t="s">
        <v>7885</v>
      </c>
    </row>
    <row r="2123" spans="1:5" x14ac:dyDescent="0.25">
      <c r="A2123" s="1" t="s">
        <v>2122</v>
      </c>
      <c r="C2123" s="3">
        <v>64</v>
      </c>
      <c r="E2123" t="s">
        <v>348</v>
      </c>
    </row>
    <row r="2124" spans="1:5" x14ac:dyDescent="0.25">
      <c r="A2124" s="1" t="s">
        <v>2123</v>
      </c>
      <c r="C2124" s="3">
        <v>64</v>
      </c>
      <c r="E2124" t="s">
        <v>25445</v>
      </c>
    </row>
    <row r="2125" spans="1:5" x14ac:dyDescent="0.25">
      <c r="A2125" s="1" t="s">
        <v>2124</v>
      </c>
      <c r="C2125" s="3">
        <v>64</v>
      </c>
      <c r="E2125" t="s">
        <v>1392</v>
      </c>
    </row>
    <row r="2126" spans="1:5" x14ac:dyDescent="0.25">
      <c r="A2126" s="1" t="s">
        <v>2125</v>
      </c>
      <c r="C2126" s="3">
        <v>64</v>
      </c>
      <c r="E2126" t="s">
        <v>596</v>
      </c>
    </row>
    <row r="2127" spans="1:5" x14ac:dyDescent="0.25">
      <c r="A2127" s="1" t="s">
        <v>2126</v>
      </c>
      <c r="C2127" s="3">
        <v>64</v>
      </c>
      <c r="E2127" t="s">
        <v>17591</v>
      </c>
    </row>
    <row r="2128" spans="1:5" x14ac:dyDescent="0.25">
      <c r="A2128" s="1" t="s">
        <v>2127</v>
      </c>
      <c r="C2128" s="3">
        <v>64</v>
      </c>
      <c r="E2128" t="s">
        <v>17612</v>
      </c>
    </row>
    <row r="2129" spans="1:5" x14ac:dyDescent="0.25">
      <c r="A2129" s="1" t="s">
        <v>2128</v>
      </c>
      <c r="C2129" s="3">
        <v>64</v>
      </c>
      <c r="E2129" t="s">
        <v>3837</v>
      </c>
    </row>
    <row r="2130" spans="1:5" x14ac:dyDescent="0.25">
      <c r="A2130" s="1" t="s">
        <v>2129</v>
      </c>
      <c r="C2130" s="3">
        <v>64</v>
      </c>
      <c r="E2130" t="s">
        <v>4398</v>
      </c>
    </row>
    <row r="2131" spans="1:5" x14ac:dyDescent="0.25">
      <c r="A2131" s="1" t="s">
        <v>2130</v>
      </c>
      <c r="C2131" s="3">
        <v>64</v>
      </c>
      <c r="E2131" t="s">
        <v>12827</v>
      </c>
    </row>
    <row r="2132" spans="1:5" x14ac:dyDescent="0.25">
      <c r="A2132" s="1" t="s">
        <v>2131</v>
      </c>
      <c r="C2132" s="3">
        <v>64</v>
      </c>
      <c r="E2132" t="s">
        <v>2675</v>
      </c>
    </row>
    <row r="2133" spans="1:5" x14ac:dyDescent="0.25">
      <c r="A2133" s="1" t="s">
        <v>2132</v>
      </c>
      <c r="C2133" s="3">
        <v>64</v>
      </c>
      <c r="E2133" t="s">
        <v>2293</v>
      </c>
    </row>
    <row r="2134" spans="1:5" x14ac:dyDescent="0.25">
      <c r="A2134" s="1" t="s">
        <v>2133</v>
      </c>
      <c r="C2134" s="3">
        <v>64</v>
      </c>
      <c r="E2134" t="s">
        <v>866</v>
      </c>
    </row>
    <row r="2135" spans="1:5" x14ac:dyDescent="0.25">
      <c r="A2135" s="1" t="s">
        <v>2134</v>
      </c>
      <c r="C2135" s="3">
        <v>64</v>
      </c>
      <c r="E2135" t="s">
        <v>2886</v>
      </c>
    </row>
    <row r="2136" spans="1:5" x14ac:dyDescent="0.25">
      <c r="A2136" s="1" t="s">
        <v>2135</v>
      </c>
      <c r="C2136" s="3">
        <v>64</v>
      </c>
      <c r="E2136" t="s">
        <v>871</v>
      </c>
    </row>
    <row r="2137" spans="1:5" x14ac:dyDescent="0.25">
      <c r="A2137" s="1" t="s">
        <v>2136</v>
      </c>
      <c r="C2137" s="3">
        <v>64</v>
      </c>
      <c r="E2137" t="s">
        <v>1700</v>
      </c>
    </row>
    <row r="2138" spans="1:5" x14ac:dyDescent="0.25">
      <c r="A2138" s="1" t="s">
        <v>2137</v>
      </c>
      <c r="C2138" s="3">
        <v>64</v>
      </c>
      <c r="E2138" t="s">
        <v>19825</v>
      </c>
    </row>
    <row r="2139" spans="1:5" x14ac:dyDescent="0.25">
      <c r="A2139" s="1" t="s">
        <v>2138</v>
      </c>
      <c r="C2139" s="3">
        <v>64</v>
      </c>
      <c r="E2139" t="s">
        <v>3663</v>
      </c>
    </row>
    <row r="2140" spans="1:5" x14ac:dyDescent="0.25">
      <c r="A2140" s="1" t="s">
        <v>2139</v>
      </c>
      <c r="C2140" s="3">
        <v>64</v>
      </c>
      <c r="E2140" t="s">
        <v>305</v>
      </c>
    </row>
    <row r="2141" spans="1:5" x14ac:dyDescent="0.25">
      <c r="A2141" s="1" t="s">
        <v>2140</v>
      </c>
      <c r="C2141" s="3">
        <v>64</v>
      </c>
      <c r="E2141" t="s">
        <v>5440</v>
      </c>
    </row>
    <row r="2142" spans="1:5" x14ac:dyDescent="0.25">
      <c r="A2142" s="1" t="s">
        <v>2141</v>
      </c>
      <c r="C2142" s="3">
        <v>64</v>
      </c>
      <c r="E2142" t="s">
        <v>8401</v>
      </c>
    </row>
    <row r="2143" spans="1:5" x14ac:dyDescent="0.25">
      <c r="A2143" s="1" t="s">
        <v>2142</v>
      </c>
      <c r="C2143" s="3">
        <v>64</v>
      </c>
      <c r="E2143" t="s">
        <v>7345</v>
      </c>
    </row>
    <row r="2144" spans="1:5" x14ac:dyDescent="0.25">
      <c r="A2144" s="1" t="s">
        <v>2143</v>
      </c>
      <c r="C2144" s="3">
        <v>64</v>
      </c>
      <c r="E2144" t="s">
        <v>2156</v>
      </c>
    </row>
    <row r="2145" spans="1:5" x14ac:dyDescent="0.25">
      <c r="A2145" s="1" t="s">
        <v>2144</v>
      </c>
      <c r="C2145" s="3">
        <v>64</v>
      </c>
      <c r="E2145" t="s">
        <v>811</v>
      </c>
    </row>
    <row r="2146" spans="1:5" x14ac:dyDescent="0.25">
      <c r="A2146" s="1" t="s">
        <v>2145</v>
      </c>
      <c r="C2146" s="3">
        <v>64</v>
      </c>
      <c r="E2146" t="s">
        <v>6452</v>
      </c>
    </row>
    <row r="2147" spans="1:5" x14ac:dyDescent="0.25">
      <c r="A2147" s="1" t="s">
        <v>2146</v>
      </c>
      <c r="C2147" s="3">
        <v>64</v>
      </c>
      <c r="E2147" t="s">
        <v>4114</v>
      </c>
    </row>
    <row r="2148" spans="1:5" x14ac:dyDescent="0.25">
      <c r="A2148" s="1" t="s">
        <v>2147</v>
      </c>
      <c r="C2148" s="3">
        <v>64</v>
      </c>
      <c r="E2148" t="s">
        <v>7692</v>
      </c>
    </row>
    <row r="2149" spans="1:5" x14ac:dyDescent="0.25">
      <c r="A2149" s="1" t="s">
        <v>2148</v>
      </c>
      <c r="C2149" s="3">
        <v>64</v>
      </c>
      <c r="E2149" t="s">
        <v>936</v>
      </c>
    </row>
    <row r="2150" spans="1:5" x14ac:dyDescent="0.25">
      <c r="A2150" s="1" t="s">
        <v>2149</v>
      </c>
      <c r="C2150" s="3">
        <v>64</v>
      </c>
      <c r="E2150" t="s">
        <v>1864</v>
      </c>
    </row>
    <row r="2151" spans="1:5" x14ac:dyDescent="0.25">
      <c r="A2151" s="1" t="s">
        <v>2150</v>
      </c>
      <c r="C2151" s="3">
        <v>64</v>
      </c>
      <c r="E2151" t="s">
        <v>9690</v>
      </c>
    </row>
    <row r="2152" spans="1:5" x14ac:dyDescent="0.25">
      <c r="A2152" s="1" t="s">
        <v>2151</v>
      </c>
      <c r="C2152" s="3">
        <v>63</v>
      </c>
      <c r="E2152" t="s">
        <v>799</v>
      </c>
    </row>
    <row r="2153" spans="1:5" x14ac:dyDescent="0.25">
      <c r="A2153" s="1" t="s">
        <v>2152</v>
      </c>
      <c r="C2153" s="3">
        <v>63</v>
      </c>
      <c r="E2153" t="s">
        <v>23364</v>
      </c>
    </row>
    <row r="2154" spans="1:5" x14ac:dyDescent="0.25">
      <c r="A2154" s="1" t="s">
        <v>2153</v>
      </c>
      <c r="C2154" s="3">
        <v>63</v>
      </c>
      <c r="E2154" t="s">
        <v>695</v>
      </c>
    </row>
    <row r="2155" spans="1:5" x14ac:dyDescent="0.25">
      <c r="A2155" s="1" t="s">
        <v>2154</v>
      </c>
      <c r="C2155" s="3">
        <v>63</v>
      </c>
      <c r="E2155" t="s">
        <v>3373</v>
      </c>
    </row>
    <row r="2156" spans="1:5" x14ac:dyDescent="0.25">
      <c r="A2156" s="1" t="s">
        <v>2155</v>
      </c>
      <c r="C2156" s="3">
        <v>63</v>
      </c>
      <c r="E2156" t="s">
        <v>582</v>
      </c>
    </row>
    <row r="2157" spans="1:5" x14ac:dyDescent="0.25">
      <c r="A2157" s="1" t="s">
        <v>2156</v>
      </c>
      <c r="C2157" s="3">
        <v>63</v>
      </c>
      <c r="E2157" t="s">
        <v>25446</v>
      </c>
    </row>
    <row r="2158" spans="1:5" x14ac:dyDescent="0.25">
      <c r="A2158" s="1" t="s">
        <v>2157</v>
      </c>
      <c r="C2158" s="3">
        <v>63</v>
      </c>
      <c r="E2158" t="s">
        <v>5075</v>
      </c>
    </row>
    <row r="2159" spans="1:5" x14ac:dyDescent="0.25">
      <c r="A2159" s="1" t="s">
        <v>2158</v>
      </c>
      <c r="C2159" s="3">
        <v>63</v>
      </c>
      <c r="E2159" t="s">
        <v>358</v>
      </c>
    </row>
    <row r="2160" spans="1:5" x14ac:dyDescent="0.25">
      <c r="A2160" s="1" t="s">
        <v>2159</v>
      </c>
      <c r="C2160" s="3">
        <v>63</v>
      </c>
      <c r="E2160" t="s">
        <v>4808</v>
      </c>
    </row>
    <row r="2161" spans="1:5" x14ac:dyDescent="0.25">
      <c r="A2161" s="1" t="s">
        <v>2160</v>
      </c>
      <c r="C2161" s="3">
        <v>63</v>
      </c>
      <c r="E2161" t="s">
        <v>415</v>
      </c>
    </row>
    <row r="2162" spans="1:5" x14ac:dyDescent="0.25">
      <c r="A2162" s="1" t="s">
        <v>2161</v>
      </c>
      <c r="C2162" s="3">
        <v>63</v>
      </c>
      <c r="E2162" t="s">
        <v>25447</v>
      </c>
    </row>
    <row r="2163" spans="1:5" x14ac:dyDescent="0.25">
      <c r="A2163" s="1" t="s">
        <v>2162</v>
      </c>
      <c r="C2163" s="3">
        <v>63</v>
      </c>
      <c r="E2163" t="s">
        <v>3583</v>
      </c>
    </row>
    <row r="2164" spans="1:5" x14ac:dyDescent="0.25">
      <c r="A2164" s="1" t="s">
        <v>2163</v>
      </c>
      <c r="C2164" s="3">
        <v>63</v>
      </c>
      <c r="E2164" t="s">
        <v>14708</v>
      </c>
    </row>
    <row r="2165" spans="1:5" x14ac:dyDescent="0.25">
      <c r="A2165" s="1" t="s">
        <v>2164</v>
      </c>
      <c r="C2165" s="3">
        <v>63</v>
      </c>
      <c r="E2165" t="s">
        <v>971</v>
      </c>
    </row>
    <row r="2166" spans="1:5" x14ac:dyDescent="0.25">
      <c r="A2166" s="1" t="s">
        <v>2165</v>
      </c>
      <c r="C2166" s="3">
        <v>63</v>
      </c>
      <c r="E2166" t="s">
        <v>22944</v>
      </c>
    </row>
    <row r="2167" spans="1:5" x14ac:dyDescent="0.25">
      <c r="A2167" s="1" t="s">
        <v>2166</v>
      </c>
      <c r="C2167" s="3">
        <v>63</v>
      </c>
      <c r="E2167" t="s">
        <v>2520</v>
      </c>
    </row>
    <row r="2168" spans="1:5" x14ac:dyDescent="0.25">
      <c r="A2168" s="1" t="s">
        <v>2167</v>
      </c>
      <c r="C2168" s="3">
        <v>63</v>
      </c>
      <c r="E2168" t="s">
        <v>335</v>
      </c>
    </row>
    <row r="2169" spans="1:5" x14ac:dyDescent="0.25">
      <c r="A2169" s="1" t="s">
        <v>2168</v>
      </c>
      <c r="C2169" s="3">
        <v>63</v>
      </c>
      <c r="E2169" t="s">
        <v>1955</v>
      </c>
    </row>
    <row r="2170" spans="1:5" x14ac:dyDescent="0.25">
      <c r="A2170" s="1" t="s">
        <v>2169</v>
      </c>
      <c r="C2170" s="3">
        <v>63</v>
      </c>
      <c r="E2170" t="s">
        <v>3928</v>
      </c>
    </row>
    <row r="2171" spans="1:5" x14ac:dyDescent="0.25">
      <c r="A2171" s="1" t="s">
        <v>2170</v>
      </c>
      <c r="C2171" s="3">
        <v>63</v>
      </c>
      <c r="E2171" t="s">
        <v>2626</v>
      </c>
    </row>
    <row r="2172" spans="1:5" x14ac:dyDescent="0.25">
      <c r="A2172" s="1" t="s">
        <v>2171</v>
      </c>
      <c r="C2172" s="3">
        <v>63</v>
      </c>
      <c r="E2172" t="s">
        <v>988</v>
      </c>
    </row>
    <row r="2173" spans="1:5" x14ac:dyDescent="0.25">
      <c r="A2173" s="1" t="s">
        <v>2172</v>
      </c>
      <c r="C2173" s="3">
        <v>63</v>
      </c>
      <c r="E2173" t="s">
        <v>2529</v>
      </c>
    </row>
    <row r="2174" spans="1:5" x14ac:dyDescent="0.25">
      <c r="A2174" s="1" t="s">
        <v>2173</v>
      </c>
      <c r="C2174" s="3">
        <v>63</v>
      </c>
      <c r="E2174" t="s">
        <v>2838</v>
      </c>
    </row>
    <row r="2175" spans="1:5" x14ac:dyDescent="0.25">
      <c r="A2175" s="1" t="s">
        <v>2174</v>
      </c>
      <c r="C2175" s="3">
        <v>63</v>
      </c>
      <c r="E2175" t="s">
        <v>824</v>
      </c>
    </row>
    <row r="2176" spans="1:5" x14ac:dyDescent="0.25">
      <c r="A2176" s="1" t="s">
        <v>2175</v>
      </c>
      <c r="C2176" s="3">
        <v>63</v>
      </c>
      <c r="E2176" t="s">
        <v>3057</v>
      </c>
    </row>
    <row r="2177" spans="1:5" x14ac:dyDescent="0.25">
      <c r="A2177" s="1" t="s">
        <v>2176</v>
      </c>
      <c r="C2177" s="3">
        <v>63</v>
      </c>
      <c r="E2177" t="s">
        <v>11208</v>
      </c>
    </row>
    <row r="2178" spans="1:5" x14ac:dyDescent="0.25">
      <c r="A2178" s="1" t="s">
        <v>2177</v>
      </c>
      <c r="C2178" s="3">
        <v>63</v>
      </c>
      <c r="E2178" t="s">
        <v>6201</v>
      </c>
    </row>
    <row r="2179" spans="1:5" x14ac:dyDescent="0.25">
      <c r="A2179" s="1" t="s">
        <v>2178</v>
      </c>
      <c r="C2179" s="3">
        <v>63</v>
      </c>
      <c r="E2179" t="s">
        <v>688</v>
      </c>
    </row>
    <row r="2180" spans="1:5" x14ac:dyDescent="0.25">
      <c r="A2180" s="1" t="s">
        <v>2179</v>
      </c>
      <c r="C2180" s="3">
        <v>63</v>
      </c>
      <c r="E2180" t="s">
        <v>8888</v>
      </c>
    </row>
    <row r="2181" spans="1:5" x14ac:dyDescent="0.25">
      <c r="A2181" s="1" t="s">
        <v>2180</v>
      </c>
      <c r="C2181" s="3">
        <v>63</v>
      </c>
      <c r="E2181" t="s">
        <v>840</v>
      </c>
    </row>
    <row r="2182" spans="1:5" x14ac:dyDescent="0.25">
      <c r="A2182" s="1" t="s">
        <v>2181</v>
      </c>
      <c r="C2182" s="3">
        <v>63</v>
      </c>
      <c r="E2182" t="s">
        <v>2616</v>
      </c>
    </row>
    <row r="2183" spans="1:5" x14ac:dyDescent="0.25">
      <c r="A2183" s="1" t="s">
        <v>2182</v>
      </c>
      <c r="C2183" s="3">
        <v>63</v>
      </c>
      <c r="E2183" t="s">
        <v>15619</v>
      </c>
    </row>
    <row r="2184" spans="1:5" x14ac:dyDescent="0.25">
      <c r="A2184" s="1" t="s">
        <v>2183</v>
      </c>
      <c r="C2184" s="3">
        <v>63</v>
      </c>
      <c r="E2184" t="s">
        <v>333</v>
      </c>
    </row>
    <row r="2185" spans="1:5" x14ac:dyDescent="0.25">
      <c r="A2185" s="1" t="s">
        <v>2184</v>
      </c>
      <c r="C2185" s="3">
        <v>63</v>
      </c>
      <c r="E2185" t="s">
        <v>15367</v>
      </c>
    </row>
    <row r="2186" spans="1:5" x14ac:dyDescent="0.25">
      <c r="A2186" s="1" t="s">
        <v>2185</v>
      </c>
      <c r="C2186" s="3">
        <v>63</v>
      </c>
      <c r="E2186" t="s">
        <v>2583</v>
      </c>
    </row>
    <row r="2187" spans="1:5" x14ac:dyDescent="0.25">
      <c r="A2187" s="1" t="s">
        <v>2186</v>
      </c>
      <c r="C2187" s="3">
        <v>63</v>
      </c>
      <c r="E2187" t="s">
        <v>7307</v>
      </c>
    </row>
    <row r="2188" spans="1:5" x14ac:dyDescent="0.25">
      <c r="A2188" s="1" t="s">
        <v>2187</v>
      </c>
      <c r="C2188" s="3">
        <v>63</v>
      </c>
      <c r="E2188" t="s">
        <v>9796</v>
      </c>
    </row>
    <row r="2189" spans="1:5" x14ac:dyDescent="0.25">
      <c r="A2189" s="1" t="s">
        <v>2188</v>
      </c>
      <c r="C2189" s="3">
        <v>63</v>
      </c>
      <c r="E2189" t="s">
        <v>16650</v>
      </c>
    </row>
    <row r="2190" spans="1:5" x14ac:dyDescent="0.25">
      <c r="A2190" s="1" t="s">
        <v>2189</v>
      </c>
      <c r="C2190" s="3">
        <v>63</v>
      </c>
      <c r="E2190" t="s">
        <v>7238</v>
      </c>
    </row>
    <row r="2191" spans="1:5" x14ac:dyDescent="0.25">
      <c r="A2191" s="1" t="s">
        <v>2190</v>
      </c>
      <c r="C2191" s="3">
        <v>63</v>
      </c>
      <c r="E2191" t="s">
        <v>6690</v>
      </c>
    </row>
    <row r="2192" spans="1:5" x14ac:dyDescent="0.25">
      <c r="A2192" s="1" t="s">
        <v>2191</v>
      </c>
      <c r="C2192" s="3">
        <v>63</v>
      </c>
      <c r="E2192" t="s">
        <v>7506</v>
      </c>
    </row>
    <row r="2193" spans="1:5" x14ac:dyDescent="0.25">
      <c r="A2193" s="1" t="s">
        <v>2192</v>
      </c>
      <c r="C2193" s="3">
        <v>63</v>
      </c>
      <c r="E2193" t="s">
        <v>6654</v>
      </c>
    </row>
    <row r="2194" spans="1:5" x14ac:dyDescent="0.25">
      <c r="A2194" s="1" t="s">
        <v>2193</v>
      </c>
      <c r="C2194" s="3">
        <v>62</v>
      </c>
      <c r="E2194" t="s">
        <v>25448</v>
      </c>
    </row>
    <row r="2195" spans="1:5" x14ac:dyDescent="0.25">
      <c r="A2195" s="1" t="s">
        <v>2194</v>
      </c>
      <c r="C2195" s="3">
        <v>62</v>
      </c>
      <c r="E2195" t="s">
        <v>209</v>
      </c>
    </row>
    <row r="2196" spans="1:5" x14ac:dyDescent="0.25">
      <c r="A2196" s="1" t="s">
        <v>2195</v>
      </c>
      <c r="C2196" s="3">
        <v>62</v>
      </c>
      <c r="E2196" t="s">
        <v>5492</v>
      </c>
    </row>
    <row r="2197" spans="1:5" x14ac:dyDescent="0.25">
      <c r="A2197" s="1" t="s">
        <v>2196</v>
      </c>
      <c r="C2197" s="3">
        <v>62</v>
      </c>
      <c r="E2197" t="s">
        <v>949</v>
      </c>
    </row>
    <row r="2198" spans="1:5" x14ac:dyDescent="0.25">
      <c r="A2198" s="1" t="s">
        <v>2197</v>
      </c>
      <c r="C2198" s="3">
        <v>62</v>
      </c>
      <c r="E2198" t="s">
        <v>1536</v>
      </c>
    </row>
    <row r="2199" spans="1:5" x14ac:dyDescent="0.25">
      <c r="A2199" s="1" t="s">
        <v>2198</v>
      </c>
      <c r="C2199" s="3">
        <v>62</v>
      </c>
      <c r="E2199" t="s">
        <v>11227</v>
      </c>
    </row>
    <row r="2200" spans="1:5" x14ac:dyDescent="0.25">
      <c r="A2200" s="1" t="s">
        <v>2199</v>
      </c>
      <c r="C2200" s="3">
        <v>62</v>
      </c>
      <c r="E2200" t="s">
        <v>16502</v>
      </c>
    </row>
    <row r="2201" spans="1:5" x14ac:dyDescent="0.25">
      <c r="A2201" s="1" t="s">
        <v>2200</v>
      </c>
      <c r="C2201" s="3">
        <v>62</v>
      </c>
      <c r="E2201" t="s">
        <v>2098</v>
      </c>
    </row>
    <row r="2202" spans="1:5" x14ac:dyDescent="0.25">
      <c r="A2202" s="1" t="s">
        <v>2201</v>
      </c>
      <c r="C2202" s="3">
        <v>62</v>
      </c>
      <c r="E2202" t="s">
        <v>8091</v>
      </c>
    </row>
    <row r="2203" spans="1:5" x14ac:dyDescent="0.25">
      <c r="A2203" s="1" t="s">
        <v>2202</v>
      </c>
      <c r="C2203" s="3">
        <v>62</v>
      </c>
      <c r="E2203" t="s">
        <v>8956</v>
      </c>
    </row>
    <row r="2204" spans="1:5" x14ac:dyDescent="0.25">
      <c r="A2204" s="1" t="s">
        <v>2203</v>
      </c>
      <c r="C2204" s="3">
        <v>62</v>
      </c>
      <c r="E2204" t="s">
        <v>5288</v>
      </c>
    </row>
    <row r="2205" spans="1:5" x14ac:dyDescent="0.25">
      <c r="A2205" s="1" t="s">
        <v>2204</v>
      </c>
      <c r="C2205" s="3">
        <v>62</v>
      </c>
      <c r="E2205" t="s">
        <v>6959</v>
      </c>
    </row>
    <row r="2206" spans="1:5" x14ac:dyDescent="0.25">
      <c r="A2206" s="1" t="s">
        <v>2205</v>
      </c>
      <c r="C2206" s="3">
        <v>62</v>
      </c>
      <c r="E2206" t="s">
        <v>9594</v>
      </c>
    </row>
    <row r="2207" spans="1:5" x14ac:dyDescent="0.25">
      <c r="A2207" s="1" t="s">
        <v>2206</v>
      </c>
      <c r="C2207" s="3">
        <v>62</v>
      </c>
      <c r="E2207" t="s">
        <v>938</v>
      </c>
    </row>
    <row r="2208" spans="1:5" x14ac:dyDescent="0.25">
      <c r="A2208" s="1" t="s">
        <v>2207</v>
      </c>
      <c r="C2208" s="3">
        <v>62</v>
      </c>
      <c r="E2208" t="s">
        <v>995</v>
      </c>
    </row>
    <row r="2209" spans="1:5" x14ac:dyDescent="0.25">
      <c r="A2209" s="1" t="s">
        <v>2208</v>
      </c>
      <c r="C2209" s="3">
        <v>62</v>
      </c>
      <c r="E2209" t="s">
        <v>7899</v>
      </c>
    </row>
    <row r="2210" spans="1:5" x14ac:dyDescent="0.25">
      <c r="A2210" s="1" t="s">
        <v>2209</v>
      </c>
      <c r="C2210" s="3">
        <v>62</v>
      </c>
      <c r="E2210" t="s">
        <v>12735</v>
      </c>
    </row>
    <row r="2211" spans="1:5" x14ac:dyDescent="0.25">
      <c r="A2211" s="1" t="s">
        <v>2210</v>
      </c>
      <c r="C2211" s="3">
        <v>62</v>
      </c>
      <c r="E2211" t="s">
        <v>1780</v>
      </c>
    </row>
    <row r="2212" spans="1:5" x14ac:dyDescent="0.25">
      <c r="A2212" s="1" t="s">
        <v>2211</v>
      </c>
      <c r="C2212" s="3">
        <v>62</v>
      </c>
      <c r="E2212" t="s">
        <v>1804</v>
      </c>
    </row>
    <row r="2213" spans="1:5" x14ac:dyDescent="0.25">
      <c r="A2213" s="1" t="s">
        <v>2212</v>
      </c>
      <c r="C2213" s="3">
        <v>62</v>
      </c>
      <c r="E2213" t="s">
        <v>607</v>
      </c>
    </row>
    <row r="2214" spans="1:5" x14ac:dyDescent="0.25">
      <c r="A2214" s="1" t="s">
        <v>2213</v>
      </c>
      <c r="C2214" s="3">
        <v>62</v>
      </c>
      <c r="E2214" t="s">
        <v>709</v>
      </c>
    </row>
    <row r="2215" spans="1:5" x14ac:dyDescent="0.25">
      <c r="A2215" s="1" t="s">
        <v>2214</v>
      </c>
      <c r="C2215" s="3">
        <v>62</v>
      </c>
      <c r="E2215" t="s">
        <v>13285</v>
      </c>
    </row>
    <row r="2216" spans="1:5" x14ac:dyDescent="0.25">
      <c r="A2216" s="1" t="s">
        <v>2215</v>
      </c>
      <c r="C2216" s="3">
        <v>62</v>
      </c>
      <c r="E2216" t="s">
        <v>25449</v>
      </c>
    </row>
    <row r="2217" spans="1:5" x14ac:dyDescent="0.25">
      <c r="A2217" s="1" t="s">
        <v>2216</v>
      </c>
      <c r="C2217" s="3">
        <v>62</v>
      </c>
      <c r="E2217" t="s">
        <v>5612</v>
      </c>
    </row>
    <row r="2218" spans="1:5" x14ac:dyDescent="0.25">
      <c r="A2218" s="1" t="s">
        <v>2217</v>
      </c>
      <c r="C2218" s="3">
        <v>62</v>
      </c>
      <c r="E2218" t="s">
        <v>5499</v>
      </c>
    </row>
    <row r="2219" spans="1:5" x14ac:dyDescent="0.25">
      <c r="A2219" s="1" t="s">
        <v>2218</v>
      </c>
      <c r="C2219" s="3">
        <v>62</v>
      </c>
      <c r="E2219" t="s">
        <v>1452</v>
      </c>
    </row>
    <row r="2220" spans="1:5" x14ac:dyDescent="0.25">
      <c r="A2220" s="1" t="s">
        <v>2219</v>
      </c>
      <c r="C2220" s="3">
        <v>62</v>
      </c>
      <c r="E2220" t="s">
        <v>2290</v>
      </c>
    </row>
    <row r="2221" spans="1:5" x14ac:dyDescent="0.25">
      <c r="A2221" s="1" t="s">
        <v>2220</v>
      </c>
      <c r="C2221" s="3">
        <v>62</v>
      </c>
      <c r="E2221" t="s">
        <v>60</v>
      </c>
    </row>
    <row r="2222" spans="1:5" x14ac:dyDescent="0.25">
      <c r="A2222" s="1" t="s">
        <v>2221</v>
      </c>
      <c r="C2222" s="3">
        <v>62</v>
      </c>
      <c r="E2222" t="s">
        <v>2889</v>
      </c>
    </row>
    <row r="2223" spans="1:5" x14ac:dyDescent="0.25">
      <c r="A2223" s="1" t="s">
        <v>2222</v>
      </c>
      <c r="C2223" s="3">
        <v>62</v>
      </c>
      <c r="E2223" t="s">
        <v>14256</v>
      </c>
    </row>
    <row r="2224" spans="1:5" x14ac:dyDescent="0.25">
      <c r="A2224" s="1" t="s">
        <v>2223</v>
      </c>
      <c r="C2224" s="3">
        <v>62</v>
      </c>
      <c r="E2224" t="s">
        <v>4110</v>
      </c>
    </row>
    <row r="2225" spans="1:5" x14ac:dyDescent="0.25">
      <c r="A2225" s="1" t="s">
        <v>2224</v>
      </c>
      <c r="C2225" s="3">
        <v>62</v>
      </c>
      <c r="E2225" t="s">
        <v>8046</v>
      </c>
    </row>
    <row r="2226" spans="1:5" x14ac:dyDescent="0.25">
      <c r="A2226" s="1" t="s">
        <v>2225</v>
      </c>
      <c r="C2226" s="3">
        <v>62</v>
      </c>
      <c r="E2226" t="s">
        <v>13630</v>
      </c>
    </row>
    <row r="2227" spans="1:5" x14ac:dyDescent="0.25">
      <c r="A2227" s="1" t="s">
        <v>2226</v>
      </c>
      <c r="C2227" s="3">
        <v>62</v>
      </c>
      <c r="E2227" t="s">
        <v>1846</v>
      </c>
    </row>
    <row r="2228" spans="1:5" x14ac:dyDescent="0.25">
      <c r="A2228" s="1" t="s">
        <v>2227</v>
      </c>
      <c r="C2228" s="3">
        <v>62</v>
      </c>
      <c r="E2228" t="s">
        <v>1130</v>
      </c>
    </row>
    <row r="2229" spans="1:5" x14ac:dyDescent="0.25">
      <c r="A2229" s="1" t="s">
        <v>2228</v>
      </c>
      <c r="C2229" s="3">
        <v>62</v>
      </c>
      <c r="E2229" t="s">
        <v>601</v>
      </c>
    </row>
    <row r="2230" spans="1:5" x14ac:dyDescent="0.25">
      <c r="A2230" s="1" t="s">
        <v>2229</v>
      </c>
      <c r="C2230" s="3">
        <v>62</v>
      </c>
      <c r="E2230" t="s">
        <v>6242</v>
      </c>
    </row>
    <row r="2231" spans="1:5" x14ac:dyDescent="0.25">
      <c r="A2231" s="1" t="s">
        <v>2230</v>
      </c>
      <c r="C2231" s="3">
        <v>62</v>
      </c>
      <c r="E2231" t="s">
        <v>2972</v>
      </c>
    </row>
    <row r="2232" spans="1:5" x14ac:dyDescent="0.25">
      <c r="A2232" s="1" t="s">
        <v>2231</v>
      </c>
      <c r="C2232" s="3">
        <v>62</v>
      </c>
      <c r="E2232" t="s">
        <v>1358</v>
      </c>
    </row>
    <row r="2233" spans="1:5" x14ac:dyDescent="0.25">
      <c r="A2233" s="1" t="s">
        <v>2232</v>
      </c>
      <c r="C2233" s="3">
        <v>62</v>
      </c>
      <c r="E2233" t="s">
        <v>3095</v>
      </c>
    </row>
    <row r="2234" spans="1:5" x14ac:dyDescent="0.25">
      <c r="A2234" s="1" t="s">
        <v>2233</v>
      </c>
      <c r="C2234" s="3">
        <v>62</v>
      </c>
      <c r="E2234" t="s">
        <v>25450</v>
      </c>
    </row>
    <row r="2235" spans="1:5" x14ac:dyDescent="0.25">
      <c r="A2235" s="1" t="s">
        <v>2234</v>
      </c>
      <c r="C2235" s="3">
        <v>62</v>
      </c>
      <c r="E2235" t="s">
        <v>2311</v>
      </c>
    </row>
    <row r="2236" spans="1:5" x14ac:dyDescent="0.25">
      <c r="A2236" s="1" t="s">
        <v>2235</v>
      </c>
      <c r="C2236" s="3">
        <v>62</v>
      </c>
      <c r="E2236" t="s">
        <v>1734</v>
      </c>
    </row>
    <row r="2237" spans="1:5" x14ac:dyDescent="0.25">
      <c r="A2237" s="1" t="s">
        <v>2236</v>
      </c>
      <c r="C2237" s="3">
        <v>62</v>
      </c>
      <c r="E2237" t="s">
        <v>13428</v>
      </c>
    </row>
    <row r="2238" spans="1:5" x14ac:dyDescent="0.25">
      <c r="A2238" s="1" t="s">
        <v>2237</v>
      </c>
      <c r="C2238" s="3">
        <v>62</v>
      </c>
      <c r="E2238" t="s">
        <v>18708</v>
      </c>
    </row>
    <row r="2239" spans="1:5" x14ac:dyDescent="0.25">
      <c r="A2239" s="1" t="s">
        <v>2238</v>
      </c>
      <c r="C2239" s="3">
        <v>62</v>
      </c>
      <c r="E2239" t="s">
        <v>8151</v>
      </c>
    </row>
    <row r="2240" spans="1:5" x14ac:dyDescent="0.25">
      <c r="A2240" s="1" t="s">
        <v>2239</v>
      </c>
      <c r="C2240" s="3">
        <v>62</v>
      </c>
      <c r="E2240" t="s">
        <v>12459</v>
      </c>
    </row>
    <row r="2241" spans="1:5" x14ac:dyDescent="0.25">
      <c r="A2241" s="1" t="s">
        <v>2240</v>
      </c>
      <c r="C2241" s="3">
        <v>62</v>
      </c>
      <c r="E2241" t="s">
        <v>4776</v>
      </c>
    </row>
    <row r="2242" spans="1:5" x14ac:dyDescent="0.25">
      <c r="A2242" s="1" t="s">
        <v>2241</v>
      </c>
      <c r="C2242" s="3">
        <v>62</v>
      </c>
      <c r="E2242" t="s">
        <v>2894</v>
      </c>
    </row>
    <row r="2243" spans="1:5" x14ac:dyDescent="0.25">
      <c r="A2243" s="1" t="s">
        <v>2242</v>
      </c>
      <c r="C2243" s="3">
        <v>62</v>
      </c>
      <c r="E2243" t="s">
        <v>1999</v>
      </c>
    </row>
    <row r="2244" spans="1:5" x14ac:dyDescent="0.25">
      <c r="A2244" s="1" t="s">
        <v>2243</v>
      </c>
      <c r="C2244" s="3">
        <v>62</v>
      </c>
      <c r="E2244" t="s">
        <v>10933</v>
      </c>
    </row>
    <row r="2245" spans="1:5" x14ac:dyDescent="0.25">
      <c r="A2245" s="1" t="s">
        <v>2244</v>
      </c>
      <c r="C2245" s="3">
        <v>61</v>
      </c>
      <c r="E2245" t="s">
        <v>18879</v>
      </c>
    </row>
    <row r="2246" spans="1:5" x14ac:dyDescent="0.25">
      <c r="A2246" s="1" t="s">
        <v>2245</v>
      </c>
      <c r="C2246" s="3">
        <v>61</v>
      </c>
      <c r="E2246" t="s">
        <v>1159</v>
      </c>
    </row>
    <row r="2247" spans="1:5" x14ac:dyDescent="0.25">
      <c r="A2247" s="1" t="s">
        <v>2246</v>
      </c>
      <c r="C2247" s="3">
        <v>61</v>
      </c>
      <c r="E2247" t="s">
        <v>2231</v>
      </c>
    </row>
    <row r="2248" spans="1:5" x14ac:dyDescent="0.25">
      <c r="A2248" s="1" t="s">
        <v>2247</v>
      </c>
      <c r="C2248" s="3">
        <v>61</v>
      </c>
      <c r="E2248" t="s">
        <v>3405</v>
      </c>
    </row>
    <row r="2249" spans="1:5" x14ac:dyDescent="0.25">
      <c r="A2249" s="1" t="s">
        <v>2248</v>
      </c>
      <c r="C2249" s="3">
        <v>61</v>
      </c>
      <c r="E2249" t="s">
        <v>962</v>
      </c>
    </row>
    <row r="2250" spans="1:5" x14ac:dyDescent="0.25">
      <c r="A2250" s="1" t="s">
        <v>2249</v>
      </c>
      <c r="C2250" s="3">
        <v>61</v>
      </c>
      <c r="E2250" t="s">
        <v>3200</v>
      </c>
    </row>
    <row r="2251" spans="1:5" x14ac:dyDescent="0.25">
      <c r="A2251" s="1" t="s">
        <v>2250</v>
      </c>
      <c r="C2251" s="3">
        <v>61</v>
      </c>
      <c r="E2251" t="s">
        <v>2278</v>
      </c>
    </row>
    <row r="2252" spans="1:5" x14ac:dyDescent="0.25">
      <c r="A2252" s="1" t="s">
        <v>2251</v>
      </c>
      <c r="C2252" s="3">
        <v>61</v>
      </c>
      <c r="E2252" t="s">
        <v>3704</v>
      </c>
    </row>
    <row r="2253" spans="1:5" x14ac:dyDescent="0.25">
      <c r="A2253" s="1" t="s">
        <v>2252</v>
      </c>
      <c r="C2253" s="3">
        <v>61</v>
      </c>
      <c r="E2253" t="s">
        <v>7690</v>
      </c>
    </row>
    <row r="2254" spans="1:5" x14ac:dyDescent="0.25">
      <c r="A2254" s="1" t="s">
        <v>2253</v>
      </c>
      <c r="C2254" s="3">
        <v>61</v>
      </c>
      <c r="E2254" t="s">
        <v>1603</v>
      </c>
    </row>
    <row r="2255" spans="1:5" x14ac:dyDescent="0.25">
      <c r="A2255" s="1" t="s">
        <v>2254</v>
      </c>
      <c r="C2255" s="3">
        <v>61</v>
      </c>
      <c r="E2255" t="s">
        <v>2773</v>
      </c>
    </row>
    <row r="2256" spans="1:5" x14ac:dyDescent="0.25">
      <c r="A2256" s="1" t="s">
        <v>2255</v>
      </c>
      <c r="C2256" s="3">
        <v>61</v>
      </c>
      <c r="E2256" t="s">
        <v>1510</v>
      </c>
    </row>
    <row r="2257" spans="1:5" x14ac:dyDescent="0.25">
      <c r="A2257" s="1" t="s">
        <v>2256</v>
      </c>
      <c r="C2257" s="3">
        <v>61</v>
      </c>
      <c r="E2257" t="s">
        <v>11323</v>
      </c>
    </row>
    <row r="2258" spans="1:5" x14ac:dyDescent="0.25">
      <c r="A2258" s="1" t="s">
        <v>2257</v>
      </c>
      <c r="C2258" s="3">
        <v>61</v>
      </c>
      <c r="E2258" t="s">
        <v>466</v>
      </c>
    </row>
    <row r="2259" spans="1:5" x14ac:dyDescent="0.25">
      <c r="A2259" s="1" t="s">
        <v>2258</v>
      </c>
      <c r="C2259" s="3">
        <v>61</v>
      </c>
      <c r="E2259" t="s">
        <v>5414</v>
      </c>
    </row>
    <row r="2260" spans="1:5" x14ac:dyDescent="0.25">
      <c r="A2260" s="1" t="s">
        <v>2259</v>
      </c>
      <c r="C2260" s="3">
        <v>61</v>
      </c>
      <c r="E2260" t="s">
        <v>3129</v>
      </c>
    </row>
    <row r="2261" spans="1:5" x14ac:dyDescent="0.25">
      <c r="A2261" s="1" t="s">
        <v>2260</v>
      </c>
      <c r="C2261" s="3">
        <v>61</v>
      </c>
      <c r="E2261" t="s">
        <v>2407</v>
      </c>
    </row>
    <row r="2262" spans="1:5" x14ac:dyDescent="0.25">
      <c r="A2262" s="1" t="s">
        <v>2261</v>
      </c>
      <c r="C2262" s="3">
        <v>61</v>
      </c>
      <c r="E2262" t="s">
        <v>15287</v>
      </c>
    </row>
    <row r="2263" spans="1:5" x14ac:dyDescent="0.25">
      <c r="A2263" s="1" t="s">
        <v>2262</v>
      </c>
      <c r="C2263" s="3">
        <v>61</v>
      </c>
      <c r="E2263" t="s">
        <v>10049</v>
      </c>
    </row>
    <row r="2264" spans="1:5" x14ac:dyDescent="0.25">
      <c r="A2264" s="1" t="s">
        <v>2263</v>
      </c>
      <c r="C2264" s="3">
        <v>61</v>
      </c>
      <c r="E2264" t="s">
        <v>1070</v>
      </c>
    </row>
    <row r="2265" spans="1:5" x14ac:dyDescent="0.25">
      <c r="A2265" s="1" t="s">
        <v>2264</v>
      </c>
      <c r="C2265" s="3">
        <v>61</v>
      </c>
      <c r="E2265" t="s">
        <v>11867</v>
      </c>
    </row>
    <row r="2266" spans="1:5" x14ac:dyDescent="0.25">
      <c r="A2266" s="1" t="s">
        <v>2265</v>
      </c>
      <c r="C2266" s="3">
        <v>61</v>
      </c>
      <c r="E2266" t="s">
        <v>6332</v>
      </c>
    </row>
    <row r="2267" spans="1:5" x14ac:dyDescent="0.25">
      <c r="A2267" s="1" t="s">
        <v>2266</v>
      </c>
      <c r="C2267" s="3">
        <v>61</v>
      </c>
      <c r="E2267" t="s">
        <v>3640</v>
      </c>
    </row>
    <row r="2268" spans="1:5" x14ac:dyDescent="0.25">
      <c r="A2268" s="1" t="s">
        <v>2267</v>
      </c>
      <c r="C2268" s="3">
        <v>61</v>
      </c>
      <c r="E2268" t="s">
        <v>618</v>
      </c>
    </row>
    <row r="2269" spans="1:5" x14ac:dyDescent="0.25">
      <c r="A2269" s="1" t="s">
        <v>2268</v>
      </c>
      <c r="C2269" s="3">
        <v>61</v>
      </c>
      <c r="E2269" t="s">
        <v>6105</v>
      </c>
    </row>
    <row r="2270" spans="1:5" x14ac:dyDescent="0.25">
      <c r="A2270" s="1" t="s">
        <v>2269</v>
      </c>
      <c r="C2270" s="3">
        <v>61</v>
      </c>
      <c r="E2270" t="s">
        <v>1951</v>
      </c>
    </row>
    <row r="2271" spans="1:5" x14ac:dyDescent="0.25">
      <c r="A2271" s="1" t="s">
        <v>2270</v>
      </c>
      <c r="C2271" s="3">
        <v>61</v>
      </c>
      <c r="E2271" t="s">
        <v>4078</v>
      </c>
    </row>
    <row r="2272" spans="1:5" x14ac:dyDescent="0.25">
      <c r="A2272" s="1" t="s">
        <v>2271</v>
      </c>
      <c r="C2272" s="3">
        <v>61</v>
      </c>
      <c r="E2272" t="s">
        <v>2962</v>
      </c>
    </row>
    <row r="2273" spans="1:5" x14ac:dyDescent="0.25">
      <c r="A2273" s="1" t="s">
        <v>2272</v>
      </c>
      <c r="C2273" s="3">
        <v>61</v>
      </c>
      <c r="E2273" t="s">
        <v>5748</v>
      </c>
    </row>
    <row r="2274" spans="1:5" x14ac:dyDescent="0.25">
      <c r="A2274" s="1" t="s">
        <v>2273</v>
      </c>
      <c r="C2274" s="3">
        <v>61</v>
      </c>
      <c r="E2274" t="s">
        <v>7890</v>
      </c>
    </row>
    <row r="2275" spans="1:5" x14ac:dyDescent="0.25">
      <c r="A2275" s="1" t="s">
        <v>2274</v>
      </c>
      <c r="C2275" s="3">
        <v>61</v>
      </c>
      <c r="E2275" t="s">
        <v>25451</v>
      </c>
    </row>
    <row r="2276" spans="1:5" x14ac:dyDescent="0.25">
      <c r="A2276" s="1" t="s">
        <v>2275</v>
      </c>
      <c r="C2276" s="3">
        <v>61</v>
      </c>
      <c r="E2276" t="s">
        <v>7720</v>
      </c>
    </row>
    <row r="2277" spans="1:5" x14ac:dyDescent="0.25">
      <c r="A2277" s="1" t="s">
        <v>2276</v>
      </c>
      <c r="C2277" s="3">
        <v>61</v>
      </c>
      <c r="E2277" t="s">
        <v>90</v>
      </c>
    </row>
    <row r="2278" spans="1:5" x14ac:dyDescent="0.25">
      <c r="A2278" s="1" t="s">
        <v>2277</v>
      </c>
      <c r="C2278" s="3">
        <v>61</v>
      </c>
      <c r="E2278" t="s">
        <v>2564</v>
      </c>
    </row>
    <row r="2279" spans="1:5" x14ac:dyDescent="0.25">
      <c r="A2279" s="1" t="s">
        <v>2278</v>
      </c>
      <c r="C2279" s="3">
        <v>61</v>
      </c>
      <c r="E2279" t="s">
        <v>25452</v>
      </c>
    </row>
    <row r="2280" spans="1:5" x14ac:dyDescent="0.25">
      <c r="A2280" s="1" t="s">
        <v>2279</v>
      </c>
      <c r="C2280" s="3">
        <v>61</v>
      </c>
      <c r="E2280" t="s">
        <v>16146</v>
      </c>
    </row>
    <row r="2281" spans="1:5" x14ac:dyDescent="0.25">
      <c r="A2281" s="1" t="s">
        <v>2280</v>
      </c>
      <c r="C2281" s="3">
        <v>61</v>
      </c>
      <c r="E2281" t="s">
        <v>515</v>
      </c>
    </row>
    <row r="2282" spans="1:5" x14ac:dyDescent="0.25">
      <c r="A2282" s="2" t="s">
        <v>2281</v>
      </c>
      <c r="C2282" s="4">
        <v>60</v>
      </c>
      <c r="E2282" t="s">
        <v>244</v>
      </c>
    </row>
    <row r="2283" spans="1:5" x14ac:dyDescent="0.25">
      <c r="A2283" s="1" t="s">
        <v>2282</v>
      </c>
      <c r="C2283" s="3">
        <v>60</v>
      </c>
      <c r="E2283" t="s">
        <v>2700</v>
      </c>
    </row>
    <row r="2284" spans="1:5" x14ac:dyDescent="0.25">
      <c r="A2284" s="1" t="s">
        <v>2283</v>
      </c>
      <c r="C2284" s="3">
        <v>60</v>
      </c>
      <c r="E2284" t="s">
        <v>4255</v>
      </c>
    </row>
    <row r="2285" spans="1:5" x14ac:dyDescent="0.25">
      <c r="A2285" s="1" t="s">
        <v>2284</v>
      </c>
      <c r="C2285" s="3">
        <v>60</v>
      </c>
      <c r="E2285" t="s">
        <v>3443</v>
      </c>
    </row>
    <row r="2286" spans="1:5" x14ac:dyDescent="0.25">
      <c r="A2286" s="1" t="s">
        <v>2285</v>
      </c>
      <c r="C2286" s="3">
        <v>60</v>
      </c>
      <c r="E2286" t="s">
        <v>1169</v>
      </c>
    </row>
    <row r="2287" spans="1:5" x14ac:dyDescent="0.25">
      <c r="A2287" s="1" t="s">
        <v>2286</v>
      </c>
      <c r="C2287" s="3">
        <v>60</v>
      </c>
      <c r="E2287" t="s">
        <v>4221</v>
      </c>
    </row>
    <row r="2288" spans="1:5" x14ac:dyDescent="0.25">
      <c r="A2288" s="1" t="s">
        <v>2287</v>
      </c>
      <c r="C2288" s="3">
        <v>60</v>
      </c>
      <c r="E2288" t="s">
        <v>1919</v>
      </c>
    </row>
    <row r="2289" spans="1:5" x14ac:dyDescent="0.25">
      <c r="A2289" s="1" t="s">
        <v>2288</v>
      </c>
      <c r="C2289" s="3">
        <v>60</v>
      </c>
      <c r="E2289" t="s">
        <v>11</v>
      </c>
    </row>
    <row r="2290" spans="1:5" x14ac:dyDescent="0.25">
      <c r="A2290" s="1" t="s">
        <v>2289</v>
      </c>
      <c r="C2290" s="3">
        <v>60</v>
      </c>
      <c r="E2290" t="s">
        <v>1393</v>
      </c>
    </row>
    <row r="2291" spans="1:5" x14ac:dyDescent="0.25">
      <c r="A2291" s="1" t="s">
        <v>2290</v>
      </c>
      <c r="C2291" s="3">
        <v>60</v>
      </c>
      <c r="E2291" t="s">
        <v>11255</v>
      </c>
    </row>
    <row r="2292" spans="1:5" x14ac:dyDescent="0.25">
      <c r="A2292" s="1" t="s">
        <v>2291</v>
      </c>
      <c r="C2292" s="3">
        <v>60</v>
      </c>
      <c r="E2292" t="s">
        <v>20553</v>
      </c>
    </row>
    <row r="2293" spans="1:5" x14ac:dyDescent="0.25">
      <c r="A2293" s="1" t="s">
        <v>2292</v>
      </c>
      <c r="C2293" s="3">
        <v>60</v>
      </c>
      <c r="E2293" t="s">
        <v>2294</v>
      </c>
    </row>
    <row r="2294" spans="1:5" x14ac:dyDescent="0.25">
      <c r="A2294" s="1" t="s">
        <v>2293</v>
      </c>
      <c r="C2294" s="3">
        <v>60</v>
      </c>
      <c r="E2294" t="s">
        <v>1692</v>
      </c>
    </row>
    <row r="2295" spans="1:5" x14ac:dyDescent="0.25">
      <c r="A2295" s="1" t="s">
        <v>2294</v>
      </c>
      <c r="C2295" s="3">
        <v>60</v>
      </c>
      <c r="E2295" t="s">
        <v>1502</v>
      </c>
    </row>
    <row r="2296" spans="1:5" x14ac:dyDescent="0.25">
      <c r="A2296" s="1" t="s">
        <v>2295</v>
      </c>
      <c r="C2296" s="3">
        <v>60</v>
      </c>
      <c r="E2296" t="s">
        <v>1563</v>
      </c>
    </row>
    <row r="2297" spans="1:5" x14ac:dyDescent="0.25">
      <c r="A2297" s="1" t="s">
        <v>2296</v>
      </c>
      <c r="C2297" s="3">
        <v>60</v>
      </c>
      <c r="E2297" t="s">
        <v>15584</v>
      </c>
    </row>
    <row r="2298" spans="1:5" x14ac:dyDescent="0.25">
      <c r="A2298" s="1" t="s">
        <v>2297</v>
      </c>
      <c r="C2298" s="3">
        <v>60</v>
      </c>
      <c r="E2298" t="s">
        <v>2810</v>
      </c>
    </row>
    <row r="2299" spans="1:5" x14ac:dyDescent="0.25">
      <c r="A2299" s="1" t="s">
        <v>2298</v>
      </c>
      <c r="C2299" s="3">
        <v>60</v>
      </c>
      <c r="E2299" t="s">
        <v>844</v>
      </c>
    </row>
    <row r="2300" spans="1:5" x14ac:dyDescent="0.25">
      <c r="A2300" s="1" t="s">
        <v>2299</v>
      </c>
      <c r="C2300" s="3">
        <v>60</v>
      </c>
      <c r="E2300" t="s">
        <v>208</v>
      </c>
    </row>
    <row r="2301" spans="1:5" x14ac:dyDescent="0.25">
      <c r="A2301" s="1" t="s">
        <v>2300</v>
      </c>
      <c r="C2301" s="3">
        <v>60</v>
      </c>
      <c r="E2301" t="s">
        <v>7520</v>
      </c>
    </row>
    <row r="2302" spans="1:5" x14ac:dyDescent="0.25">
      <c r="A2302" s="1" t="s">
        <v>2301</v>
      </c>
      <c r="C2302" s="3">
        <v>60</v>
      </c>
      <c r="E2302" t="s">
        <v>9814</v>
      </c>
    </row>
    <row r="2303" spans="1:5" x14ac:dyDescent="0.25">
      <c r="A2303" s="1" t="s">
        <v>2302</v>
      </c>
      <c r="C2303" s="3">
        <v>60</v>
      </c>
      <c r="E2303" t="s">
        <v>11646</v>
      </c>
    </row>
    <row r="2304" spans="1:5" x14ac:dyDescent="0.25">
      <c r="A2304" s="1" t="s">
        <v>2303</v>
      </c>
      <c r="C2304" s="3">
        <v>60</v>
      </c>
      <c r="E2304" t="s">
        <v>2048</v>
      </c>
    </row>
    <row r="2305" spans="1:5" x14ac:dyDescent="0.25">
      <c r="A2305" s="1" t="s">
        <v>2304</v>
      </c>
      <c r="C2305" s="3">
        <v>60</v>
      </c>
      <c r="E2305" t="s">
        <v>2009</v>
      </c>
    </row>
    <row r="2306" spans="1:5" x14ac:dyDescent="0.25">
      <c r="A2306" s="1" t="s">
        <v>2305</v>
      </c>
      <c r="C2306" s="3">
        <v>60</v>
      </c>
      <c r="E2306" t="s">
        <v>4826</v>
      </c>
    </row>
    <row r="2307" spans="1:5" x14ac:dyDescent="0.25">
      <c r="A2307" s="1" t="s">
        <v>2306</v>
      </c>
      <c r="C2307" s="3">
        <v>60</v>
      </c>
      <c r="E2307" t="s">
        <v>536</v>
      </c>
    </row>
    <row r="2308" spans="1:5" x14ac:dyDescent="0.25">
      <c r="A2308" s="1" t="s">
        <v>2307</v>
      </c>
      <c r="C2308" s="3">
        <v>60</v>
      </c>
      <c r="E2308" t="s">
        <v>1141</v>
      </c>
    </row>
    <row r="2309" spans="1:5" x14ac:dyDescent="0.25">
      <c r="A2309" s="1" t="s">
        <v>2308</v>
      </c>
      <c r="C2309" s="3">
        <v>60</v>
      </c>
      <c r="E2309" t="s">
        <v>421</v>
      </c>
    </row>
    <row r="2310" spans="1:5" x14ac:dyDescent="0.25">
      <c r="A2310" s="1" t="s">
        <v>2309</v>
      </c>
      <c r="C2310" s="3">
        <v>60</v>
      </c>
      <c r="E2310" t="s">
        <v>420</v>
      </c>
    </row>
    <row r="2311" spans="1:5" x14ac:dyDescent="0.25">
      <c r="A2311" s="1" t="s">
        <v>2310</v>
      </c>
      <c r="C2311" s="3">
        <v>60</v>
      </c>
      <c r="E2311" t="s">
        <v>2000</v>
      </c>
    </row>
    <row r="2312" spans="1:5" x14ac:dyDescent="0.25">
      <c r="A2312" s="1" t="s">
        <v>2311</v>
      </c>
      <c r="C2312" s="3">
        <v>60</v>
      </c>
      <c r="E2312" t="s">
        <v>1646</v>
      </c>
    </row>
    <row r="2313" spans="1:5" x14ac:dyDescent="0.25">
      <c r="A2313" s="1" t="s">
        <v>2312</v>
      </c>
      <c r="C2313" s="3">
        <v>60</v>
      </c>
      <c r="E2313" t="s">
        <v>1936</v>
      </c>
    </row>
    <row r="2314" spans="1:5" x14ac:dyDescent="0.25">
      <c r="A2314" s="1" t="s">
        <v>2313</v>
      </c>
      <c r="C2314" s="3">
        <v>60</v>
      </c>
      <c r="E2314" t="s">
        <v>15156</v>
      </c>
    </row>
    <row r="2315" spans="1:5" x14ac:dyDescent="0.25">
      <c r="A2315" s="1" t="s">
        <v>2314</v>
      </c>
      <c r="C2315" s="3">
        <v>60</v>
      </c>
      <c r="E2315" t="s">
        <v>2683</v>
      </c>
    </row>
    <row r="2316" spans="1:5" x14ac:dyDescent="0.25">
      <c r="A2316" s="1" t="s">
        <v>2315</v>
      </c>
      <c r="C2316" s="3">
        <v>60</v>
      </c>
      <c r="E2316" t="s">
        <v>14057</v>
      </c>
    </row>
    <row r="2317" spans="1:5" x14ac:dyDescent="0.25">
      <c r="A2317" s="1" t="s">
        <v>2316</v>
      </c>
      <c r="C2317" s="3">
        <v>60</v>
      </c>
      <c r="E2317" t="s">
        <v>6857</v>
      </c>
    </row>
    <row r="2318" spans="1:5" x14ac:dyDescent="0.25">
      <c r="A2318" s="1" t="s">
        <v>2317</v>
      </c>
      <c r="C2318" s="3">
        <v>60</v>
      </c>
      <c r="E2318" t="s">
        <v>2093</v>
      </c>
    </row>
    <row r="2319" spans="1:5" x14ac:dyDescent="0.25">
      <c r="A2319" s="1" t="s">
        <v>2318</v>
      </c>
      <c r="C2319" s="3">
        <v>60</v>
      </c>
      <c r="E2319" t="s">
        <v>15724</v>
      </c>
    </row>
    <row r="2320" spans="1:5" x14ac:dyDescent="0.25">
      <c r="A2320" s="1" t="s">
        <v>2319</v>
      </c>
      <c r="C2320" s="3">
        <v>60</v>
      </c>
      <c r="E2320" t="s">
        <v>1631</v>
      </c>
    </row>
    <row r="2321" spans="1:5" x14ac:dyDescent="0.25">
      <c r="A2321" s="1" t="s">
        <v>2320</v>
      </c>
      <c r="C2321" s="3">
        <v>60</v>
      </c>
      <c r="E2321" t="s">
        <v>2182</v>
      </c>
    </row>
    <row r="2322" spans="1:5" x14ac:dyDescent="0.25">
      <c r="A2322" s="1" t="s">
        <v>2321</v>
      </c>
      <c r="C2322" s="3">
        <v>59</v>
      </c>
      <c r="E2322" t="s">
        <v>2618</v>
      </c>
    </row>
    <row r="2323" spans="1:5" x14ac:dyDescent="0.25">
      <c r="A2323" s="1" t="s">
        <v>2322</v>
      </c>
      <c r="C2323" s="3">
        <v>59</v>
      </c>
      <c r="E2323" t="s">
        <v>13617</v>
      </c>
    </row>
    <row r="2324" spans="1:5" x14ac:dyDescent="0.25">
      <c r="A2324" s="1" t="s">
        <v>2323</v>
      </c>
      <c r="C2324" s="3">
        <v>59</v>
      </c>
      <c r="E2324" t="s">
        <v>3056</v>
      </c>
    </row>
    <row r="2325" spans="1:5" x14ac:dyDescent="0.25">
      <c r="A2325" s="1" t="s">
        <v>2324</v>
      </c>
      <c r="C2325" s="3">
        <v>59</v>
      </c>
      <c r="E2325" t="s">
        <v>6622</v>
      </c>
    </row>
    <row r="2326" spans="1:5" x14ac:dyDescent="0.25">
      <c r="A2326" s="1" t="s">
        <v>2325</v>
      </c>
      <c r="C2326" s="3">
        <v>59</v>
      </c>
      <c r="E2326" t="s">
        <v>4465</v>
      </c>
    </row>
    <row r="2327" spans="1:5" x14ac:dyDescent="0.25">
      <c r="A2327" s="1" t="s">
        <v>2326</v>
      </c>
      <c r="C2327" s="3">
        <v>59</v>
      </c>
      <c r="E2327" t="s">
        <v>746</v>
      </c>
    </row>
    <row r="2328" spans="1:5" x14ac:dyDescent="0.25">
      <c r="A2328" s="1" t="s">
        <v>2327</v>
      </c>
      <c r="C2328" s="3">
        <v>59</v>
      </c>
      <c r="E2328" t="s">
        <v>24056</v>
      </c>
    </row>
    <row r="2329" spans="1:5" x14ac:dyDescent="0.25">
      <c r="A2329" s="1" t="s">
        <v>2328</v>
      </c>
      <c r="C2329" s="3">
        <v>59</v>
      </c>
      <c r="E2329" t="s">
        <v>12893</v>
      </c>
    </row>
    <row r="2330" spans="1:5" x14ac:dyDescent="0.25">
      <c r="A2330" s="1" t="s">
        <v>2329</v>
      </c>
      <c r="C2330" s="3">
        <v>59</v>
      </c>
      <c r="E2330" t="s">
        <v>9395</v>
      </c>
    </row>
    <row r="2331" spans="1:5" x14ac:dyDescent="0.25">
      <c r="A2331" s="1" t="s">
        <v>2330</v>
      </c>
      <c r="C2331" s="3">
        <v>59</v>
      </c>
      <c r="E2331" t="s">
        <v>2078</v>
      </c>
    </row>
    <row r="2332" spans="1:5" x14ac:dyDescent="0.25">
      <c r="A2332" s="1" t="s">
        <v>2331</v>
      </c>
      <c r="C2332" s="3">
        <v>59</v>
      </c>
      <c r="E2332" t="s">
        <v>2510</v>
      </c>
    </row>
    <row r="2333" spans="1:5" x14ac:dyDescent="0.25">
      <c r="A2333" s="1" t="s">
        <v>2332</v>
      </c>
      <c r="C2333" s="3">
        <v>59</v>
      </c>
      <c r="E2333" t="s">
        <v>2951</v>
      </c>
    </row>
    <row r="2334" spans="1:5" x14ac:dyDescent="0.25">
      <c r="A2334" s="1" t="s">
        <v>2333</v>
      </c>
      <c r="C2334" s="3">
        <v>59</v>
      </c>
      <c r="E2334" t="s">
        <v>5126</v>
      </c>
    </row>
    <row r="2335" spans="1:5" x14ac:dyDescent="0.25">
      <c r="A2335" s="1" t="s">
        <v>2334</v>
      </c>
      <c r="C2335" s="3">
        <v>59</v>
      </c>
      <c r="E2335" t="s">
        <v>9268</v>
      </c>
    </row>
    <row r="2336" spans="1:5" x14ac:dyDescent="0.25">
      <c r="A2336" s="1" t="s">
        <v>2335</v>
      </c>
      <c r="C2336" s="3">
        <v>59</v>
      </c>
      <c r="E2336" t="s">
        <v>3031</v>
      </c>
    </row>
    <row r="2337" spans="1:5" x14ac:dyDescent="0.25">
      <c r="A2337" s="1" t="s">
        <v>2336</v>
      </c>
      <c r="C2337" s="3">
        <v>59</v>
      </c>
      <c r="E2337" t="s">
        <v>2249</v>
      </c>
    </row>
    <row r="2338" spans="1:5" x14ac:dyDescent="0.25">
      <c r="A2338" s="1" t="s">
        <v>2337</v>
      </c>
      <c r="C2338" s="3">
        <v>59</v>
      </c>
      <c r="E2338" t="s">
        <v>16406</v>
      </c>
    </row>
    <row r="2339" spans="1:5" x14ac:dyDescent="0.25">
      <c r="A2339" s="1" t="s">
        <v>2338</v>
      </c>
      <c r="C2339" s="3">
        <v>59</v>
      </c>
      <c r="E2339" t="s">
        <v>594</v>
      </c>
    </row>
    <row r="2340" spans="1:5" x14ac:dyDescent="0.25">
      <c r="A2340" s="1" t="s">
        <v>2339</v>
      </c>
      <c r="C2340" s="3">
        <v>59</v>
      </c>
      <c r="E2340" t="s">
        <v>3865</v>
      </c>
    </row>
    <row r="2341" spans="1:5" x14ac:dyDescent="0.25">
      <c r="A2341" s="1" t="s">
        <v>2340</v>
      </c>
      <c r="C2341" s="3">
        <v>59</v>
      </c>
      <c r="E2341" t="s">
        <v>108</v>
      </c>
    </row>
    <row r="2342" spans="1:5" x14ac:dyDescent="0.25">
      <c r="A2342" s="1" t="s">
        <v>2341</v>
      </c>
      <c r="C2342" s="3">
        <v>59</v>
      </c>
      <c r="E2342" t="s">
        <v>2413</v>
      </c>
    </row>
    <row r="2343" spans="1:5" x14ac:dyDescent="0.25">
      <c r="A2343" s="1" t="s">
        <v>2342</v>
      </c>
      <c r="C2343" s="3">
        <v>59</v>
      </c>
      <c r="E2343" t="s">
        <v>25453</v>
      </c>
    </row>
    <row r="2344" spans="1:5" x14ac:dyDescent="0.25">
      <c r="A2344" s="1" t="s">
        <v>2343</v>
      </c>
      <c r="C2344" s="3">
        <v>59</v>
      </c>
      <c r="E2344" t="s">
        <v>1851</v>
      </c>
    </row>
    <row r="2345" spans="1:5" x14ac:dyDescent="0.25">
      <c r="A2345" s="1" t="s">
        <v>2344</v>
      </c>
      <c r="C2345" s="3">
        <v>59</v>
      </c>
      <c r="E2345" t="s">
        <v>11548</v>
      </c>
    </row>
    <row r="2346" spans="1:5" x14ac:dyDescent="0.25">
      <c r="A2346" s="1" t="s">
        <v>2345</v>
      </c>
      <c r="C2346" s="3">
        <v>59</v>
      </c>
      <c r="E2346" t="s">
        <v>6428</v>
      </c>
    </row>
    <row r="2347" spans="1:5" x14ac:dyDescent="0.25">
      <c r="A2347" s="1" t="s">
        <v>2346</v>
      </c>
      <c r="C2347" s="3">
        <v>59</v>
      </c>
      <c r="E2347" t="s">
        <v>6700</v>
      </c>
    </row>
    <row r="2348" spans="1:5" x14ac:dyDescent="0.25">
      <c r="A2348" s="1" t="s">
        <v>2347</v>
      </c>
      <c r="C2348" s="3">
        <v>59</v>
      </c>
      <c r="E2348" t="s">
        <v>8821</v>
      </c>
    </row>
    <row r="2349" spans="1:5" x14ac:dyDescent="0.25">
      <c r="A2349" s="1" t="s">
        <v>2348</v>
      </c>
      <c r="C2349" s="3">
        <v>59</v>
      </c>
      <c r="E2349" t="s">
        <v>20891</v>
      </c>
    </row>
    <row r="2350" spans="1:5" x14ac:dyDescent="0.25">
      <c r="A2350" s="1" t="s">
        <v>2349</v>
      </c>
      <c r="C2350" s="3">
        <v>59</v>
      </c>
      <c r="E2350" t="s">
        <v>7936</v>
      </c>
    </row>
    <row r="2351" spans="1:5" x14ac:dyDescent="0.25">
      <c r="A2351" s="1" t="s">
        <v>2350</v>
      </c>
      <c r="C2351" s="3">
        <v>59</v>
      </c>
      <c r="E2351" t="s">
        <v>701</v>
      </c>
    </row>
    <row r="2352" spans="1:5" x14ac:dyDescent="0.25">
      <c r="A2352" s="1" t="s">
        <v>2351</v>
      </c>
      <c r="C2352" s="3">
        <v>59</v>
      </c>
      <c r="E2352" t="s">
        <v>4886</v>
      </c>
    </row>
    <row r="2353" spans="1:5" x14ac:dyDescent="0.25">
      <c r="A2353" s="1" t="s">
        <v>2352</v>
      </c>
      <c r="C2353" s="3">
        <v>59</v>
      </c>
      <c r="E2353" t="s">
        <v>22418</v>
      </c>
    </row>
    <row r="2354" spans="1:5" x14ac:dyDescent="0.25">
      <c r="A2354" s="1" t="s">
        <v>2353</v>
      </c>
      <c r="C2354" s="3">
        <v>59</v>
      </c>
      <c r="E2354" t="s">
        <v>4653</v>
      </c>
    </row>
    <row r="2355" spans="1:5" x14ac:dyDescent="0.25">
      <c r="A2355" s="1" t="s">
        <v>2354</v>
      </c>
      <c r="C2355" s="3">
        <v>59</v>
      </c>
      <c r="E2355" t="s">
        <v>12501</v>
      </c>
    </row>
    <row r="2356" spans="1:5" x14ac:dyDescent="0.25">
      <c r="A2356" s="1" t="s">
        <v>2355</v>
      </c>
      <c r="C2356" s="3">
        <v>59</v>
      </c>
      <c r="E2356" t="s">
        <v>3598</v>
      </c>
    </row>
    <row r="2357" spans="1:5" x14ac:dyDescent="0.25">
      <c r="A2357" s="1" t="s">
        <v>2356</v>
      </c>
      <c r="C2357" s="3">
        <v>59</v>
      </c>
      <c r="E2357" t="s">
        <v>324</v>
      </c>
    </row>
    <row r="2358" spans="1:5" x14ac:dyDescent="0.25">
      <c r="A2358" s="1" t="s">
        <v>2357</v>
      </c>
      <c r="C2358" s="3">
        <v>59</v>
      </c>
      <c r="E2358" t="s">
        <v>317</v>
      </c>
    </row>
    <row r="2359" spans="1:5" x14ac:dyDescent="0.25">
      <c r="A2359" s="1" t="s">
        <v>2358</v>
      </c>
      <c r="C2359" s="3">
        <v>59</v>
      </c>
      <c r="E2359" t="s">
        <v>9476</v>
      </c>
    </row>
    <row r="2360" spans="1:5" x14ac:dyDescent="0.25">
      <c r="A2360" s="1" t="s">
        <v>2359</v>
      </c>
      <c r="C2360" s="3">
        <v>59</v>
      </c>
      <c r="E2360" t="s">
        <v>2638</v>
      </c>
    </row>
    <row r="2361" spans="1:5" x14ac:dyDescent="0.25">
      <c r="A2361" s="1" t="s">
        <v>2360</v>
      </c>
      <c r="C2361" s="3">
        <v>59</v>
      </c>
      <c r="E2361" t="s">
        <v>5556</v>
      </c>
    </row>
    <row r="2362" spans="1:5" x14ac:dyDescent="0.25">
      <c r="A2362" s="1" t="s">
        <v>2361</v>
      </c>
      <c r="C2362" s="3">
        <v>59</v>
      </c>
      <c r="E2362" t="s">
        <v>11269</v>
      </c>
    </row>
    <row r="2363" spans="1:5" x14ac:dyDescent="0.25">
      <c r="A2363" s="1" t="s">
        <v>2362</v>
      </c>
      <c r="C2363" s="3">
        <v>59</v>
      </c>
      <c r="E2363" t="s">
        <v>133</v>
      </c>
    </row>
    <row r="2364" spans="1:5" x14ac:dyDescent="0.25">
      <c r="A2364" s="1" t="s">
        <v>2363</v>
      </c>
      <c r="C2364" s="3">
        <v>59</v>
      </c>
      <c r="E2364" t="s">
        <v>7294</v>
      </c>
    </row>
    <row r="2365" spans="1:5" x14ac:dyDescent="0.25">
      <c r="A2365" s="1" t="s">
        <v>2364</v>
      </c>
      <c r="C2365" s="3">
        <v>59</v>
      </c>
      <c r="E2365" t="s">
        <v>4408</v>
      </c>
    </row>
    <row r="2366" spans="1:5" x14ac:dyDescent="0.25">
      <c r="A2366" s="1" t="s">
        <v>2365</v>
      </c>
      <c r="C2366" s="3">
        <v>59</v>
      </c>
      <c r="E2366" t="s">
        <v>3256</v>
      </c>
    </row>
    <row r="2367" spans="1:5" x14ac:dyDescent="0.25">
      <c r="A2367" s="1" t="s">
        <v>2366</v>
      </c>
      <c r="C2367" s="3">
        <v>59</v>
      </c>
      <c r="E2367" t="s">
        <v>5697</v>
      </c>
    </row>
    <row r="2368" spans="1:5" x14ac:dyDescent="0.25">
      <c r="A2368" s="1" t="s">
        <v>2367</v>
      </c>
      <c r="C2368" s="3">
        <v>59</v>
      </c>
      <c r="E2368" t="s">
        <v>13489</v>
      </c>
    </row>
    <row r="2369" spans="1:5" x14ac:dyDescent="0.25">
      <c r="A2369" s="1" t="s">
        <v>2368</v>
      </c>
      <c r="C2369" s="3">
        <v>59</v>
      </c>
      <c r="E2369" t="s">
        <v>6438</v>
      </c>
    </row>
    <row r="2370" spans="1:5" x14ac:dyDescent="0.25">
      <c r="A2370" s="1" t="s">
        <v>2369</v>
      </c>
      <c r="C2370" s="3">
        <v>58</v>
      </c>
      <c r="E2370" t="s">
        <v>2297</v>
      </c>
    </row>
    <row r="2371" spans="1:5" x14ac:dyDescent="0.25">
      <c r="A2371" s="1" t="s">
        <v>2370</v>
      </c>
      <c r="C2371" s="3">
        <v>58</v>
      </c>
      <c r="E2371" t="s">
        <v>9023</v>
      </c>
    </row>
    <row r="2372" spans="1:5" x14ac:dyDescent="0.25">
      <c r="A2372" s="1" t="s">
        <v>2371</v>
      </c>
      <c r="C2372" s="3">
        <v>58</v>
      </c>
      <c r="E2372" t="s">
        <v>611</v>
      </c>
    </row>
    <row r="2373" spans="1:5" x14ac:dyDescent="0.25">
      <c r="A2373" s="1" t="s">
        <v>2372</v>
      </c>
      <c r="C2373" s="3">
        <v>58</v>
      </c>
      <c r="E2373" t="s">
        <v>13415</v>
      </c>
    </row>
    <row r="2374" spans="1:5" x14ac:dyDescent="0.25">
      <c r="A2374" s="1" t="s">
        <v>2373</v>
      </c>
      <c r="C2374" s="3">
        <v>58</v>
      </c>
      <c r="E2374" t="s">
        <v>7178</v>
      </c>
    </row>
    <row r="2375" spans="1:5" x14ac:dyDescent="0.25">
      <c r="A2375" s="1" t="s">
        <v>2374</v>
      </c>
      <c r="C2375" s="3">
        <v>58</v>
      </c>
      <c r="E2375" t="s">
        <v>10846</v>
      </c>
    </row>
    <row r="2376" spans="1:5" x14ac:dyDescent="0.25">
      <c r="A2376" s="1" t="s">
        <v>2375</v>
      </c>
      <c r="C2376" s="3">
        <v>58</v>
      </c>
      <c r="E2376" t="s">
        <v>16298</v>
      </c>
    </row>
    <row r="2377" spans="1:5" x14ac:dyDescent="0.25">
      <c r="A2377" s="1" t="s">
        <v>2376</v>
      </c>
      <c r="C2377" s="3">
        <v>58</v>
      </c>
      <c r="E2377" t="s">
        <v>2226</v>
      </c>
    </row>
    <row r="2378" spans="1:5" x14ac:dyDescent="0.25">
      <c r="A2378" s="1" t="s">
        <v>2377</v>
      </c>
      <c r="C2378" s="3">
        <v>58</v>
      </c>
      <c r="E2378" t="s">
        <v>2214</v>
      </c>
    </row>
    <row r="2379" spans="1:5" x14ac:dyDescent="0.25">
      <c r="A2379" s="1" t="s">
        <v>2378</v>
      </c>
      <c r="C2379" s="3">
        <v>58</v>
      </c>
      <c r="E2379" t="s">
        <v>4512</v>
      </c>
    </row>
    <row r="2380" spans="1:5" x14ac:dyDescent="0.25">
      <c r="A2380" s="1" t="s">
        <v>2379</v>
      </c>
      <c r="C2380" s="3">
        <v>58</v>
      </c>
      <c r="E2380" t="s">
        <v>7849</v>
      </c>
    </row>
    <row r="2381" spans="1:5" x14ac:dyDescent="0.25">
      <c r="A2381" s="1" t="s">
        <v>2380</v>
      </c>
      <c r="C2381" s="3">
        <v>58</v>
      </c>
      <c r="E2381" t="s">
        <v>5010</v>
      </c>
    </row>
    <row r="2382" spans="1:5" x14ac:dyDescent="0.25">
      <c r="A2382" s="1" t="s">
        <v>2381</v>
      </c>
      <c r="C2382" s="3">
        <v>58</v>
      </c>
      <c r="E2382" t="s">
        <v>18268</v>
      </c>
    </row>
    <row r="2383" spans="1:5" x14ac:dyDescent="0.25">
      <c r="A2383" s="1" t="s">
        <v>2382</v>
      </c>
      <c r="C2383" s="3">
        <v>58</v>
      </c>
      <c r="E2383" t="s">
        <v>3841</v>
      </c>
    </row>
    <row r="2384" spans="1:5" x14ac:dyDescent="0.25">
      <c r="A2384" s="1" t="s">
        <v>2383</v>
      </c>
      <c r="C2384" s="3">
        <v>58</v>
      </c>
      <c r="E2384" t="s">
        <v>4694</v>
      </c>
    </row>
    <row r="2385" spans="1:5" x14ac:dyDescent="0.25">
      <c r="A2385" s="1" t="s">
        <v>2384</v>
      </c>
      <c r="C2385" s="3">
        <v>58</v>
      </c>
      <c r="E2385" t="s">
        <v>914</v>
      </c>
    </row>
    <row r="2386" spans="1:5" x14ac:dyDescent="0.25">
      <c r="A2386" s="1" t="s">
        <v>2385</v>
      </c>
      <c r="C2386" s="3">
        <v>58</v>
      </c>
      <c r="E2386" t="s">
        <v>343</v>
      </c>
    </row>
    <row r="2387" spans="1:5" x14ac:dyDescent="0.25">
      <c r="A2387" s="1" t="s">
        <v>2386</v>
      </c>
      <c r="C2387" s="3">
        <v>58</v>
      </c>
      <c r="E2387" t="s">
        <v>2081</v>
      </c>
    </row>
    <row r="2388" spans="1:5" x14ac:dyDescent="0.25">
      <c r="A2388" s="1" t="s">
        <v>2387</v>
      </c>
      <c r="C2388" s="3">
        <v>58</v>
      </c>
      <c r="E2388" t="s">
        <v>5250</v>
      </c>
    </row>
    <row r="2389" spans="1:5" x14ac:dyDescent="0.25">
      <c r="A2389" s="1" t="s">
        <v>2388</v>
      </c>
      <c r="C2389" s="3">
        <v>58</v>
      </c>
      <c r="E2389" t="s">
        <v>4786</v>
      </c>
    </row>
    <row r="2390" spans="1:5" x14ac:dyDescent="0.25">
      <c r="A2390" s="1" t="s">
        <v>2389</v>
      </c>
      <c r="C2390" s="3">
        <v>58</v>
      </c>
      <c r="E2390" t="s">
        <v>5455</v>
      </c>
    </row>
    <row r="2391" spans="1:5" x14ac:dyDescent="0.25">
      <c r="A2391" s="1" t="s">
        <v>2390</v>
      </c>
      <c r="C2391" s="3">
        <v>58</v>
      </c>
      <c r="E2391" t="s">
        <v>16751</v>
      </c>
    </row>
    <row r="2392" spans="1:5" x14ac:dyDescent="0.25">
      <c r="A2392" s="1" t="s">
        <v>2391</v>
      </c>
      <c r="C2392" s="3">
        <v>58</v>
      </c>
      <c r="E2392" t="s">
        <v>3011</v>
      </c>
    </row>
    <row r="2393" spans="1:5" x14ac:dyDescent="0.25">
      <c r="A2393" s="1" t="s">
        <v>2392</v>
      </c>
      <c r="C2393" s="3">
        <v>58</v>
      </c>
      <c r="E2393" t="s">
        <v>5091</v>
      </c>
    </row>
    <row r="2394" spans="1:5" x14ac:dyDescent="0.25">
      <c r="A2394" s="1" t="s">
        <v>2393</v>
      </c>
      <c r="C2394" s="3">
        <v>58</v>
      </c>
      <c r="E2394" t="s">
        <v>7745</v>
      </c>
    </row>
    <row r="2395" spans="1:5" x14ac:dyDescent="0.25">
      <c r="A2395" s="1" t="s">
        <v>2394</v>
      </c>
      <c r="C2395" s="3">
        <v>58</v>
      </c>
      <c r="E2395" t="s">
        <v>12319</v>
      </c>
    </row>
    <row r="2396" spans="1:5" x14ac:dyDescent="0.25">
      <c r="A2396" s="1" t="s">
        <v>2395</v>
      </c>
      <c r="C2396" s="3">
        <v>58</v>
      </c>
      <c r="E2396" t="s">
        <v>6124</v>
      </c>
    </row>
    <row r="2397" spans="1:5" x14ac:dyDescent="0.25">
      <c r="A2397" s="1" t="s">
        <v>2396</v>
      </c>
      <c r="C2397" s="3">
        <v>58</v>
      </c>
      <c r="E2397" t="s">
        <v>2169</v>
      </c>
    </row>
    <row r="2398" spans="1:5" x14ac:dyDescent="0.25">
      <c r="A2398" s="1" t="s">
        <v>2397</v>
      </c>
      <c r="C2398" s="3">
        <v>58</v>
      </c>
      <c r="E2398" t="s">
        <v>877</v>
      </c>
    </row>
    <row r="2399" spans="1:5" x14ac:dyDescent="0.25">
      <c r="A2399" s="1" t="s">
        <v>2398</v>
      </c>
      <c r="C2399" s="3">
        <v>58</v>
      </c>
      <c r="E2399" t="s">
        <v>5682</v>
      </c>
    </row>
    <row r="2400" spans="1:5" x14ac:dyDescent="0.25">
      <c r="A2400" s="1" t="s">
        <v>2399</v>
      </c>
      <c r="C2400" s="3">
        <v>58</v>
      </c>
      <c r="E2400" t="s">
        <v>15897</v>
      </c>
    </row>
    <row r="2401" spans="1:5" x14ac:dyDescent="0.25">
      <c r="A2401" s="1" t="s">
        <v>2400</v>
      </c>
      <c r="C2401" s="3">
        <v>58</v>
      </c>
      <c r="E2401" t="s">
        <v>1478</v>
      </c>
    </row>
    <row r="2402" spans="1:5" x14ac:dyDescent="0.25">
      <c r="A2402" s="1" t="s">
        <v>2401</v>
      </c>
      <c r="C2402" s="3">
        <v>58</v>
      </c>
      <c r="E2402" t="s">
        <v>6832</v>
      </c>
    </row>
    <row r="2403" spans="1:5" x14ac:dyDescent="0.25">
      <c r="A2403" s="1" t="s">
        <v>2402</v>
      </c>
      <c r="C2403" s="3">
        <v>58</v>
      </c>
      <c r="E2403" t="s">
        <v>1826</v>
      </c>
    </row>
    <row r="2404" spans="1:5" x14ac:dyDescent="0.25">
      <c r="A2404" s="1" t="s">
        <v>2403</v>
      </c>
      <c r="C2404" s="3">
        <v>58</v>
      </c>
      <c r="E2404" t="s">
        <v>712</v>
      </c>
    </row>
    <row r="2405" spans="1:5" x14ac:dyDescent="0.25">
      <c r="A2405" s="1" t="s">
        <v>2404</v>
      </c>
      <c r="C2405" s="3">
        <v>58</v>
      </c>
      <c r="E2405" t="s">
        <v>8771</v>
      </c>
    </row>
    <row r="2406" spans="1:5" x14ac:dyDescent="0.25">
      <c r="A2406" s="1" t="s">
        <v>2405</v>
      </c>
      <c r="C2406" s="3">
        <v>58</v>
      </c>
      <c r="E2406" t="s">
        <v>2684</v>
      </c>
    </row>
    <row r="2407" spans="1:5" x14ac:dyDescent="0.25">
      <c r="A2407" s="1" t="s">
        <v>2406</v>
      </c>
      <c r="C2407" s="3">
        <v>58</v>
      </c>
      <c r="E2407" t="s">
        <v>1239</v>
      </c>
    </row>
    <row r="2408" spans="1:5" x14ac:dyDescent="0.25">
      <c r="A2408" s="1" t="s">
        <v>2407</v>
      </c>
      <c r="C2408" s="3">
        <v>58</v>
      </c>
      <c r="E2408" t="s">
        <v>1077</v>
      </c>
    </row>
    <row r="2409" spans="1:5" x14ac:dyDescent="0.25">
      <c r="A2409" s="1" t="s">
        <v>2408</v>
      </c>
      <c r="C2409" s="3">
        <v>58</v>
      </c>
      <c r="E2409" t="s">
        <v>1962</v>
      </c>
    </row>
    <row r="2410" spans="1:5" x14ac:dyDescent="0.25">
      <c r="A2410" s="1" t="s">
        <v>2409</v>
      </c>
      <c r="C2410" s="3">
        <v>58</v>
      </c>
      <c r="E2410" t="s">
        <v>2271</v>
      </c>
    </row>
    <row r="2411" spans="1:5" x14ac:dyDescent="0.25">
      <c r="A2411" s="1" t="s">
        <v>2410</v>
      </c>
      <c r="C2411" s="3">
        <v>58</v>
      </c>
      <c r="E2411" t="s">
        <v>4044</v>
      </c>
    </row>
    <row r="2412" spans="1:5" x14ac:dyDescent="0.25">
      <c r="A2412" s="1" t="s">
        <v>2411</v>
      </c>
      <c r="C2412" s="3">
        <v>58</v>
      </c>
      <c r="E2412" t="s">
        <v>1364</v>
      </c>
    </row>
    <row r="2413" spans="1:5" x14ac:dyDescent="0.25">
      <c r="A2413" s="1" t="s">
        <v>2412</v>
      </c>
      <c r="C2413" s="3">
        <v>57</v>
      </c>
      <c r="E2413" t="s">
        <v>8122</v>
      </c>
    </row>
    <row r="2414" spans="1:5" x14ac:dyDescent="0.25">
      <c r="A2414" s="1" t="s">
        <v>2413</v>
      </c>
      <c r="C2414" s="3">
        <v>57</v>
      </c>
      <c r="E2414" t="s">
        <v>943</v>
      </c>
    </row>
    <row r="2415" spans="1:5" x14ac:dyDescent="0.25">
      <c r="A2415" s="1" t="s">
        <v>2414</v>
      </c>
      <c r="C2415" s="3">
        <v>57</v>
      </c>
      <c r="E2415" t="s">
        <v>829</v>
      </c>
    </row>
    <row r="2416" spans="1:5" x14ac:dyDescent="0.25">
      <c r="A2416" s="1" t="s">
        <v>2415</v>
      </c>
      <c r="C2416" s="3">
        <v>57</v>
      </c>
      <c r="E2416" t="s">
        <v>694</v>
      </c>
    </row>
    <row r="2417" spans="1:5" x14ac:dyDescent="0.25">
      <c r="A2417" s="1" t="s">
        <v>2416</v>
      </c>
      <c r="C2417" s="3">
        <v>57</v>
      </c>
      <c r="E2417" t="s">
        <v>1425</v>
      </c>
    </row>
    <row r="2418" spans="1:5" x14ac:dyDescent="0.25">
      <c r="A2418" s="1" t="s">
        <v>2417</v>
      </c>
      <c r="C2418" s="3">
        <v>57</v>
      </c>
      <c r="E2418" t="s">
        <v>2647</v>
      </c>
    </row>
    <row r="2419" spans="1:5" x14ac:dyDescent="0.25">
      <c r="A2419" s="1" t="s">
        <v>2418</v>
      </c>
      <c r="C2419" s="3">
        <v>57</v>
      </c>
      <c r="E2419" t="s">
        <v>16221</v>
      </c>
    </row>
    <row r="2420" spans="1:5" x14ac:dyDescent="0.25">
      <c r="A2420" s="1" t="s">
        <v>2419</v>
      </c>
      <c r="C2420" s="3">
        <v>57</v>
      </c>
      <c r="E2420" t="s">
        <v>10399</v>
      </c>
    </row>
    <row r="2421" spans="1:5" x14ac:dyDescent="0.25">
      <c r="A2421" s="1" t="s">
        <v>2420</v>
      </c>
      <c r="C2421" s="3">
        <v>57</v>
      </c>
      <c r="E2421" t="s">
        <v>10608</v>
      </c>
    </row>
    <row r="2422" spans="1:5" x14ac:dyDescent="0.25">
      <c r="A2422" s="1" t="s">
        <v>2421</v>
      </c>
      <c r="C2422" s="3">
        <v>57</v>
      </c>
      <c r="E2422" t="s">
        <v>392</v>
      </c>
    </row>
    <row r="2423" spans="1:5" x14ac:dyDescent="0.25">
      <c r="A2423" s="1" t="s">
        <v>2422</v>
      </c>
      <c r="C2423" s="3">
        <v>57</v>
      </c>
      <c r="E2423" t="s">
        <v>9846</v>
      </c>
    </row>
    <row r="2424" spans="1:5" x14ac:dyDescent="0.25">
      <c r="A2424" s="1" t="s">
        <v>2423</v>
      </c>
      <c r="C2424" s="3">
        <v>57</v>
      </c>
      <c r="E2424" t="s">
        <v>352</v>
      </c>
    </row>
    <row r="2425" spans="1:5" x14ac:dyDescent="0.25">
      <c r="A2425" s="1" t="s">
        <v>2424</v>
      </c>
      <c r="C2425" s="3">
        <v>57</v>
      </c>
      <c r="E2425" t="s">
        <v>5442</v>
      </c>
    </row>
    <row r="2426" spans="1:5" x14ac:dyDescent="0.25">
      <c r="A2426" s="1" t="s">
        <v>2425</v>
      </c>
      <c r="C2426" s="3">
        <v>57</v>
      </c>
      <c r="E2426" t="s">
        <v>1267</v>
      </c>
    </row>
    <row r="2427" spans="1:5" x14ac:dyDescent="0.25">
      <c r="A2427" s="1" t="s">
        <v>2426</v>
      </c>
      <c r="C2427" s="3">
        <v>57</v>
      </c>
      <c r="E2427" t="s">
        <v>8626</v>
      </c>
    </row>
    <row r="2428" spans="1:5" x14ac:dyDescent="0.25">
      <c r="A2428" s="1" t="s">
        <v>2427</v>
      </c>
      <c r="C2428" s="3">
        <v>57</v>
      </c>
      <c r="E2428" t="s">
        <v>7717</v>
      </c>
    </row>
    <row r="2429" spans="1:5" x14ac:dyDescent="0.25">
      <c r="A2429" s="1" t="s">
        <v>2428</v>
      </c>
      <c r="C2429" s="3">
        <v>57</v>
      </c>
      <c r="E2429" t="s">
        <v>4841</v>
      </c>
    </row>
    <row r="2430" spans="1:5" x14ac:dyDescent="0.25">
      <c r="A2430" s="1" t="s">
        <v>2429</v>
      </c>
      <c r="C2430" s="3">
        <v>57</v>
      </c>
      <c r="E2430" t="s">
        <v>10188</v>
      </c>
    </row>
    <row r="2431" spans="1:5" x14ac:dyDescent="0.25">
      <c r="A2431" s="1" t="s">
        <v>2430</v>
      </c>
      <c r="C2431" s="3">
        <v>57</v>
      </c>
      <c r="E2431" t="s">
        <v>3862</v>
      </c>
    </row>
    <row r="2432" spans="1:5" x14ac:dyDescent="0.25">
      <c r="A2432" s="1" t="s">
        <v>2431</v>
      </c>
      <c r="C2432" s="3">
        <v>57</v>
      </c>
      <c r="E2432" t="s">
        <v>2892</v>
      </c>
    </row>
    <row r="2433" spans="1:5" x14ac:dyDescent="0.25">
      <c r="A2433" s="1" t="s">
        <v>2432</v>
      </c>
      <c r="C2433" s="3">
        <v>57</v>
      </c>
      <c r="E2433" t="s">
        <v>21375</v>
      </c>
    </row>
    <row r="2434" spans="1:5" x14ac:dyDescent="0.25">
      <c r="A2434" s="1" t="s">
        <v>2433</v>
      </c>
      <c r="C2434" s="3">
        <v>57</v>
      </c>
      <c r="E2434" t="s">
        <v>12469</v>
      </c>
    </row>
    <row r="2435" spans="1:5" x14ac:dyDescent="0.25">
      <c r="A2435" s="1" t="s">
        <v>2434</v>
      </c>
      <c r="C2435" s="3">
        <v>57</v>
      </c>
      <c r="E2435" t="s">
        <v>5773</v>
      </c>
    </row>
    <row r="2436" spans="1:5" x14ac:dyDescent="0.25">
      <c r="A2436" s="1" t="s">
        <v>2435</v>
      </c>
      <c r="C2436" s="3">
        <v>57</v>
      </c>
      <c r="E2436" t="s">
        <v>127</v>
      </c>
    </row>
    <row r="2437" spans="1:5" x14ac:dyDescent="0.25">
      <c r="A2437" s="1" t="s">
        <v>2436</v>
      </c>
      <c r="C2437" s="3">
        <v>57</v>
      </c>
      <c r="E2437" t="s">
        <v>499</v>
      </c>
    </row>
    <row r="2438" spans="1:5" x14ac:dyDescent="0.25">
      <c r="A2438" s="1" t="s">
        <v>2437</v>
      </c>
      <c r="C2438" s="3">
        <v>57</v>
      </c>
      <c r="E2438" t="s">
        <v>2575</v>
      </c>
    </row>
    <row r="2439" spans="1:5" x14ac:dyDescent="0.25">
      <c r="A2439" s="1" t="s">
        <v>2438</v>
      </c>
      <c r="C2439" s="3">
        <v>57</v>
      </c>
      <c r="E2439" t="s">
        <v>68</v>
      </c>
    </row>
    <row r="2440" spans="1:5" x14ac:dyDescent="0.25">
      <c r="A2440" s="1" t="s">
        <v>2439</v>
      </c>
      <c r="C2440" s="3">
        <v>57</v>
      </c>
      <c r="E2440" t="s">
        <v>2488</v>
      </c>
    </row>
    <row r="2441" spans="1:5" x14ac:dyDescent="0.25">
      <c r="A2441" s="1" t="s">
        <v>2440</v>
      </c>
      <c r="C2441" s="3">
        <v>57</v>
      </c>
      <c r="E2441" t="s">
        <v>8642</v>
      </c>
    </row>
    <row r="2442" spans="1:5" x14ac:dyDescent="0.25">
      <c r="A2442" s="1" t="s">
        <v>2441</v>
      </c>
      <c r="C2442" s="3">
        <v>57</v>
      </c>
      <c r="E2442" t="s">
        <v>5322</v>
      </c>
    </row>
    <row r="2443" spans="1:5" x14ac:dyDescent="0.25">
      <c r="A2443" s="1" t="s">
        <v>2442</v>
      </c>
      <c r="C2443" s="3">
        <v>57</v>
      </c>
      <c r="E2443" t="s">
        <v>17575</v>
      </c>
    </row>
    <row r="2444" spans="1:5" x14ac:dyDescent="0.25">
      <c r="A2444" s="1" t="s">
        <v>2443</v>
      </c>
      <c r="C2444" s="3">
        <v>57</v>
      </c>
      <c r="E2444" t="s">
        <v>2689</v>
      </c>
    </row>
    <row r="2445" spans="1:5" x14ac:dyDescent="0.25">
      <c r="A2445" s="1" t="s">
        <v>2444</v>
      </c>
      <c r="C2445" s="3">
        <v>57</v>
      </c>
      <c r="E2445" t="s">
        <v>2574</v>
      </c>
    </row>
    <row r="2446" spans="1:5" x14ac:dyDescent="0.25">
      <c r="A2446" s="1" t="s">
        <v>2445</v>
      </c>
      <c r="C2446" s="3">
        <v>57</v>
      </c>
      <c r="E2446" t="s">
        <v>1388</v>
      </c>
    </row>
    <row r="2447" spans="1:5" x14ac:dyDescent="0.25">
      <c r="A2447" s="1" t="s">
        <v>2446</v>
      </c>
      <c r="C2447" s="3">
        <v>57</v>
      </c>
      <c r="E2447" t="s">
        <v>25454</v>
      </c>
    </row>
    <row r="2448" spans="1:5" x14ac:dyDescent="0.25">
      <c r="A2448" s="1" t="s">
        <v>2447</v>
      </c>
      <c r="C2448" s="3">
        <v>57</v>
      </c>
      <c r="E2448" t="s">
        <v>3655</v>
      </c>
    </row>
    <row r="2449" spans="1:5" x14ac:dyDescent="0.25">
      <c r="A2449" s="1" t="s">
        <v>2448</v>
      </c>
      <c r="C2449" s="3">
        <v>57</v>
      </c>
      <c r="E2449" t="s">
        <v>1056</v>
      </c>
    </row>
    <row r="2450" spans="1:5" x14ac:dyDescent="0.25">
      <c r="A2450" s="1" t="s">
        <v>2449</v>
      </c>
      <c r="C2450" s="3">
        <v>57</v>
      </c>
      <c r="E2450" t="s">
        <v>1017</v>
      </c>
    </row>
    <row r="2451" spans="1:5" x14ac:dyDescent="0.25">
      <c r="A2451" s="1" t="s">
        <v>2450</v>
      </c>
      <c r="C2451" s="3">
        <v>57</v>
      </c>
      <c r="E2451" t="s">
        <v>4231</v>
      </c>
    </row>
    <row r="2452" spans="1:5" x14ac:dyDescent="0.25">
      <c r="A2452" s="1" t="s">
        <v>2451</v>
      </c>
      <c r="C2452" s="3">
        <v>57</v>
      </c>
      <c r="E2452" t="s">
        <v>2375</v>
      </c>
    </row>
    <row r="2453" spans="1:5" x14ac:dyDescent="0.25">
      <c r="A2453" s="1" t="s">
        <v>2452</v>
      </c>
      <c r="C2453" s="3">
        <v>57</v>
      </c>
      <c r="E2453" t="s">
        <v>3827</v>
      </c>
    </row>
    <row r="2454" spans="1:5" x14ac:dyDescent="0.25">
      <c r="A2454" s="1" t="s">
        <v>2453</v>
      </c>
      <c r="C2454" s="3">
        <v>57</v>
      </c>
      <c r="E2454" t="s">
        <v>181</v>
      </c>
    </row>
    <row r="2455" spans="1:5" x14ac:dyDescent="0.25">
      <c r="A2455" s="1" t="s">
        <v>2454</v>
      </c>
      <c r="C2455" s="3">
        <v>57</v>
      </c>
      <c r="E2455" t="s">
        <v>5985</v>
      </c>
    </row>
    <row r="2456" spans="1:5" x14ac:dyDescent="0.25">
      <c r="A2456" s="1" t="s">
        <v>2455</v>
      </c>
      <c r="C2456" s="3">
        <v>56</v>
      </c>
      <c r="E2456" t="s">
        <v>4658</v>
      </c>
    </row>
    <row r="2457" spans="1:5" x14ac:dyDescent="0.25">
      <c r="A2457" s="1" t="s">
        <v>2456</v>
      </c>
      <c r="C2457" s="3">
        <v>56</v>
      </c>
      <c r="E2457" t="s">
        <v>6840</v>
      </c>
    </row>
    <row r="2458" spans="1:5" x14ac:dyDescent="0.25">
      <c r="A2458" s="1" t="s">
        <v>2457</v>
      </c>
      <c r="C2458" s="3">
        <v>56</v>
      </c>
      <c r="E2458" t="s">
        <v>6409</v>
      </c>
    </row>
    <row r="2459" spans="1:5" x14ac:dyDescent="0.25">
      <c r="A2459" s="1" t="s">
        <v>2458</v>
      </c>
      <c r="C2459" s="3">
        <v>56</v>
      </c>
      <c r="E2459" t="s">
        <v>16909</v>
      </c>
    </row>
    <row r="2460" spans="1:5" x14ac:dyDescent="0.25">
      <c r="A2460" s="1" t="s">
        <v>2459</v>
      </c>
      <c r="C2460" s="3">
        <v>56</v>
      </c>
      <c r="E2460" t="s">
        <v>22702</v>
      </c>
    </row>
    <row r="2461" spans="1:5" x14ac:dyDescent="0.25">
      <c r="A2461" s="1" t="s">
        <v>2460</v>
      </c>
      <c r="C2461" s="3">
        <v>56</v>
      </c>
      <c r="E2461" t="s">
        <v>4753</v>
      </c>
    </row>
    <row r="2462" spans="1:5" x14ac:dyDescent="0.25">
      <c r="A2462" s="1" t="s">
        <v>2461</v>
      </c>
      <c r="C2462" s="3">
        <v>56</v>
      </c>
      <c r="E2462" t="s">
        <v>3117</v>
      </c>
    </row>
    <row r="2463" spans="1:5" x14ac:dyDescent="0.25">
      <c r="A2463" s="1" t="s">
        <v>2462</v>
      </c>
      <c r="C2463" s="3">
        <v>56</v>
      </c>
      <c r="E2463" t="s">
        <v>1606</v>
      </c>
    </row>
    <row r="2464" spans="1:5" x14ac:dyDescent="0.25">
      <c r="A2464" s="1" t="s">
        <v>2463</v>
      </c>
      <c r="C2464" s="3">
        <v>56</v>
      </c>
      <c r="E2464" t="s">
        <v>1146</v>
      </c>
    </row>
    <row r="2465" spans="1:5" x14ac:dyDescent="0.25">
      <c r="A2465" s="1" t="s">
        <v>2464</v>
      </c>
      <c r="C2465" s="3">
        <v>56</v>
      </c>
      <c r="E2465" t="s">
        <v>917</v>
      </c>
    </row>
    <row r="2466" spans="1:5" x14ac:dyDescent="0.25">
      <c r="A2466" s="1" t="s">
        <v>2465</v>
      </c>
      <c r="C2466" s="3">
        <v>56</v>
      </c>
      <c r="E2466" t="s">
        <v>17898</v>
      </c>
    </row>
    <row r="2467" spans="1:5" x14ac:dyDescent="0.25">
      <c r="A2467" s="1" t="s">
        <v>2466</v>
      </c>
      <c r="C2467" s="3">
        <v>56</v>
      </c>
      <c r="E2467" t="s">
        <v>5560</v>
      </c>
    </row>
    <row r="2468" spans="1:5" x14ac:dyDescent="0.25">
      <c r="A2468" s="1" t="s">
        <v>2467</v>
      </c>
      <c r="C2468" s="3">
        <v>56</v>
      </c>
      <c r="E2468" t="s">
        <v>8004</v>
      </c>
    </row>
    <row r="2469" spans="1:5" x14ac:dyDescent="0.25">
      <c r="A2469" s="1" t="s">
        <v>2468</v>
      </c>
      <c r="C2469" s="3">
        <v>56</v>
      </c>
      <c r="E2469" t="s">
        <v>9131</v>
      </c>
    </row>
    <row r="2470" spans="1:5" x14ac:dyDescent="0.25">
      <c r="A2470" s="1" t="s">
        <v>2469</v>
      </c>
      <c r="C2470" s="3">
        <v>56</v>
      </c>
      <c r="E2470" t="s">
        <v>1777</v>
      </c>
    </row>
    <row r="2471" spans="1:5" x14ac:dyDescent="0.25">
      <c r="A2471" s="1" t="s">
        <v>2470</v>
      </c>
      <c r="C2471" s="3">
        <v>56</v>
      </c>
      <c r="E2471" t="s">
        <v>9717</v>
      </c>
    </row>
    <row r="2472" spans="1:5" x14ac:dyDescent="0.25">
      <c r="A2472" s="1" t="s">
        <v>2471</v>
      </c>
      <c r="C2472" s="3">
        <v>56</v>
      </c>
      <c r="E2472" t="s">
        <v>4559</v>
      </c>
    </row>
    <row r="2473" spans="1:5" x14ac:dyDescent="0.25">
      <c r="A2473" s="1" t="s">
        <v>2472</v>
      </c>
      <c r="C2473" s="3">
        <v>56</v>
      </c>
      <c r="E2473" t="s">
        <v>2215</v>
      </c>
    </row>
    <row r="2474" spans="1:5" x14ac:dyDescent="0.25">
      <c r="A2474" s="1" t="s">
        <v>2473</v>
      </c>
      <c r="C2474" s="3">
        <v>56</v>
      </c>
      <c r="E2474" t="s">
        <v>13906</v>
      </c>
    </row>
    <row r="2475" spans="1:5" x14ac:dyDescent="0.25">
      <c r="A2475" s="1" t="s">
        <v>2474</v>
      </c>
      <c r="C2475" s="3">
        <v>56</v>
      </c>
      <c r="E2475" t="s">
        <v>3042</v>
      </c>
    </row>
    <row r="2476" spans="1:5" x14ac:dyDescent="0.25">
      <c r="A2476" s="1" t="s">
        <v>2475</v>
      </c>
      <c r="C2476" s="3">
        <v>56</v>
      </c>
      <c r="E2476" t="s">
        <v>4850</v>
      </c>
    </row>
    <row r="2477" spans="1:5" x14ac:dyDescent="0.25">
      <c r="A2477" s="1" t="s">
        <v>2476</v>
      </c>
      <c r="C2477" s="3">
        <v>56</v>
      </c>
      <c r="E2477" t="s">
        <v>3806</v>
      </c>
    </row>
    <row r="2478" spans="1:5" x14ac:dyDescent="0.25">
      <c r="A2478" s="1" t="s">
        <v>2477</v>
      </c>
      <c r="C2478" s="3">
        <v>56</v>
      </c>
      <c r="E2478" t="s">
        <v>12919</v>
      </c>
    </row>
    <row r="2479" spans="1:5" x14ac:dyDescent="0.25">
      <c r="A2479" s="1" t="s">
        <v>2478</v>
      </c>
      <c r="C2479" s="3">
        <v>56</v>
      </c>
      <c r="E2479" t="s">
        <v>2801</v>
      </c>
    </row>
    <row r="2480" spans="1:5" x14ac:dyDescent="0.25">
      <c r="A2480" s="1" t="s">
        <v>2479</v>
      </c>
      <c r="C2480" s="3">
        <v>56</v>
      </c>
      <c r="E2480" t="s">
        <v>6369</v>
      </c>
    </row>
    <row r="2481" spans="1:5" x14ac:dyDescent="0.25">
      <c r="A2481" s="1" t="s">
        <v>2480</v>
      </c>
      <c r="C2481" s="3">
        <v>56</v>
      </c>
      <c r="E2481" t="s">
        <v>1711</v>
      </c>
    </row>
    <row r="2482" spans="1:5" x14ac:dyDescent="0.25">
      <c r="A2482" s="1" t="s">
        <v>2481</v>
      </c>
      <c r="C2482" s="3">
        <v>56</v>
      </c>
      <c r="E2482" t="s">
        <v>16256</v>
      </c>
    </row>
    <row r="2483" spans="1:5" x14ac:dyDescent="0.25">
      <c r="A2483" s="1" t="s">
        <v>2482</v>
      </c>
      <c r="C2483" s="3">
        <v>56</v>
      </c>
      <c r="E2483" t="s">
        <v>11200</v>
      </c>
    </row>
    <row r="2484" spans="1:5" x14ac:dyDescent="0.25">
      <c r="A2484" s="1" t="s">
        <v>2483</v>
      </c>
      <c r="C2484" s="3">
        <v>56</v>
      </c>
      <c r="E2484" t="s">
        <v>12203</v>
      </c>
    </row>
    <row r="2485" spans="1:5" x14ac:dyDescent="0.25">
      <c r="A2485" s="1" t="s">
        <v>2484</v>
      </c>
      <c r="C2485" s="3">
        <v>56</v>
      </c>
      <c r="E2485" t="s">
        <v>891</v>
      </c>
    </row>
    <row r="2486" spans="1:5" x14ac:dyDescent="0.25">
      <c r="A2486" s="1" t="s">
        <v>2485</v>
      </c>
      <c r="C2486" s="3">
        <v>56</v>
      </c>
      <c r="E2486" t="s">
        <v>2501</v>
      </c>
    </row>
    <row r="2487" spans="1:5" x14ac:dyDescent="0.25">
      <c r="A2487" s="1" t="s">
        <v>2486</v>
      </c>
      <c r="C2487" s="3">
        <v>56</v>
      </c>
      <c r="E2487" t="s">
        <v>14318</v>
      </c>
    </row>
    <row r="2488" spans="1:5" x14ac:dyDescent="0.25">
      <c r="A2488" s="1" t="s">
        <v>2487</v>
      </c>
      <c r="C2488" s="3">
        <v>56</v>
      </c>
      <c r="E2488" t="s">
        <v>2685</v>
      </c>
    </row>
    <row r="2489" spans="1:5" x14ac:dyDescent="0.25">
      <c r="A2489" s="1" t="s">
        <v>2488</v>
      </c>
      <c r="C2489" s="3">
        <v>56</v>
      </c>
      <c r="E2489" t="s">
        <v>387</v>
      </c>
    </row>
    <row r="2490" spans="1:5" x14ac:dyDescent="0.25">
      <c r="A2490" s="1" t="s">
        <v>2489</v>
      </c>
      <c r="C2490" s="3">
        <v>56</v>
      </c>
      <c r="E2490" t="s">
        <v>16691</v>
      </c>
    </row>
    <row r="2491" spans="1:5" x14ac:dyDescent="0.25">
      <c r="A2491" s="1" t="s">
        <v>2490</v>
      </c>
      <c r="C2491" s="3">
        <v>56</v>
      </c>
      <c r="E2491" t="s">
        <v>13558</v>
      </c>
    </row>
    <row r="2492" spans="1:5" x14ac:dyDescent="0.25">
      <c r="A2492" s="1" t="s">
        <v>2491</v>
      </c>
      <c r="C2492" s="3">
        <v>56</v>
      </c>
      <c r="E2492" t="s">
        <v>6935</v>
      </c>
    </row>
    <row r="2493" spans="1:5" x14ac:dyDescent="0.25">
      <c r="A2493" s="1" t="s">
        <v>2492</v>
      </c>
      <c r="C2493" s="3">
        <v>56</v>
      </c>
      <c r="E2493" t="s">
        <v>11792</v>
      </c>
    </row>
    <row r="2494" spans="1:5" x14ac:dyDescent="0.25">
      <c r="A2494" s="1" t="s">
        <v>2493</v>
      </c>
      <c r="C2494" s="3">
        <v>56</v>
      </c>
      <c r="E2494" t="s">
        <v>2117</v>
      </c>
    </row>
    <row r="2495" spans="1:5" x14ac:dyDescent="0.25">
      <c r="A2495" s="1" t="s">
        <v>2494</v>
      </c>
      <c r="C2495" s="3">
        <v>56</v>
      </c>
      <c r="E2495" t="s">
        <v>622</v>
      </c>
    </row>
    <row r="2496" spans="1:5" x14ac:dyDescent="0.25">
      <c r="A2496" s="1" t="s">
        <v>2495</v>
      </c>
      <c r="C2496" s="3">
        <v>56</v>
      </c>
      <c r="E2496" t="s">
        <v>10661</v>
      </c>
    </row>
    <row r="2497" spans="1:5" x14ac:dyDescent="0.25">
      <c r="A2497" s="1" t="s">
        <v>2496</v>
      </c>
      <c r="C2497" s="3">
        <v>56</v>
      </c>
      <c r="E2497" t="s">
        <v>11070</v>
      </c>
    </row>
    <row r="2498" spans="1:5" x14ac:dyDescent="0.25">
      <c r="A2498" s="1" t="s">
        <v>2497</v>
      </c>
      <c r="C2498" s="3">
        <v>56</v>
      </c>
      <c r="E2498" t="s">
        <v>384</v>
      </c>
    </row>
    <row r="2499" spans="1:5" x14ac:dyDescent="0.25">
      <c r="A2499" s="1" t="s">
        <v>2498</v>
      </c>
      <c r="C2499" s="3">
        <v>56</v>
      </c>
      <c r="E2499" t="s">
        <v>4875</v>
      </c>
    </row>
    <row r="2500" spans="1:5" x14ac:dyDescent="0.25">
      <c r="A2500" s="1" t="s">
        <v>2499</v>
      </c>
      <c r="C2500" s="3">
        <v>56</v>
      </c>
      <c r="E2500" t="s">
        <v>3630</v>
      </c>
    </row>
    <row r="2501" spans="1:5" x14ac:dyDescent="0.25">
      <c r="A2501" s="1" t="s">
        <v>2500</v>
      </c>
      <c r="C2501" s="3">
        <v>56</v>
      </c>
      <c r="E2501" t="s">
        <v>23975</v>
      </c>
    </row>
    <row r="2502" spans="1:5" x14ac:dyDescent="0.25">
      <c r="A2502" s="1" t="s">
        <v>2501</v>
      </c>
      <c r="C2502" s="3">
        <v>56</v>
      </c>
      <c r="E2502" t="s">
        <v>25455</v>
      </c>
    </row>
    <row r="2503" spans="1:5" x14ac:dyDescent="0.25">
      <c r="A2503" s="1" t="s">
        <v>2502</v>
      </c>
      <c r="C2503" s="3">
        <v>55</v>
      </c>
      <c r="E2503" t="s">
        <v>5235</v>
      </c>
    </row>
    <row r="2504" spans="1:5" x14ac:dyDescent="0.25">
      <c r="A2504" s="1" t="s">
        <v>2503</v>
      </c>
      <c r="C2504" s="3">
        <v>55</v>
      </c>
      <c r="E2504" t="s">
        <v>25456</v>
      </c>
    </row>
    <row r="2505" spans="1:5" x14ac:dyDescent="0.25">
      <c r="A2505" s="1" t="s">
        <v>2504</v>
      </c>
      <c r="C2505" s="3">
        <v>55</v>
      </c>
      <c r="E2505" t="s">
        <v>698</v>
      </c>
    </row>
    <row r="2506" spans="1:5" x14ac:dyDescent="0.25">
      <c r="A2506" s="1" t="s">
        <v>2505</v>
      </c>
      <c r="C2506" s="3">
        <v>55</v>
      </c>
      <c r="E2506" t="s">
        <v>15662</v>
      </c>
    </row>
    <row r="2507" spans="1:5" x14ac:dyDescent="0.25">
      <c r="A2507" s="1" t="s">
        <v>2506</v>
      </c>
      <c r="C2507" s="3">
        <v>55</v>
      </c>
      <c r="E2507" t="s">
        <v>592</v>
      </c>
    </row>
    <row r="2508" spans="1:5" x14ac:dyDescent="0.25">
      <c r="A2508" s="1" t="s">
        <v>2507</v>
      </c>
      <c r="C2508" s="3">
        <v>55</v>
      </c>
      <c r="E2508" t="s">
        <v>7746</v>
      </c>
    </row>
    <row r="2509" spans="1:5" x14ac:dyDescent="0.25">
      <c r="A2509" s="1" t="s">
        <v>2508</v>
      </c>
      <c r="C2509" s="3">
        <v>55</v>
      </c>
      <c r="E2509" t="s">
        <v>2615</v>
      </c>
    </row>
    <row r="2510" spans="1:5" x14ac:dyDescent="0.25">
      <c r="A2510" s="1" t="s">
        <v>2509</v>
      </c>
      <c r="C2510" s="3">
        <v>55</v>
      </c>
      <c r="E2510" t="s">
        <v>5115</v>
      </c>
    </row>
    <row r="2511" spans="1:5" x14ac:dyDescent="0.25">
      <c r="A2511" s="1" t="s">
        <v>2510</v>
      </c>
      <c r="C2511" s="3">
        <v>55</v>
      </c>
      <c r="E2511" t="s">
        <v>2310</v>
      </c>
    </row>
    <row r="2512" spans="1:5" x14ac:dyDescent="0.25">
      <c r="A2512" s="1" t="s">
        <v>2511</v>
      </c>
      <c r="C2512" s="3">
        <v>55</v>
      </c>
      <c r="E2512" t="s">
        <v>789</v>
      </c>
    </row>
    <row r="2513" spans="1:5" x14ac:dyDescent="0.25">
      <c r="A2513" s="1" t="s">
        <v>2512</v>
      </c>
      <c r="C2513" s="3">
        <v>55</v>
      </c>
      <c r="E2513" t="s">
        <v>4768</v>
      </c>
    </row>
    <row r="2514" spans="1:5" x14ac:dyDescent="0.25">
      <c r="A2514" s="1" t="s">
        <v>2513</v>
      </c>
      <c r="C2514" s="3">
        <v>55</v>
      </c>
      <c r="E2514" t="s">
        <v>25457</v>
      </c>
    </row>
    <row r="2515" spans="1:5" x14ac:dyDescent="0.25">
      <c r="A2515" s="1" t="s">
        <v>2514</v>
      </c>
      <c r="C2515" s="3">
        <v>55</v>
      </c>
      <c r="E2515" t="s">
        <v>1175</v>
      </c>
    </row>
    <row r="2516" spans="1:5" x14ac:dyDescent="0.25">
      <c r="A2516" s="1" t="s">
        <v>2515</v>
      </c>
      <c r="C2516" s="3">
        <v>55</v>
      </c>
      <c r="E2516" t="s">
        <v>5008</v>
      </c>
    </row>
    <row r="2517" spans="1:5" x14ac:dyDescent="0.25">
      <c r="A2517" s="1" t="s">
        <v>2516</v>
      </c>
      <c r="C2517" s="3">
        <v>55</v>
      </c>
      <c r="E2517" t="s">
        <v>640</v>
      </c>
    </row>
    <row r="2518" spans="1:5" x14ac:dyDescent="0.25">
      <c r="A2518" s="1" t="s">
        <v>2517</v>
      </c>
      <c r="C2518" s="3">
        <v>55</v>
      </c>
      <c r="E2518" t="s">
        <v>15000</v>
      </c>
    </row>
    <row r="2519" spans="1:5" x14ac:dyDescent="0.25">
      <c r="A2519" s="1" t="s">
        <v>2518</v>
      </c>
      <c r="C2519" s="3">
        <v>55</v>
      </c>
      <c r="E2519" t="s">
        <v>1867</v>
      </c>
    </row>
    <row r="2520" spans="1:5" x14ac:dyDescent="0.25">
      <c r="A2520" s="1" t="s">
        <v>2519</v>
      </c>
      <c r="C2520" s="3">
        <v>55</v>
      </c>
      <c r="E2520" t="s">
        <v>351</v>
      </c>
    </row>
    <row r="2521" spans="1:5" x14ac:dyDescent="0.25">
      <c r="A2521" s="1" t="s">
        <v>2520</v>
      </c>
      <c r="C2521" s="3">
        <v>55</v>
      </c>
      <c r="E2521" t="s">
        <v>15353</v>
      </c>
    </row>
    <row r="2522" spans="1:5" x14ac:dyDescent="0.25">
      <c r="A2522" s="1" t="s">
        <v>2521</v>
      </c>
      <c r="C2522" s="3">
        <v>55</v>
      </c>
      <c r="E2522" t="s">
        <v>2813</v>
      </c>
    </row>
    <row r="2523" spans="1:5" x14ac:dyDescent="0.25">
      <c r="A2523" s="1" t="s">
        <v>2522</v>
      </c>
      <c r="C2523" s="3">
        <v>55</v>
      </c>
      <c r="E2523" t="s">
        <v>5644</v>
      </c>
    </row>
    <row r="2524" spans="1:5" x14ac:dyDescent="0.25">
      <c r="A2524" s="1" t="s">
        <v>2523</v>
      </c>
      <c r="C2524" s="3">
        <v>55</v>
      </c>
      <c r="E2524" t="s">
        <v>613</v>
      </c>
    </row>
    <row r="2525" spans="1:5" x14ac:dyDescent="0.25">
      <c r="A2525" s="1" t="s">
        <v>2524</v>
      </c>
      <c r="C2525" s="3">
        <v>55</v>
      </c>
      <c r="E2525" t="s">
        <v>5814</v>
      </c>
    </row>
    <row r="2526" spans="1:5" x14ac:dyDescent="0.25">
      <c r="A2526" s="1" t="s">
        <v>2525</v>
      </c>
      <c r="C2526" s="3">
        <v>55</v>
      </c>
      <c r="E2526" t="s">
        <v>65</v>
      </c>
    </row>
    <row r="2527" spans="1:5" x14ac:dyDescent="0.25">
      <c r="A2527" s="1" t="s">
        <v>2526</v>
      </c>
      <c r="C2527" s="3">
        <v>55</v>
      </c>
      <c r="E2527" t="s">
        <v>1307</v>
      </c>
    </row>
    <row r="2528" spans="1:5" x14ac:dyDescent="0.25">
      <c r="A2528" s="1" t="s">
        <v>2527</v>
      </c>
      <c r="C2528" s="3">
        <v>55</v>
      </c>
      <c r="E2528" t="s">
        <v>135</v>
      </c>
    </row>
    <row r="2529" spans="1:5" x14ac:dyDescent="0.25">
      <c r="A2529" s="1" t="s">
        <v>2528</v>
      </c>
      <c r="C2529" s="3">
        <v>55</v>
      </c>
      <c r="E2529" t="s">
        <v>5513</v>
      </c>
    </row>
    <row r="2530" spans="1:5" x14ac:dyDescent="0.25">
      <c r="A2530" s="1" t="s">
        <v>2529</v>
      </c>
      <c r="C2530" s="3">
        <v>55</v>
      </c>
      <c r="E2530" t="s">
        <v>2588</v>
      </c>
    </row>
    <row r="2531" spans="1:5" x14ac:dyDescent="0.25">
      <c r="A2531" s="1" t="s">
        <v>2530</v>
      </c>
      <c r="C2531" s="3">
        <v>55</v>
      </c>
      <c r="E2531" t="s">
        <v>15112</v>
      </c>
    </row>
    <row r="2532" spans="1:5" x14ac:dyDescent="0.25">
      <c r="A2532" s="1" t="s">
        <v>2531</v>
      </c>
      <c r="C2532" s="3">
        <v>55</v>
      </c>
      <c r="E2532" t="s">
        <v>13365</v>
      </c>
    </row>
    <row r="2533" spans="1:5" x14ac:dyDescent="0.25">
      <c r="A2533" s="1" t="s">
        <v>2532</v>
      </c>
      <c r="C2533" s="3">
        <v>55</v>
      </c>
      <c r="E2533" t="s">
        <v>4664</v>
      </c>
    </row>
    <row r="2534" spans="1:5" x14ac:dyDescent="0.25">
      <c r="A2534" s="1" t="s">
        <v>2533</v>
      </c>
      <c r="C2534" s="3">
        <v>55</v>
      </c>
      <c r="E2534" t="s">
        <v>5080</v>
      </c>
    </row>
    <row r="2535" spans="1:5" x14ac:dyDescent="0.25">
      <c r="A2535" s="1" t="s">
        <v>2534</v>
      </c>
      <c r="C2535" s="3">
        <v>55</v>
      </c>
      <c r="E2535" t="s">
        <v>1859</v>
      </c>
    </row>
    <row r="2536" spans="1:5" x14ac:dyDescent="0.25">
      <c r="A2536" s="1" t="s">
        <v>2535</v>
      </c>
      <c r="C2536" s="3">
        <v>55</v>
      </c>
      <c r="E2536" t="s">
        <v>25458</v>
      </c>
    </row>
    <row r="2537" spans="1:5" x14ac:dyDescent="0.25">
      <c r="A2537" s="1" t="s">
        <v>2536</v>
      </c>
      <c r="C2537" s="3">
        <v>55</v>
      </c>
      <c r="E2537" t="s">
        <v>15108</v>
      </c>
    </row>
    <row r="2538" spans="1:5" x14ac:dyDescent="0.25">
      <c r="A2538" s="1" t="s">
        <v>2537</v>
      </c>
      <c r="C2538" s="3">
        <v>55</v>
      </c>
      <c r="E2538" t="s">
        <v>3891</v>
      </c>
    </row>
    <row r="2539" spans="1:5" x14ac:dyDescent="0.25">
      <c r="A2539" s="1" t="s">
        <v>2538</v>
      </c>
      <c r="C2539" s="3">
        <v>55</v>
      </c>
      <c r="E2539" t="s">
        <v>2942</v>
      </c>
    </row>
    <row r="2540" spans="1:5" x14ac:dyDescent="0.25">
      <c r="A2540" s="1" t="s">
        <v>2539</v>
      </c>
      <c r="C2540" s="3">
        <v>55</v>
      </c>
      <c r="E2540" t="s">
        <v>3154</v>
      </c>
    </row>
    <row r="2541" spans="1:5" x14ac:dyDescent="0.25">
      <c r="A2541" s="1" t="s">
        <v>2540</v>
      </c>
      <c r="C2541" s="3">
        <v>55</v>
      </c>
      <c r="E2541" t="s">
        <v>25459</v>
      </c>
    </row>
    <row r="2542" spans="1:5" x14ac:dyDescent="0.25">
      <c r="A2542" s="1" t="s">
        <v>2541</v>
      </c>
      <c r="C2542" s="3">
        <v>55</v>
      </c>
      <c r="E2542" t="s">
        <v>8039</v>
      </c>
    </row>
    <row r="2543" spans="1:5" x14ac:dyDescent="0.25">
      <c r="A2543" s="1" t="s">
        <v>2542</v>
      </c>
      <c r="C2543" s="3">
        <v>55</v>
      </c>
      <c r="E2543" t="s">
        <v>5851</v>
      </c>
    </row>
    <row r="2544" spans="1:5" x14ac:dyDescent="0.25">
      <c r="A2544" s="1" t="s">
        <v>2543</v>
      </c>
      <c r="C2544" s="3">
        <v>55</v>
      </c>
      <c r="E2544" t="s">
        <v>6134</v>
      </c>
    </row>
    <row r="2545" spans="1:5" x14ac:dyDescent="0.25">
      <c r="A2545" s="1" t="s">
        <v>2544</v>
      </c>
      <c r="C2545" s="3">
        <v>55</v>
      </c>
      <c r="E2545" t="s">
        <v>11146</v>
      </c>
    </row>
    <row r="2546" spans="1:5" x14ac:dyDescent="0.25">
      <c r="A2546" s="1" t="s">
        <v>2545</v>
      </c>
      <c r="C2546" s="3">
        <v>55</v>
      </c>
      <c r="E2546" t="s">
        <v>13361</v>
      </c>
    </row>
    <row r="2547" spans="1:5" x14ac:dyDescent="0.25">
      <c r="A2547" s="1" t="s">
        <v>2546</v>
      </c>
      <c r="C2547" s="3">
        <v>55</v>
      </c>
      <c r="E2547" t="s">
        <v>47</v>
      </c>
    </row>
    <row r="2548" spans="1:5" x14ac:dyDescent="0.25">
      <c r="A2548" s="1" t="s">
        <v>2547</v>
      </c>
      <c r="C2548" s="3">
        <v>55</v>
      </c>
      <c r="E2548" t="s">
        <v>1853</v>
      </c>
    </row>
    <row r="2549" spans="1:5" x14ac:dyDescent="0.25">
      <c r="A2549" s="1" t="s">
        <v>2548</v>
      </c>
      <c r="C2549" s="3">
        <v>54</v>
      </c>
      <c r="E2549" t="s">
        <v>25460</v>
      </c>
    </row>
    <row r="2550" spans="1:5" x14ac:dyDescent="0.25">
      <c r="A2550" s="1" t="s">
        <v>2549</v>
      </c>
      <c r="C2550" s="3">
        <v>54</v>
      </c>
      <c r="E2550" t="s">
        <v>25461</v>
      </c>
    </row>
    <row r="2551" spans="1:5" x14ac:dyDescent="0.25">
      <c r="A2551" s="1" t="s">
        <v>2550</v>
      </c>
      <c r="C2551" s="3">
        <v>54</v>
      </c>
      <c r="E2551" t="s">
        <v>4699</v>
      </c>
    </row>
    <row r="2552" spans="1:5" x14ac:dyDescent="0.25">
      <c r="A2552" s="1" t="s">
        <v>2551</v>
      </c>
      <c r="C2552" s="3">
        <v>54</v>
      </c>
      <c r="E2552" t="s">
        <v>11134</v>
      </c>
    </row>
    <row r="2553" spans="1:5" x14ac:dyDescent="0.25">
      <c r="A2553" s="1" t="s">
        <v>2552</v>
      </c>
      <c r="C2553" s="3">
        <v>54</v>
      </c>
      <c r="E2553" t="s">
        <v>9349</v>
      </c>
    </row>
    <row r="2554" spans="1:5" x14ac:dyDescent="0.25">
      <c r="A2554" s="1" t="s">
        <v>2553</v>
      </c>
      <c r="C2554" s="3">
        <v>54</v>
      </c>
      <c r="E2554" t="s">
        <v>12350</v>
      </c>
    </row>
    <row r="2555" spans="1:5" x14ac:dyDescent="0.25">
      <c r="A2555" s="1" t="s">
        <v>2554</v>
      </c>
      <c r="C2555" s="3">
        <v>54</v>
      </c>
      <c r="E2555" t="s">
        <v>12414</v>
      </c>
    </row>
    <row r="2556" spans="1:5" x14ac:dyDescent="0.25">
      <c r="A2556" s="1" t="s">
        <v>2555</v>
      </c>
      <c r="C2556" s="3">
        <v>54</v>
      </c>
      <c r="E2556" t="s">
        <v>19744</v>
      </c>
    </row>
    <row r="2557" spans="1:5" x14ac:dyDescent="0.25">
      <c r="A2557" s="1" t="s">
        <v>2556</v>
      </c>
      <c r="C2557" s="3">
        <v>54</v>
      </c>
      <c r="E2557" t="s">
        <v>6821</v>
      </c>
    </row>
    <row r="2558" spans="1:5" x14ac:dyDescent="0.25">
      <c r="A2558" s="1" t="s">
        <v>2557</v>
      </c>
      <c r="C2558" s="3">
        <v>54</v>
      </c>
      <c r="E2558" t="s">
        <v>2541</v>
      </c>
    </row>
    <row r="2559" spans="1:5" x14ac:dyDescent="0.25">
      <c r="A2559" s="1" t="s">
        <v>2558</v>
      </c>
      <c r="C2559" s="3">
        <v>54</v>
      </c>
      <c r="E2559" t="s">
        <v>2903</v>
      </c>
    </row>
    <row r="2560" spans="1:5" x14ac:dyDescent="0.25">
      <c r="A2560" s="1" t="s">
        <v>2559</v>
      </c>
      <c r="C2560" s="3">
        <v>54</v>
      </c>
      <c r="E2560" t="s">
        <v>366</v>
      </c>
    </row>
    <row r="2561" spans="1:5" x14ac:dyDescent="0.25">
      <c r="A2561" s="1" t="s">
        <v>2560</v>
      </c>
      <c r="C2561" s="3">
        <v>54</v>
      </c>
      <c r="E2561" t="s">
        <v>12317</v>
      </c>
    </row>
    <row r="2562" spans="1:5" x14ac:dyDescent="0.25">
      <c r="A2562" s="1" t="s">
        <v>2561</v>
      </c>
      <c r="C2562" s="3">
        <v>54</v>
      </c>
      <c r="E2562" t="s">
        <v>2744</v>
      </c>
    </row>
    <row r="2563" spans="1:5" x14ac:dyDescent="0.25">
      <c r="A2563" s="1" t="s">
        <v>2562</v>
      </c>
      <c r="C2563" s="3">
        <v>54</v>
      </c>
      <c r="E2563" t="s">
        <v>6263</v>
      </c>
    </row>
    <row r="2564" spans="1:5" x14ac:dyDescent="0.25">
      <c r="A2564" s="1" t="s">
        <v>2563</v>
      </c>
      <c r="C2564" s="3">
        <v>54</v>
      </c>
      <c r="E2564" t="s">
        <v>6041</v>
      </c>
    </row>
    <row r="2565" spans="1:5" x14ac:dyDescent="0.25">
      <c r="A2565" s="1" t="s">
        <v>2564</v>
      </c>
      <c r="C2565" s="3">
        <v>54</v>
      </c>
      <c r="E2565" t="s">
        <v>13820</v>
      </c>
    </row>
    <row r="2566" spans="1:5" x14ac:dyDescent="0.25">
      <c r="A2566" s="1" t="s">
        <v>2565</v>
      </c>
      <c r="C2566" s="3">
        <v>54</v>
      </c>
      <c r="E2566" t="s">
        <v>4158</v>
      </c>
    </row>
    <row r="2567" spans="1:5" x14ac:dyDescent="0.25">
      <c r="A2567" s="1" t="s">
        <v>2566</v>
      </c>
      <c r="C2567" s="3">
        <v>54</v>
      </c>
      <c r="E2567" t="s">
        <v>725</v>
      </c>
    </row>
    <row r="2568" spans="1:5" x14ac:dyDescent="0.25">
      <c r="A2568" s="1" t="s">
        <v>2567</v>
      </c>
      <c r="C2568" s="3">
        <v>54</v>
      </c>
      <c r="E2568" t="s">
        <v>5849</v>
      </c>
    </row>
    <row r="2569" spans="1:5" x14ac:dyDescent="0.25">
      <c r="A2569" s="1" t="s">
        <v>2568</v>
      </c>
      <c r="C2569" s="3">
        <v>54</v>
      </c>
      <c r="E2569" t="s">
        <v>2366</v>
      </c>
    </row>
    <row r="2570" spans="1:5" x14ac:dyDescent="0.25">
      <c r="A2570" s="1" t="s">
        <v>2569</v>
      </c>
      <c r="C2570" s="3">
        <v>54</v>
      </c>
      <c r="E2570" t="s">
        <v>6766</v>
      </c>
    </row>
    <row r="2571" spans="1:5" x14ac:dyDescent="0.25">
      <c r="A2571" s="1" t="s">
        <v>2570</v>
      </c>
      <c r="C2571" s="3">
        <v>54</v>
      </c>
      <c r="E2571" t="s">
        <v>8687</v>
      </c>
    </row>
    <row r="2572" spans="1:5" x14ac:dyDescent="0.25">
      <c r="A2572" s="1" t="s">
        <v>2571</v>
      </c>
      <c r="C2572" s="3">
        <v>54</v>
      </c>
      <c r="E2572" t="s">
        <v>17609</v>
      </c>
    </row>
    <row r="2573" spans="1:5" x14ac:dyDescent="0.25">
      <c r="A2573" s="1" t="s">
        <v>2572</v>
      </c>
      <c r="C2573" s="3">
        <v>54</v>
      </c>
      <c r="E2573" t="s">
        <v>16375</v>
      </c>
    </row>
    <row r="2574" spans="1:5" x14ac:dyDescent="0.25">
      <c r="A2574" s="1" t="s">
        <v>2573</v>
      </c>
      <c r="C2574" s="3">
        <v>54</v>
      </c>
      <c r="E2574" t="s">
        <v>1616</v>
      </c>
    </row>
    <row r="2575" spans="1:5" x14ac:dyDescent="0.25">
      <c r="A2575" s="1" t="s">
        <v>2574</v>
      </c>
      <c r="C2575" s="3">
        <v>54</v>
      </c>
      <c r="E2575" t="s">
        <v>1739</v>
      </c>
    </row>
    <row r="2576" spans="1:5" x14ac:dyDescent="0.25">
      <c r="A2576" s="1" t="s">
        <v>2575</v>
      </c>
      <c r="C2576" s="3">
        <v>54</v>
      </c>
      <c r="E2576" t="s">
        <v>2916</v>
      </c>
    </row>
    <row r="2577" spans="1:5" x14ac:dyDescent="0.25">
      <c r="A2577" s="1" t="s">
        <v>2576</v>
      </c>
      <c r="C2577" s="3">
        <v>54</v>
      </c>
      <c r="E2577" t="s">
        <v>8669</v>
      </c>
    </row>
    <row r="2578" spans="1:5" x14ac:dyDescent="0.25">
      <c r="A2578" s="1" t="s">
        <v>2577</v>
      </c>
      <c r="C2578" s="3">
        <v>54</v>
      </c>
      <c r="E2578" t="s">
        <v>3017</v>
      </c>
    </row>
    <row r="2579" spans="1:5" x14ac:dyDescent="0.25">
      <c r="A2579" s="1" t="s">
        <v>2578</v>
      </c>
      <c r="C2579" s="3">
        <v>54</v>
      </c>
      <c r="E2579" t="s">
        <v>10278</v>
      </c>
    </row>
    <row r="2580" spans="1:5" x14ac:dyDescent="0.25">
      <c r="A2580" s="1" t="s">
        <v>2579</v>
      </c>
      <c r="C2580" s="3">
        <v>54</v>
      </c>
      <c r="E2580" t="s">
        <v>903</v>
      </c>
    </row>
    <row r="2581" spans="1:5" x14ac:dyDescent="0.25">
      <c r="A2581" s="1" t="s">
        <v>2580</v>
      </c>
      <c r="C2581" s="3">
        <v>54</v>
      </c>
      <c r="E2581" t="s">
        <v>1258</v>
      </c>
    </row>
    <row r="2582" spans="1:5" x14ac:dyDescent="0.25">
      <c r="A2582" s="1" t="s">
        <v>2581</v>
      </c>
      <c r="C2582" s="3">
        <v>54</v>
      </c>
      <c r="E2582" t="s">
        <v>3658</v>
      </c>
    </row>
    <row r="2583" spans="1:5" x14ac:dyDescent="0.25">
      <c r="A2583" s="1" t="s">
        <v>2582</v>
      </c>
      <c r="C2583" s="3">
        <v>54</v>
      </c>
      <c r="E2583" t="s">
        <v>2493</v>
      </c>
    </row>
    <row r="2584" spans="1:5" x14ac:dyDescent="0.25">
      <c r="A2584" s="1" t="s">
        <v>2583</v>
      </c>
      <c r="C2584" s="3">
        <v>54</v>
      </c>
      <c r="E2584" t="s">
        <v>4679</v>
      </c>
    </row>
    <row r="2585" spans="1:5" x14ac:dyDescent="0.25">
      <c r="A2585" s="1" t="s">
        <v>2584</v>
      </c>
      <c r="C2585" s="3">
        <v>54</v>
      </c>
      <c r="E2585" t="s">
        <v>3478</v>
      </c>
    </row>
    <row r="2586" spans="1:5" x14ac:dyDescent="0.25">
      <c r="A2586" s="1" t="s">
        <v>2585</v>
      </c>
      <c r="C2586" s="3">
        <v>54</v>
      </c>
      <c r="E2586" t="s">
        <v>375</v>
      </c>
    </row>
    <row r="2587" spans="1:5" x14ac:dyDescent="0.25">
      <c r="A2587" s="1" t="s">
        <v>2586</v>
      </c>
      <c r="C2587" s="3">
        <v>54</v>
      </c>
      <c r="E2587" t="s">
        <v>3460</v>
      </c>
    </row>
    <row r="2588" spans="1:5" x14ac:dyDescent="0.25">
      <c r="A2588" s="1" t="s">
        <v>2587</v>
      </c>
      <c r="C2588" s="3">
        <v>54</v>
      </c>
      <c r="E2588" t="s">
        <v>3061</v>
      </c>
    </row>
    <row r="2589" spans="1:5" x14ac:dyDescent="0.25">
      <c r="A2589" s="1" t="s">
        <v>2588</v>
      </c>
      <c r="C2589" s="3">
        <v>54</v>
      </c>
      <c r="E2589" t="s">
        <v>5247</v>
      </c>
    </row>
    <row r="2590" spans="1:5" x14ac:dyDescent="0.25">
      <c r="A2590" s="1" t="s">
        <v>2589</v>
      </c>
      <c r="C2590" s="3">
        <v>54</v>
      </c>
      <c r="E2590" t="s">
        <v>3615</v>
      </c>
    </row>
    <row r="2591" spans="1:5" x14ac:dyDescent="0.25">
      <c r="A2591" s="1" t="s">
        <v>2590</v>
      </c>
      <c r="C2591" s="3">
        <v>54</v>
      </c>
      <c r="E2591" t="s">
        <v>11746</v>
      </c>
    </row>
    <row r="2592" spans="1:5" x14ac:dyDescent="0.25">
      <c r="A2592" s="1" t="s">
        <v>2591</v>
      </c>
      <c r="C2592" s="3">
        <v>54</v>
      </c>
      <c r="E2592" t="s">
        <v>7413</v>
      </c>
    </row>
    <row r="2593" spans="1:5" x14ac:dyDescent="0.25">
      <c r="A2593" s="1" t="s">
        <v>2592</v>
      </c>
      <c r="C2593" s="3">
        <v>54</v>
      </c>
      <c r="E2593" t="s">
        <v>1752</v>
      </c>
    </row>
    <row r="2594" spans="1:5" x14ac:dyDescent="0.25">
      <c r="A2594" s="1" t="s">
        <v>2593</v>
      </c>
      <c r="C2594" s="3">
        <v>54</v>
      </c>
      <c r="E2594" t="s">
        <v>14787</v>
      </c>
    </row>
    <row r="2595" spans="1:5" x14ac:dyDescent="0.25">
      <c r="A2595" s="1" t="s">
        <v>2594</v>
      </c>
      <c r="C2595" s="3">
        <v>54</v>
      </c>
      <c r="E2595" t="s">
        <v>2636</v>
      </c>
    </row>
    <row r="2596" spans="1:5" x14ac:dyDescent="0.25">
      <c r="A2596" s="1" t="s">
        <v>2595</v>
      </c>
      <c r="C2596" s="3">
        <v>54</v>
      </c>
      <c r="E2596" t="s">
        <v>3336</v>
      </c>
    </row>
    <row r="2597" spans="1:5" x14ac:dyDescent="0.25">
      <c r="A2597" s="1" t="s">
        <v>2596</v>
      </c>
      <c r="C2597" s="3">
        <v>54</v>
      </c>
      <c r="E2597" t="s">
        <v>6630</v>
      </c>
    </row>
    <row r="2598" spans="1:5" x14ac:dyDescent="0.25">
      <c r="A2598" s="1" t="s">
        <v>2597</v>
      </c>
      <c r="C2598" s="3">
        <v>54</v>
      </c>
      <c r="E2598" t="s">
        <v>2437</v>
      </c>
    </row>
    <row r="2599" spans="1:5" x14ac:dyDescent="0.25">
      <c r="A2599" s="1" t="s">
        <v>2598</v>
      </c>
      <c r="C2599" s="3">
        <v>54</v>
      </c>
      <c r="E2599" t="s">
        <v>1537</v>
      </c>
    </row>
    <row r="2600" spans="1:5" x14ac:dyDescent="0.25">
      <c r="A2600" s="1" t="s">
        <v>2599</v>
      </c>
      <c r="C2600" s="3">
        <v>54</v>
      </c>
      <c r="E2600" t="s">
        <v>6471</v>
      </c>
    </row>
    <row r="2601" spans="1:5" x14ac:dyDescent="0.25">
      <c r="A2601" s="1" t="s">
        <v>2600</v>
      </c>
      <c r="C2601" s="3">
        <v>54</v>
      </c>
      <c r="E2601" t="s">
        <v>6559</v>
      </c>
    </row>
    <row r="2602" spans="1:5" x14ac:dyDescent="0.25">
      <c r="A2602" s="1" t="s">
        <v>2601</v>
      </c>
      <c r="C2602" s="3">
        <v>54</v>
      </c>
      <c r="E2602" t="s">
        <v>2873</v>
      </c>
    </row>
    <row r="2603" spans="1:5" x14ac:dyDescent="0.25">
      <c r="A2603" s="1" t="s">
        <v>2602</v>
      </c>
      <c r="C2603" s="3">
        <v>54</v>
      </c>
      <c r="E2603" t="s">
        <v>5475</v>
      </c>
    </row>
    <row r="2604" spans="1:5" x14ac:dyDescent="0.25">
      <c r="A2604" s="1" t="s">
        <v>2603</v>
      </c>
      <c r="C2604" s="3">
        <v>54</v>
      </c>
      <c r="E2604" t="s">
        <v>331</v>
      </c>
    </row>
    <row r="2605" spans="1:5" x14ac:dyDescent="0.25">
      <c r="A2605" s="1" t="s">
        <v>2604</v>
      </c>
      <c r="C2605" s="3">
        <v>54</v>
      </c>
      <c r="E2605" t="s">
        <v>5934</v>
      </c>
    </row>
    <row r="2606" spans="1:5" x14ac:dyDescent="0.25">
      <c r="A2606" s="1" t="s">
        <v>2605</v>
      </c>
      <c r="C2606" s="3">
        <v>53</v>
      </c>
      <c r="E2606" t="s">
        <v>4099</v>
      </c>
    </row>
    <row r="2607" spans="1:5" x14ac:dyDescent="0.25">
      <c r="A2607" s="1" t="s">
        <v>2606</v>
      </c>
      <c r="C2607" s="3">
        <v>53</v>
      </c>
      <c r="E2607" t="s">
        <v>10835</v>
      </c>
    </row>
    <row r="2608" spans="1:5" x14ac:dyDescent="0.25">
      <c r="A2608" s="1" t="s">
        <v>2607</v>
      </c>
      <c r="C2608" s="3">
        <v>53</v>
      </c>
      <c r="E2608" t="s">
        <v>4522</v>
      </c>
    </row>
    <row r="2609" spans="1:5" x14ac:dyDescent="0.25">
      <c r="A2609" s="1" t="s">
        <v>2608</v>
      </c>
      <c r="C2609" s="3">
        <v>53</v>
      </c>
      <c r="E2609" t="s">
        <v>998</v>
      </c>
    </row>
    <row r="2610" spans="1:5" x14ac:dyDescent="0.25">
      <c r="A2610" s="1" t="s">
        <v>2609</v>
      </c>
      <c r="C2610" s="3">
        <v>53</v>
      </c>
      <c r="E2610" t="s">
        <v>6910</v>
      </c>
    </row>
    <row r="2611" spans="1:5" x14ac:dyDescent="0.25">
      <c r="A2611" s="1" t="s">
        <v>2610</v>
      </c>
      <c r="C2611" s="3">
        <v>53</v>
      </c>
      <c r="E2611" t="s">
        <v>4455</v>
      </c>
    </row>
    <row r="2612" spans="1:5" x14ac:dyDescent="0.25">
      <c r="A2612" s="1" t="s">
        <v>2611</v>
      </c>
      <c r="C2612" s="3">
        <v>53</v>
      </c>
      <c r="E2612" t="s">
        <v>6719</v>
      </c>
    </row>
    <row r="2613" spans="1:5" x14ac:dyDescent="0.25">
      <c r="A2613" s="1" t="s">
        <v>2612</v>
      </c>
      <c r="C2613" s="3">
        <v>53</v>
      </c>
      <c r="E2613" t="s">
        <v>1436</v>
      </c>
    </row>
    <row r="2614" spans="1:5" x14ac:dyDescent="0.25">
      <c r="A2614" s="1" t="s">
        <v>2613</v>
      </c>
      <c r="C2614" s="3">
        <v>53</v>
      </c>
      <c r="E2614" t="s">
        <v>5252</v>
      </c>
    </row>
    <row r="2615" spans="1:5" x14ac:dyDescent="0.25">
      <c r="A2615" s="1" t="s">
        <v>2614</v>
      </c>
      <c r="C2615" s="3">
        <v>53</v>
      </c>
      <c r="E2615" t="s">
        <v>3484</v>
      </c>
    </row>
    <row r="2616" spans="1:5" x14ac:dyDescent="0.25">
      <c r="A2616" s="1" t="s">
        <v>2615</v>
      </c>
      <c r="C2616" s="3">
        <v>53</v>
      </c>
      <c r="E2616" t="s">
        <v>2167</v>
      </c>
    </row>
    <row r="2617" spans="1:5" x14ac:dyDescent="0.25">
      <c r="A2617" s="1" t="s">
        <v>2616</v>
      </c>
      <c r="C2617" s="3">
        <v>53</v>
      </c>
      <c r="E2617" t="s">
        <v>1100</v>
      </c>
    </row>
    <row r="2618" spans="1:5" x14ac:dyDescent="0.25">
      <c r="A2618" s="1" t="s">
        <v>2617</v>
      </c>
      <c r="C2618" s="3">
        <v>53</v>
      </c>
      <c r="E2618" t="s">
        <v>272</v>
      </c>
    </row>
    <row r="2619" spans="1:5" x14ac:dyDescent="0.25">
      <c r="A2619" s="1" t="s">
        <v>2618</v>
      </c>
      <c r="C2619" s="3">
        <v>53</v>
      </c>
      <c r="E2619" t="s">
        <v>12765</v>
      </c>
    </row>
    <row r="2620" spans="1:5" x14ac:dyDescent="0.25">
      <c r="A2620" s="1" t="s">
        <v>2619</v>
      </c>
      <c r="C2620" s="3">
        <v>53</v>
      </c>
      <c r="E2620" t="s">
        <v>5423</v>
      </c>
    </row>
    <row r="2621" spans="1:5" x14ac:dyDescent="0.25">
      <c r="A2621" s="1" t="s">
        <v>2620</v>
      </c>
      <c r="C2621" s="3">
        <v>53</v>
      </c>
      <c r="E2621" t="s">
        <v>1109</v>
      </c>
    </row>
    <row r="2622" spans="1:5" x14ac:dyDescent="0.25">
      <c r="A2622" s="1" t="s">
        <v>2621</v>
      </c>
      <c r="C2622" s="3">
        <v>53</v>
      </c>
      <c r="E2622" t="s">
        <v>25462</v>
      </c>
    </row>
    <row r="2623" spans="1:5" x14ac:dyDescent="0.25">
      <c r="A2623" s="1" t="s">
        <v>2622</v>
      </c>
      <c r="C2623" s="3">
        <v>53</v>
      </c>
      <c r="E2623" t="s">
        <v>25463</v>
      </c>
    </row>
    <row r="2624" spans="1:5" x14ac:dyDescent="0.25">
      <c r="A2624" s="1" t="s">
        <v>2623</v>
      </c>
      <c r="C2624" s="3">
        <v>53</v>
      </c>
      <c r="E2624" t="s">
        <v>15994</v>
      </c>
    </row>
    <row r="2625" spans="1:5" x14ac:dyDescent="0.25">
      <c r="A2625" s="1" t="s">
        <v>2624</v>
      </c>
      <c r="C2625" s="3">
        <v>53</v>
      </c>
      <c r="E2625" t="s">
        <v>6790</v>
      </c>
    </row>
    <row r="2626" spans="1:5" x14ac:dyDescent="0.25">
      <c r="A2626" s="1" t="s">
        <v>2625</v>
      </c>
      <c r="C2626" s="3">
        <v>53</v>
      </c>
      <c r="E2626" t="s">
        <v>3568</v>
      </c>
    </row>
    <row r="2627" spans="1:5" x14ac:dyDescent="0.25">
      <c r="A2627" s="1" t="s">
        <v>2626</v>
      </c>
      <c r="C2627" s="3">
        <v>53</v>
      </c>
      <c r="E2627" t="s">
        <v>2645</v>
      </c>
    </row>
    <row r="2628" spans="1:5" x14ac:dyDescent="0.25">
      <c r="A2628" s="1" t="s">
        <v>2627</v>
      </c>
      <c r="C2628" s="3">
        <v>53</v>
      </c>
      <c r="E2628" t="s">
        <v>620</v>
      </c>
    </row>
    <row r="2629" spans="1:5" x14ac:dyDescent="0.25">
      <c r="A2629" s="1" t="s">
        <v>2628</v>
      </c>
      <c r="C2629" s="3">
        <v>53</v>
      </c>
      <c r="E2629" t="s">
        <v>2279</v>
      </c>
    </row>
    <row r="2630" spans="1:5" x14ac:dyDescent="0.25">
      <c r="A2630" s="1" t="s">
        <v>2629</v>
      </c>
      <c r="C2630" s="3">
        <v>53</v>
      </c>
      <c r="E2630" t="s">
        <v>8393</v>
      </c>
    </row>
    <row r="2631" spans="1:5" x14ac:dyDescent="0.25">
      <c r="A2631" s="1" t="s">
        <v>2630</v>
      </c>
      <c r="C2631" s="3">
        <v>53</v>
      </c>
      <c r="E2631" t="s">
        <v>1802</v>
      </c>
    </row>
    <row r="2632" spans="1:5" x14ac:dyDescent="0.25">
      <c r="A2632" s="1" t="s">
        <v>2631</v>
      </c>
      <c r="C2632" s="3">
        <v>53</v>
      </c>
      <c r="E2632" t="s">
        <v>6497</v>
      </c>
    </row>
    <row r="2633" spans="1:5" x14ac:dyDescent="0.25">
      <c r="A2633" s="1" t="s">
        <v>2632</v>
      </c>
      <c r="C2633" s="3">
        <v>53</v>
      </c>
      <c r="E2633" t="s">
        <v>5087</v>
      </c>
    </row>
    <row r="2634" spans="1:5" x14ac:dyDescent="0.25">
      <c r="A2634" s="1" t="s">
        <v>2633</v>
      </c>
      <c r="C2634" s="3">
        <v>53</v>
      </c>
      <c r="E2634" t="s">
        <v>22542</v>
      </c>
    </row>
    <row r="2635" spans="1:5" x14ac:dyDescent="0.25">
      <c r="A2635" s="1" t="s">
        <v>2634</v>
      </c>
      <c r="C2635" s="3">
        <v>53</v>
      </c>
      <c r="E2635" t="s">
        <v>686</v>
      </c>
    </row>
    <row r="2636" spans="1:5" x14ac:dyDescent="0.25">
      <c r="A2636" s="1" t="s">
        <v>2635</v>
      </c>
      <c r="C2636" s="3">
        <v>53</v>
      </c>
      <c r="E2636" t="s">
        <v>2933</v>
      </c>
    </row>
    <row r="2637" spans="1:5" x14ac:dyDescent="0.25">
      <c r="A2637" s="1" t="s">
        <v>2636</v>
      </c>
      <c r="C2637" s="3">
        <v>53</v>
      </c>
      <c r="E2637" t="s">
        <v>5603</v>
      </c>
    </row>
    <row r="2638" spans="1:5" x14ac:dyDescent="0.25">
      <c r="A2638" s="1" t="s">
        <v>2637</v>
      </c>
      <c r="C2638" s="3">
        <v>53</v>
      </c>
      <c r="E2638" t="s">
        <v>8676</v>
      </c>
    </row>
    <row r="2639" spans="1:5" x14ac:dyDescent="0.25">
      <c r="A2639" s="1" t="s">
        <v>2638</v>
      </c>
      <c r="C2639" s="3">
        <v>53</v>
      </c>
      <c r="E2639" t="s">
        <v>7401</v>
      </c>
    </row>
    <row r="2640" spans="1:5" x14ac:dyDescent="0.25">
      <c r="A2640" s="1" t="s">
        <v>2639</v>
      </c>
      <c r="C2640" s="3">
        <v>53</v>
      </c>
      <c r="E2640" t="s">
        <v>23178</v>
      </c>
    </row>
    <row r="2641" spans="1:5" x14ac:dyDescent="0.25">
      <c r="A2641" s="1" t="s">
        <v>2640</v>
      </c>
      <c r="C2641" s="3">
        <v>53</v>
      </c>
      <c r="E2641" t="s">
        <v>577</v>
      </c>
    </row>
    <row r="2642" spans="1:5" x14ac:dyDescent="0.25">
      <c r="A2642" s="1" t="s">
        <v>2641</v>
      </c>
      <c r="C2642" s="3">
        <v>53</v>
      </c>
      <c r="E2642" t="s">
        <v>3099</v>
      </c>
    </row>
    <row r="2643" spans="1:5" x14ac:dyDescent="0.25">
      <c r="A2643" s="1" t="s">
        <v>2642</v>
      </c>
      <c r="C2643" s="3">
        <v>53</v>
      </c>
      <c r="E2643" t="s">
        <v>14408</v>
      </c>
    </row>
    <row r="2644" spans="1:5" x14ac:dyDescent="0.25">
      <c r="A2644" s="1" t="s">
        <v>2643</v>
      </c>
      <c r="C2644" s="3">
        <v>53</v>
      </c>
      <c r="E2644" t="s">
        <v>13196</v>
      </c>
    </row>
    <row r="2645" spans="1:5" x14ac:dyDescent="0.25">
      <c r="A2645" s="1" t="s">
        <v>2644</v>
      </c>
      <c r="C2645" s="3">
        <v>53</v>
      </c>
      <c r="E2645" t="s">
        <v>1078</v>
      </c>
    </row>
    <row r="2646" spans="1:5" x14ac:dyDescent="0.25">
      <c r="A2646" s="1" t="s">
        <v>2645</v>
      </c>
      <c r="C2646" s="3">
        <v>53</v>
      </c>
      <c r="E2646" t="s">
        <v>6889</v>
      </c>
    </row>
    <row r="2647" spans="1:5" x14ac:dyDescent="0.25">
      <c r="A2647" s="1" t="s">
        <v>2646</v>
      </c>
      <c r="C2647" s="3">
        <v>53</v>
      </c>
      <c r="E2647" t="s">
        <v>2652</v>
      </c>
    </row>
    <row r="2648" spans="1:5" x14ac:dyDescent="0.25">
      <c r="A2648" s="1" t="s">
        <v>2647</v>
      </c>
      <c r="C2648" s="3">
        <v>53</v>
      </c>
      <c r="E2648" t="s">
        <v>7983</v>
      </c>
    </row>
    <row r="2649" spans="1:5" x14ac:dyDescent="0.25">
      <c r="A2649" s="1" t="s">
        <v>2648</v>
      </c>
      <c r="C2649" s="3">
        <v>53</v>
      </c>
      <c r="E2649" t="s">
        <v>885</v>
      </c>
    </row>
    <row r="2650" spans="1:5" x14ac:dyDescent="0.25">
      <c r="A2650" s="1" t="s">
        <v>2649</v>
      </c>
      <c r="C2650" s="3">
        <v>53</v>
      </c>
      <c r="E2650" t="s">
        <v>5206</v>
      </c>
    </row>
    <row r="2651" spans="1:5" x14ac:dyDescent="0.25">
      <c r="A2651" s="1" t="s">
        <v>2650</v>
      </c>
      <c r="C2651" s="3">
        <v>53</v>
      </c>
      <c r="E2651" t="s">
        <v>2079</v>
      </c>
    </row>
    <row r="2652" spans="1:5" x14ac:dyDescent="0.25">
      <c r="A2652" s="1" t="s">
        <v>2651</v>
      </c>
      <c r="C2652" s="3">
        <v>53</v>
      </c>
      <c r="E2652" t="s">
        <v>9214</v>
      </c>
    </row>
    <row r="2653" spans="1:5" x14ac:dyDescent="0.25">
      <c r="A2653" s="1" t="s">
        <v>2652</v>
      </c>
      <c r="C2653" s="3">
        <v>53</v>
      </c>
      <c r="E2653" t="s">
        <v>5631</v>
      </c>
    </row>
    <row r="2654" spans="1:5" x14ac:dyDescent="0.25">
      <c r="A2654" s="1" t="s">
        <v>2653</v>
      </c>
      <c r="C2654" s="3">
        <v>53</v>
      </c>
      <c r="E2654" t="s">
        <v>3083</v>
      </c>
    </row>
    <row r="2655" spans="1:5" x14ac:dyDescent="0.25">
      <c r="A2655" s="1" t="s">
        <v>2654</v>
      </c>
      <c r="C2655" s="3">
        <v>52</v>
      </c>
      <c r="E2655" t="s">
        <v>3541</v>
      </c>
    </row>
    <row r="2656" spans="1:5" x14ac:dyDescent="0.25">
      <c r="A2656" s="1" t="s">
        <v>2655</v>
      </c>
      <c r="C2656" s="3">
        <v>52</v>
      </c>
      <c r="E2656" t="s">
        <v>2701</v>
      </c>
    </row>
    <row r="2657" spans="1:5" x14ac:dyDescent="0.25">
      <c r="A2657" s="1" t="s">
        <v>2656</v>
      </c>
      <c r="C2657" s="3">
        <v>52</v>
      </c>
      <c r="E2657" t="s">
        <v>22480</v>
      </c>
    </row>
    <row r="2658" spans="1:5" x14ac:dyDescent="0.25">
      <c r="A2658" s="1" t="s">
        <v>2657</v>
      </c>
      <c r="C2658" s="3">
        <v>52</v>
      </c>
      <c r="E2658" t="s">
        <v>454</v>
      </c>
    </row>
    <row r="2659" spans="1:5" x14ac:dyDescent="0.25">
      <c r="A2659" s="1" t="s">
        <v>2658</v>
      </c>
      <c r="C2659" s="3">
        <v>52</v>
      </c>
      <c r="E2659" t="s">
        <v>5187</v>
      </c>
    </row>
    <row r="2660" spans="1:5" x14ac:dyDescent="0.25">
      <c r="A2660" s="1" t="s">
        <v>2659</v>
      </c>
      <c r="C2660" s="3">
        <v>52</v>
      </c>
      <c r="E2660" t="s">
        <v>339</v>
      </c>
    </row>
    <row r="2661" spans="1:5" x14ac:dyDescent="0.25">
      <c r="A2661" s="1" t="s">
        <v>2660</v>
      </c>
      <c r="C2661" s="3">
        <v>52</v>
      </c>
      <c r="E2661" t="s">
        <v>12580</v>
      </c>
    </row>
    <row r="2662" spans="1:5" x14ac:dyDescent="0.25">
      <c r="A2662" s="1" t="s">
        <v>2661</v>
      </c>
      <c r="C2662" s="3">
        <v>52</v>
      </c>
      <c r="E2662" t="s">
        <v>5737</v>
      </c>
    </row>
    <row r="2663" spans="1:5" x14ac:dyDescent="0.25">
      <c r="A2663" s="1" t="s">
        <v>2662</v>
      </c>
      <c r="C2663" s="3">
        <v>52</v>
      </c>
      <c r="E2663" t="s">
        <v>2978</v>
      </c>
    </row>
    <row r="2664" spans="1:5" x14ac:dyDescent="0.25">
      <c r="A2664" s="1" t="s">
        <v>2663</v>
      </c>
      <c r="C2664" s="3">
        <v>52</v>
      </c>
      <c r="E2664" t="s">
        <v>3277</v>
      </c>
    </row>
    <row r="2665" spans="1:5" x14ac:dyDescent="0.25">
      <c r="A2665" s="1" t="s">
        <v>2664</v>
      </c>
      <c r="C2665" s="3">
        <v>52</v>
      </c>
      <c r="E2665" t="s">
        <v>12443</v>
      </c>
    </row>
    <row r="2666" spans="1:5" x14ac:dyDescent="0.25">
      <c r="A2666" s="1" t="s">
        <v>2665</v>
      </c>
      <c r="C2666" s="3">
        <v>52</v>
      </c>
      <c r="E2666" t="s">
        <v>797</v>
      </c>
    </row>
    <row r="2667" spans="1:5" x14ac:dyDescent="0.25">
      <c r="A2667" s="1" t="s">
        <v>2666</v>
      </c>
      <c r="C2667" s="3">
        <v>52</v>
      </c>
      <c r="E2667" t="s">
        <v>3330</v>
      </c>
    </row>
    <row r="2668" spans="1:5" x14ac:dyDescent="0.25">
      <c r="A2668" s="1" t="s">
        <v>2667</v>
      </c>
      <c r="C2668" s="3">
        <v>52</v>
      </c>
      <c r="E2668" t="s">
        <v>3933</v>
      </c>
    </row>
    <row r="2669" spans="1:5" x14ac:dyDescent="0.25">
      <c r="A2669" s="1" t="s">
        <v>2668</v>
      </c>
      <c r="C2669" s="3">
        <v>52</v>
      </c>
      <c r="E2669" t="s">
        <v>8770</v>
      </c>
    </row>
    <row r="2670" spans="1:5" x14ac:dyDescent="0.25">
      <c r="A2670" s="1" t="s">
        <v>2669</v>
      </c>
      <c r="C2670" s="3">
        <v>52</v>
      </c>
      <c r="E2670" t="s">
        <v>18145</v>
      </c>
    </row>
    <row r="2671" spans="1:5" x14ac:dyDescent="0.25">
      <c r="A2671" s="1" t="s">
        <v>2670</v>
      </c>
      <c r="C2671" s="3">
        <v>52</v>
      </c>
      <c r="E2671" t="s">
        <v>814</v>
      </c>
    </row>
    <row r="2672" spans="1:5" x14ac:dyDescent="0.25">
      <c r="A2672" s="1" t="s">
        <v>2671</v>
      </c>
      <c r="C2672" s="3">
        <v>52</v>
      </c>
      <c r="E2672" t="s">
        <v>4895</v>
      </c>
    </row>
    <row r="2673" spans="1:5" x14ac:dyDescent="0.25">
      <c r="A2673" s="1" t="s">
        <v>2672</v>
      </c>
      <c r="C2673" s="3">
        <v>52</v>
      </c>
      <c r="E2673" t="s">
        <v>5134</v>
      </c>
    </row>
    <row r="2674" spans="1:5" x14ac:dyDescent="0.25">
      <c r="A2674" s="1" t="s">
        <v>2673</v>
      </c>
      <c r="C2674" s="3">
        <v>52</v>
      </c>
      <c r="E2674" t="s">
        <v>7153</v>
      </c>
    </row>
    <row r="2675" spans="1:5" x14ac:dyDescent="0.25">
      <c r="A2675" s="1" t="s">
        <v>2674</v>
      </c>
      <c r="C2675" s="3">
        <v>52</v>
      </c>
      <c r="E2675" t="s">
        <v>1672</v>
      </c>
    </row>
    <row r="2676" spans="1:5" x14ac:dyDescent="0.25">
      <c r="A2676" s="1" t="s">
        <v>2675</v>
      </c>
      <c r="C2676" s="3">
        <v>52</v>
      </c>
      <c r="E2676" t="s">
        <v>1272</v>
      </c>
    </row>
    <row r="2677" spans="1:5" x14ac:dyDescent="0.25">
      <c r="A2677" s="1" t="s">
        <v>2676</v>
      </c>
      <c r="C2677" s="3">
        <v>52</v>
      </c>
      <c r="E2677" t="s">
        <v>10811</v>
      </c>
    </row>
    <row r="2678" spans="1:5" x14ac:dyDescent="0.25">
      <c r="A2678" s="1" t="s">
        <v>2677</v>
      </c>
      <c r="C2678" s="3">
        <v>52</v>
      </c>
      <c r="E2678" t="s">
        <v>538</v>
      </c>
    </row>
    <row r="2679" spans="1:5" x14ac:dyDescent="0.25">
      <c r="A2679" s="1" t="s">
        <v>2678</v>
      </c>
      <c r="C2679" s="3">
        <v>52</v>
      </c>
      <c r="E2679" t="s">
        <v>5539</v>
      </c>
    </row>
    <row r="2680" spans="1:5" x14ac:dyDescent="0.25">
      <c r="A2680" s="1" t="s">
        <v>2679</v>
      </c>
      <c r="C2680" s="3">
        <v>52</v>
      </c>
      <c r="E2680" t="s">
        <v>3184</v>
      </c>
    </row>
    <row r="2681" spans="1:5" x14ac:dyDescent="0.25">
      <c r="A2681" s="1" t="s">
        <v>2680</v>
      </c>
      <c r="C2681" s="3">
        <v>52</v>
      </c>
      <c r="E2681" t="s">
        <v>4851</v>
      </c>
    </row>
    <row r="2682" spans="1:5" x14ac:dyDescent="0.25">
      <c r="A2682" s="1" t="s">
        <v>2681</v>
      </c>
      <c r="C2682" s="3">
        <v>52</v>
      </c>
      <c r="E2682" t="s">
        <v>5508</v>
      </c>
    </row>
    <row r="2683" spans="1:5" x14ac:dyDescent="0.25">
      <c r="A2683" s="1" t="s">
        <v>2682</v>
      </c>
      <c r="C2683" s="3">
        <v>52</v>
      </c>
      <c r="E2683" t="s">
        <v>3608</v>
      </c>
    </row>
    <row r="2684" spans="1:5" x14ac:dyDescent="0.25">
      <c r="A2684" s="1" t="s">
        <v>2683</v>
      </c>
      <c r="C2684" s="3">
        <v>52</v>
      </c>
      <c r="E2684" t="s">
        <v>5397</v>
      </c>
    </row>
    <row r="2685" spans="1:5" x14ac:dyDescent="0.25">
      <c r="A2685" s="1" t="s">
        <v>2684</v>
      </c>
      <c r="C2685" s="3">
        <v>52</v>
      </c>
      <c r="E2685" t="s">
        <v>7183</v>
      </c>
    </row>
    <row r="2686" spans="1:5" x14ac:dyDescent="0.25">
      <c r="A2686" s="1" t="s">
        <v>2685</v>
      </c>
      <c r="C2686" s="3">
        <v>52</v>
      </c>
      <c r="E2686" t="s">
        <v>369</v>
      </c>
    </row>
    <row r="2687" spans="1:5" x14ac:dyDescent="0.25">
      <c r="A2687" s="1" t="s">
        <v>2686</v>
      </c>
      <c r="C2687" s="3">
        <v>52</v>
      </c>
      <c r="E2687" t="s">
        <v>1457</v>
      </c>
    </row>
    <row r="2688" spans="1:5" x14ac:dyDescent="0.25">
      <c r="A2688" s="1" t="s">
        <v>2687</v>
      </c>
      <c r="C2688" s="3">
        <v>52</v>
      </c>
      <c r="E2688" t="s">
        <v>5031</v>
      </c>
    </row>
    <row r="2689" spans="1:5" x14ac:dyDescent="0.25">
      <c r="A2689" s="1" t="s">
        <v>2688</v>
      </c>
      <c r="C2689" s="3">
        <v>52</v>
      </c>
      <c r="E2689" t="s">
        <v>2359</v>
      </c>
    </row>
    <row r="2690" spans="1:5" x14ac:dyDescent="0.25">
      <c r="A2690" s="1" t="s">
        <v>2689</v>
      </c>
      <c r="C2690" s="3">
        <v>52</v>
      </c>
      <c r="E2690" t="s">
        <v>1635</v>
      </c>
    </row>
    <row r="2691" spans="1:5" x14ac:dyDescent="0.25">
      <c r="A2691" s="1" t="s">
        <v>2690</v>
      </c>
      <c r="C2691" s="3">
        <v>52</v>
      </c>
      <c r="E2691" t="s">
        <v>297</v>
      </c>
    </row>
    <row r="2692" spans="1:5" x14ac:dyDescent="0.25">
      <c r="A2692" s="1" t="s">
        <v>2691</v>
      </c>
      <c r="C2692" s="3">
        <v>52</v>
      </c>
      <c r="E2692" t="s">
        <v>12891</v>
      </c>
    </row>
    <row r="2693" spans="1:5" x14ac:dyDescent="0.25">
      <c r="A2693" s="1" t="s">
        <v>2692</v>
      </c>
      <c r="C2693" s="3">
        <v>52</v>
      </c>
      <c r="E2693" t="s">
        <v>9326</v>
      </c>
    </row>
    <row r="2694" spans="1:5" x14ac:dyDescent="0.25">
      <c r="A2694" s="1" t="s">
        <v>2693</v>
      </c>
      <c r="C2694" s="3">
        <v>52</v>
      </c>
      <c r="E2694" t="s">
        <v>6540</v>
      </c>
    </row>
    <row r="2695" spans="1:5" x14ac:dyDescent="0.25">
      <c r="A2695" s="1" t="s">
        <v>2694</v>
      </c>
      <c r="C2695" s="3">
        <v>52</v>
      </c>
      <c r="E2695" t="s">
        <v>4725</v>
      </c>
    </row>
    <row r="2696" spans="1:5" x14ac:dyDescent="0.25">
      <c r="A2696" s="1" t="s">
        <v>2695</v>
      </c>
      <c r="C2696" s="3">
        <v>52</v>
      </c>
      <c r="E2696" t="s">
        <v>3605</v>
      </c>
    </row>
    <row r="2697" spans="1:5" x14ac:dyDescent="0.25">
      <c r="A2697" s="1" t="s">
        <v>2696</v>
      </c>
      <c r="C2697" s="3">
        <v>52</v>
      </c>
      <c r="E2697" t="s">
        <v>1776</v>
      </c>
    </row>
    <row r="2698" spans="1:5" x14ac:dyDescent="0.25">
      <c r="A2698" s="1" t="s">
        <v>2697</v>
      </c>
      <c r="C2698" s="3">
        <v>52</v>
      </c>
      <c r="E2698" t="s">
        <v>5120</v>
      </c>
    </row>
    <row r="2699" spans="1:5" x14ac:dyDescent="0.25">
      <c r="A2699" s="1" t="s">
        <v>2698</v>
      </c>
      <c r="C2699" s="3">
        <v>52</v>
      </c>
      <c r="E2699" t="s">
        <v>1365</v>
      </c>
    </row>
    <row r="2700" spans="1:5" x14ac:dyDescent="0.25">
      <c r="A2700" s="1" t="s">
        <v>2699</v>
      </c>
      <c r="C2700" s="3">
        <v>52</v>
      </c>
      <c r="E2700" t="s">
        <v>24083</v>
      </c>
    </row>
    <row r="2701" spans="1:5" x14ac:dyDescent="0.25">
      <c r="A2701" s="1" t="s">
        <v>2700</v>
      </c>
      <c r="C2701" s="3">
        <v>52</v>
      </c>
      <c r="E2701" t="s">
        <v>1641</v>
      </c>
    </row>
    <row r="2702" spans="1:5" x14ac:dyDescent="0.25">
      <c r="A2702" s="1" t="s">
        <v>2701</v>
      </c>
      <c r="C2702" s="3">
        <v>52</v>
      </c>
      <c r="E2702" t="s">
        <v>5377</v>
      </c>
    </row>
    <row r="2703" spans="1:5" x14ac:dyDescent="0.25">
      <c r="A2703" s="1" t="s">
        <v>2702</v>
      </c>
      <c r="C2703" s="3">
        <v>52</v>
      </c>
      <c r="E2703" t="s">
        <v>10208</v>
      </c>
    </row>
    <row r="2704" spans="1:5" x14ac:dyDescent="0.25">
      <c r="A2704" s="1" t="s">
        <v>2703</v>
      </c>
      <c r="C2704" s="3">
        <v>52</v>
      </c>
      <c r="E2704" t="s">
        <v>10384</v>
      </c>
    </row>
    <row r="2705" spans="1:5" x14ac:dyDescent="0.25">
      <c r="A2705" s="1" t="s">
        <v>2704</v>
      </c>
      <c r="C2705" s="3">
        <v>52</v>
      </c>
      <c r="E2705" t="s">
        <v>17045</v>
      </c>
    </row>
    <row r="2706" spans="1:5" x14ac:dyDescent="0.25">
      <c r="A2706" s="1" t="s">
        <v>2705</v>
      </c>
      <c r="C2706" s="3">
        <v>52</v>
      </c>
      <c r="E2706" t="s">
        <v>6827</v>
      </c>
    </row>
    <row r="2707" spans="1:5" x14ac:dyDescent="0.25">
      <c r="A2707" s="1" t="s">
        <v>2706</v>
      </c>
      <c r="C2707" s="3">
        <v>52</v>
      </c>
      <c r="E2707" t="s">
        <v>7861</v>
      </c>
    </row>
    <row r="2708" spans="1:5" x14ac:dyDescent="0.25">
      <c r="A2708" s="1" t="s">
        <v>2707</v>
      </c>
      <c r="C2708" s="3">
        <v>52</v>
      </c>
      <c r="E2708" t="s">
        <v>3567</v>
      </c>
    </row>
    <row r="2709" spans="1:5" x14ac:dyDescent="0.25">
      <c r="A2709" s="1" t="s">
        <v>2708</v>
      </c>
      <c r="C2709" s="3">
        <v>52</v>
      </c>
      <c r="E2709" t="s">
        <v>696</v>
      </c>
    </row>
    <row r="2710" spans="1:5" x14ac:dyDescent="0.25">
      <c r="A2710" s="1" t="s">
        <v>2709</v>
      </c>
      <c r="C2710" s="3">
        <v>52</v>
      </c>
      <c r="E2710" t="s">
        <v>2829</v>
      </c>
    </row>
    <row r="2711" spans="1:5" x14ac:dyDescent="0.25">
      <c r="A2711" s="1" t="s">
        <v>2710</v>
      </c>
      <c r="C2711" s="3">
        <v>52</v>
      </c>
      <c r="E2711" t="s">
        <v>4598</v>
      </c>
    </row>
    <row r="2712" spans="1:5" x14ac:dyDescent="0.25">
      <c r="A2712" s="1" t="s">
        <v>2711</v>
      </c>
      <c r="C2712" s="3">
        <v>52</v>
      </c>
      <c r="E2712" t="s">
        <v>2657</v>
      </c>
    </row>
    <row r="2713" spans="1:5" x14ac:dyDescent="0.25">
      <c r="A2713" s="1" t="s">
        <v>2712</v>
      </c>
      <c r="C2713" s="3">
        <v>52</v>
      </c>
      <c r="E2713" t="s">
        <v>8701</v>
      </c>
    </row>
    <row r="2714" spans="1:5" x14ac:dyDescent="0.25">
      <c r="A2714" s="1" t="s">
        <v>2713</v>
      </c>
      <c r="C2714" s="3">
        <v>52</v>
      </c>
      <c r="E2714" t="s">
        <v>3354</v>
      </c>
    </row>
    <row r="2715" spans="1:5" x14ac:dyDescent="0.25">
      <c r="A2715" s="1" t="s">
        <v>2714</v>
      </c>
      <c r="C2715" s="3">
        <v>51</v>
      </c>
      <c r="E2715" t="s">
        <v>7156</v>
      </c>
    </row>
    <row r="2716" spans="1:5" x14ac:dyDescent="0.25">
      <c r="A2716" s="1" t="s">
        <v>2715</v>
      </c>
      <c r="C2716" s="3">
        <v>51</v>
      </c>
      <c r="E2716" t="s">
        <v>822</v>
      </c>
    </row>
    <row r="2717" spans="1:5" x14ac:dyDescent="0.25">
      <c r="A2717" s="1" t="s">
        <v>2716</v>
      </c>
      <c r="C2717" s="3">
        <v>51</v>
      </c>
      <c r="E2717" t="s">
        <v>5658</v>
      </c>
    </row>
    <row r="2718" spans="1:5" x14ac:dyDescent="0.25">
      <c r="A2718" s="1" t="s">
        <v>2717</v>
      </c>
      <c r="C2718" s="3">
        <v>51</v>
      </c>
      <c r="E2718" t="s">
        <v>4441</v>
      </c>
    </row>
    <row r="2719" spans="1:5" x14ac:dyDescent="0.25">
      <c r="A2719" s="1" t="s">
        <v>2718</v>
      </c>
      <c r="C2719" s="3">
        <v>51</v>
      </c>
      <c r="E2719" t="s">
        <v>2479</v>
      </c>
    </row>
    <row r="2720" spans="1:5" x14ac:dyDescent="0.25">
      <c r="A2720" s="1" t="s">
        <v>2719</v>
      </c>
      <c r="C2720" s="3">
        <v>51</v>
      </c>
      <c r="E2720" t="s">
        <v>4783</v>
      </c>
    </row>
    <row r="2721" spans="1:5" x14ac:dyDescent="0.25">
      <c r="A2721" s="1" t="s">
        <v>2720</v>
      </c>
      <c r="C2721" s="3">
        <v>51</v>
      </c>
      <c r="E2721" t="s">
        <v>3331</v>
      </c>
    </row>
    <row r="2722" spans="1:5" x14ac:dyDescent="0.25">
      <c r="A2722" s="1" t="s">
        <v>2721</v>
      </c>
      <c r="C2722" s="3">
        <v>51</v>
      </c>
      <c r="E2722" t="s">
        <v>4721</v>
      </c>
    </row>
    <row r="2723" spans="1:5" x14ac:dyDescent="0.25">
      <c r="A2723" s="1" t="s">
        <v>2722</v>
      </c>
      <c r="C2723" s="3">
        <v>51</v>
      </c>
      <c r="E2723" t="s">
        <v>5653</v>
      </c>
    </row>
    <row r="2724" spans="1:5" x14ac:dyDescent="0.25">
      <c r="A2724" s="1" t="s">
        <v>2723</v>
      </c>
      <c r="C2724" s="3">
        <v>51</v>
      </c>
      <c r="E2724" t="s">
        <v>5586</v>
      </c>
    </row>
    <row r="2725" spans="1:5" x14ac:dyDescent="0.25">
      <c r="A2725" s="1" t="s">
        <v>2724</v>
      </c>
      <c r="C2725" s="3">
        <v>51</v>
      </c>
      <c r="E2725" t="s">
        <v>18376</v>
      </c>
    </row>
    <row r="2726" spans="1:5" x14ac:dyDescent="0.25">
      <c r="A2726" s="1" t="s">
        <v>2725</v>
      </c>
      <c r="C2726" s="3">
        <v>51</v>
      </c>
      <c r="E2726" t="s">
        <v>1838</v>
      </c>
    </row>
    <row r="2727" spans="1:5" x14ac:dyDescent="0.25">
      <c r="A2727" s="1" t="s">
        <v>2726</v>
      </c>
      <c r="C2727" s="3">
        <v>51</v>
      </c>
      <c r="E2727" t="s">
        <v>931</v>
      </c>
    </row>
    <row r="2728" spans="1:5" x14ac:dyDescent="0.25">
      <c r="A2728" s="1" t="s">
        <v>2727</v>
      </c>
      <c r="C2728" s="3">
        <v>51</v>
      </c>
      <c r="E2728" t="s">
        <v>1545</v>
      </c>
    </row>
    <row r="2729" spans="1:5" x14ac:dyDescent="0.25">
      <c r="A2729" s="1" t="s">
        <v>2728</v>
      </c>
      <c r="C2729" s="3">
        <v>51</v>
      </c>
      <c r="E2729" t="s">
        <v>11788</v>
      </c>
    </row>
    <row r="2730" spans="1:5" x14ac:dyDescent="0.25">
      <c r="A2730" s="1" t="s">
        <v>2729</v>
      </c>
      <c r="C2730" s="3">
        <v>51</v>
      </c>
      <c r="E2730" t="s">
        <v>1906</v>
      </c>
    </row>
    <row r="2731" spans="1:5" x14ac:dyDescent="0.25">
      <c r="A2731" s="1" t="s">
        <v>2730</v>
      </c>
      <c r="C2731" s="3">
        <v>51</v>
      </c>
      <c r="E2731" t="s">
        <v>14551</v>
      </c>
    </row>
    <row r="2732" spans="1:5" x14ac:dyDescent="0.25">
      <c r="A2732" s="1" t="s">
        <v>2731</v>
      </c>
      <c r="C2732" s="3">
        <v>51</v>
      </c>
      <c r="E2732" t="s">
        <v>96</v>
      </c>
    </row>
    <row r="2733" spans="1:5" x14ac:dyDescent="0.25">
      <c r="A2733" s="1" t="s">
        <v>2732</v>
      </c>
      <c r="C2733" s="3">
        <v>51</v>
      </c>
      <c r="E2733" t="s">
        <v>4092</v>
      </c>
    </row>
    <row r="2734" spans="1:5" x14ac:dyDescent="0.25">
      <c r="A2734" s="1" t="s">
        <v>2733</v>
      </c>
      <c r="C2734" s="3">
        <v>51</v>
      </c>
      <c r="E2734" t="s">
        <v>3411</v>
      </c>
    </row>
    <row r="2735" spans="1:5" x14ac:dyDescent="0.25">
      <c r="A2735" s="1" t="s">
        <v>2734</v>
      </c>
      <c r="C2735" s="3">
        <v>51</v>
      </c>
      <c r="E2735" t="s">
        <v>847</v>
      </c>
    </row>
    <row r="2736" spans="1:5" x14ac:dyDescent="0.25">
      <c r="A2736" s="1" t="s">
        <v>2735</v>
      </c>
      <c r="C2736" s="3">
        <v>51</v>
      </c>
      <c r="E2736" t="s">
        <v>10719</v>
      </c>
    </row>
    <row r="2737" spans="1:5" x14ac:dyDescent="0.25">
      <c r="A2737" s="1" t="s">
        <v>2736</v>
      </c>
      <c r="C2737" s="3">
        <v>51</v>
      </c>
      <c r="E2737" t="s">
        <v>448</v>
      </c>
    </row>
    <row r="2738" spans="1:5" x14ac:dyDescent="0.25">
      <c r="A2738" s="1" t="s">
        <v>2737</v>
      </c>
      <c r="C2738" s="3">
        <v>51</v>
      </c>
      <c r="E2738" t="s">
        <v>13637</v>
      </c>
    </row>
    <row r="2739" spans="1:5" x14ac:dyDescent="0.25">
      <c r="A2739" s="1" t="s">
        <v>2738</v>
      </c>
      <c r="C2739" s="3">
        <v>51</v>
      </c>
      <c r="E2739" t="s">
        <v>4634</v>
      </c>
    </row>
    <row r="2740" spans="1:5" x14ac:dyDescent="0.25">
      <c r="A2740" s="1" t="s">
        <v>2739</v>
      </c>
      <c r="C2740" s="3">
        <v>51</v>
      </c>
      <c r="E2740" t="s">
        <v>5359</v>
      </c>
    </row>
    <row r="2741" spans="1:5" x14ac:dyDescent="0.25">
      <c r="A2741" s="1" t="s">
        <v>2740</v>
      </c>
      <c r="C2741" s="3">
        <v>51</v>
      </c>
      <c r="E2741" t="s">
        <v>6087</v>
      </c>
    </row>
    <row r="2742" spans="1:5" x14ac:dyDescent="0.25">
      <c r="A2742" s="1" t="s">
        <v>2741</v>
      </c>
      <c r="C2742" s="3">
        <v>51</v>
      </c>
      <c r="E2742" t="s">
        <v>9753</v>
      </c>
    </row>
    <row r="2743" spans="1:5" x14ac:dyDescent="0.25">
      <c r="A2743" s="1" t="s">
        <v>2742</v>
      </c>
      <c r="C2743" s="3">
        <v>51</v>
      </c>
      <c r="E2743" t="s">
        <v>1501</v>
      </c>
    </row>
    <row r="2744" spans="1:5" x14ac:dyDescent="0.25">
      <c r="A2744" s="1" t="s">
        <v>2743</v>
      </c>
      <c r="C2744" s="3">
        <v>51</v>
      </c>
      <c r="E2744" t="s">
        <v>821</v>
      </c>
    </row>
    <row r="2745" spans="1:5" x14ac:dyDescent="0.25">
      <c r="A2745" s="1" t="s">
        <v>2744</v>
      </c>
      <c r="C2745" s="3">
        <v>51</v>
      </c>
      <c r="E2745" t="s">
        <v>14691</v>
      </c>
    </row>
    <row r="2746" spans="1:5" x14ac:dyDescent="0.25">
      <c r="A2746" s="1" t="s">
        <v>2745</v>
      </c>
      <c r="C2746" s="3">
        <v>51</v>
      </c>
      <c r="E2746" t="s">
        <v>2404</v>
      </c>
    </row>
    <row r="2747" spans="1:5" x14ac:dyDescent="0.25">
      <c r="A2747" s="1" t="s">
        <v>2746</v>
      </c>
      <c r="C2747" s="3">
        <v>51</v>
      </c>
      <c r="E2747" t="s">
        <v>3503</v>
      </c>
    </row>
    <row r="2748" spans="1:5" x14ac:dyDescent="0.25">
      <c r="A2748" s="1" t="s">
        <v>2747</v>
      </c>
      <c r="C2748" s="3">
        <v>51</v>
      </c>
      <c r="E2748" t="s">
        <v>2608</v>
      </c>
    </row>
    <row r="2749" spans="1:5" x14ac:dyDescent="0.25">
      <c r="A2749" s="1" t="s">
        <v>2748</v>
      </c>
      <c r="C2749" s="3">
        <v>51</v>
      </c>
      <c r="E2749" t="s">
        <v>6258</v>
      </c>
    </row>
    <row r="2750" spans="1:5" x14ac:dyDescent="0.25">
      <c r="A2750" s="1" t="s">
        <v>2749</v>
      </c>
      <c r="C2750" s="3">
        <v>51</v>
      </c>
      <c r="E2750" t="s">
        <v>5798</v>
      </c>
    </row>
    <row r="2751" spans="1:5" x14ac:dyDescent="0.25">
      <c r="A2751" s="1" t="s">
        <v>2750</v>
      </c>
      <c r="C2751" s="3">
        <v>51</v>
      </c>
      <c r="E2751" t="s">
        <v>5751</v>
      </c>
    </row>
    <row r="2752" spans="1:5" x14ac:dyDescent="0.25">
      <c r="A2752" s="1" t="s">
        <v>2751</v>
      </c>
      <c r="C2752" s="3">
        <v>51</v>
      </c>
      <c r="E2752" t="s">
        <v>2238</v>
      </c>
    </row>
    <row r="2753" spans="1:5" x14ac:dyDescent="0.25">
      <c r="A2753" s="1" t="s">
        <v>2752</v>
      </c>
      <c r="C2753" s="3">
        <v>51</v>
      </c>
      <c r="E2753" t="s">
        <v>2885</v>
      </c>
    </row>
    <row r="2754" spans="1:5" x14ac:dyDescent="0.25">
      <c r="A2754" s="1" t="s">
        <v>2753</v>
      </c>
      <c r="C2754" s="3">
        <v>51</v>
      </c>
      <c r="E2754" t="s">
        <v>8241</v>
      </c>
    </row>
    <row r="2755" spans="1:5" x14ac:dyDescent="0.25">
      <c r="A2755" s="1" t="s">
        <v>2754</v>
      </c>
      <c r="C2755" s="3">
        <v>51</v>
      </c>
      <c r="E2755" t="s">
        <v>15910</v>
      </c>
    </row>
    <row r="2756" spans="1:5" x14ac:dyDescent="0.25">
      <c r="A2756" s="1" t="s">
        <v>2755</v>
      </c>
      <c r="C2756" s="3">
        <v>51</v>
      </c>
      <c r="E2756" t="s">
        <v>18043</v>
      </c>
    </row>
    <row r="2757" spans="1:5" x14ac:dyDescent="0.25">
      <c r="A2757" s="1" t="s">
        <v>2756</v>
      </c>
      <c r="C2757" s="3">
        <v>51</v>
      </c>
      <c r="E2757" t="s">
        <v>12049</v>
      </c>
    </row>
    <row r="2758" spans="1:5" x14ac:dyDescent="0.25">
      <c r="A2758" s="1" t="s">
        <v>2757</v>
      </c>
      <c r="C2758" s="3">
        <v>51</v>
      </c>
      <c r="E2758" t="s">
        <v>5830</v>
      </c>
    </row>
    <row r="2759" spans="1:5" x14ac:dyDescent="0.25">
      <c r="A2759" s="1" t="s">
        <v>2758</v>
      </c>
      <c r="C2759" s="3">
        <v>51</v>
      </c>
      <c r="E2759" t="s">
        <v>125</v>
      </c>
    </row>
    <row r="2760" spans="1:5" x14ac:dyDescent="0.25">
      <c r="A2760" s="1" t="s">
        <v>2759</v>
      </c>
      <c r="C2760" s="3">
        <v>51</v>
      </c>
      <c r="E2760" t="s">
        <v>2103</v>
      </c>
    </row>
    <row r="2761" spans="1:5" x14ac:dyDescent="0.25">
      <c r="A2761" s="1" t="s">
        <v>2760</v>
      </c>
      <c r="C2761" s="3">
        <v>51</v>
      </c>
      <c r="E2761" t="s">
        <v>16607</v>
      </c>
    </row>
    <row r="2762" spans="1:5" x14ac:dyDescent="0.25">
      <c r="A2762" s="1" t="s">
        <v>2761</v>
      </c>
      <c r="C2762" s="3">
        <v>51</v>
      </c>
      <c r="E2762" t="s">
        <v>9910</v>
      </c>
    </row>
    <row r="2763" spans="1:5" x14ac:dyDescent="0.25">
      <c r="A2763" s="1" t="s">
        <v>2762</v>
      </c>
      <c r="C2763" s="3">
        <v>51</v>
      </c>
      <c r="E2763" t="s">
        <v>19145</v>
      </c>
    </row>
    <row r="2764" spans="1:5" x14ac:dyDescent="0.25">
      <c r="A2764" s="1" t="s">
        <v>2763</v>
      </c>
      <c r="C2764" s="3">
        <v>51</v>
      </c>
      <c r="E2764" t="s">
        <v>3470</v>
      </c>
    </row>
    <row r="2765" spans="1:5" x14ac:dyDescent="0.25">
      <c r="A2765" s="1" t="s">
        <v>2764</v>
      </c>
      <c r="C2765" s="3">
        <v>51</v>
      </c>
      <c r="E2765" t="s">
        <v>6298</v>
      </c>
    </row>
    <row r="2766" spans="1:5" x14ac:dyDescent="0.25">
      <c r="A2766" s="1" t="s">
        <v>2765</v>
      </c>
      <c r="C2766" s="3">
        <v>51</v>
      </c>
      <c r="E2766" t="s">
        <v>5648</v>
      </c>
    </row>
    <row r="2767" spans="1:5" x14ac:dyDescent="0.25">
      <c r="A2767" s="1" t="s">
        <v>2766</v>
      </c>
      <c r="C2767" s="3">
        <v>51</v>
      </c>
      <c r="E2767" t="s">
        <v>5052</v>
      </c>
    </row>
    <row r="2768" spans="1:5" x14ac:dyDescent="0.25">
      <c r="A2768" s="1" t="s">
        <v>2767</v>
      </c>
      <c r="C2768" s="3">
        <v>51</v>
      </c>
      <c r="E2768" t="s">
        <v>6214</v>
      </c>
    </row>
    <row r="2769" spans="1:5" x14ac:dyDescent="0.25">
      <c r="A2769" s="1" t="s">
        <v>2768</v>
      </c>
      <c r="C2769" s="3">
        <v>51</v>
      </c>
      <c r="E2769" t="s">
        <v>235</v>
      </c>
    </row>
    <row r="2770" spans="1:5" x14ac:dyDescent="0.25">
      <c r="A2770" s="1" t="s">
        <v>2769</v>
      </c>
      <c r="C2770" s="3">
        <v>51</v>
      </c>
      <c r="E2770" t="s">
        <v>8117</v>
      </c>
    </row>
    <row r="2771" spans="1:5" x14ac:dyDescent="0.25">
      <c r="A2771" s="2" t="s">
        <v>2770</v>
      </c>
      <c r="C2771" s="4">
        <v>50</v>
      </c>
      <c r="E2771" t="s">
        <v>5186</v>
      </c>
    </row>
    <row r="2772" spans="1:5" x14ac:dyDescent="0.25">
      <c r="A2772" s="1" t="s">
        <v>2771</v>
      </c>
      <c r="C2772" s="3">
        <v>50</v>
      </c>
      <c r="E2772" t="s">
        <v>2106</v>
      </c>
    </row>
    <row r="2773" spans="1:5" x14ac:dyDescent="0.25">
      <c r="A2773" s="1" t="s">
        <v>2772</v>
      </c>
      <c r="C2773" s="3">
        <v>50</v>
      </c>
      <c r="E2773" t="s">
        <v>2680</v>
      </c>
    </row>
    <row r="2774" spans="1:5" x14ac:dyDescent="0.25">
      <c r="A2774" s="1" t="s">
        <v>2773</v>
      </c>
      <c r="C2774" s="3">
        <v>50</v>
      </c>
      <c r="E2774" t="s">
        <v>1116</v>
      </c>
    </row>
    <row r="2775" spans="1:5" x14ac:dyDescent="0.25">
      <c r="A2775" s="1" t="s">
        <v>2774</v>
      </c>
      <c r="C2775" s="3">
        <v>50</v>
      </c>
      <c r="E2775" t="s">
        <v>4582</v>
      </c>
    </row>
    <row r="2776" spans="1:5" x14ac:dyDescent="0.25">
      <c r="A2776" s="1" t="s">
        <v>2775</v>
      </c>
      <c r="C2776" s="3">
        <v>50</v>
      </c>
      <c r="E2776" t="s">
        <v>6774</v>
      </c>
    </row>
    <row r="2777" spans="1:5" x14ac:dyDescent="0.25">
      <c r="A2777" s="1" t="s">
        <v>2776</v>
      </c>
      <c r="C2777" s="3">
        <v>50</v>
      </c>
      <c r="E2777" t="s">
        <v>7813</v>
      </c>
    </row>
    <row r="2778" spans="1:5" x14ac:dyDescent="0.25">
      <c r="A2778" s="1" t="s">
        <v>2777</v>
      </c>
      <c r="C2778" s="3">
        <v>50</v>
      </c>
      <c r="E2778" t="s">
        <v>10836</v>
      </c>
    </row>
    <row r="2779" spans="1:5" x14ac:dyDescent="0.25">
      <c r="A2779" s="1" t="s">
        <v>2778</v>
      </c>
      <c r="C2779" s="3">
        <v>50</v>
      </c>
      <c r="E2779" t="s">
        <v>14581</v>
      </c>
    </row>
    <row r="2780" spans="1:5" x14ac:dyDescent="0.25">
      <c r="A2780" s="1" t="s">
        <v>2779</v>
      </c>
      <c r="C2780" s="3">
        <v>50</v>
      </c>
      <c r="E2780" t="s">
        <v>5148</v>
      </c>
    </row>
    <row r="2781" spans="1:5" x14ac:dyDescent="0.25">
      <c r="A2781" s="1" t="s">
        <v>2780</v>
      </c>
      <c r="C2781" s="3">
        <v>50</v>
      </c>
      <c r="E2781" t="s">
        <v>8818</v>
      </c>
    </row>
    <row r="2782" spans="1:5" x14ac:dyDescent="0.25">
      <c r="A2782" s="1" t="s">
        <v>2781</v>
      </c>
      <c r="C2782" s="3">
        <v>50</v>
      </c>
      <c r="E2782" t="s">
        <v>303</v>
      </c>
    </row>
    <row r="2783" spans="1:5" x14ac:dyDescent="0.25">
      <c r="A2783" s="1" t="s">
        <v>2782</v>
      </c>
      <c r="C2783" s="3">
        <v>50</v>
      </c>
      <c r="E2783" t="s">
        <v>5567</v>
      </c>
    </row>
    <row r="2784" spans="1:5" x14ac:dyDescent="0.25">
      <c r="A2784" s="1" t="s">
        <v>2783</v>
      </c>
      <c r="C2784" s="3">
        <v>50</v>
      </c>
      <c r="E2784" t="s">
        <v>1952</v>
      </c>
    </row>
    <row r="2785" spans="1:5" x14ac:dyDescent="0.25">
      <c r="A2785" s="1" t="s">
        <v>2784</v>
      </c>
      <c r="C2785" s="3">
        <v>50</v>
      </c>
      <c r="E2785" t="s">
        <v>2339</v>
      </c>
    </row>
    <row r="2786" spans="1:5" x14ac:dyDescent="0.25">
      <c r="A2786" s="1" t="s">
        <v>2785</v>
      </c>
      <c r="C2786" s="3">
        <v>50</v>
      </c>
      <c r="E2786" t="s">
        <v>1953</v>
      </c>
    </row>
    <row r="2787" spans="1:5" x14ac:dyDescent="0.25">
      <c r="A2787" s="1" t="s">
        <v>2786</v>
      </c>
      <c r="C2787" s="3">
        <v>50</v>
      </c>
      <c r="E2787" t="s">
        <v>7060</v>
      </c>
    </row>
    <row r="2788" spans="1:5" x14ac:dyDescent="0.25">
      <c r="A2788" s="1" t="s">
        <v>2787</v>
      </c>
      <c r="C2788" s="3">
        <v>50</v>
      </c>
      <c r="E2788" t="s">
        <v>18844</v>
      </c>
    </row>
    <row r="2789" spans="1:5" x14ac:dyDescent="0.25">
      <c r="A2789" s="1" t="s">
        <v>2788</v>
      </c>
      <c r="C2789" s="3">
        <v>50</v>
      </c>
      <c r="E2789" t="s">
        <v>9926</v>
      </c>
    </row>
    <row r="2790" spans="1:5" x14ac:dyDescent="0.25">
      <c r="A2790" s="1" t="s">
        <v>2789</v>
      </c>
      <c r="C2790" s="3">
        <v>50</v>
      </c>
      <c r="E2790" t="s">
        <v>3270</v>
      </c>
    </row>
    <row r="2791" spans="1:5" x14ac:dyDescent="0.25">
      <c r="A2791" s="1" t="s">
        <v>2790</v>
      </c>
      <c r="C2791" s="3">
        <v>50</v>
      </c>
      <c r="E2791" t="s">
        <v>1863</v>
      </c>
    </row>
    <row r="2792" spans="1:5" x14ac:dyDescent="0.25">
      <c r="A2792" s="1" t="s">
        <v>2791</v>
      </c>
      <c r="C2792" s="3">
        <v>50</v>
      </c>
      <c r="E2792" t="s">
        <v>883</v>
      </c>
    </row>
    <row r="2793" spans="1:5" x14ac:dyDescent="0.25">
      <c r="A2793" s="1" t="s">
        <v>2792</v>
      </c>
      <c r="C2793" s="3">
        <v>50</v>
      </c>
      <c r="E2793" t="s">
        <v>9060</v>
      </c>
    </row>
    <row r="2794" spans="1:5" x14ac:dyDescent="0.25">
      <c r="A2794" s="1" t="s">
        <v>2793</v>
      </c>
      <c r="C2794" s="3">
        <v>50</v>
      </c>
      <c r="E2794" t="s">
        <v>6180</v>
      </c>
    </row>
    <row r="2795" spans="1:5" x14ac:dyDescent="0.25">
      <c r="A2795" s="1" t="s">
        <v>2794</v>
      </c>
      <c r="C2795" s="3">
        <v>50</v>
      </c>
      <c r="E2795" t="s">
        <v>6164</v>
      </c>
    </row>
    <row r="2796" spans="1:5" x14ac:dyDescent="0.25">
      <c r="A2796" s="1" t="s">
        <v>2795</v>
      </c>
      <c r="C2796" s="3">
        <v>50</v>
      </c>
      <c r="E2796" t="s">
        <v>441</v>
      </c>
    </row>
    <row r="2797" spans="1:5" x14ac:dyDescent="0.25">
      <c r="A2797" s="1" t="s">
        <v>2796</v>
      </c>
      <c r="C2797" s="3">
        <v>50</v>
      </c>
      <c r="E2797" t="s">
        <v>2899</v>
      </c>
    </row>
    <row r="2798" spans="1:5" x14ac:dyDescent="0.25">
      <c r="A2798" s="1" t="s">
        <v>2797</v>
      </c>
      <c r="C2798" s="3">
        <v>50</v>
      </c>
      <c r="E2798" t="s">
        <v>4467</v>
      </c>
    </row>
    <row r="2799" spans="1:5" x14ac:dyDescent="0.25">
      <c r="A2799" s="1" t="s">
        <v>2798</v>
      </c>
      <c r="C2799" s="3">
        <v>50</v>
      </c>
      <c r="E2799" t="s">
        <v>2446</v>
      </c>
    </row>
    <row r="2800" spans="1:5" x14ac:dyDescent="0.25">
      <c r="A2800" s="1" t="s">
        <v>2799</v>
      </c>
      <c r="C2800" s="3">
        <v>50</v>
      </c>
      <c r="E2800" t="s">
        <v>4553</v>
      </c>
    </row>
    <row r="2801" spans="1:5" x14ac:dyDescent="0.25">
      <c r="A2801" s="1" t="s">
        <v>2800</v>
      </c>
      <c r="C2801" s="3">
        <v>50</v>
      </c>
      <c r="E2801" t="s">
        <v>1023</v>
      </c>
    </row>
    <row r="2802" spans="1:5" x14ac:dyDescent="0.25">
      <c r="A2802" s="1" t="s">
        <v>2801</v>
      </c>
      <c r="C2802" s="3">
        <v>50</v>
      </c>
      <c r="E2802" t="s">
        <v>5209</v>
      </c>
    </row>
    <row r="2803" spans="1:5" x14ac:dyDescent="0.25">
      <c r="A2803" s="1" t="s">
        <v>2802</v>
      </c>
      <c r="C2803" s="3">
        <v>50</v>
      </c>
      <c r="E2803" t="s">
        <v>14019</v>
      </c>
    </row>
    <row r="2804" spans="1:5" x14ac:dyDescent="0.25">
      <c r="A2804" s="1" t="s">
        <v>2803</v>
      </c>
      <c r="C2804" s="3">
        <v>50</v>
      </c>
      <c r="E2804" t="s">
        <v>166</v>
      </c>
    </row>
    <row r="2805" spans="1:5" x14ac:dyDescent="0.25">
      <c r="A2805" s="1" t="s">
        <v>2804</v>
      </c>
      <c r="C2805" s="3">
        <v>50</v>
      </c>
      <c r="E2805" t="s">
        <v>2924</v>
      </c>
    </row>
    <row r="2806" spans="1:5" x14ac:dyDescent="0.25">
      <c r="A2806" s="1" t="s">
        <v>2805</v>
      </c>
      <c r="C2806" s="3">
        <v>50</v>
      </c>
      <c r="E2806" t="s">
        <v>3421</v>
      </c>
    </row>
    <row r="2807" spans="1:5" x14ac:dyDescent="0.25">
      <c r="A2807" s="1" t="s">
        <v>2806</v>
      </c>
      <c r="C2807" s="3">
        <v>50</v>
      </c>
      <c r="E2807" t="s">
        <v>3279</v>
      </c>
    </row>
    <row r="2808" spans="1:5" x14ac:dyDescent="0.25">
      <c r="A2808" s="1" t="s">
        <v>2807</v>
      </c>
      <c r="C2808" s="3">
        <v>50</v>
      </c>
      <c r="E2808" t="s">
        <v>12119</v>
      </c>
    </row>
    <row r="2809" spans="1:5" x14ac:dyDescent="0.25">
      <c r="A2809" s="1" t="s">
        <v>2808</v>
      </c>
      <c r="C2809" s="3">
        <v>50</v>
      </c>
      <c r="E2809" t="s">
        <v>6739</v>
      </c>
    </row>
    <row r="2810" spans="1:5" x14ac:dyDescent="0.25">
      <c r="A2810" s="1" t="s">
        <v>2809</v>
      </c>
      <c r="C2810" s="3">
        <v>50</v>
      </c>
      <c r="E2810" t="s">
        <v>18382</v>
      </c>
    </row>
    <row r="2811" spans="1:5" x14ac:dyDescent="0.25">
      <c r="A2811" s="1" t="s">
        <v>2810</v>
      </c>
      <c r="C2811" s="3">
        <v>50</v>
      </c>
      <c r="E2811" t="s">
        <v>8352</v>
      </c>
    </row>
    <row r="2812" spans="1:5" x14ac:dyDescent="0.25">
      <c r="A2812" s="1" t="s">
        <v>2811</v>
      </c>
      <c r="C2812" s="3">
        <v>50</v>
      </c>
      <c r="E2812" t="s">
        <v>23730</v>
      </c>
    </row>
    <row r="2813" spans="1:5" x14ac:dyDescent="0.25">
      <c r="A2813" s="1" t="s">
        <v>2812</v>
      </c>
      <c r="C2813" s="3">
        <v>50</v>
      </c>
      <c r="E2813" t="s">
        <v>6150</v>
      </c>
    </row>
    <row r="2814" spans="1:5" x14ac:dyDescent="0.25">
      <c r="A2814" s="1" t="s">
        <v>2813</v>
      </c>
      <c r="C2814" s="3">
        <v>50</v>
      </c>
      <c r="E2814" t="s">
        <v>16453</v>
      </c>
    </row>
    <row r="2815" spans="1:5" x14ac:dyDescent="0.25">
      <c r="A2815" s="1" t="s">
        <v>2814</v>
      </c>
      <c r="C2815" s="3">
        <v>50</v>
      </c>
      <c r="E2815" t="s">
        <v>10777</v>
      </c>
    </row>
    <row r="2816" spans="1:5" x14ac:dyDescent="0.25">
      <c r="A2816" s="1" t="s">
        <v>2815</v>
      </c>
      <c r="C2816" s="3">
        <v>50</v>
      </c>
      <c r="E2816" t="s">
        <v>19666</v>
      </c>
    </row>
    <row r="2817" spans="1:5" x14ac:dyDescent="0.25">
      <c r="A2817" s="1" t="s">
        <v>2816</v>
      </c>
      <c r="C2817" s="3">
        <v>50</v>
      </c>
      <c r="E2817" t="s">
        <v>2090</v>
      </c>
    </row>
    <row r="2818" spans="1:5" x14ac:dyDescent="0.25">
      <c r="A2818" s="1" t="s">
        <v>2817</v>
      </c>
      <c r="C2818" s="3">
        <v>50</v>
      </c>
      <c r="E2818" t="s">
        <v>19917</v>
      </c>
    </row>
    <row r="2819" spans="1:5" x14ac:dyDescent="0.25">
      <c r="A2819" s="1" t="s">
        <v>2818</v>
      </c>
      <c r="C2819" s="3">
        <v>50</v>
      </c>
      <c r="E2819" t="s">
        <v>9621</v>
      </c>
    </row>
    <row r="2820" spans="1:5" x14ac:dyDescent="0.25">
      <c r="A2820" s="1" t="s">
        <v>2819</v>
      </c>
      <c r="C2820" s="3">
        <v>50</v>
      </c>
      <c r="E2820" t="s">
        <v>9176</v>
      </c>
    </row>
    <row r="2821" spans="1:5" x14ac:dyDescent="0.25">
      <c r="A2821" s="1" t="s">
        <v>2820</v>
      </c>
      <c r="C2821" s="3">
        <v>50</v>
      </c>
      <c r="E2821" t="s">
        <v>4229</v>
      </c>
    </row>
    <row r="2822" spans="1:5" x14ac:dyDescent="0.25">
      <c r="A2822" s="1" t="s">
        <v>2821</v>
      </c>
      <c r="C2822" s="3">
        <v>50</v>
      </c>
      <c r="E2822" t="s">
        <v>27</v>
      </c>
    </row>
    <row r="2823" spans="1:5" x14ac:dyDescent="0.25">
      <c r="A2823" s="1" t="s">
        <v>2822</v>
      </c>
      <c r="C2823" s="3">
        <v>50</v>
      </c>
      <c r="E2823" t="s">
        <v>10543</v>
      </c>
    </row>
    <row r="2824" spans="1:5" x14ac:dyDescent="0.25">
      <c r="A2824" s="1" t="s">
        <v>2823</v>
      </c>
      <c r="C2824" s="3">
        <v>50</v>
      </c>
      <c r="E2824" t="s">
        <v>234</v>
      </c>
    </row>
    <row r="2825" spans="1:5" x14ac:dyDescent="0.25">
      <c r="A2825" s="1" t="s">
        <v>2824</v>
      </c>
      <c r="C2825" s="3">
        <v>50</v>
      </c>
      <c r="E2825" t="s">
        <v>2818</v>
      </c>
    </row>
    <row r="2826" spans="1:5" x14ac:dyDescent="0.25">
      <c r="A2826" s="1" t="s">
        <v>2825</v>
      </c>
      <c r="C2826" s="3">
        <v>50</v>
      </c>
      <c r="E2826" t="s">
        <v>13839</v>
      </c>
    </row>
    <row r="2827" spans="1:5" x14ac:dyDescent="0.25">
      <c r="A2827" s="1" t="s">
        <v>2826</v>
      </c>
      <c r="C2827" s="3">
        <v>49</v>
      </c>
      <c r="E2827" t="s">
        <v>1252</v>
      </c>
    </row>
    <row r="2828" spans="1:5" x14ac:dyDescent="0.25">
      <c r="A2828" s="1" t="s">
        <v>2827</v>
      </c>
      <c r="C2828" s="3">
        <v>49</v>
      </c>
      <c r="E2828" t="s">
        <v>24962</v>
      </c>
    </row>
    <row r="2829" spans="1:5" x14ac:dyDescent="0.25">
      <c r="A2829" s="1" t="s">
        <v>2828</v>
      </c>
      <c r="C2829" s="3">
        <v>49</v>
      </c>
      <c r="E2829" t="s">
        <v>3159</v>
      </c>
    </row>
    <row r="2830" spans="1:5" x14ac:dyDescent="0.25">
      <c r="A2830" s="1" t="s">
        <v>2829</v>
      </c>
      <c r="C2830" s="3">
        <v>49</v>
      </c>
      <c r="E2830" t="s">
        <v>2020</v>
      </c>
    </row>
    <row r="2831" spans="1:5" x14ac:dyDescent="0.25">
      <c r="A2831" s="1" t="s">
        <v>2830</v>
      </c>
      <c r="C2831" s="3">
        <v>49</v>
      </c>
      <c r="E2831" t="s">
        <v>6038</v>
      </c>
    </row>
    <row r="2832" spans="1:5" x14ac:dyDescent="0.25">
      <c r="A2832" s="1" t="s">
        <v>2831</v>
      </c>
      <c r="C2832" s="3">
        <v>49</v>
      </c>
      <c r="E2832" t="s">
        <v>16342</v>
      </c>
    </row>
    <row r="2833" spans="1:5" x14ac:dyDescent="0.25">
      <c r="A2833" s="1" t="s">
        <v>2832</v>
      </c>
      <c r="C2833" s="3">
        <v>49</v>
      </c>
      <c r="E2833" t="s">
        <v>482</v>
      </c>
    </row>
    <row r="2834" spans="1:5" x14ac:dyDescent="0.25">
      <c r="A2834" s="1" t="s">
        <v>2833</v>
      </c>
      <c r="C2834" s="3">
        <v>49</v>
      </c>
      <c r="E2834" t="s">
        <v>1453</v>
      </c>
    </row>
    <row r="2835" spans="1:5" x14ac:dyDescent="0.25">
      <c r="A2835" s="1" t="s">
        <v>2834</v>
      </c>
      <c r="C2835" s="3">
        <v>49</v>
      </c>
      <c r="E2835" t="s">
        <v>3350</v>
      </c>
    </row>
    <row r="2836" spans="1:5" x14ac:dyDescent="0.25">
      <c r="A2836" s="1" t="s">
        <v>2835</v>
      </c>
      <c r="C2836" s="3">
        <v>49</v>
      </c>
      <c r="E2836" t="s">
        <v>4794</v>
      </c>
    </row>
    <row r="2837" spans="1:5" x14ac:dyDescent="0.25">
      <c r="A2837" s="1" t="s">
        <v>2836</v>
      </c>
      <c r="C2837" s="3">
        <v>49</v>
      </c>
      <c r="E2837" t="s">
        <v>1484</v>
      </c>
    </row>
    <row r="2838" spans="1:5" x14ac:dyDescent="0.25">
      <c r="A2838" s="1" t="s">
        <v>2837</v>
      </c>
      <c r="C2838" s="3">
        <v>49</v>
      </c>
      <c r="E2838" t="s">
        <v>5085</v>
      </c>
    </row>
    <row r="2839" spans="1:5" x14ac:dyDescent="0.25">
      <c r="A2839" s="1" t="s">
        <v>2838</v>
      </c>
      <c r="C2839" s="3">
        <v>49</v>
      </c>
      <c r="E2839" t="s">
        <v>513</v>
      </c>
    </row>
    <row r="2840" spans="1:5" x14ac:dyDescent="0.25">
      <c r="A2840" s="1" t="s">
        <v>2839</v>
      </c>
      <c r="C2840" s="3">
        <v>49</v>
      </c>
      <c r="E2840" t="s">
        <v>3004</v>
      </c>
    </row>
    <row r="2841" spans="1:5" x14ac:dyDescent="0.25">
      <c r="A2841" s="1" t="s">
        <v>2840</v>
      </c>
      <c r="C2841" s="3">
        <v>49</v>
      </c>
      <c r="E2841" t="s">
        <v>5651</v>
      </c>
    </row>
    <row r="2842" spans="1:5" x14ac:dyDescent="0.25">
      <c r="A2842" s="1" t="s">
        <v>2841</v>
      </c>
      <c r="C2842" s="3">
        <v>49</v>
      </c>
      <c r="E2842" t="s">
        <v>7786</v>
      </c>
    </row>
    <row r="2843" spans="1:5" x14ac:dyDescent="0.25">
      <c r="A2843" s="1" t="s">
        <v>2842</v>
      </c>
      <c r="C2843" s="3">
        <v>49</v>
      </c>
      <c r="E2843" t="s">
        <v>14709</v>
      </c>
    </row>
    <row r="2844" spans="1:5" x14ac:dyDescent="0.25">
      <c r="A2844" s="1" t="s">
        <v>2843</v>
      </c>
      <c r="C2844" s="3">
        <v>49</v>
      </c>
      <c r="E2844" t="s">
        <v>22554</v>
      </c>
    </row>
    <row r="2845" spans="1:5" x14ac:dyDescent="0.25">
      <c r="A2845" s="1" t="s">
        <v>2844</v>
      </c>
      <c r="C2845" s="3">
        <v>49</v>
      </c>
      <c r="E2845" t="s">
        <v>172</v>
      </c>
    </row>
    <row r="2846" spans="1:5" x14ac:dyDescent="0.25">
      <c r="A2846" s="1" t="s">
        <v>2845</v>
      </c>
      <c r="C2846" s="3">
        <v>49</v>
      </c>
      <c r="E2846" t="s">
        <v>20073</v>
      </c>
    </row>
    <row r="2847" spans="1:5" x14ac:dyDescent="0.25">
      <c r="A2847" s="1" t="s">
        <v>2846</v>
      </c>
      <c r="C2847" s="3">
        <v>49</v>
      </c>
      <c r="E2847" t="s">
        <v>3888</v>
      </c>
    </row>
    <row r="2848" spans="1:5" x14ac:dyDescent="0.25">
      <c r="A2848" s="1" t="s">
        <v>2847</v>
      </c>
      <c r="C2848" s="3">
        <v>49</v>
      </c>
      <c r="E2848" t="s">
        <v>10441</v>
      </c>
    </row>
    <row r="2849" spans="1:5" x14ac:dyDescent="0.25">
      <c r="A2849" s="1" t="s">
        <v>2848</v>
      </c>
      <c r="C2849" s="3">
        <v>49</v>
      </c>
      <c r="E2849" t="s">
        <v>4766</v>
      </c>
    </row>
    <row r="2850" spans="1:5" x14ac:dyDescent="0.25">
      <c r="A2850" s="1" t="s">
        <v>2849</v>
      </c>
      <c r="C2850" s="3">
        <v>49</v>
      </c>
      <c r="E2850" t="s">
        <v>1691</v>
      </c>
    </row>
    <row r="2851" spans="1:5" x14ac:dyDescent="0.25">
      <c r="A2851" s="1" t="s">
        <v>2850</v>
      </c>
      <c r="C2851" s="3">
        <v>49</v>
      </c>
      <c r="E2851" t="s">
        <v>5496</v>
      </c>
    </row>
    <row r="2852" spans="1:5" x14ac:dyDescent="0.25">
      <c r="A2852" s="1" t="s">
        <v>2851</v>
      </c>
      <c r="C2852" s="3">
        <v>49</v>
      </c>
      <c r="E2852" t="s">
        <v>11378</v>
      </c>
    </row>
    <row r="2853" spans="1:5" x14ac:dyDescent="0.25">
      <c r="A2853" s="1" t="s">
        <v>2852</v>
      </c>
      <c r="C2853" s="3">
        <v>49</v>
      </c>
      <c r="E2853" t="s">
        <v>4416</v>
      </c>
    </row>
    <row r="2854" spans="1:5" x14ac:dyDescent="0.25">
      <c r="A2854" s="1" t="s">
        <v>2853</v>
      </c>
      <c r="C2854" s="3">
        <v>49</v>
      </c>
      <c r="E2854" t="s">
        <v>1194</v>
      </c>
    </row>
    <row r="2855" spans="1:5" x14ac:dyDescent="0.25">
      <c r="A2855" s="1" t="s">
        <v>2854</v>
      </c>
      <c r="C2855" s="3">
        <v>49</v>
      </c>
      <c r="E2855" t="s">
        <v>16904</v>
      </c>
    </row>
    <row r="2856" spans="1:5" x14ac:dyDescent="0.25">
      <c r="A2856" s="1" t="s">
        <v>2855</v>
      </c>
      <c r="C2856" s="3">
        <v>49</v>
      </c>
      <c r="E2856" t="s">
        <v>848</v>
      </c>
    </row>
    <row r="2857" spans="1:5" x14ac:dyDescent="0.25">
      <c r="A2857" s="1" t="s">
        <v>2856</v>
      </c>
      <c r="C2857" s="3">
        <v>49</v>
      </c>
      <c r="E2857" t="s">
        <v>3380</v>
      </c>
    </row>
    <row r="2858" spans="1:5" x14ac:dyDescent="0.25">
      <c r="A2858" s="1" t="s">
        <v>2857</v>
      </c>
      <c r="C2858" s="3">
        <v>49</v>
      </c>
      <c r="E2858" t="s">
        <v>9689</v>
      </c>
    </row>
    <row r="2859" spans="1:5" x14ac:dyDescent="0.25">
      <c r="A2859" s="1" t="s">
        <v>2858</v>
      </c>
      <c r="C2859" s="3">
        <v>49</v>
      </c>
      <c r="E2859" t="s">
        <v>3032</v>
      </c>
    </row>
    <row r="2860" spans="1:5" x14ac:dyDescent="0.25">
      <c r="A2860" s="1" t="s">
        <v>2859</v>
      </c>
      <c r="C2860" s="3">
        <v>49</v>
      </c>
      <c r="E2860" t="s">
        <v>15243</v>
      </c>
    </row>
    <row r="2861" spans="1:5" x14ac:dyDescent="0.25">
      <c r="A2861" s="1" t="s">
        <v>2860</v>
      </c>
      <c r="C2861" s="3">
        <v>49</v>
      </c>
      <c r="E2861" t="s">
        <v>7464</v>
      </c>
    </row>
    <row r="2862" spans="1:5" x14ac:dyDescent="0.25">
      <c r="A2862" s="1" t="s">
        <v>2861</v>
      </c>
      <c r="C2862" s="3">
        <v>49</v>
      </c>
      <c r="E2862" t="s">
        <v>6574</v>
      </c>
    </row>
    <row r="2863" spans="1:5" x14ac:dyDescent="0.25">
      <c r="A2863" s="1" t="s">
        <v>2862</v>
      </c>
      <c r="C2863" s="3">
        <v>49</v>
      </c>
      <c r="E2863" t="s">
        <v>2365</v>
      </c>
    </row>
    <row r="2864" spans="1:5" x14ac:dyDescent="0.25">
      <c r="A2864" s="1" t="s">
        <v>2863</v>
      </c>
      <c r="C2864" s="3">
        <v>49</v>
      </c>
      <c r="E2864" t="s">
        <v>1914</v>
      </c>
    </row>
    <row r="2865" spans="1:5" x14ac:dyDescent="0.25">
      <c r="A2865" s="1" t="s">
        <v>2864</v>
      </c>
      <c r="C2865" s="3">
        <v>49</v>
      </c>
      <c r="E2865" t="s">
        <v>3437</v>
      </c>
    </row>
    <row r="2866" spans="1:5" x14ac:dyDescent="0.25">
      <c r="A2866" s="1" t="s">
        <v>2865</v>
      </c>
      <c r="C2866" s="3">
        <v>49</v>
      </c>
      <c r="E2866" t="s">
        <v>347</v>
      </c>
    </row>
    <row r="2867" spans="1:5" x14ac:dyDescent="0.25">
      <c r="A2867" s="1" t="s">
        <v>2866</v>
      </c>
      <c r="C2867" s="3">
        <v>49</v>
      </c>
      <c r="E2867" t="s">
        <v>4697</v>
      </c>
    </row>
    <row r="2868" spans="1:5" x14ac:dyDescent="0.25">
      <c r="A2868" s="1" t="s">
        <v>2867</v>
      </c>
      <c r="C2868" s="3">
        <v>49</v>
      </c>
      <c r="E2868" t="s">
        <v>2736</v>
      </c>
    </row>
    <row r="2869" spans="1:5" x14ac:dyDescent="0.25">
      <c r="A2869" s="1" t="s">
        <v>2868</v>
      </c>
      <c r="C2869" s="3">
        <v>49</v>
      </c>
      <c r="E2869" t="s">
        <v>8190</v>
      </c>
    </row>
    <row r="2870" spans="1:5" x14ac:dyDescent="0.25">
      <c r="A2870" s="1" t="s">
        <v>2869</v>
      </c>
      <c r="C2870" s="3">
        <v>49</v>
      </c>
      <c r="E2870" t="s">
        <v>8314</v>
      </c>
    </row>
    <row r="2871" spans="1:5" x14ac:dyDescent="0.25">
      <c r="A2871" s="1" t="s">
        <v>2870</v>
      </c>
      <c r="C2871" s="3">
        <v>49</v>
      </c>
      <c r="E2871" t="s">
        <v>1020</v>
      </c>
    </row>
    <row r="2872" spans="1:5" x14ac:dyDescent="0.25">
      <c r="A2872" s="1" t="s">
        <v>2871</v>
      </c>
      <c r="C2872" s="3">
        <v>49</v>
      </c>
      <c r="E2872" t="s">
        <v>953</v>
      </c>
    </row>
    <row r="2873" spans="1:5" x14ac:dyDescent="0.25">
      <c r="A2873" s="1" t="s">
        <v>2872</v>
      </c>
      <c r="C2873" s="3">
        <v>49</v>
      </c>
      <c r="E2873" t="s">
        <v>25121</v>
      </c>
    </row>
    <row r="2874" spans="1:5" x14ac:dyDescent="0.25">
      <c r="A2874" s="1" t="s">
        <v>2873</v>
      </c>
      <c r="C2874" s="3">
        <v>49</v>
      </c>
      <c r="E2874" t="s">
        <v>5928</v>
      </c>
    </row>
    <row r="2875" spans="1:5" x14ac:dyDescent="0.25">
      <c r="A2875" s="1" t="s">
        <v>2874</v>
      </c>
      <c r="C2875" s="3">
        <v>49</v>
      </c>
      <c r="E2875" t="s">
        <v>10082</v>
      </c>
    </row>
    <row r="2876" spans="1:5" x14ac:dyDescent="0.25">
      <c r="A2876" s="1" t="s">
        <v>2875</v>
      </c>
      <c r="C2876" s="3">
        <v>48</v>
      </c>
      <c r="E2876" t="s">
        <v>7376</v>
      </c>
    </row>
    <row r="2877" spans="1:5" x14ac:dyDescent="0.25">
      <c r="A2877" s="1" t="s">
        <v>2876</v>
      </c>
      <c r="C2877" s="3">
        <v>48</v>
      </c>
      <c r="E2877" t="s">
        <v>10355</v>
      </c>
    </row>
    <row r="2878" spans="1:5" x14ac:dyDescent="0.25">
      <c r="A2878" s="1" t="s">
        <v>2877</v>
      </c>
      <c r="C2878" s="3">
        <v>48</v>
      </c>
      <c r="E2878" t="s">
        <v>481</v>
      </c>
    </row>
    <row r="2879" spans="1:5" x14ac:dyDescent="0.25">
      <c r="A2879" s="1" t="s">
        <v>2878</v>
      </c>
      <c r="C2879" s="3">
        <v>48</v>
      </c>
      <c r="E2879" t="s">
        <v>7070</v>
      </c>
    </row>
    <row r="2880" spans="1:5" x14ac:dyDescent="0.25">
      <c r="A2880" s="1" t="s">
        <v>2879</v>
      </c>
      <c r="C2880" s="3">
        <v>48</v>
      </c>
      <c r="E2880" t="s">
        <v>3204</v>
      </c>
    </row>
    <row r="2881" spans="1:5" x14ac:dyDescent="0.25">
      <c r="A2881" s="1" t="s">
        <v>2880</v>
      </c>
      <c r="C2881" s="3">
        <v>48</v>
      </c>
      <c r="E2881" t="s">
        <v>61</v>
      </c>
    </row>
    <row r="2882" spans="1:5" x14ac:dyDescent="0.25">
      <c r="A2882" s="1" t="s">
        <v>2881</v>
      </c>
      <c r="C2882" s="3">
        <v>48</v>
      </c>
      <c r="E2882" t="s">
        <v>3512</v>
      </c>
    </row>
    <row r="2883" spans="1:5" x14ac:dyDescent="0.25">
      <c r="A2883" s="1" t="s">
        <v>2882</v>
      </c>
      <c r="C2883" s="3">
        <v>48</v>
      </c>
      <c r="E2883" t="s">
        <v>11758</v>
      </c>
    </row>
    <row r="2884" spans="1:5" x14ac:dyDescent="0.25">
      <c r="A2884" s="1" t="s">
        <v>2883</v>
      </c>
      <c r="C2884" s="3">
        <v>48</v>
      </c>
      <c r="E2884" t="s">
        <v>2535</v>
      </c>
    </row>
    <row r="2885" spans="1:5" x14ac:dyDescent="0.25">
      <c r="A2885" s="1" t="s">
        <v>2884</v>
      </c>
      <c r="C2885" s="3">
        <v>48</v>
      </c>
      <c r="E2885" t="s">
        <v>1912</v>
      </c>
    </row>
    <row r="2886" spans="1:5" x14ac:dyDescent="0.25">
      <c r="A2886" s="1" t="s">
        <v>2885</v>
      </c>
      <c r="C2886" s="3">
        <v>48</v>
      </c>
      <c r="E2886" t="s">
        <v>842</v>
      </c>
    </row>
    <row r="2887" spans="1:5" x14ac:dyDescent="0.25">
      <c r="A2887" s="1" t="s">
        <v>2886</v>
      </c>
      <c r="C2887" s="3">
        <v>48</v>
      </c>
      <c r="E2887" t="s">
        <v>1377</v>
      </c>
    </row>
    <row r="2888" spans="1:5" x14ac:dyDescent="0.25">
      <c r="A2888" s="1" t="s">
        <v>2887</v>
      </c>
      <c r="C2888" s="3">
        <v>48</v>
      </c>
      <c r="E2888" t="s">
        <v>4334</v>
      </c>
    </row>
    <row r="2889" spans="1:5" x14ac:dyDescent="0.25">
      <c r="A2889" s="1" t="s">
        <v>2888</v>
      </c>
      <c r="C2889" s="3">
        <v>48</v>
      </c>
      <c r="E2889" t="s">
        <v>1276</v>
      </c>
    </row>
    <row r="2890" spans="1:5" x14ac:dyDescent="0.25">
      <c r="A2890" s="1" t="s">
        <v>2889</v>
      </c>
      <c r="C2890" s="3">
        <v>48</v>
      </c>
      <c r="E2890" t="s">
        <v>1760</v>
      </c>
    </row>
    <row r="2891" spans="1:5" x14ac:dyDescent="0.25">
      <c r="A2891" s="1" t="s">
        <v>2890</v>
      </c>
      <c r="C2891" s="3">
        <v>48</v>
      </c>
      <c r="E2891" t="s">
        <v>1433</v>
      </c>
    </row>
    <row r="2892" spans="1:5" x14ac:dyDescent="0.25">
      <c r="A2892" s="1" t="s">
        <v>2891</v>
      </c>
      <c r="C2892" s="3">
        <v>48</v>
      </c>
      <c r="E2892" t="s">
        <v>5428</v>
      </c>
    </row>
    <row r="2893" spans="1:5" x14ac:dyDescent="0.25">
      <c r="A2893" s="1" t="s">
        <v>2892</v>
      </c>
      <c r="C2893" s="3">
        <v>48</v>
      </c>
      <c r="E2893" t="s">
        <v>4173</v>
      </c>
    </row>
    <row r="2894" spans="1:5" x14ac:dyDescent="0.25">
      <c r="A2894" s="1" t="s">
        <v>2893</v>
      </c>
      <c r="C2894" s="3">
        <v>48</v>
      </c>
      <c r="E2894" t="s">
        <v>8191</v>
      </c>
    </row>
    <row r="2895" spans="1:5" x14ac:dyDescent="0.25">
      <c r="A2895" s="1" t="s">
        <v>2894</v>
      </c>
      <c r="C2895" s="3">
        <v>48</v>
      </c>
      <c r="E2895" t="s">
        <v>8279</v>
      </c>
    </row>
    <row r="2896" spans="1:5" x14ac:dyDescent="0.25">
      <c r="A2896" s="1" t="s">
        <v>2895</v>
      </c>
      <c r="C2896" s="3">
        <v>48</v>
      </c>
      <c r="E2896" t="s">
        <v>6056</v>
      </c>
    </row>
    <row r="2897" spans="1:5" x14ac:dyDescent="0.25">
      <c r="A2897" s="1" t="s">
        <v>2896</v>
      </c>
      <c r="C2897" s="3">
        <v>48</v>
      </c>
      <c r="E2897" t="s">
        <v>561</v>
      </c>
    </row>
    <row r="2898" spans="1:5" x14ac:dyDescent="0.25">
      <c r="A2898" s="1" t="s">
        <v>2897</v>
      </c>
      <c r="C2898" s="3">
        <v>48</v>
      </c>
      <c r="E2898" t="s">
        <v>955</v>
      </c>
    </row>
    <row r="2899" spans="1:5" x14ac:dyDescent="0.25">
      <c r="A2899" s="1" t="s">
        <v>2898</v>
      </c>
      <c r="C2899" s="3">
        <v>48</v>
      </c>
      <c r="E2899" t="s">
        <v>128</v>
      </c>
    </row>
    <row r="2900" spans="1:5" x14ac:dyDescent="0.25">
      <c r="A2900" s="1" t="s">
        <v>2899</v>
      </c>
      <c r="C2900" s="3">
        <v>48</v>
      </c>
      <c r="E2900" t="s">
        <v>3893</v>
      </c>
    </row>
    <row r="2901" spans="1:5" x14ac:dyDescent="0.25">
      <c r="A2901" s="1" t="s">
        <v>2900</v>
      </c>
      <c r="C2901" s="3">
        <v>48</v>
      </c>
      <c r="E2901" t="s">
        <v>22919</v>
      </c>
    </row>
    <row r="2902" spans="1:5" x14ac:dyDescent="0.25">
      <c r="A2902" s="1" t="s">
        <v>2901</v>
      </c>
      <c r="C2902" s="3">
        <v>48</v>
      </c>
      <c r="E2902" t="s">
        <v>1417</v>
      </c>
    </row>
    <row r="2903" spans="1:5" x14ac:dyDescent="0.25">
      <c r="A2903" s="1" t="s">
        <v>2902</v>
      </c>
      <c r="C2903" s="3">
        <v>48</v>
      </c>
      <c r="E2903" t="s">
        <v>549</v>
      </c>
    </row>
    <row r="2904" spans="1:5" x14ac:dyDescent="0.25">
      <c r="A2904" s="1" t="s">
        <v>2903</v>
      </c>
      <c r="C2904" s="3">
        <v>48</v>
      </c>
      <c r="E2904" t="s">
        <v>1892</v>
      </c>
    </row>
    <row r="2905" spans="1:5" x14ac:dyDescent="0.25">
      <c r="A2905" s="1" t="s">
        <v>2904</v>
      </c>
      <c r="C2905" s="3">
        <v>48</v>
      </c>
      <c r="E2905" t="s">
        <v>20404</v>
      </c>
    </row>
    <row r="2906" spans="1:5" x14ac:dyDescent="0.25">
      <c r="A2906" s="1" t="s">
        <v>2905</v>
      </c>
      <c r="C2906" s="3">
        <v>48</v>
      </c>
      <c r="E2906" t="s">
        <v>849</v>
      </c>
    </row>
    <row r="2907" spans="1:5" x14ac:dyDescent="0.25">
      <c r="A2907" s="1" t="s">
        <v>2906</v>
      </c>
      <c r="C2907" s="3">
        <v>48</v>
      </c>
      <c r="E2907" t="s">
        <v>985</v>
      </c>
    </row>
    <row r="2908" spans="1:5" x14ac:dyDescent="0.25">
      <c r="A2908" s="1" t="s">
        <v>2907</v>
      </c>
      <c r="C2908" s="3">
        <v>48</v>
      </c>
      <c r="E2908" t="s">
        <v>16677</v>
      </c>
    </row>
    <row r="2909" spans="1:5" x14ac:dyDescent="0.25">
      <c r="A2909" s="1" t="s">
        <v>2908</v>
      </c>
      <c r="C2909" s="3">
        <v>48</v>
      </c>
      <c r="E2909" t="s">
        <v>642</v>
      </c>
    </row>
    <row r="2910" spans="1:5" x14ac:dyDescent="0.25">
      <c r="A2910" s="1" t="s">
        <v>2909</v>
      </c>
      <c r="C2910" s="3">
        <v>48</v>
      </c>
      <c r="E2910" t="s">
        <v>1427</v>
      </c>
    </row>
    <row r="2911" spans="1:5" x14ac:dyDescent="0.25">
      <c r="A2911" s="1" t="s">
        <v>2910</v>
      </c>
      <c r="C2911" s="3">
        <v>48</v>
      </c>
      <c r="E2911" t="s">
        <v>6589</v>
      </c>
    </row>
    <row r="2912" spans="1:5" x14ac:dyDescent="0.25">
      <c r="A2912" s="1" t="s">
        <v>2911</v>
      </c>
      <c r="C2912" s="3">
        <v>48</v>
      </c>
      <c r="E2912" t="s">
        <v>4695</v>
      </c>
    </row>
    <row r="2913" spans="1:5" x14ac:dyDescent="0.25">
      <c r="A2913" s="1" t="s">
        <v>2912</v>
      </c>
      <c r="C2913" s="3">
        <v>48</v>
      </c>
      <c r="E2913" t="s">
        <v>5541</v>
      </c>
    </row>
    <row r="2914" spans="1:5" x14ac:dyDescent="0.25">
      <c r="A2914" s="1" t="s">
        <v>2913</v>
      </c>
      <c r="C2914" s="3">
        <v>48</v>
      </c>
      <c r="E2914" t="s">
        <v>6599</v>
      </c>
    </row>
    <row r="2915" spans="1:5" x14ac:dyDescent="0.25">
      <c r="A2915" s="1" t="s">
        <v>2914</v>
      </c>
      <c r="C2915" s="3">
        <v>48</v>
      </c>
      <c r="E2915" t="s">
        <v>20412</v>
      </c>
    </row>
    <row r="2916" spans="1:5" x14ac:dyDescent="0.25">
      <c r="A2916" s="1" t="s">
        <v>2915</v>
      </c>
      <c r="C2916" s="3">
        <v>48</v>
      </c>
      <c r="E2916" t="s">
        <v>9217</v>
      </c>
    </row>
    <row r="2917" spans="1:5" x14ac:dyDescent="0.25">
      <c r="A2917" s="1" t="s">
        <v>2916</v>
      </c>
      <c r="C2917" s="3">
        <v>48</v>
      </c>
      <c r="E2917" t="s">
        <v>1310</v>
      </c>
    </row>
    <row r="2918" spans="1:5" x14ac:dyDescent="0.25">
      <c r="A2918" s="1" t="s">
        <v>2917</v>
      </c>
      <c r="C2918" s="3">
        <v>48</v>
      </c>
      <c r="E2918" t="s">
        <v>3594</v>
      </c>
    </row>
    <row r="2919" spans="1:5" x14ac:dyDescent="0.25">
      <c r="A2919" s="1" t="s">
        <v>2918</v>
      </c>
      <c r="C2919" s="3">
        <v>48</v>
      </c>
      <c r="E2919" t="s">
        <v>112</v>
      </c>
    </row>
    <row r="2920" spans="1:5" x14ac:dyDescent="0.25">
      <c r="A2920" s="1" t="s">
        <v>2919</v>
      </c>
      <c r="C2920" s="3">
        <v>48</v>
      </c>
      <c r="E2920" t="s">
        <v>1236</v>
      </c>
    </row>
    <row r="2921" spans="1:5" x14ac:dyDescent="0.25">
      <c r="A2921" s="1" t="s">
        <v>2920</v>
      </c>
      <c r="C2921" s="3">
        <v>48</v>
      </c>
      <c r="E2921" t="s">
        <v>1205</v>
      </c>
    </row>
    <row r="2922" spans="1:5" x14ac:dyDescent="0.25">
      <c r="A2922" s="1" t="s">
        <v>2921</v>
      </c>
      <c r="C2922" s="3">
        <v>48</v>
      </c>
      <c r="E2922" t="s">
        <v>5309</v>
      </c>
    </row>
    <row r="2923" spans="1:5" x14ac:dyDescent="0.25">
      <c r="A2923" s="1" t="s">
        <v>2922</v>
      </c>
      <c r="C2923" s="3">
        <v>48</v>
      </c>
      <c r="E2923" t="s">
        <v>17451</v>
      </c>
    </row>
    <row r="2924" spans="1:5" x14ac:dyDescent="0.25">
      <c r="A2924" s="1" t="s">
        <v>2923</v>
      </c>
      <c r="C2924" s="3">
        <v>48</v>
      </c>
      <c r="E2924" t="s">
        <v>15406</v>
      </c>
    </row>
    <row r="2925" spans="1:5" x14ac:dyDescent="0.25">
      <c r="A2925" s="1" t="s">
        <v>2924</v>
      </c>
      <c r="C2925" s="3">
        <v>48</v>
      </c>
      <c r="E2925" t="s">
        <v>2579</v>
      </c>
    </row>
    <row r="2926" spans="1:5" x14ac:dyDescent="0.25">
      <c r="A2926" s="1" t="s">
        <v>2925</v>
      </c>
      <c r="C2926" s="3">
        <v>48</v>
      </c>
      <c r="E2926" t="s">
        <v>193</v>
      </c>
    </row>
    <row r="2927" spans="1:5" x14ac:dyDescent="0.25">
      <c r="A2927" s="1" t="s">
        <v>2926</v>
      </c>
      <c r="C2927" s="3">
        <v>48</v>
      </c>
      <c r="E2927" t="s">
        <v>8865</v>
      </c>
    </row>
    <row r="2928" spans="1:5" x14ac:dyDescent="0.25">
      <c r="A2928" s="1" t="s">
        <v>2927</v>
      </c>
      <c r="C2928" s="3">
        <v>48</v>
      </c>
      <c r="E2928" t="s">
        <v>1173</v>
      </c>
    </row>
    <row r="2929" spans="1:5" x14ac:dyDescent="0.25">
      <c r="A2929" s="1" t="s">
        <v>2928</v>
      </c>
      <c r="C2929" s="3">
        <v>48</v>
      </c>
      <c r="E2929" t="s">
        <v>1086</v>
      </c>
    </row>
    <row r="2930" spans="1:5" x14ac:dyDescent="0.25">
      <c r="A2930" s="1" t="s">
        <v>2929</v>
      </c>
      <c r="C2930" s="3">
        <v>48</v>
      </c>
      <c r="E2930" t="s">
        <v>13826</v>
      </c>
    </row>
    <row r="2931" spans="1:5" x14ac:dyDescent="0.25">
      <c r="A2931" s="1" t="s">
        <v>2930</v>
      </c>
      <c r="C2931" s="3">
        <v>48</v>
      </c>
      <c r="E2931" t="s">
        <v>1256</v>
      </c>
    </row>
    <row r="2932" spans="1:5" x14ac:dyDescent="0.25">
      <c r="A2932" s="1" t="s">
        <v>2931</v>
      </c>
      <c r="C2932" s="3">
        <v>48</v>
      </c>
      <c r="E2932" t="s">
        <v>9117</v>
      </c>
    </row>
    <row r="2933" spans="1:5" x14ac:dyDescent="0.25">
      <c r="A2933" s="1" t="s">
        <v>2932</v>
      </c>
      <c r="C2933" s="3">
        <v>48</v>
      </c>
      <c r="E2933" t="s">
        <v>7759</v>
      </c>
    </row>
    <row r="2934" spans="1:5" x14ac:dyDescent="0.25">
      <c r="A2934" s="1" t="s">
        <v>2933</v>
      </c>
      <c r="C2934" s="3">
        <v>48</v>
      </c>
      <c r="E2934" t="s">
        <v>1331</v>
      </c>
    </row>
    <row r="2935" spans="1:5" x14ac:dyDescent="0.25">
      <c r="A2935" s="1" t="s">
        <v>2934</v>
      </c>
      <c r="C2935" s="3">
        <v>48</v>
      </c>
      <c r="E2935" t="s">
        <v>1479</v>
      </c>
    </row>
    <row r="2936" spans="1:5" x14ac:dyDescent="0.25">
      <c r="A2936" s="1" t="s">
        <v>2935</v>
      </c>
      <c r="C2936" s="3">
        <v>48</v>
      </c>
      <c r="E2936" t="s">
        <v>11686</v>
      </c>
    </row>
    <row r="2937" spans="1:5" x14ac:dyDescent="0.25">
      <c r="A2937" s="1" t="s">
        <v>2936</v>
      </c>
      <c r="C2937" s="3">
        <v>48</v>
      </c>
      <c r="E2937" t="s">
        <v>4186</v>
      </c>
    </row>
    <row r="2938" spans="1:5" x14ac:dyDescent="0.25">
      <c r="A2938" s="1" t="s">
        <v>2937</v>
      </c>
      <c r="C2938" s="3">
        <v>48</v>
      </c>
      <c r="E2938" t="s">
        <v>3230</v>
      </c>
    </row>
    <row r="2939" spans="1:5" x14ac:dyDescent="0.25">
      <c r="A2939" s="1" t="s">
        <v>2938</v>
      </c>
      <c r="C2939" s="3">
        <v>48</v>
      </c>
      <c r="E2939" t="s">
        <v>16101</v>
      </c>
    </row>
    <row r="2940" spans="1:5" x14ac:dyDescent="0.25">
      <c r="A2940" s="1" t="s">
        <v>2939</v>
      </c>
      <c r="C2940" s="3">
        <v>48</v>
      </c>
      <c r="E2940" t="s">
        <v>1763</v>
      </c>
    </row>
    <row r="2941" spans="1:5" x14ac:dyDescent="0.25">
      <c r="A2941" s="1" t="s">
        <v>2940</v>
      </c>
      <c r="C2941" s="3">
        <v>48</v>
      </c>
      <c r="E2941" t="s">
        <v>2043</v>
      </c>
    </row>
    <row r="2942" spans="1:5" x14ac:dyDescent="0.25">
      <c r="A2942" s="1" t="s">
        <v>2941</v>
      </c>
      <c r="C2942" s="3">
        <v>48</v>
      </c>
      <c r="E2942" t="s">
        <v>15113</v>
      </c>
    </row>
    <row r="2943" spans="1:5" x14ac:dyDescent="0.25">
      <c r="A2943" s="1" t="s">
        <v>2942</v>
      </c>
      <c r="C2943" s="3">
        <v>48</v>
      </c>
      <c r="E2943" t="s">
        <v>3461</v>
      </c>
    </row>
    <row r="2944" spans="1:5" x14ac:dyDescent="0.25">
      <c r="A2944" s="1" t="s">
        <v>2943</v>
      </c>
      <c r="C2944" s="3">
        <v>48</v>
      </c>
      <c r="E2944" t="s">
        <v>1793</v>
      </c>
    </row>
    <row r="2945" spans="1:5" x14ac:dyDescent="0.25">
      <c r="A2945" s="1" t="s">
        <v>2944</v>
      </c>
      <c r="C2945" s="3">
        <v>48</v>
      </c>
      <c r="E2945" t="s">
        <v>5779</v>
      </c>
    </row>
    <row r="2946" spans="1:5" x14ac:dyDescent="0.25">
      <c r="A2946" s="1" t="s">
        <v>2945</v>
      </c>
      <c r="C2946" s="3">
        <v>48</v>
      </c>
      <c r="E2946" t="s">
        <v>386</v>
      </c>
    </row>
    <row r="2947" spans="1:5" x14ac:dyDescent="0.25">
      <c r="A2947" s="1" t="s">
        <v>2946</v>
      </c>
      <c r="C2947" s="3">
        <v>48</v>
      </c>
      <c r="E2947" t="s">
        <v>13692</v>
      </c>
    </row>
    <row r="2948" spans="1:5" x14ac:dyDescent="0.25">
      <c r="A2948" s="1" t="s">
        <v>2947</v>
      </c>
      <c r="C2948" s="3">
        <v>48</v>
      </c>
      <c r="E2948" t="s">
        <v>4734</v>
      </c>
    </row>
    <row r="2949" spans="1:5" x14ac:dyDescent="0.25">
      <c r="A2949" s="1" t="s">
        <v>2948</v>
      </c>
      <c r="C2949" s="3">
        <v>48</v>
      </c>
      <c r="E2949" t="s">
        <v>4513</v>
      </c>
    </row>
    <row r="2950" spans="1:5" x14ac:dyDescent="0.25">
      <c r="A2950" s="1" t="s">
        <v>2949</v>
      </c>
      <c r="C2950" s="3">
        <v>48</v>
      </c>
      <c r="E2950" t="s">
        <v>24212</v>
      </c>
    </row>
    <row r="2951" spans="1:5" x14ac:dyDescent="0.25">
      <c r="A2951" s="1" t="s">
        <v>2950</v>
      </c>
      <c r="C2951" s="3">
        <v>48</v>
      </c>
      <c r="E2951" t="s">
        <v>8817</v>
      </c>
    </row>
    <row r="2952" spans="1:5" x14ac:dyDescent="0.25">
      <c r="A2952" s="1" t="s">
        <v>2951</v>
      </c>
      <c r="C2952" s="3">
        <v>48</v>
      </c>
      <c r="E2952" t="s">
        <v>25464</v>
      </c>
    </row>
    <row r="2953" spans="1:5" x14ac:dyDescent="0.25">
      <c r="A2953" s="1" t="s">
        <v>2952</v>
      </c>
      <c r="C2953" s="3">
        <v>47</v>
      </c>
      <c r="E2953" t="s">
        <v>25465</v>
      </c>
    </row>
    <row r="2954" spans="1:5" x14ac:dyDescent="0.25">
      <c r="A2954" s="1" t="s">
        <v>2953</v>
      </c>
      <c r="C2954" s="3">
        <v>47</v>
      </c>
      <c r="E2954" t="s">
        <v>1190</v>
      </c>
    </row>
    <row r="2955" spans="1:5" x14ac:dyDescent="0.25">
      <c r="A2955" s="1" t="s">
        <v>2954</v>
      </c>
      <c r="C2955" s="3">
        <v>47</v>
      </c>
      <c r="E2955" t="s">
        <v>3513</v>
      </c>
    </row>
    <row r="2956" spans="1:5" x14ac:dyDescent="0.25">
      <c r="A2956" s="1" t="s">
        <v>2955</v>
      </c>
      <c r="C2956" s="3">
        <v>47</v>
      </c>
      <c r="E2956" t="s">
        <v>16136</v>
      </c>
    </row>
    <row r="2957" spans="1:5" x14ac:dyDescent="0.25">
      <c r="A2957" s="1" t="s">
        <v>2956</v>
      </c>
      <c r="C2957" s="3">
        <v>47</v>
      </c>
      <c r="E2957" t="s">
        <v>6042</v>
      </c>
    </row>
    <row r="2958" spans="1:5" x14ac:dyDescent="0.25">
      <c r="A2958" s="1" t="s">
        <v>2957</v>
      </c>
      <c r="C2958" s="3">
        <v>47</v>
      </c>
      <c r="E2958" t="s">
        <v>3234</v>
      </c>
    </row>
    <row r="2959" spans="1:5" x14ac:dyDescent="0.25">
      <c r="A2959" s="1" t="s">
        <v>2958</v>
      </c>
      <c r="C2959" s="3">
        <v>47</v>
      </c>
      <c r="E2959" t="s">
        <v>15456</v>
      </c>
    </row>
    <row r="2960" spans="1:5" x14ac:dyDescent="0.25">
      <c r="A2960" s="1" t="s">
        <v>2959</v>
      </c>
      <c r="C2960" s="3">
        <v>47</v>
      </c>
      <c r="E2960" t="s">
        <v>3378</v>
      </c>
    </row>
    <row r="2961" spans="1:5" x14ac:dyDescent="0.25">
      <c r="A2961" s="1" t="s">
        <v>2960</v>
      </c>
      <c r="C2961" s="3">
        <v>47</v>
      </c>
      <c r="E2961" t="s">
        <v>887</v>
      </c>
    </row>
    <row r="2962" spans="1:5" x14ac:dyDescent="0.25">
      <c r="A2962" s="1" t="s">
        <v>2961</v>
      </c>
      <c r="C2962" s="3">
        <v>47</v>
      </c>
      <c r="E2962" t="s">
        <v>3734</v>
      </c>
    </row>
    <row r="2963" spans="1:5" x14ac:dyDescent="0.25">
      <c r="A2963" s="1" t="s">
        <v>2962</v>
      </c>
      <c r="C2963" s="3">
        <v>47</v>
      </c>
      <c r="E2963" t="s">
        <v>1325</v>
      </c>
    </row>
    <row r="2964" spans="1:5" x14ac:dyDescent="0.25">
      <c r="A2964" s="1" t="s">
        <v>2963</v>
      </c>
      <c r="C2964" s="3">
        <v>47</v>
      </c>
      <c r="E2964" t="s">
        <v>5108</v>
      </c>
    </row>
    <row r="2965" spans="1:5" x14ac:dyDescent="0.25">
      <c r="A2965" s="1" t="s">
        <v>2964</v>
      </c>
      <c r="C2965" s="3">
        <v>47</v>
      </c>
      <c r="E2965" t="s">
        <v>7560</v>
      </c>
    </row>
    <row r="2966" spans="1:5" x14ac:dyDescent="0.25">
      <c r="A2966" s="1" t="s">
        <v>2965</v>
      </c>
      <c r="C2966" s="3">
        <v>47</v>
      </c>
      <c r="E2966" t="s">
        <v>612</v>
      </c>
    </row>
    <row r="2967" spans="1:5" x14ac:dyDescent="0.25">
      <c r="A2967" s="1" t="s">
        <v>2966</v>
      </c>
      <c r="C2967" s="3">
        <v>47</v>
      </c>
      <c r="E2967" t="s">
        <v>3082</v>
      </c>
    </row>
    <row r="2968" spans="1:5" x14ac:dyDescent="0.25">
      <c r="A2968" s="1" t="s">
        <v>2967</v>
      </c>
      <c r="C2968" s="3">
        <v>47</v>
      </c>
      <c r="E2968" t="s">
        <v>16642</v>
      </c>
    </row>
    <row r="2969" spans="1:5" x14ac:dyDescent="0.25">
      <c r="A2969" s="1" t="s">
        <v>2968</v>
      </c>
      <c r="C2969" s="3">
        <v>47</v>
      </c>
      <c r="E2969" t="s">
        <v>1950</v>
      </c>
    </row>
    <row r="2970" spans="1:5" x14ac:dyDescent="0.25">
      <c r="A2970" s="1" t="s">
        <v>2969</v>
      </c>
      <c r="C2970" s="3">
        <v>47</v>
      </c>
      <c r="E2970" t="s">
        <v>9168</v>
      </c>
    </row>
    <row r="2971" spans="1:5" x14ac:dyDescent="0.25">
      <c r="A2971" s="1" t="s">
        <v>2970</v>
      </c>
      <c r="C2971" s="3">
        <v>47</v>
      </c>
      <c r="E2971" t="s">
        <v>1961</v>
      </c>
    </row>
    <row r="2972" spans="1:5" x14ac:dyDescent="0.25">
      <c r="A2972" s="1" t="s">
        <v>2971</v>
      </c>
      <c r="C2972" s="3">
        <v>47</v>
      </c>
      <c r="E2972" t="s">
        <v>7044</v>
      </c>
    </row>
    <row r="2973" spans="1:5" x14ac:dyDescent="0.25">
      <c r="A2973" s="1" t="s">
        <v>2972</v>
      </c>
      <c r="C2973" s="3">
        <v>47</v>
      </c>
      <c r="E2973" t="s">
        <v>3533</v>
      </c>
    </row>
    <row r="2974" spans="1:5" x14ac:dyDescent="0.25">
      <c r="A2974" s="1" t="s">
        <v>2973</v>
      </c>
      <c r="C2974" s="3">
        <v>47</v>
      </c>
      <c r="E2974" t="s">
        <v>6033</v>
      </c>
    </row>
    <row r="2975" spans="1:5" x14ac:dyDescent="0.25">
      <c r="A2975" s="1" t="s">
        <v>2974</v>
      </c>
      <c r="C2975" s="3">
        <v>47</v>
      </c>
      <c r="E2975" t="s">
        <v>10550</v>
      </c>
    </row>
    <row r="2976" spans="1:5" x14ac:dyDescent="0.25">
      <c r="A2976" s="1" t="s">
        <v>2975</v>
      </c>
      <c r="C2976" s="3">
        <v>47</v>
      </c>
      <c r="E2976" t="s">
        <v>8590</v>
      </c>
    </row>
    <row r="2977" spans="1:5" x14ac:dyDescent="0.25">
      <c r="A2977" s="1" t="s">
        <v>2976</v>
      </c>
      <c r="C2977" s="3">
        <v>47</v>
      </c>
      <c r="E2977" t="s">
        <v>3046</v>
      </c>
    </row>
    <row r="2978" spans="1:5" x14ac:dyDescent="0.25">
      <c r="A2978" s="1" t="s">
        <v>2977</v>
      </c>
      <c r="C2978" s="3">
        <v>47</v>
      </c>
      <c r="E2978" t="s">
        <v>3183</v>
      </c>
    </row>
    <row r="2979" spans="1:5" x14ac:dyDescent="0.25">
      <c r="A2979" s="1" t="s">
        <v>2978</v>
      </c>
      <c r="C2979" s="3">
        <v>47</v>
      </c>
      <c r="E2979" t="s">
        <v>7582</v>
      </c>
    </row>
    <row r="2980" spans="1:5" x14ac:dyDescent="0.25">
      <c r="A2980" s="1" t="s">
        <v>2979</v>
      </c>
      <c r="C2980" s="3">
        <v>47</v>
      </c>
      <c r="E2980" t="s">
        <v>6606</v>
      </c>
    </row>
    <row r="2981" spans="1:5" x14ac:dyDescent="0.25">
      <c r="A2981" s="1" t="s">
        <v>2980</v>
      </c>
      <c r="C2981" s="3">
        <v>47</v>
      </c>
      <c r="E2981" t="s">
        <v>8553</v>
      </c>
    </row>
    <row r="2982" spans="1:5" x14ac:dyDescent="0.25">
      <c r="A2982" s="1" t="s">
        <v>2981</v>
      </c>
      <c r="C2982" s="3">
        <v>47</v>
      </c>
      <c r="E2982" t="s">
        <v>5992</v>
      </c>
    </row>
    <row r="2983" spans="1:5" x14ac:dyDescent="0.25">
      <c r="A2983" s="1" t="s">
        <v>2982</v>
      </c>
      <c r="C2983" s="3">
        <v>47</v>
      </c>
      <c r="E2983" t="s">
        <v>313</v>
      </c>
    </row>
    <row r="2984" spans="1:5" x14ac:dyDescent="0.25">
      <c r="A2984" s="1" t="s">
        <v>2983</v>
      </c>
      <c r="C2984" s="3">
        <v>47</v>
      </c>
      <c r="E2984" t="s">
        <v>11198</v>
      </c>
    </row>
    <row r="2985" spans="1:5" x14ac:dyDescent="0.25">
      <c r="A2985" s="1" t="s">
        <v>2984</v>
      </c>
      <c r="C2985" s="3">
        <v>47</v>
      </c>
      <c r="E2985" t="s">
        <v>4297</v>
      </c>
    </row>
    <row r="2986" spans="1:5" x14ac:dyDescent="0.25">
      <c r="A2986" s="1" t="s">
        <v>2985</v>
      </c>
      <c r="C2986" s="3">
        <v>47</v>
      </c>
      <c r="E2986" t="s">
        <v>545</v>
      </c>
    </row>
    <row r="2987" spans="1:5" x14ac:dyDescent="0.25">
      <c r="A2987" s="1" t="s">
        <v>2986</v>
      </c>
      <c r="C2987" s="3">
        <v>47</v>
      </c>
      <c r="E2987" t="s">
        <v>2514</v>
      </c>
    </row>
    <row r="2988" spans="1:5" x14ac:dyDescent="0.25">
      <c r="A2988" s="1" t="s">
        <v>2987</v>
      </c>
      <c r="C2988" s="3">
        <v>47</v>
      </c>
      <c r="E2988" t="s">
        <v>13452</v>
      </c>
    </row>
    <row r="2989" spans="1:5" x14ac:dyDescent="0.25">
      <c r="A2989" s="1" t="s">
        <v>2988</v>
      </c>
      <c r="C2989" s="3">
        <v>47</v>
      </c>
      <c r="E2989" t="s">
        <v>162</v>
      </c>
    </row>
    <row r="2990" spans="1:5" x14ac:dyDescent="0.25">
      <c r="A2990" s="1" t="s">
        <v>2989</v>
      </c>
      <c r="C2990" s="3">
        <v>47</v>
      </c>
      <c r="E2990" t="s">
        <v>12785</v>
      </c>
    </row>
    <row r="2991" spans="1:5" x14ac:dyDescent="0.25">
      <c r="A2991" s="1" t="s">
        <v>2990</v>
      </c>
      <c r="C2991" s="3">
        <v>47</v>
      </c>
      <c r="E2991" t="s">
        <v>7462</v>
      </c>
    </row>
    <row r="2992" spans="1:5" x14ac:dyDescent="0.25">
      <c r="A2992" s="1" t="s">
        <v>2991</v>
      </c>
      <c r="C2992" s="3">
        <v>47</v>
      </c>
      <c r="E2992" t="s">
        <v>19441</v>
      </c>
    </row>
    <row r="2993" spans="1:5" x14ac:dyDescent="0.25">
      <c r="A2993" s="1" t="s">
        <v>2992</v>
      </c>
      <c r="C2993" s="3">
        <v>47</v>
      </c>
      <c r="E2993" t="s">
        <v>6001</v>
      </c>
    </row>
    <row r="2994" spans="1:5" x14ac:dyDescent="0.25">
      <c r="A2994" s="1" t="s">
        <v>2993</v>
      </c>
      <c r="C2994" s="3">
        <v>47</v>
      </c>
      <c r="E2994" t="s">
        <v>19493</v>
      </c>
    </row>
    <row r="2995" spans="1:5" x14ac:dyDescent="0.25">
      <c r="A2995" s="1" t="s">
        <v>2994</v>
      </c>
      <c r="C2995" s="3">
        <v>47</v>
      </c>
      <c r="E2995" t="s">
        <v>4138</v>
      </c>
    </row>
    <row r="2996" spans="1:5" x14ac:dyDescent="0.25">
      <c r="A2996" s="1" t="s">
        <v>2995</v>
      </c>
      <c r="C2996" s="3">
        <v>47</v>
      </c>
      <c r="E2996" t="s">
        <v>5785</v>
      </c>
    </row>
    <row r="2997" spans="1:5" x14ac:dyDescent="0.25">
      <c r="A2997" s="1" t="s">
        <v>2996</v>
      </c>
      <c r="C2997" s="3">
        <v>47</v>
      </c>
      <c r="E2997" t="s">
        <v>1557</v>
      </c>
    </row>
    <row r="2998" spans="1:5" x14ac:dyDescent="0.25">
      <c r="A2998" s="1" t="s">
        <v>2997</v>
      </c>
      <c r="C2998" s="3">
        <v>47</v>
      </c>
      <c r="E2998" t="s">
        <v>2806</v>
      </c>
    </row>
    <row r="2999" spans="1:5" x14ac:dyDescent="0.25">
      <c r="A2999" s="1" t="s">
        <v>2998</v>
      </c>
      <c r="C2999" s="3">
        <v>47</v>
      </c>
      <c r="E2999" t="s">
        <v>4751</v>
      </c>
    </row>
    <row r="3000" spans="1:5" x14ac:dyDescent="0.25">
      <c r="A3000" s="1" t="s">
        <v>2999</v>
      </c>
      <c r="C3000" s="3">
        <v>47</v>
      </c>
      <c r="E3000" t="s">
        <v>2307</v>
      </c>
    </row>
    <row r="3001" spans="1:5" x14ac:dyDescent="0.25">
      <c r="A3001" s="1" t="s">
        <v>3000</v>
      </c>
      <c r="C3001" s="3">
        <v>47</v>
      </c>
      <c r="E3001" t="s">
        <v>2576</v>
      </c>
    </row>
    <row r="3002" spans="1:5" x14ac:dyDescent="0.25">
      <c r="A3002" s="1" t="s">
        <v>3001</v>
      </c>
      <c r="C3002" s="3">
        <v>47</v>
      </c>
      <c r="E3002" t="s">
        <v>7579</v>
      </c>
    </row>
    <row r="3003" spans="1:5" x14ac:dyDescent="0.25">
      <c r="A3003" s="1" t="s">
        <v>3002</v>
      </c>
      <c r="C3003" s="3">
        <v>47</v>
      </c>
      <c r="E3003" t="s">
        <v>9109</v>
      </c>
    </row>
    <row r="3004" spans="1:5" x14ac:dyDescent="0.25">
      <c r="A3004" s="1" t="s">
        <v>3003</v>
      </c>
      <c r="C3004" s="3">
        <v>47</v>
      </c>
      <c r="E3004" t="s">
        <v>3776</v>
      </c>
    </row>
    <row r="3005" spans="1:5" x14ac:dyDescent="0.25">
      <c r="A3005" s="1" t="s">
        <v>3004</v>
      </c>
      <c r="C3005" s="3">
        <v>47</v>
      </c>
      <c r="E3005" t="s">
        <v>5711</v>
      </c>
    </row>
    <row r="3006" spans="1:5" x14ac:dyDescent="0.25">
      <c r="A3006" s="1" t="s">
        <v>3005</v>
      </c>
      <c r="C3006" s="3">
        <v>47</v>
      </c>
      <c r="E3006" t="s">
        <v>721</v>
      </c>
    </row>
    <row r="3007" spans="1:5" x14ac:dyDescent="0.25">
      <c r="A3007" s="1" t="s">
        <v>3006</v>
      </c>
      <c r="C3007" s="3">
        <v>47</v>
      </c>
      <c r="E3007" t="s">
        <v>26</v>
      </c>
    </row>
    <row r="3008" spans="1:5" x14ac:dyDescent="0.25">
      <c r="A3008" s="1" t="s">
        <v>3007</v>
      </c>
      <c r="C3008" s="3">
        <v>47</v>
      </c>
      <c r="E3008" t="s">
        <v>4842</v>
      </c>
    </row>
    <row r="3009" spans="1:5" x14ac:dyDescent="0.25">
      <c r="A3009" s="1" t="s">
        <v>3008</v>
      </c>
      <c r="C3009" s="3">
        <v>47</v>
      </c>
      <c r="E3009" t="s">
        <v>989</v>
      </c>
    </row>
    <row r="3010" spans="1:5" x14ac:dyDescent="0.25">
      <c r="A3010" s="1" t="s">
        <v>3009</v>
      </c>
      <c r="C3010" s="3">
        <v>47</v>
      </c>
      <c r="E3010" t="s">
        <v>2918</v>
      </c>
    </row>
    <row r="3011" spans="1:5" x14ac:dyDescent="0.25">
      <c r="A3011" s="1" t="s">
        <v>3010</v>
      </c>
      <c r="C3011" s="3">
        <v>47</v>
      </c>
      <c r="E3011" t="s">
        <v>16352</v>
      </c>
    </row>
    <row r="3012" spans="1:5" x14ac:dyDescent="0.25">
      <c r="A3012" s="1" t="s">
        <v>3011</v>
      </c>
      <c r="C3012" s="3">
        <v>47</v>
      </c>
      <c r="E3012" t="s">
        <v>4370</v>
      </c>
    </row>
    <row r="3013" spans="1:5" x14ac:dyDescent="0.25">
      <c r="A3013" s="1" t="s">
        <v>3012</v>
      </c>
      <c r="C3013" s="3">
        <v>47</v>
      </c>
      <c r="E3013" t="s">
        <v>11431</v>
      </c>
    </row>
    <row r="3014" spans="1:5" x14ac:dyDescent="0.25">
      <c r="A3014" s="1" t="s">
        <v>3013</v>
      </c>
      <c r="C3014" s="3">
        <v>47</v>
      </c>
      <c r="E3014" t="s">
        <v>3041</v>
      </c>
    </row>
    <row r="3015" spans="1:5" x14ac:dyDescent="0.25">
      <c r="A3015" s="1" t="s">
        <v>3014</v>
      </c>
      <c r="C3015" s="3">
        <v>47</v>
      </c>
      <c r="E3015" t="s">
        <v>6442</v>
      </c>
    </row>
    <row r="3016" spans="1:5" x14ac:dyDescent="0.25">
      <c r="A3016" s="1" t="s">
        <v>3015</v>
      </c>
      <c r="C3016" s="3">
        <v>47</v>
      </c>
      <c r="E3016" t="s">
        <v>8187</v>
      </c>
    </row>
    <row r="3017" spans="1:5" x14ac:dyDescent="0.25">
      <c r="A3017" s="1" t="s">
        <v>3016</v>
      </c>
      <c r="C3017" s="3">
        <v>47</v>
      </c>
      <c r="E3017" t="s">
        <v>983</v>
      </c>
    </row>
    <row r="3018" spans="1:5" x14ac:dyDescent="0.25">
      <c r="A3018" s="1" t="s">
        <v>3017</v>
      </c>
      <c r="C3018" s="3">
        <v>47</v>
      </c>
      <c r="E3018" t="s">
        <v>7617</v>
      </c>
    </row>
    <row r="3019" spans="1:5" x14ac:dyDescent="0.25">
      <c r="A3019" s="1" t="s">
        <v>3018</v>
      </c>
      <c r="C3019" s="3">
        <v>47</v>
      </c>
      <c r="E3019" t="s">
        <v>5009</v>
      </c>
    </row>
    <row r="3020" spans="1:5" x14ac:dyDescent="0.25">
      <c r="A3020" s="1" t="s">
        <v>3019</v>
      </c>
      <c r="C3020" s="3">
        <v>47</v>
      </c>
      <c r="E3020" t="s">
        <v>4966</v>
      </c>
    </row>
    <row r="3021" spans="1:5" x14ac:dyDescent="0.25">
      <c r="A3021" s="1" t="s">
        <v>3020</v>
      </c>
      <c r="C3021" s="3">
        <v>47</v>
      </c>
      <c r="E3021" t="s">
        <v>2551</v>
      </c>
    </row>
    <row r="3022" spans="1:5" x14ac:dyDescent="0.25">
      <c r="A3022" s="1" t="s">
        <v>3021</v>
      </c>
      <c r="C3022" s="3">
        <v>46</v>
      </c>
      <c r="E3022" t="s">
        <v>17550</v>
      </c>
    </row>
    <row r="3023" spans="1:5" x14ac:dyDescent="0.25">
      <c r="A3023" s="1" t="s">
        <v>3022</v>
      </c>
      <c r="C3023" s="3">
        <v>46</v>
      </c>
      <c r="E3023" t="s">
        <v>6156</v>
      </c>
    </row>
    <row r="3024" spans="1:5" x14ac:dyDescent="0.25">
      <c r="A3024" s="1" t="s">
        <v>3023</v>
      </c>
      <c r="C3024" s="3">
        <v>46</v>
      </c>
      <c r="E3024" t="s">
        <v>1402</v>
      </c>
    </row>
    <row r="3025" spans="1:5" x14ac:dyDescent="0.25">
      <c r="A3025" s="1" t="s">
        <v>3024</v>
      </c>
      <c r="C3025" s="3">
        <v>46</v>
      </c>
      <c r="E3025" t="s">
        <v>680</v>
      </c>
    </row>
    <row r="3026" spans="1:5" x14ac:dyDescent="0.25">
      <c r="A3026" s="1" t="s">
        <v>3025</v>
      </c>
      <c r="C3026" s="3">
        <v>46</v>
      </c>
      <c r="E3026" t="s">
        <v>745</v>
      </c>
    </row>
    <row r="3027" spans="1:5" x14ac:dyDescent="0.25">
      <c r="A3027" s="1" t="s">
        <v>3026</v>
      </c>
      <c r="C3027" s="3">
        <v>46</v>
      </c>
      <c r="E3027" t="s">
        <v>18369</v>
      </c>
    </row>
    <row r="3028" spans="1:5" x14ac:dyDescent="0.25">
      <c r="A3028" s="1" t="s">
        <v>3027</v>
      </c>
      <c r="C3028" s="3">
        <v>46</v>
      </c>
      <c r="E3028" t="s">
        <v>5445</v>
      </c>
    </row>
    <row r="3029" spans="1:5" x14ac:dyDescent="0.25">
      <c r="A3029" s="1" t="s">
        <v>3028</v>
      </c>
      <c r="C3029" s="3">
        <v>46</v>
      </c>
      <c r="E3029" t="s">
        <v>6894</v>
      </c>
    </row>
    <row r="3030" spans="1:5" x14ac:dyDescent="0.25">
      <c r="A3030" s="1" t="s">
        <v>3029</v>
      </c>
      <c r="C3030" s="3">
        <v>46</v>
      </c>
      <c r="E3030" t="s">
        <v>189</v>
      </c>
    </row>
    <row r="3031" spans="1:5" x14ac:dyDescent="0.25">
      <c r="A3031" s="1" t="s">
        <v>3030</v>
      </c>
      <c r="C3031" s="3">
        <v>46</v>
      </c>
      <c r="E3031" t="s">
        <v>4459</v>
      </c>
    </row>
    <row r="3032" spans="1:5" x14ac:dyDescent="0.25">
      <c r="A3032" s="1" t="s">
        <v>3031</v>
      </c>
      <c r="C3032" s="3">
        <v>46</v>
      </c>
      <c r="E3032" t="s">
        <v>4519</v>
      </c>
    </row>
    <row r="3033" spans="1:5" x14ac:dyDescent="0.25">
      <c r="A3033" s="1" t="s">
        <v>3032</v>
      </c>
      <c r="C3033" s="3">
        <v>46</v>
      </c>
      <c r="E3033" t="s">
        <v>514</v>
      </c>
    </row>
    <row r="3034" spans="1:5" x14ac:dyDescent="0.25">
      <c r="A3034" s="1" t="s">
        <v>3033</v>
      </c>
      <c r="C3034" s="3">
        <v>46</v>
      </c>
      <c r="E3034" t="s">
        <v>6973</v>
      </c>
    </row>
    <row r="3035" spans="1:5" x14ac:dyDescent="0.25">
      <c r="A3035" s="1" t="s">
        <v>3034</v>
      </c>
      <c r="C3035" s="3">
        <v>46</v>
      </c>
      <c r="E3035" t="s">
        <v>6965</v>
      </c>
    </row>
    <row r="3036" spans="1:5" x14ac:dyDescent="0.25">
      <c r="A3036" s="1" t="s">
        <v>3035</v>
      </c>
      <c r="C3036" s="3">
        <v>46</v>
      </c>
      <c r="E3036" t="s">
        <v>738</v>
      </c>
    </row>
    <row r="3037" spans="1:5" x14ac:dyDescent="0.25">
      <c r="A3037" s="1" t="s">
        <v>3036</v>
      </c>
      <c r="C3037" s="3">
        <v>46</v>
      </c>
      <c r="E3037" t="s">
        <v>2483</v>
      </c>
    </row>
    <row r="3038" spans="1:5" x14ac:dyDescent="0.25">
      <c r="A3038" s="1" t="s">
        <v>3037</v>
      </c>
      <c r="C3038" s="3">
        <v>46</v>
      </c>
      <c r="E3038" t="s">
        <v>2506</v>
      </c>
    </row>
    <row r="3039" spans="1:5" x14ac:dyDescent="0.25">
      <c r="A3039" s="1" t="s">
        <v>3038</v>
      </c>
      <c r="C3039" s="3">
        <v>46</v>
      </c>
      <c r="E3039" t="s">
        <v>13385</v>
      </c>
    </row>
    <row r="3040" spans="1:5" x14ac:dyDescent="0.25">
      <c r="A3040" s="1" t="s">
        <v>3039</v>
      </c>
      <c r="C3040" s="3">
        <v>46</v>
      </c>
      <c r="E3040" t="s">
        <v>2148</v>
      </c>
    </row>
    <row r="3041" spans="1:5" x14ac:dyDescent="0.25">
      <c r="A3041" s="1" t="s">
        <v>3040</v>
      </c>
      <c r="C3041" s="3">
        <v>46</v>
      </c>
      <c r="E3041" t="s">
        <v>12984</v>
      </c>
    </row>
    <row r="3042" spans="1:5" x14ac:dyDescent="0.25">
      <c r="A3042" s="1" t="s">
        <v>3041</v>
      </c>
      <c r="C3042" s="3">
        <v>46</v>
      </c>
      <c r="E3042" t="s">
        <v>5282</v>
      </c>
    </row>
    <row r="3043" spans="1:5" x14ac:dyDescent="0.25">
      <c r="A3043" s="1" t="s">
        <v>3042</v>
      </c>
      <c r="C3043" s="3">
        <v>46</v>
      </c>
      <c r="E3043" t="s">
        <v>12759</v>
      </c>
    </row>
    <row r="3044" spans="1:5" x14ac:dyDescent="0.25">
      <c r="A3044" s="1" t="s">
        <v>3043</v>
      </c>
      <c r="C3044" s="3">
        <v>46</v>
      </c>
      <c r="E3044" t="s">
        <v>9431</v>
      </c>
    </row>
    <row r="3045" spans="1:5" x14ac:dyDescent="0.25">
      <c r="A3045" s="1" t="s">
        <v>3044</v>
      </c>
      <c r="C3045" s="3">
        <v>46</v>
      </c>
      <c r="E3045" t="s">
        <v>2968</v>
      </c>
    </row>
    <row r="3046" spans="1:5" x14ac:dyDescent="0.25">
      <c r="A3046" s="1" t="s">
        <v>3045</v>
      </c>
      <c r="C3046" s="3">
        <v>46</v>
      </c>
      <c r="E3046" t="s">
        <v>526</v>
      </c>
    </row>
    <row r="3047" spans="1:5" x14ac:dyDescent="0.25">
      <c r="A3047" s="1" t="s">
        <v>3046</v>
      </c>
      <c r="C3047" s="3">
        <v>46</v>
      </c>
      <c r="E3047" t="s">
        <v>130</v>
      </c>
    </row>
    <row r="3048" spans="1:5" x14ac:dyDescent="0.25">
      <c r="A3048" s="1" t="s">
        <v>3047</v>
      </c>
      <c r="C3048" s="3">
        <v>46</v>
      </c>
      <c r="E3048" t="s">
        <v>1660</v>
      </c>
    </row>
    <row r="3049" spans="1:5" x14ac:dyDescent="0.25">
      <c r="A3049" s="1" t="s">
        <v>3048</v>
      </c>
      <c r="C3049" s="3">
        <v>46</v>
      </c>
      <c r="E3049" t="s">
        <v>6815</v>
      </c>
    </row>
    <row r="3050" spans="1:5" x14ac:dyDescent="0.25">
      <c r="A3050" s="1" t="s">
        <v>3049</v>
      </c>
      <c r="C3050" s="3">
        <v>46</v>
      </c>
      <c r="E3050" t="s">
        <v>3603</v>
      </c>
    </row>
    <row r="3051" spans="1:5" x14ac:dyDescent="0.25">
      <c r="A3051" s="1" t="s">
        <v>3050</v>
      </c>
      <c r="C3051" s="3">
        <v>46</v>
      </c>
      <c r="E3051" t="s">
        <v>3464</v>
      </c>
    </row>
    <row r="3052" spans="1:5" x14ac:dyDescent="0.25">
      <c r="A3052" s="1" t="s">
        <v>3051</v>
      </c>
      <c r="C3052" s="3">
        <v>46</v>
      </c>
      <c r="E3052" t="s">
        <v>1768</v>
      </c>
    </row>
    <row r="3053" spans="1:5" x14ac:dyDescent="0.25">
      <c r="A3053" s="1" t="s">
        <v>3052</v>
      </c>
      <c r="C3053" s="3">
        <v>46</v>
      </c>
      <c r="E3053" t="s">
        <v>2163</v>
      </c>
    </row>
    <row r="3054" spans="1:5" x14ac:dyDescent="0.25">
      <c r="A3054" s="1" t="s">
        <v>3053</v>
      </c>
      <c r="C3054" s="3">
        <v>46</v>
      </c>
      <c r="E3054" t="s">
        <v>9158</v>
      </c>
    </row>
    <row r="3055" spans="1:5" x14ac:dyDescent="0.25">
      <c r="A3055" s="1" t="s">
        <v>3054</v>
      </c>
      <c r="C3055" s="3">
        <v>46</v>
      </c>
      <c r="E3055" t="s">
        <v>325</v>
      </c>
    </row>
    <row r="3056" spans="1:5" x14ac:dyDescent="0.25">
      <c r="A3056" s="1" t="s">
        <v>3055</v>
      </c>
      <c r="C3056" s="3">
        <v>46</v>
      </c>
      <c r="E3056" t="s">
        <v>8418</v>
      </c>
    </row>
    <row r="3057" spans="1:5" x14ac:dyDescent="0.25">
      <c r="A3057" s="1" t="s">
        <v>3056</v>
      </c>
      <c r="C3057" s="3">
        <v>46</v>
      </c>
      <c r="E3057" t="s">
        <v>4596</v>
      </c>
    </row>
    <row r="3058" spans="1:5" x14ac:dyDescent="0.25">
      <c r="A3058" s="1" t="s">
        <v>3057</v>
      </c>
      <c r="C3058" s="3">
        <v>46</v>
      </c>
      <c r="E3058" t="s">
        <v>13057</v>
      </c>
    </row>
    <row r="3059" spans="1:5" x14ac:dyDescent="0.25">
      <c r="A3059" s="1" t="s">
        <v>3058</v>
      </c>
      <c r="C3059" s="3">
        <v>46</v>
      </c>
      <c r="E3059" t="s">
        <v>139</v>
      </c>
    </row>
    <row r="3060" spans="1:5" x14ac:dyDescent="0.25">
      <c r="A3060" s="1" t="s">
        <v>3059</v>
      </c>
      <c r="C3060" s="3">
        <v>46</v>
      </c>
      <c r="E3060" t="s">
        <v>11379</v>
      </c>
    </row>
    <row r="3061" spans="1:5" x14ac:dyDescent="0.25">
      <c r="A3061" s="1" t="s">
        <v>3060</v>
      </c>
      <c r="C3061" s="3">
        <v>46</v>
      </c>
      <c r="E3061" t="s">
        <v>4434</v>
      </c>
    </row>
    <row r="3062" spans="1:5" x14ac:dyDescent="0.25">
      <c r="A3062" s="1" t="s">
        <v>3061</v>
      </c>
      <c r="C3062" s="3">
        <v>46</v>
      </c>
      <c r="E3062" t="s">
        <v>1807</v>
      </c>
    </row>
    <row r="3063" spans="1:5" x14ac:dyDescent="0.25">
      <c r="A3063" s="1" t="s">
        <v>3062</v>
      </c>
      <c r="C3063" s="3">
        <v>46</v>
      </c>
      <c r="E3063" t="s">
        <v>25466</v>
      </c>
    </row>
    <row r="3064" spans="1:5" x14ac:dyDescent="0.25">
      <c r="A3064" s="1" t="s">
        <v>3063</v>
      </c>
      <c r="C3064" s="3">
        <v>46</v>
      </c>
      <c r="E3064" t="s">
        <v>524</v>
      </c>
    </row>
    <row r="3065" spans="1:5" x14ac:dyDescent="0.25">
      <c r="A3065" s="1" t="s">
        <v>3064</v>
      </c>
      <c r="C3065" s="3">
        <v>46</v>
      </c>
      <c r="E3065" t="s">
        <v>6207</v>
      </c>
    </row>
    <row r="3066" spans="1:5" x14ac:dyDescent="0.25">
      <c r="A3066" s="1" t="s">
        <v>3065</v>
      </c>
      <c r="C3066" s="3">
        <v>46</v>
      </c>
      <c r="E3066" t="s">
        <v>1290</v>
      </c>
    </row>
    <row r="3067" spans="1:5" x14ac:dyDescent="0.25">
      <c r="A3067" s="1" t="s">
        <v>3066</v>
      </c>
      <c r="C3067" s="3">
        <v>46</v>
      </c>
      <c r="E3067" t="s">
        <v>23278</v>
      </c>
    </row>
    <row r="3068" spans="1:5" x14ac:dyDescent="0.25">
      <c r="A3068" s="1" t="s">
        <v>3067</v>
      </c>
      <c r="C3068" s="3">
        <v>46</v>
      </c>
      <c r="E3068" t="s">
        <v>13114</v>
      </c>
    </row>
    <row r="3069" spans="1:5" x14ac:dyDescent="0.25">
      <c r="A3069" s="1" t="s">
        <v>3068</v>
      </c>
      <c r="C3069" s="3">
        <v>46</v>
      </c>
      <c r="E3069" t="s">
        <v>10273</v>
      </c>
    </row>
    <row r="3070" spans="1:5" x14ac:dyDescent="0.25">
      <c r="A3070" s="1" t="s">
        <v>3069</v>
      </c>
      <c r="C3070" s="3">
        <v>46</v>
      </c>
      <c r="E3070" t="s">
        <v>8714</v>
      </c>
    </row>
    <row r="3071" spans="1:5" x14ac:dyDescent="0.25">
      <c r="A3071" s="1" t="s">
        <v>3070</v>
      </c>
      <c r="C3071" s="3">
        <v>46</v>
      </c>
      <c r="E3071" t="s">
        <v>1801</v>
      </c>
    </row>
    <row r="3072" spans="1:5" x14ac:dyDescent="0.25">
      <c r="A3072" s="1" t="s">
        <v>3071</v>
      </c>
      <c r="C3072" s="3">
        <v>46</v>
      </c>
      <c r="E3072" t="s">
        <v>604</v>
      </c>
    </row>
    <row r="3073" spans="1:5" x14ac:dyDescent="0.25">
      <c r="A3073" s="1" t="s">
        <v>3072</v>
      </c>
      <c r="C3073" s="3">
        <v>46</v>
      </c>
      <c r="E3073" t="s">
        <v>7590</v>
      </c>
    </row>
    <row r="3074" spans="1:5" x14ac:dyDescent="0.25">
      <c r="A3074" s="1" t="s">
        <v>3073</v>
      </c>
      <c r="C3074" s="3">
        <v>46</v>
      </c>
      <c r="E3074" t="s">
        <v>3919</v>
      </c>
    </row>
    <row r="3075" spans="1:5" x14ac:dyDescent="0.25">
      <c r="A3075" s="1" t="s">
        <v>3074</v>
      </c>
      <c r="C3075" s="3">
        <v>46</v>
      </c>
      <c r="E3075" t="s">
        <v>5771</v>
      </c>
    </row>
    <row r="3076" spans="1:5" x14ac:dyDescent="0.25">
      <c r="A3076" s="1" t="s">
        <v>3075</v>
      </c>
      <c r="C3076" s="3">
        <v>46</v>
      </c>
      <c r="E3076" t="s">
        <v>8622</v>
      </c>
    </row>
    <row r="3077" spans="1:5" x14ac:dyDescent="0.25">
      <c r="A3077" s="1" t="s">
        <v>3076</v>
      </c>
      <c r="C3077" s="3">
        <v>46</v>
      </c>
      <c r="E3077" t="s">
        <v>24269</v>
      </c>
    </row>
    <row r="3078" spans="1:5" x14ac:dyDescent="0.25">
      <c r="A3078" s="1" t="s">
        <v>3077</v>
      </c>
      <c r="C3078" s="3">
        <v>46</v>
      </c>
      <c r="E3078" t="s">
        <v>4062</v>
      </c>
    </row>
    <row r="3079" spans="1:5" x14ac:dyDescent="0.25">
      <c r="A3079" s="1" t="s">
        <v>3078</v>
      </c>
      <c r="C3079" s="3">
        <v>46</v>
      </c>
      <c r="E3079" t="s">
        <v>4853</v>
      </c>
    </row>
    <row r="3080" spans="1:5" x14ac:dyDescent="0.25">
      <c r="A3080" s="1" t="s">
        <v>3079</v>
      </c>
      <c r="C3080" s="3">
        <v>46</v>
      </c>
      <c r="E3080" t="s">
        <v>1778</v>
      </c>
    </row>
    <row r="3081" spans="1:5" x14ac:dyDescent="0.25">
      <c r="A3081" s="1" t="s">
        <v>3080</v>
      </c>
      <c r="C3081" s="3">
        <v>46</v>
      </c>
      <c r="E3081" t="s">
        <v>8371</v>
      </c>
    </row>
    <row r="3082" spans="1:5" x14ac:dyDescent="0.25">
      <c r="A3082" s="1" t="s">
        <v>3081</v>
      </c>
      <c r="C3082" s="3">
        <v>46</v>
      </c>
      <c r="E3082" t="s">
        <v>507</v>
      </c>
    </row>
    <row r="3083" spans="1:5" x14ac:dyDescent="0.25">
      <c r="A3083" s="1" t="s">
        <v>3082</v>
      </c>
      <c r="C3083" s="3">
        <v>46</v>
      </c>
      <c r="E3083" t="s">
        <v>4926</v>
      </c>
    </row>
    <row r="3084" spans="1:5" x14ac:dyDescent="0.25">
      <c r="A3084" s="1" t="s">
        <v>3083</v>
      </c>
      <c r="C3084" s="3">
        <v>46</v>
      </c>
      <c r="E3084" t="s">
        <v>25467</v>
      </c>
    </row>
    <row r="3085" spans="1:5" x14ac:dyDescent="0.25">
      <c r="A3085" s="1" t="s">
        <v>3084</v>
      </c>
      <c r="C3085" s="3">
        <v>46</v>
      </c>
      <c r="E3085" t="s">
        <v>2285</v>
      </c>
    </row>
    <row r="3086" spans="1:5" x14ac:dyDescent="0.25">
      <c r="A3086" s="1" t="s">
        <v>3085</v>
      </c>
      <c r="C3086" s="3">
        <v>46</v>
      </c>
      <c r="E3086" t="s">
        <v>268</v>
      </c>
    </row>
    <row r="3087" spans="1:5" x14ac:dyDescent="0.25">
      <c r="A3087" s="1" t="s">
        <v>3086</v>
      </c>
      <c r="C3087" s="3">
        <v>46</v>
      </c>
      <c r="E3087" t="s">
        <v>5156</v>
      </c>
    </row>
    <row r="3088" spans="1:5" x14ac:dyDescent="0.25">
      <c r="A3088" s="1" t="s">
        <v>3087</v>
      </c>
      <c r="C3088" s="3">
        <v>46</v>
      </c>
      <c r="E3088" t="s">
        <v>8081</v>
      </c>
    </row>
    <row r="3089" spans="1:5" x14ac:dyDescent="0.25">
      <c r="A3089" s="1" t="s">
        <v>3088</v>
      </c>
      <c r="C3089" s="3">
        <v>46</v>
      </c>
      <c r="E3089" t="s">
        <v>2513</v>
      </c>
    </row>
    <row r="3090" spans="1:5" x14ac:dyDescent="0.25">
      <c r="A3090" s="1" t="s">
        <v>3089</v>
      </c>
      <c r="C3090" s="3">
        <v>46</v>
      </c>
      <c r="E3090" t="s">
        <v>10695</v>
      </c>
    </row>
    <row r="3091" spans="1:5" x14ac:dyDescent="0.25">
      <c r="A3091" s="1" t="s">
        <v>3090</v>
      </c>
      <c r="C3091" s="3">
        <v>46</v>
      </c>
      <c r="E3091" t="s">
        <v>10640</v>
      </c>
    </row>
    <row r="3092" spans="1:5" x14ac:dyDescent="0.25">
      <c r="A3092" s="1" t="s">
        <v>3091</v>
      </c>
      <c r="C3092" s="3">
        <v>46</v>
      </c>
      <c r="E3092" t="s">
        <v>7020</v>
      </c>
    </row>
    <row r="3093" spans="1:5" x14ac:dyDescent="0.25">
      <c r="A3093" s="1" t="s">
        <v>3092</v>
      </c>
      <c r="C3093" s="3">
        <v>46</v>
      </c>
      <c r="E3093" t="s">
        <v>23796</v>
      </c>
    </row>
    <row r="3094" spans="1:5" x14ac:dyDescent="0.25">
      <c r="A3094" s="1" t="s">
        <v>3093</v>
      </c>
      <c r="C3094" s="3">
        <v>46</v>
      </c>
      <c r="E3094" t="s">
        <v>9544</v>
      </c>
    </row>
    <row r="3095" spans="1:5" x14ac:dyDescent="0.25">
      <c r="A3095" s="1" t="s">
        <v>3094</v>
      </c>
      <c r="C3095" s="3">
        <v>46</v>
      </c>
      <c r="E3095" t="s">
        <v>13563</v>
      </c>
    </row>
    <row r="3096" spans="1:5" x14ac:dyDescent="0.25">
      <c r="A3096" s="1" t="s">
        <v>3095</v>
      </c>
      <c r="C3096" s="3">
        <v>46</v>
      </c>
      <c r="E3096" t="s">
        <v>394</v>
      </c>
    </row>
    <row r="3097" spans="1:5" x14ac:dyDescent="0.25">
      <c r="A3097" s="1" t="s">
        <v>3096</v>
      </c>
      <c r="C3097" s="3">
        <v>46</v>
      </c>
      <c r="E3097" t="s">
        <v>784</v>
      </c>
    </row>
    <row r="3098" spans="1:5" x14ac:dyDescent="0.25">
      <c r="A3098" s="1" t="s">
        <v>3097</v>
      </c>
      <c r="C3098" s="3">
        <v>46</v>
      </c>
      <c r="E3098" t="s">
        <v>6089</v>
      </c>
    </row>
    <row r="3099" spans="1:5" x14ac:dyDescent="0.25">
      <c r="A3099" s="1" t="s">
        <v>3098</v>
      </c>
      <c r="C3099" s="3">
        <v>45</v>
      </c>
      <c r="E3099" t="s">
        <v>4992</v>
      </c>
    </row>
    <row r="3100" spans="1:5" x14ac:dyDescent="0.25">
      <c r="A3100" s="1" t="s">
        <v>3099</v>
      </c>
      <c r="C3100" s="3">
        <v>45</v>
      </c>
      <c r="E3100" t="s">
        <v>1592</v>
      </c>
    </row>
    <row r="3101" spans="1:5" x14ac:dyDescent="0.25">
      <c r="A3101" s="1" t="s">
        <v>3100</v>
      </c>
      <c r="C3101" s="3">
        <v>45</v>
      </c>
      <c r="E3101" t="s">
        <v>24802</v>
      </c>
    </row>
    <row r="3102" spans="1:5" x14ac:dyDescent="0.25">
      <c r="A3102" s="1" t="s">
        <v>3101</v>
      </c>
      <c r="C3102" s="3">
        <v>45</v>
      </c>
      <c r="E3102" t="s">
        <v>7581</v>
      </c>
    </row>
    <row r="3103" spans="1:5" x14ac:dyDescent="0.25">
      <c r="A3103" s="1" t="s">
        <v>3102</v>
      </c>
      <c r="C3103" s="3">
        <v>45</v>
      </c>
      <c r="E3103" t="s">
        <v>8895</v>
      </c>
    </row>
    <row r="3104" spans="1:5" x14ac:dyDescent="0.25">
      <c r="A3104" s="1" t="s">
        <v>3103</v>
      </c>
      <c r="C3104" s="3">
        <v>45</v>
      </c>
      <c r="E3104" t="s">
        <v>17903</v>
      </c>
    </row>
    <row r="3105" spans="1:5" x14ac:dyDescent="0.25">
      <c r="A3105" s="1" t="s">
        <v>3104</v>
      </c>
      <c r="C3105" s="3">
        <v>45</v>
      </c>
      <c r="E3105" t="s">
        <v>1830</v>
      </c>
    </row>
    <row r="3106" spans="1:5" x14ac:dyDescent="0.25">
      <c r="A3106" s="1" t="s">
        <v>3105</v>
      </c>
      <c r="C3106" s="3">
        <v>45</v>
      </c>
      <c r="E3106" t="s">
        <v>483</v>
      </c>
    </row>
    <row r="3107" spans="1:5" x14ac:dyDescent="0.25">
      <c r="A3107" s="1" t="s">
        <v>3106</v>
      </c>
      <c r="C3107" s="3">
        <v>45</v>
      </c>
      <c r="E3107" t="s">
        <v>2725</v>
      </c>
    </row>
    <row r="3108" spans="1:5" x14ac:dyDescent="0.25">
      <c r="A3108" s="1" t="s">
        <v>3107</v>
      </c>
      <c r="C3108" s="3">
        <v>45</v>
      </c>
      <c r="E3108" t="s">
        <v>9718</v>
      </c>
    </row>
    <row r="3109" spans="1:5" x14ac:dyDescent="0.25">
      <c r="A3109" s="1" t="s">
        <v>3108</v>
      </c>
      <c r="C3109" s="3">
        <v>45</v>
      </c>
      <c r="E3109" t="s">
        <v>4505</v>
      </c>
    </row>
    <row r="3110" spans="1:5" x14ac:dyDescent="0.25">
      <c r="A3110" s="1" t="s">
        <v>3109</v>
      </c>
      <c r="C3110" s="3">
        <v>45</v>
      </c>
      <c r="E3110" t="s">
        <v>16007</v>
      </c>
    </row>
    <row r="3111" spans="1:5" x14ac:dyDescent="0.25">
      <c r="A3111" s="1" t="s">
        <v>3110</v>
      </c>
      <c r="C3111" s="3">
        <v>45</v>
      </c>
      <c r="E3111" t="s">
        <v>5883</v>
      </c>
    </row>
    <row r="3112" spans="1:5" x14ac:dyDescent="0.25">
      <c r="A3112" s="1" t="s">
        <v>3111</v>
      </c>
      <c r="C3112" s="3">
        <v>45</v>
      </c>
      <c r="E3112" t="s">
        <v>17136</v>
      </c>
    </row>
    <row r="3113" spans="1:5" x14ac:dyDescent="0.25">
      <c r="A3113" s="1" t="s">
        <v>3112</v>
      </c>
      <c r="C3113" s="3">
        <v>45</v>
      </c>
      <c r="E3113" t="s">
        <v>9557</v>
      </c>
    </row>
    <row r="3114" spans="1:5" x14ac:dyDescent="0.25">
      <c r="A3114" s="1" t="s">
        <v>3113</v>
      </c>
      <c r="C3114" s="3">
        <v>45</v>
      </c>
      <c r="E3114" t="s">
        <v>3178</v>
      </c>
    </row>
    <row r="3115" spans="1:5" x14ac:dyDescent="0.25">
      <c r="A3115" s="1" t="s">
        <v>3114</v>
      </c>
      <c r="C3115" s="3">
        <v>45</v>
      </c>
      <c r="E3115" t="s">
        <v>3124</v>
      </c>
    </row>
    <row r="3116" spans="1:5" x14ac:dyDescent="0.25">
      <c r="A3116" s="1" t="s">
        <v>3115</v>
      </c>
      <c r="C3116" s="3">
        <v>45</v>
      </c>
      <c r="E3116" t="s">
        <v>3719</v>
      </c>
    </row>
    <row r="3117" spans="1:5" x14ac:dyDescent="0.25">
      <c r="A3117" s="1" t="s">
        <v>3116</v>
      </c>
      <c r="C3117" s="3">
        <v>45</v>
      </c>
      <c r="E3117" t="s">
        <v>7472</v>
      </c>
    </row>
    <row r="3118" spans="1:5" x14ac:dyDescent="0.25">
      <c r="A3118" s="1" t="s">
        <v>3117</v>
      </c>
      <c r="C3118" s="3">
        <v>45</v>
      </c>
      <c r="E3118" t="s">
        <v>9784</v>
      </c>
    </row>
    <row r="3119" spans="1:5" x14ac:dyDescent="0.25">
      <c r="A3119" s="1" t="s">
        <v>3118</v>
      </c>
      <c r="C3119" s="3">
        <v>45</v>
      </c>
      <c r="E3119" t="s">
        <v>11910</v>
      </c>
    </row>
    <row r="3120" spans="1:5" x14ac:dyDescent="0.25">
      <c r="A3120" s="1" t="s">
        <v>3119</v>
      </c>
      <c r="C3120" s="3">
        <v>45</v>
      </c>
      <c r="E3120" t="s">
        <v>1667</v>
      </c>
    </row>
    <row r="3121" spans="1:5" x14ac:dyDescent="0.25">
      <c r="A3121" s="1" t="s">
        <v>3120</v>
      </c>
      <c r="C3121" s="3">
        <v>45</v>
      </c>
      <c r="E3121" t="s">
        <v>307</v>
      </c>
    </row>
    <row r="3122" spans="1:5" x14ac:dyDescent="0.25">
      <c r="A3122" s="1" t="s">
        <v>3121</v>
      </c>
      <c r="C3122" s="3">
        <v>45</v>
      </c>
      <c r="E3122" t="s">
        <v>1314</v>
      </c>
    </row>
    <row r="3123" spans="1:5" x14ac:dyDescent="0.25">
      <c r="A3123" s="1" t="s">
        <v>3122</v>
      </c>
      <c r="C3123" s="3">
        <v>45</v>
      </c>
      <c r="E3123" t="s">
        <v>55</v>
      </c>
    </row>
    <row r="3124" spans="1:5" x14ac:dyDescent="0.25">
      <c r="A3124" s="1" t="s">
        <v>3123</v>
      </c>
      <c r="C3124" s="3">
        <v>45</v>
      </c>
      <c r="E3124" t="s">
        <v>2069</v>
      </c>
    </row>
    <row r="3125" spans="1:5" x14ac:dyDescent="0.25">
      <c r="A3125" s="1" t="s">
        <v>3124</v>
      </c>
      <c r="C3125" s="3">
        <v>45</v>
      </c>
      <c r="E3125" t="s">
        <v>2392</v>
      </c>
    </row>
    <row r="3126" spans="1:5" x14ac:dyDescent="0.25">
      <c r="A3126" s="1" t="s">
        <v>3125</v>
      </c>
      <c r="C3126" s="3">
        <v>45</v>
      </c>
      <c r="E3126" t="s">
        <v>9413</v>
      </c>
    </row>
    <row r="3127" spans="1:5" x14ac:dyDescent="0.25">
      <c r="A3127" s="1" t="s">
        <v>3126</v>
      </c>
      <c r="C3127" s="3">
        <v>45</v>
      </c>
      <c r="E3127" t="s">
        <v>1485</v>
      </c>
    </row>
    <row r="3128" spans="1:5" x14ac:dyDescent="0.25">
      <c r="A3128" s="1" t="s">
        <v>3127</v>
      </c>
      <c r="C3128" s="3">
        <v>45</v>
      </c>
      <c r="E3128" t="s">
        <v>5808</v>
      </c>
    </row>
    <row r="3129" spans="1:5" x14ac:dyDescent="0.25">
      <c r="A3129" s="1" t="s">
        <v>3128</v>
      </c>
      <c r="C3129" s="3">
        <v>45</v>
      </c>
      <c r="E3129" t="s">
        <v>220</v>
      </c>
    </row>
    <row r="3130" spans="1:5" x14ac:dyDescent="0.25">
      <c r="A3130" s="1" t="s">
        <v>3129</v>
      </c>
      <c r="C3130" s="3">
        <v>45</v>
      </c>
      <c r="E3130" t="s">
        <v>13151</v>
      </c>
    </row>
    <row r="3131" spans="1:5" x14ac:dyDescent="0.25">
      <c r="A3131" s="1" t="s">
        <v>3130</v>
      </c>
      <c r="C3131" s="3">
        <v>45</v>
      </c>
      <c r="E3131" t="s">
        <v>1330</v>
      </c>
    </row>
    <row r="3132" spans="1:5" x14ac:dyDescent="0.25">
      <c r="A3132" s="1" t="s">
        <v>3131</v>
      </c>
      <c r="C3132" s="3">
        <v>45</v>
      </c>
      <c r="E3132" t="s">
        <v>1879</v>
      </c>
    </row>
    <row r="3133" spans="1:5" x14ac:dyDescent="0.25">
      <c r="A3133" s="1" t="s">
        <v>3132</v>
      </c>
      <c r="C3133" s="3">
        <v>45</v>
      </c>
      <c r="E3133" t="s">
        <v>638</v>
      </c>
    </row>
    <row r="3134" spans="1:5" x14ac:dyDescent="0.25">
      <c r="A3134" s="1" t="s">
        <v>3133</v>
      </c>
      <c r="C3134" s="3">
        <v>45</v>
      </c>
      <c r="E3134" t="s">
        <v>464</v>
      </c>
    </row>
    <row r="3135" spans="1:5" x14ac:dyDescent="0.25">
      <c r="A3135" s="1" t="s">
        <v>3134</v>
      </c>
      <c r="C3135" s="3">
        <v>45</v>
      </c>
      <c r="E3135" t="s">
        <v>14794</v>
      </c>
    </row>
    <row r="3136" spans="1:5" x14ac:dyDescent="0.25">
      <c r="A3136" s="1" t="s">
        <v>3135</v>
      </c>
      <c r="C3136" s="3">
        <v>45</v>
      </c>
      <c r="E3136" t="s">
        <v>104</v>
      </c>
    </row>
    <row r="3137" spans="1:5" x14ac:dyDescent="0.25">
      <c r="A3137" s="1" t="s">
        <v>3136</v>
      </c>
      <c r="C3137" s="3">
        <v>45</v>
      </c>
      <c r="E3137" t="s">
        <v>6265</v>
      </c>
    </row>
    <row r="3138" spans="1:5" x14ac:dyDescent="0.25">
      <c r="A3138" s="1" t="s">
        <v>3137</v>
      </c>
      <c r="C3138" s="3">
        <v>45</v>
      </c>
      <c r="E3138" t="s">
        <v>5432</v>
      </c>
    </row>
    <row r="3139" spans="1:5" x14ac:dyDescent="0.25">
      <c r="A3139" s="1" t="s">
        <v>3138</v>
      </c>
      <c r="C3139" s="3">
        <v>45</v>
      </c>
      <c r="E3139" t="s">
        <v>4597</v>
      </c>
    </row>
    <row r="3140" spans="1:5" x14ac:dyDescent="0.25">
      <c r="A3140" s="1" t="s">
        <v>3139</v>
      </c>
      <c r="C3140" s="3">
        <v>45</v>
      </c>
      <c r="E3140" t="s">
        <v>16026</v>
      </c>
    </row>
    <row r="3141" spans="1:5" x14ac:dyDescent="0.25">
      <c r="A3141" s="1" t="s">
        <v>3140</v>
      </c>
      <c r="C3141" s="3">
        <v>45</v>
      </c>
      <c r="E3141" t="s">
        <v>6699</v>
      </c>
    </row>
    <row r="3142" spans="1:5" x14ac:dyDescent="0.25">
      <c r="A3142" s="1" t="s">
        <v>3141</v>
      </c>
      <c r="C3142" s="3">
        <v>45</v>
      </c>
      <c r="E3142" t="s">
        <v>11794</v>
      </c>
    </row>
    <row r="3143" spans="1:5" x14ac:dyDescent="0.25">
      <c r="A3143" s="1" t="s">
        <v>3142</v>
      </c>
      <c r="C3143" s="3">
        <v>45</v>
      </c>
      <c r="E3143" t="s">
        <v>1649</v>
      </c>
    </row>
    <row r="3144" spans="1:5" x14ac:dyDescent="0.25">
      <c r="A3144" s="1" t="s">
        <v>3143</v>
      </c>
      <c r="C3144" s="3">
        <v>45</v>
      </c>
      <c r="E3144" t="s">
        <v>1270</v>
      </c>
    </row>
    <row r="3145" spans="1:5" x14ac:dyDescent="0.25">
      <c r="A3145" s="1" t="s">
        <v>3144</v>
      </c>
      <c r="C3145" s="3">
        <v>45</v>
      </c>
      <c r="E3145" t="s">
        <v>820</v>
      </c>
    </row>
    <row r="3146" spans="1:5" x14ac:dyDescent="0.25">
      <c r="A3146" s="1" t="s">
        <v>3145</v>
      </c>
      <c r="C3146" s="3">
        <v>45</v>
      </c>
      <c r="E3146" t="s">
        <v>6328</v>
      </c>
    </row>
    <row r="3147" spans="1:5" x14ac:dyDescent="0.25">
      <c r="A3147" s="1" t="s">
        <v>3146</v>
      </c>
      <c r="C3147" s="3">
        <v>45</v>
      </c>
      <c r="E3147" t="s">
        <v>13904</v>
      </c>
    </row>
    <row r="3148" spans="1:5" x14ac:dyDescent="0.25">
      <c r="A3148" s="1" t="s">
        <v>3147</v>
      </c>
      <c r="C3148" s="3">
        <v>45</v>
      </c>
      <c r="E3148" t="s">
        <v>10725</v>
      </c>
    </row>
    <row r="3149" spans="1:5" x14ac:dyDescent="0.25">
      <c r="A3149" s="1" t="s">
        <v>3148</v>
      </c>
      <c r="C3149" s="3">
        <v>45</v>
      </c>
      <c r="E3149" t="s">
        <v>7602</v>
      </c>
    </row>
    <row r="3150" spans="1:5" x14ac:dyDescent="0.25">
      <c r="A3150" s="1" t="s">
        <v>3149</v>
      </c>
      <c r="C3150" s="3">
        <v>45</v>
      </c>
      <c r="E3150" t="s">
        <v>3367</v>
      </c>
    </row>
    <row r="3151" spans="1:5" x14ac:dyDescent="0.25">
      <c r="A3151" s="1" t="s">
        <v>3150</v>
      </c>
      <c r="C3151" s="3">
        <v>45</v>
      </c>
      <c r="E3151" t="s">
        <v>6628</v>
      </c>
    </row>
    <row r="3152" spans="1:5" x14ac:dyDescent="0.25">
      <c r="A3152" s="1" t="s">
        <v>3151</v>
      </c>
      <c r="C3152" s="3">
        <v>45</v>
      </c>
      <c r="E3152" t="s">
        <v>3952</v>
      </c>
    </row>
    <row r="3153" spans="1:5" x14ac:dyDescent="0.25">
      <c r="A3153" s="1" t="s">
        <v>3152</v>
      </c>
      <c r="C3153" s="3">
        <v>45</v>
      </c>
      <c r="E3153" t="s">
        <v>4352</v>
      </c>
    </row>
    <row r="3154" spans="1:5" x14ac:dyDescent="0.25">
      <c r="A3154" s="1" t="s">
        <v>3153</v>
      </c>
      <c r="C3154" s="3">
        <v>45</v>
      </c>
      <c r="E3154" t="s">
        <v>4554</v>
      </c>
    </row>
    <row r="3155" spans="1:5" x14ac:dyDescent="0.25">
      <c r="A3155" s="1" t="s">
        <v>3154</v>
      </c>
      <c r="C3155" s="3">
        <v>45</v>
      </c>
      <c r="E3155" t="s">
        <v>25468</v>
      </c>
    </row>
    <row r="3156" spans="1:5" x14ac:dyDescent="0.25">
      <c r="A3156" s="1" t="s">
        <v>3155</v>
      </c>
      <c r="C3156" s="3">
        <v>45</v>
      </c>
      <c r="E3156" t="s">
        <v>15812</v>
      </c>
    </row>
    <row r="3157" spans="1:5" x14ac:dyDescent="0.25">
      <c r="A3157" s="1" t="s">
        <v>3156</v>
      </c>
      <c r="C3157" s="3">
        <v>45</v>
      </c>
      <c r="E3157" t="s">
        <v>11164</v>
      </c>
    </row>
    <row r="3158" spans="1:5" x14ac:dyDescent="0.25">
      <c r="A3158" s="1" t="s">
        <v>3157</v>
      </c>
      <c r="C3158" s="3">
        <v>45</v>
      </c>
      <c r="E3158" t="s">
        <v>7425</v>
      </c>
    </row>
    <row r="3159" spans="1:5" x14ac:dyDescent="0.25">
      <c r="A3159" s="1" t="s">
        <v>3158</v>
      </c>
      <c r="C3159" s="3">
        <v>45</v>
      </c>
      <c r="E3159" t="s">
        <v>9699</v>
      </c>
    </row>
    <row r="3160" spans="1:5" x14ac:dyDescent="0.25">
      <c r="A3160" s="1" t="s">
        <v>3159</v>
      </c>
      <c r="C3160" s="3">
        <v>45</v>
      </c>
      <c r="E3160" t="s">
        <v>8035</v>
      </c>
    </row>
    <row r="3161" spans="1:5" x14ac:dyDescent="0.25">
      <c r="A3161" s="1" t="s">
        <v>3160</v>
      </c>
      <c r="C3161" s="3">
        <v>45</v>
      </c>
      <c r="E3161" t="s">
        <v>1818</v>
      </c>
    </row>
    <row r="3162" spans="1:5" x14ac:dyDescent="0.25">
      <c r="A3162" s="1" t="s">
        <v>3161</v>
      </c>
      <c r="C3162" s="3">
        <v>44</v>
      </c>
      <c r="E3162" t="s">
        <v>58</v>
      </c>
    </row>
    <row r="3163" spans="1:5" x14ac:dyDescent="0.25">
      <c r="A3163" s="1" t="s">
        <v>3162</v>
      </c>
      <c r="C3163" s="3">
        <v>44</v>
      </c>
      <c r="E3163" t="s">
        <v>2351</v>
      </c>
    </row>
    <row r="3164" spans="1:5" x14ac:dyDescent="0.25">
      <c r="A3164" s="1" t="s">
        <v>3163</v>
      </c>
      <c r="C3164" s="3">
        <v>44</v>
      </c>
      <c r="E3164" t="s">
        <v>10969</v>
      </c>
    </row>
    <row r="3165" spans="1:5" x14ac:dyDescent="0.25">
      <c r="A3165" s="1" t="s">
        <v>3164</v>
      </c>
      <c r="C3165" s="3">
        <v>44</v>
      </c>
      <c r="E3165" t="s">
        <v>7191</v>
      </c>
    </row>
    <row r="3166" spans="1:5" x14ac:dyDescent="0.25">
      <c r="A3166" s="1" t="s">
        <v>3165</v>
      </c>
      <c r="C3166" s="3">
        <v>44</v>
      </c>
      <c r="E3166" t="s">
        <v>2808</v>
      </c>
    </row>
    <row r="3167" spans="1:5" x14ac:dyDescent="0.25">
      <c r="A3167" s="1" t="s">
        <v>3166</v>
      </c>
      <c r="C3167" s="3">
        <v>44</v>
      </c>
      <c r="E3167" t="s">
        <v>11703</v>
      </c>
    </row>
    <row r="3168" spans="1:5" x14ac:dyDescent="0.25">
      <c r="A3168" s="1" t="s">
        <v>3167</v>
      </c>
      <c r="C3168" s="3">
        <v>44</v>
      </c>
      <c r="E3168" t="s">
        <v>915</v>
      </c>
    </row>
    <row r="3169" spans="1:5" x14ac:dyDescent="0.25">
      <c r="A3169" s="1" t="s">
        <v>3168</v>
      </c>
      <c r="C3169" s="3">
        <v>44</v>
      </c>
      <c r="E3169" t="s">
        <v>11805</v>
      </c>
    </row>
    <row r="3170" spans="1:5" x14ac:dyDescent="0.25">
      <c r="A3170" s="1" t="s">
        <v>3169</v>
      </c>
      <c r="C3170" s="3">
        <v>44</v>
      </c>
      <c r="E3170" t="s">
        <v>7340</v>
      </c>
    </row>
    <row r="3171" spans="1:5" x14ac:dyDescent="0.25">
      <c r="A3171" s="1" t="s">
        <v>3170</v>
      </c>
      <c r="C3171" s="3">
        <v>44</v>
      </c>
      <c r="E3171" t="s">
        <v>18633</v>
      </c>
    </row>
    <row r="3172" spans="1:5" x14ac:dyDescent="0.25">
      <c r="A3172" s="1" t="s">
        <v>3171</v>
      </c>
      <c r="C3172" s="3">
        <v>44</v>
      </c>
      <c r="E3172" t="s">
        <v>9942</v>
      </c>
    </row>
    <row r="3173" spans="1:5" x14ac:dyDescent="0.25">
      <c r="A3173" s="1" t="s">
        <v>3172</v>
      </c>
      <c r="C3173" s="3">
        <v>44</v>
      </c>
      <c r="E3173" t="s">
        <v>7604</v>
      </c>
    </row>
    <row r="3174" spans="1:5" x14ac:dyDescent="0.25">
      <c r="A3174" s="1" t="s">
        <v>3173</v>
      </c>
      <c r="C3174" s="3">
        <v>44</v>
      </c>
      <c r="E3174" t="s">
        <v>4303</v>
      </c>
    </row>
    <row r="3175" spans="1:5" x14ac:dyDescent="0.25">
      <c r="A3175" s="1" t="s">
        <v>3174</v>
      </c>
      <c r="C3175" s="3">
        <v>44</v>
      </c>
      <c r="E3175" t="s">
        <v>16242</v>
      </c>
    </row>
    <row r="3176" spans="1:5" x14ac:dyDescent="0.25">
      <c r="A3176" s="1" t="s">
        <v>3175</v>
      </c>
      <c r="C3176" s="3">
        <v>44</v>
      </c>
      <c r="E3176" t="s">
        <v>907</v>
      </c>
    </row>
    <row r="3177" spans="1:5" x14ac:dyDescent="0.25">
      <c r="A3177" s="1" t="s">
        <v>3176</v>
      </c>
      <c r="C3177" s="3">
        <v>44</v>
      </c>
      <c r="E3177" t="s">
        <v>7081</v>
      </c>
    </row>
    <row r="3178" spans="1:5" x14ac:dyDescent="0.25">
      <c r="A3178" s="1" t="s">
        <v>3177</v>
      </c>
      <c r="C3178" s="3">
        <v>44</v>
      </c>
      <c r="E3178" t="s">
        <v>4196</v>
      </c>
    </row>
    <row r="3179" spans="1:5" x14ac:dyDescent="0.25">
      <c r="A3179" s="1" t="s">
        <v>3178</v>
      </c>
      <c r="C3179" s="3">
        <v>44</v>
      </c>
      <c r="E3179" t="s">
        <v>1930</v>
      </c>
    </row>
    <row r="3180" spans="1:5" x14ac:dyDescent="0.25">
      <c r="A3180" s="1" t="s">
        <v>3179</v>
      </c>
      <c r="C3180" s="3">
        <v>44</v>
      </c>
      <c r="E3180" t="s">
        <v>1736</v>
      </c>
    </row>
    <row r="3181" spans="1:5" x14ac:dyDescent="0.25">
      <c r="A3181" s="1" t="s">
        <v>3180</v>
      </c>
      <c r="C3181" s="3">
        <v>44</v>
      </c>
      <c r="E3181" t="s">
        <v>1119</v>
      </c>
    </row>
    <row r="3182" spans="1:5" x14ac:dyDescent="0.25">
      <c r="A3182" s="1" t="s">
        <v>3181</v>
      </c>
      <c r="C3182" s="3">
        <v>44</v>
      </c>
      <c r="E3182" t="s">
        <v>2591</v>
      </c>
    </row>
    <row r="3183" spans="1:5" x14ac:dyDescent="0.25">
      <c r="A3183" s="1" t="s">
        <v>3182</v>
      </c>
      <c r="C3183" s="3">
        <v>44</v>
      </c>
      <c r="E3183" t="s">
        <v>2349</v>
      </c>
    </row>
    <row r="3184" spans="1:5" x14ac:dyDescent="0.25">
      <c r="A3184" s="1" t="s">
        <v>3183</v>
      </c>
      <c r="C3184" s="3">
        <v>44</v>
      </c>
      <c r="E3184" t="s">
        <v>2484</v>
      </c>
    </row>
    <row r="3185" spans="1:5" x14ac:dyDescent="0.25">
      <c r="A3185" s="1" t="s">
        <v>3184</v>
      </c>
      <c r="C3185" s="3">
        <v>44</v>
      </c>
      <c r="E3185" t="s">
        <v>11809</v>
      </c>
    </row>
    <row r="3186" spans="1:5" x14ac:dyDescent="0.25">
      <c r="A3186" s="1" t="s">
        <v>3185</v>
      </c>
      <c r="C3186" s="3">
        <v>44</v>
      </c>
      <c r="E3186" t="s">
        <v>8010</v>
      </c>
    </row>
    <row r="3187" spans="1:5" x14ac:dyDescent="0.25">
      <c r="A3187" s="1" t="s">
        <v>3186</v>
      </c>
      <c r="C3187" s="3">
        <v>44</v>
      </c>
      <c r="E3187" t="s">
        <v>328</v>
      </c>
    </row>
    <row r="3188" spans="1:5" x14ac:dyDescent="0.25">
      <c r="A3188" s="1" t="s">
        <v>3187</v>
      </c>
      <c r="C3188" s="3">
        <v>44</v>
      </c>
      <c r="E3188" t="s">
        <v>407</v>
      </c>
    </row>
    <row r="3189" spans="1:5" x14ac:dyDescent="0.25">
      <c r="A3189" s="1" t="s">
        <v>3188</v>
      </c>
      <c r="C3189" s="3">
        <v>44</v>
      </c>
      <c r="E3189" t="s">
        <v>2914</v>
      </c>
    </row>
    <row r="3190" spans="1:5" x14ac:dyDescent="0.25">
      <c r="A3190" s="1" t="s">
        <v>3189</v>
      </c>
      <c r="C3190" s="3">
        <v>44</v>
      </c>
      <c r="E3190" t="s">
        <v>15545</v>
      </c>
    </row>
    <row r="3191" spans="1:5" x14ac:dyDescent="0.25">
      <c r="A3191" s="1" t="s">
        <v>3190</v>
      </c>
      <c r="C3191" s="3">
        <v>44</v>
      </c>
      <c r="E3191" t="s">
        <v>1355</v>
      </c>
    </row>
    <row r="3192" spans="1:5" x14ac:dyDescent="0.25">
      <c r="A3192" s="1" t="s">
        <v>3191</v>
      </c>
      <c r="C3192" s="3">
        <v>44</v>
      </c>
      <c r="E3192" t="s">
        <v>3591</v>
      </c>
    </row>
    <row r="3193" spans="1:5" x14ac:dyDescent="0.25">
      <c r="A3193" s="1" t="s">
        <v>3192</v>
      </c>
      <c r="C3193" s="3">
        <v>44</v>
      </c>
      <c r="E3193" t="s">
        <v>2345</v>
      </c>
    </row>
    <row r="3194" spans="1:5" x14ac:dyDescent="0.25">
      <c r="A3194" s="1" t="s">
        <v>3193</v>
      </c>
      <c r="C3194" s="3">
        <v>44</v>
      </c>
      <c r="E3194" t="s">
        <v>25069</v>
      </c>
    </row>
    <row r="3195" spans="1:5" x14ac:dyDescent="0.25">
      <c r="A3195" s="1" t="s">
        <v>3194</v>
      </c>
      <c r="C3195" s="3">
        <v>44</v>
      </c>
      <c r="E3195" t="s">
        <v>8742</v>
      </c>
    </row>
    <row r="3196" spans="1:5" x14ac:dyDescent="0.25">
      <c r="A3196" s="1" t="s">
        <v>3195</v>
      </c>
      <c r="C3196" s="3">
        <v>44</v>
      </c>
      <c r="E3196" t="s">
        <v>8050</v>
      </c>
    </row>
    <row r="3197" spans="1:5" x14ac:dyDescent="0.25">
      <c r="A3197" s="1" t="s">
        <v>3196</v>
      </c>
      <c r="C3197" s="3">
        <v>44</v>
      </c>
      <c r="E3197" t="s">
        <v>20439</v>
      </c>
    </row>
    <row r="3198" spans="1:5" x14ac:dyDescent="0.25">
      <c r="A3198" s="1" t="s">
        <v>3197</v>
      </c>
      <c r="C3198" s="3">
        <v>44</v>
      </c>
      <c r="E3198" t="s">
        <v>6086</v>
      </c>
    </row>
    <row r="3199" spans="1:5" x14ac:dyDescent="0.25">
      <c r="A3199" s="1" t="s">
        <v>3198</v>
      </c>
      <c r="C3199" s="3">
        <v>44</v>
      </c>
      <c r="E3199" t="s">
        <v>293</v>
      </c>
    </row>
    <row r="3200" spans="1:5" x14ac:dyDescent="0.25">
      <c r="A3200" s="1" t="s">
        <v>3199</v>
      </c>
      <c r="C3200" s="3">
        <v>44</v>
      </c>
      <c r="E3200" t="s">
        <v>4057</v>
      </c>
    </row>
    <row r="3201" spans="1:5" x14ac:dyDescent="0.25">
      <c r="A3201" s="1" t="s">
        <v>3200</v>
      </c>
      <c r="C3201" s="3">
        <v>44</v>
      </c>
      <c r="E3201" t="s">
        <v>3631</v>
      </c>
    </row>
    <row r="3202" spans="1:5" x14ac:dyDescent="0.25">
      <c r="A3202" s="1" t="s">
        <v>3201</v>
      </c>
      <c r="C3202" s="3">
        <v>44</v>
      </c>
      <c r="E3202" t="s">
        <v>8329</v>
      </c>
    </row>
    <row r="3203" spans="1:5" x14ac:dyDescent="0.25">
      <c r="A3203" s="1" t="s">
        <v>3202</v>
      </c>
      <c r="C3203" s="3">
        <v>44</v>
      </c>
      <c r="E3203" t="s">
        <v>8341</v>
      </c>
    </row>
    <row r="3204" spans="1:5" x14ac:dyDescent="0.25">
      <c r="A3204" s="1" t="s">
        <v>3203</v>
      </c>
      <c r="C3204" s="3">
        <v>44</v>
      </c>
      <c r="E3204" t="s">
        <v>4610</v>
      </c>
    </row>
    <row r="3205" spans="1:5" x14ac:dyDescent="0.25">
      <c r="A3205" s="1" t="s">
        <v>3204</v>
      </c>
      <c r="C3205" s="3">
        <v>44</v>
      </c>
      <c r="E3205" t="s">
        <v>21641</v>
      </c>
    </row>
    <row r="3206" spans="1:5" x14ac:dyDescent="0.25">
      <c r="A3206" s="1" t="s">
        <v>3205</v>
      </c>
      <c r="C3206" s="3">
        <v>44</v>
      </c>
      <c r="E3206" t="s">
        <v>3254</v>
      </c>
    </row>
    <row r="3207" spans="1:5" x14ac:dyDescent="0.25">
      <c r="A3207" s="1" t="s">
        <v>3206</v>
      </c>
      <c r="C3207" s="3">
        <v>44</v>
      </c>
      <c r="E3207" t="s">
        <v>17393</v>
      </c>
    </row>
    <row r="3208" spans="1:5" x14ac:dyDescent="0.25">
      <c r="A3208" s="1" t="s">
        <v>3207</v>
      </c>
      <c r="C3208" s="3">
        <v>44</v>
      </c>
      <c r="E3208" t="s">
        <v>1993</v>
      </c>
    </row>
    <row r="3209" spans="1:5" x14ac:dyDescent="0.25">
      <c r="A3209" s="1" t="s">
        <v>3208</v>
      </c>
      <c r="C3209" s="3">
        <v>44</v>
      </c>
      <c r="E3209" t="s">
        <v>4403</v>
      </c>
    </row>
    <row r="3210" spans="1:5" x14ac:dyDescent="0.25">
      <c r="A3210" s="1" t="s">
        <v>3209</v>
      </c>
      <c r="C3210" s="3">
        <v>44</v>
      </c>
      <c r="E3210" t="s">
        <v>4178</v>
      </c>
    </row>
    <row r="3211" spans="1:5" x14ac:dyDescent="0.25">
      <c r="A3211" s="1" t="s">
        <v>3210</v>
      </c>
      <c r="C3211" s="3">
        <v>44</v>
      </c>
      <c r="E3211" t="s">
        <v>4143</v>
      </c>
    </row>
    <row r="3212" spans="1:5" x14ac:dyDescent="0.25">
      <c r="A3212" s="1" t="s">
        <v>3211</v>
      </c>
      <c r="C3212" s="3">
        <v>44</v>
      </c>
      <c r="E3212" t="s">
        <v>12618</v>
      </c>
    </row>
    <row r="3213" spans="1:5" x14ac:dyDescent="0.25">
      <c r="A3213" s="1" t="s">
        <v>3212</v>
      </c>
      <c r="C3213" s="3">
        <v>44</v>
      </c>
      <c r="E3213" t="s">
        <v>23948</v>
      </c>
    </row>
    <row r="3214" spans="1:5" x14ac:dyDescent="0.25">
      <c r="A3214" s="1" t="s">
        <v>3213</v>
      </c>
      <c r="C3214" s="3">
        <v>44</v>
      </c>
      <c r="E3214" t="s">
        <v>4246</v>
      </c>
    </row>
    <row r="3215" spans="1:5" x14ac:dyDescent="0.25">
      <c r="A3215" s="1" t="s">
        <v>3214</v>
      </c>
      <c r="C3215" s="3">
        <v>44</v>
      </c>
      <c r="E3215" t="s">
        <v>14690</v>
      </c>
    </row>
    <row r="3216" spans="1:5" x14ac:dyDescent="0.25">
      <c r="A3216" s="1" t="s">
        <v>3215</v>
      </c>
      <c r="C3216" s="3">
        <v>44</v>
      </c>
      <c r="E3216" t="s">
        <v>10670</v>
      </c>
    </row>
    <row r="3217" spans="1:5" x14ac:dyDescent="0.25">
      <c r="A3217" s="1" t="s">
        <v>3216</v>
      </c>
      <c r="C3217" s="3">
        <v>44</v>
      </c>
      <c r="E3217" t="s">
        <v>1712</v>
      </c>
    </row>
    <row r="3218" spans="1:5" x14ac:dyDescent="0.25">
      <c r="A3218" s="1" t="s">
        <v>3217</v>
      </c>
      <c r="C3218" s="3">
        <v>44</v>
      </c>
      <c r="E3218" t="s">
        <v>23970</v>
      </c>
    </row>
    <row r="3219" spans="1:5" x14ac:dyDescent="0.25">
      <c r="A3219" s="1" t="s">
        <v>3218</v>
      </c>
      <c r="C3219" s="3">
        <v>44</v>
      </c>
      <c r="E3219" t="s">
        <v>972</v>
      </c>
    </row>
    <row r="3220" spans="1:5" x14ac:dyDescent="0.25">
      <c r="A3220" s="1" t="s">
        <v>3219</v>
      </c>
      <c r="C3220" s="3">
        <v>44</v>
      </c>
      <c r="E3220" t="s">
        <v>6809</v>
      </c>
    </row>
    <row r="3221" spans="1:5" x14ac:dyDescent="0.25">
      <c r="A3221" s="1" t="s">
        <v>3220</v>
      </c>
      <c r="C3221" s="3">
        <v>44</v>
      </c>
      <c r="E3221" t="s">
        <v>15909</v>
      </c>
    </row>
    <row r="3222" spans="1:5" x14ac:dyDescent="0.25">
      <c r="A3222" s="1" t="s">
        <v>3221</v>
      </c>
      <c r="C3222" s="3">
        <v>44</v>
      </c>
      <c r="E3222" t="s">
        <v>14671</v>
      </c>
    </row>
    <row r="3223" spans="1:5" x14ac:dyDescent="0.25">
      <c r="A3223" s="1" t="s">
        <v>3222</v>
      </c>
      <c r="C3223" s="3">
        <v>44</v>
      </c>
      <c r="E3223" t="s">
        <v>6045</v>
      </c>
    </row>
    <row r="3224" spans="1:5" x14ac:dyDescent="0.25">
      <c r="A3224" s="1" t="s">
        <v>3223</v>
      </c>
      <c r="C3224" s="3">
        <v>44</v>
      </c>
      <c r="E3224" t="s">
        <v>733</v>
      </c>
    </row>
    <row r="3225" spans="1:5" x14ac:dyDescent="0.25">
      <c r="A3225" s="1" t="s">
        <v>3224</v>
      </c>
      <c r="C3225" s="3">
        <v>44</v>
      </c>
      <c r="E3225" t="s">
        <v>1901</v>
      </c>
    </row>
    <row r="3226" spans="1:5" x14ac:dyDescent="0.25">
      <c r="A3226" s="1" t="s">
        <v>3225</v>
      </c>
      <c r="C3226" s="3">
        <v>43</v>
      </c>
      <c r="E3226" t="s">
        <v>5193</v>
      </c>
    </row>
    <row r="3227" spans="1:5" x14ac:dyDescent="0.25">
      <c r="A3227" s="1" t="s">
        <v>3226</v>
      </c>
      <c r="C3227" s="3">
        <v>43</v>
      </c>
      <c r="E3227" t="s">
        <v>8815</v>
      </c>
    </row>
    <row r="3228" spans="1:5" x14ac:dyDescent="0.25">
      <c r="A3228" s="1" t="s">
        <v>3227</v>
      </c>
      <c r="C3228" s="3">
        <v>43</v>
      </c>
      <c r="E3228" t="s">
        <v>11281</v>
      </c>
    </row>
    <row r="3229" spans="1:5" x14ac:dyDescent="0.25">
      <c r="A3229" s="1" t="s">
        <v>3228</v>
      </c>
      <c r="C3229" s="3">
        <v>43</v>
      </c>
      <c r="E3229" t="s">
        <v>11427</v>
      </c>
    </row>
    <row r="3230" spans="1:5" x14ac:dyDescent="0.25">
      <c r="A3230" s="1" t="s">
        <v>3229</v>
      </c>
      <c r="C3230" s="3">
        <v>43</v>
      </c>
      <c r="E3230" t="s">
        <v>5213</v>
      </c>
    </row>
    <row r="3231" spans="1:5" x14ac:dyDescent="0.25">
      <c r="A3231" s="1" t="s">
        <v>3230</v>
      </c>
      <c r="C3231" s="3">
        <v>43</v>
      </c>
      <c r="E3231" t="s">
        <v>23578</v>
      </c>
    </row>
    <row r="3232" spans="1:5" x14ac:dyDescent="0.25">
      <c r="A3232" s="1" t="s">
        <v>3231</v>
      </c>
      <c r="C3232" s="3">
        <v>43</v>
      </c>
      <c r="E3232" t="s">
        <v>4140</v>
      </c>
    </row>
    <row r="3233" spans="1:5" x14ac:dyDescent="0.25">
      <c r="A3233" s="1" t="s">
        <v>3232</v>
      </c>
      <c r="C3233" s="3">
        <v>43</v>
      </c>
      <c r="E3233" t="s">
        <v>5201</v>
      </c>
    </row>
    <row r="3234" spans="1:5" x14ac:dyDescent="0.25">
      <c r="A3234" s="1" t="s">
        <v>3233</v>
      </c>
      <c r="C3234" s="3">
        <v>43</v>
      </c>
      <c r="E3234" t="s">
        <v>3098</v>
      </c>
    </row>
    <row r="3235" spans="1:5" x14ac:dyDescent="0.25">
      <c r="A3235" s="1" t="s">
        <v>3234</v>
      </c>
      <c r="C3235" s="3">
        <v>43</v>
      </c>
      <c r="E3235" t="s">
        <v>6900</v>
      </c>
    </row>
    <row r="3236" spans="1:5" x14ac:dyDescent="0.25">
      <c r="A3236" s="1" t="s">
        <v>3235</v>
      </c>
      <c r="C3236" s="3">
        <v>43</v>
      </c>
      <c r="E3236" t="s">
        <v>780</v>
      </c>
    </row>
    <row r="3237" spans="1:5" x14ac:dyDescent="0.25">
      <c r="A3237" s="1" t="s">
        <v>3236</v>
      </c>
      <c r="C3237" s="3">
        <v>43</v>
      </c>
      <c r="E3237" t="s">
        <v>8741</v>
      </c>
    </row>
    <row r="3238" spans="1:5" x14ac:dyDescent="0.25">
      <c r="A3238" s="1" t="s">
        <v>3237</v>
      </c>
      <c r="C3238" s="3">
        <v>43</v>
      </c>
      <c r="E3238" t="s">
        <v>18297</v>
      </c>
    </row>
    <row r="3239" spans="1:5" x14ac:dyDescent="0.25">
      <c r="A3239" s="1" t="s">
        <v>3238</v>
      </c>
      <c r="C3239" s="3">
        <v>43</v>
      </c>
      <c r="E3239" t="s">
        <v>22</v>
      </c>
    </row>
    <row r="3240" spans="1:5" x14ac:dyDescent="0.25">
      <c r="A3240" s="1" t="s">
        <v>3239</v>
      </c>
      <c r="C3240" s="3">
        <v>43</v>
      </c>
      <c r="E3240" t="s">
        <v>4482</v>
      </c>
    </row>
    <row r="3241" spans="1:5" x14ac:dyDescent="0.25">
      <c r="A3241" s="1" t="s">
        <v>3240</v>
      </c>
      <c r="C3241" s="3">
        <v>43</v>
      </c>
      <c r="E3241" t="s">
        <v>4930</v>
      </c>
    </row>
    <row r="3242" spans="1:5" x14ac:dyDescent="0.25">
      <c r="A3242" s="1" t="s">
        <v>3241</v>
      </c>
      <c r="C3242" s="3">
        <v>43</v>
      </c>
      <c r="E3242" t="s">
        <v>4322</v>
      </c>
    </row>
    <row r="3243" spans="1:5" x14ac:dyDescent="0.25">
      <c r="A3243" s="1" t="s">
        <v>3242</v>
      </c>
      <c r="C3243" s="3">
        <v>43</v>
      </c>
      <c r="E3243" t="s">
        <v>1697</v>
      </c>
    </row>
    <row r="3244" spans="1:5" x14ac:dyDescent="0.25">
      <c r="A3244" s="1" t="s">
        <v>3243</v>
      </c>
      <c r="C3244" s="3">
        <v>43</v>
      </c>
      <c r="E3244" t="s">
        <v>16468</v>
      </c>
    </row>
    <row r="3245" spans="1:5" x14ac:dyDescent="0.25">
      <c r="A3245" s="1" t="s">
        <v>3244</v>
      </c>
      <c r="C3245" s="3">
        <v>43</v>
      </c>
      <c r="E3245" t="s">
        <v>4257</v>
      </c>
    </row>
    <row r="3246" spans="1:5" x14ac:dyDescent="0.25">
      <c r="A3246" s="1" t="s">
        <v>3245</v>
      </c>
      <c r="C3246" s="3">
        <v>43</v>
      </c>
      <c r="E3246" t="s">
        <v>4722</v>
      </c>
    </row>
    <row r="3247" spans="1:5" x14ac:dyDescent="0.25">
      <c r="A3247" s="1" t="s">
        <v>3246</v>
      </c>
      <c r="C3247" s="3">
        <v>43</v>
      </c>
      <c r="E3247" t="s">
        <v>412</v>
      </c>
    </row>
    <row r="3248" spans="1:5" x14ac:dyDescent="0.25">
      <c r="A3248" s="1" t="s">
        <v>3247</v>
      </c>
      <c r="C3248" s="3">
        <v>43</v>
      </c>
      <c r="E3248" t="s">
        <v>460</v>
      </c>
    </row>
    <row r="3249" spans="1:5" x14ac:dyDescent="0.25">
      <c r="A3249" s="1" t="s">
        <v>3248</v>
      </c>
      <c r="C3249" s="3">
        <v>43</v>
      </c>
      <c r="E3249" t="s">
        <v>3559</v>
      </c>
    </row>
    <row r="3250" spans="1:5" x14ac:dyDescent="0.25">
      <c r="A3250" s="1" t="s">
        <v>3249</v>
      </c>
      <c r="C3250" s="3">
        <v>43</v>
      </c>
      <c r="E3250" t="s">
        <v>4856</v>
      </c>
    </row>
    <row r="3251" spans="1:5" x14ac:dyDescent="0.25">
      <c r="A3251" s="1" t="s">
        <v>3250</v>
      </c>
      <c r="C3251" s="3">
        <v>43</v>
      </c>
      <c r="E3251" t="s">
        <v>1201</v>
      </c>
    </row>
    <row r="3252" spans="1:5" x14ac:dyDescent="0.25">
      <c r="A3252" s="1" t="s">
        <v>3251</v>
      </c>
      <c r="C3252" s="3">
        <v>43</v>
      </c>
      <c r="E3252" t="s">
        <v>1342</v>
      </c>
    </row>
    <row r="3253" spans="1:5" x14ac:dyDescent="0.25">
      <c r="A3253" s="1" t="s">
        <v>3252</v>
      </c>
      <c r="C3253" s="3">
        <v>43</v>
      </c>
      <c r="E3253" t="s">
        <v>729</v>
      </c>
    </row>
    <row r="3254" spans="1:5" x14ac:dyDescent="0.25">
      <c r="A3254" s="1" t="s">
        <v>3253</v>
      </c>
      <c r="C3254" s="3">
        <v>43</v>
      </c>
      <c r="E3254" t="s">
        <v>3020</v>
      </c>
    </row>
    <row r="3255" spans="1:5" x14ac:dyDescent="0.25">
      <c r="A3255" s="1" t="s">
        <v>3254</v>
      </c>
      <c r="C3255" s="3">
        <v>43</v>
      </c>
      <c r="E3255" t="s">
        <v>5566</v>
      </c>
    </row>
    <row r="3256" spans="1:5" x14ac:dyDescent="0.25">
      <c r="A3256" s="1" t="s">
        <v>3255</v>
      </c>
      <c r="C3256" s="3">
        <v>43</v>
      </c>
      <c r="E3256" t="s">
        <v>9026</v>
      </c>
    </row>
    <row r="3257" spans="1:5" x14ac:dyDescent="0.25">
      <c r="A3257" s="1" t="s">
        <v>3256</v>
      </c>
      <c r="C3257" s="3">
        <v>43</v>
      </c>
      <c r="E3257" t="s">
        <v>2860</v>
      </c>
    </row>
    <row r="3258" spans="1:5" x14ac:dyDescent="0.25">
      <c r="A3258" s="1" t="s">
        <v>3257</v>
      </c>
      <c r="C3258" s="3">
        <v>43</v>
      </c>
      <c r="E3258" t="s">
        <v>13941</v>
      </c>
    </row>
    <row r="3259" spans="1:5" x14ac:dyDescent="0.25">
      <c r="A3259" s="1" t="s">
        <v>3258</v>
      </c>
      <c r="C3259" s="3">
        <v>43</v>
      </c>
      <c r="E3259" t="s">
        <v>2678</v>
      </c>
    </row>
    <row r="3260" spans="1:5" x14ac:dyDescent="0.25">
      <c r="A3260" s="1" t="s">
        <v>3259</v>
      </c>
      <c r="C3260" s="3">
        <v>43</v>
      </c>
      <c r="E3260" t="s">
        <v>4811</v>
      </c>
    </row>
    <row r="3261" spans="1:5" x14ac:dyDescent="0.25">
      <c r="A3261" s="1" t="s">
        <v>3260</v>
      </c>
      <c r="C3261" s="3">
        <v>43</v>
      </c>
      <c r="E3261" t="s">
        <v>10557</v>
      </c>
    </row>
    <row r="3262" spans="1:5" x14ac:dyDescent="0.25">
      <c r="A3262" s="1" t="s">
        <v>3261</v>
      </c>
      <c r="C3262" s="3">
        <v>43</v>
      </c>
      <c r="E3262" t="s">
        <v>2329</v>
      </c>
    </row>
    <row r="3263" spans="1:5" x14ac:dyDescent="0.25">
      <c r="A3263" s="1" t="s">
        <v>3262</v>
      </c>
      <c r="C3263" s="3">
        <v>43</v>
      </c>
      <c r="E3263" t="s">
        <v>3413</v>
      </c>
    </row>
    <row r="3264" spans="1:5" x14ac:dyDescent="0.25">
      <c r="A3264" s="1" t="s">
        <v>3263</v>
      </c>
      <c r="C3264" s="3">
        <v>43</v>
      </c>
      <c r="E3264" t="s">
        <v>687</v>
      </c>
    </row>
    <row r="3265" spans="1:5" x14ac:dyDescent="0.25">
      <c r="A3265" s="1" t="s">
        <v>3264</v>
      </c>
      <c r="C3265" s="3">
        <v>43</v>
      </c>
      <c r="E3265" t="s">
        <v>2195</v>
      </c>
    </row>
    <row r="3266" spans="1:5" x14ac:dyDescent="0.25">
      <c r="A3266" s="1" t="s">
        <v>3265</v>
      </c>
      <c r="C3266" s="3">
        <v>43</v>
      </c>
      <c r="E3266" t="s">
        <v>12994</v>
      </c>
    </row>
    <row r="3267" spans="1:5" x14ac:dyDescent="0.25">
      <c r="A3267" s="1" t="s">
        <v>3266</v>
      </c>
      <c r="C3267" s="3">
        <v>43</v>
      </c>
      <c r="E3267" t="s">
        <v>6833</v>
      </c>
    </row>
    <row r="3268" spans="1:5" x14ac:dyDescent="0.25">
      <c r="A3268" s="1" t="s">
        <v>3267</v>
      </c>
      <c r="C3268" s="3">
        <v>43</v>
      </c>
      <c r="E3268" t="s">
        <v>3797</v>
      </c>
    </row>
    <row r="3269" spans="1:5" x14ac:dyDescent="0.25">
      <c r="A3269" s="1" t="s">
        <v>3268</v>
      </c>
      <c r="C3269" s="3">
        <v>43</v>
      </c>
      <c r="E3269" t="s">
        <v>3667</v>
      </c>
    </row>
    <row r="3270" spans="1:5" x14ac:dyDescent="0.25">
      <c r="A3270" s="1" t="s">
        <v>3269</v>
      </c>
      <c r="C3270" s="3">
        <v>43</v>
      </c>
      <c r="E3270" t="s">
        <v>1612</v>
      </c>
    </row>
    <row r="3271" spans="1:5" x14ac:dyDescent="0.25">
      <c r="A3271" s="1" t="s">
        <v>3270</v>
      </c>
      <c r="C3271" s="3">
        <v>43</v>
      </c>
      <c r="E3271" t="s">
        <v>25469</v>
      </c>
    </row>
    <row r="3272" spans="1:5" x14ac:dyDescent="0.25">
      <c r="A3272" s="1" t="s">
        <v>3271</v>
      </c>
      <c r="C3272" s="3">
        <v>43</v>
      </c>
      <c r="E3272" t="s">
        <v>11613</v>
      </c>
    </row>
    <row r="3273" spans="1:5" x14ac:dyDescent="0.25">
      <c r="A3273" s="1" t="s">
        <v>3272</v>
      </c>
      <c r="C3273" s="3">
        <v>43</v>
      </c>
      <c r="E3273" t="s">
        <v>20304</v>
      </c>
    </row>
    <row r="3274" spans="1:5" x14ac:dyDescent="0.25">
      <c r="A3274" s="1" t="s">
        <v>3273</v>
      </c>
      <c r="C3274" s="3">
        <v>43</v>
      </c>
      <c r="E3274" t="s">
        <v>2066</v>
      </c>
    </row>
    <row r="3275" spans="1:5" x14ac:dyDescent="0.25">
      <c r="A3275" s="1" t="s">
        <v>3274</v>
      </c>
      <c r="C3275" s="3">
        <v>43</v>
      </c>
      <c r="E3275" t="s">
        <v>5686</v>
      </c>
    </row>
    <row r="3276" spans="1:5" x14ac:dyDescent="0.25">
      <c r="A3276" s="1" t="s">
        <v>3275</v>
      </c>
      <c r="C3276" s="3">
        <v>43</v>
      </c>
      <c r="E3276" t="s">
        <v>11023</v>
      </c>
    </row>
    <row r="3277" spans="1:5" x14ac:dyDescent="0.25">
      <c r="A3277" s="1" t="s">
        <v>3276</v>
      </c>
      <c r="C3277" s="3">
        <v>43</v>
      </c>
      <c r="E3277" t="s">
        <v>3894</v>
      </c>
    </row>
    <row r="3278" spans="1:5" x14ac:dyDescent="0.25">
      <c r="A3278" s="1" t="s">
        <v>3277</v>
      </c>
      <c r="C3278" s="3">
        <v>43</v>
      </c>
      <c r="E3278" t="s">
        <v>6810</v>
      </c>
    </row>
    <row r="3279" spans="1:5" x14ac:dyDescent="0.25">
      <c r="A3279" s="1" t="s">
        <v>3278</v>
      </c>
      <c r="C3279" s="3">
        <v>43</v>
      </c>
      <c r="E3279" t="s">
        <v>2126</v>
      </c>
    </row>
    <row r="3280" spans="1:5" x14ac:dyDescent="0.25">
      <c r="A3280" s="1" t="s">
        <v>3279</v>
      </c>
      <c r="C3280" s="3">
        <v>43</v>
      </c>
      <c r="E3280" t="s">
        <v>2411</v>
      </c>
    </row>
    <row r="3281" spans="1:5" x14ac:dyDescent="0.25">
      <c r="A3281" s="1" t="s">
        <v>3280</v>
      </c>
      <c r="C3281" s="3">
        <v>43</v>
      </c>
      <c r="E3281" t="s">
        <v>161</v>
      </c>
    </row>
    <row r="3282" spans="1:5" x14ac:dyDescent="0.25">
      <c r="A3282" s="1" t="s">
        <v>3281</v>
      </c>
      <c r="C3282" s="3">
        <v>43</v>
      </c>
      <c r="E3282" t="s">
        <v>1025</v>
      </c>
    </row>
    <row r="3283" spans="1:5" x14ac:dyDescent="0.25">
      <c r="A3283" s="1" t="s">
        <v>3282</v>
      </c>
      <c r="C3283" s="3">
        <v>43</v>
      </c>
      <c r="E3283" t="s">
        <v>1316</v>
      </c>
    </row>
    <row r="3284" spans="1:5" x14ac:dyDescent="0.25">
      <c r="A3284" s="1" t="s">
        <v>3283</v>
      </c>
      <c r="C3284" s="3">
        <v>43</v>
      </c>
      <c r="E3284" t="s">
        <v>11197</v>
      </c>
    </row>
    <row r="3285" spans="1:5" x14ac:dyDescent="0.25">
      <c r="A3285" s="1" t="s">
        <v>3284</v>
      </c>
      <c r="C3285" s="3">
        <v>43</v>
      </c>
      <c r="E3285" t="s">
        <v>9642</v>
      </c>
    </row>
    <row r="3286" spans="1:5" x14ac:dyDescent="0.25">
      <c r="A3286" s="1" t="s">
        <v>3285</v>
      </c>
      <c r="C3286" s="3">
        <v>43</v>
      </c>
      <c r="E3286" t="s">
        <v>11930</v>
      </c>
    </row>
    <row r="3287" spans="1:5" x14ac:dyDescent="0.25">
      <c r="A3287" s="1" t="s">
        <v>3286</v>
      </c>
      <c r="C3287" s="3">
        <v>43</v>
      </c>
      <c r="E3287" t="s">
        <v>15925</v>
      </c>
    </row>
    <row r="3288" spans="1:5" x14ac:dyDescent="0.25">
      <c r="A3288" s="1" t="s">
        <v>3287</v>
      </c>
      <c r="C3288" s="3">
        <v>43</v>
      </c>
      <c r="E3288" t="s">
        <v>5271</v>
      </c>
    </row>
    <row r="3289" spans="1:5" x14ac:dyDescent="0.25">
      <c r="A3289" s="1" t="s">
        <v>3288</v>
      </c>
      <c r="C3289" s="3">
        <v>43</v>
      </c>
      <c r="E3289" t="s">
        <v>3563</v>
      </c>
    </row>
    <row r="3290" spans="1:5" x14ac:dyDescent="0.25">
      <c r="A3290" s="1" t="s">
        <v>3289</v>
      </c>
      <c r="C3290" s="3">
        <v>42</v>
      </c>
      <c r="E3290" t="s">
        <v>18928</v>
      </c>
    </row>
    <row r="3291" spans="1:5" x14ac:dyDescent="0.25">
      <c r="A3291" s="1" t="s">
        <v>3290</v>
      </c>
      <c r="C3291" s="3">
        <v>42</v>
      </c>
      <c r="E3291" t="s">
        <v>2266</v>
      </c>
    </row>
    <row r="3292" spans="1:5" x14ac:dyDescent="0.25">
      <c r="A3292" s="1" t="s">
        <v>3291</v>
      </c>
      <c r="C3292" s="3">
        <v>42</v>
      </c>
      <c r="E3292" t="s">
        <v>336</v>
      </c>
    </row>
    <row r="3293" spans="1:5" x14ac:dyDescent="0.25">
      <c r="A3293" s="1" t="s">
        <v>3292</v>
      </c>
      <c r="C3293" s="3">
        <v>42</v>
      </c>
      <c r="E3293" t="s">
        <v>8500</v>
      </c>
    </row>
    <row r="3294" spans="1:5" x14ac:dyDescent="0.25">
      <c r="A3294" s="1" t="s">
        <v>3293</v>
      </c>
      <c r="C3294" s="3">
        <v>42</v>
      </c>
      <c r="E3294" t="s">
        <v>2383</v>
      </c>
    </row>
    <row r="3295" spans="1:5" x14ac:dyDescent="0.25">
      <c r="A3295" s="1" t="s">
        <v>3294</v>
      </c>
      <c r="C3295" s="3">
        <v>42</v>
      </c>
      <c r="E3295" t="s">
        <v>10045</v>
      </c>
    </row>
    <row r="3296" spans="1:5" x14ac:dyDescent="0.25">
      <c r="A3296" s="1" t="s">
        <v>3295</v>
      </c>
      <c r="C3296" s="3">
        <v>42</v>
      </c>
      <c r="E3296" t="s">
        <v>4700</v>
      </c>
    </row>
    <row r="3297" spans="1:5" x14ac:dyDescent="0.25">
      <c r="A3297" s="1" t="s">
        <v>3296</v>
      </c>
      <c r="C3297" s="3">
        <v>42</v>
      </c>
      <c r="E3297" t="s">
        <v>15518</v>
      </c>
    </row>
    <row r="3298" spans="1:5" x14ac:dyDescent="0.25">
      <c r="A3298" s="1" t="s">
        <v>3297</v>
      </c>
      <c r="C3298" s="3">
        <v>42</v>
      </c>
      <c r="E3298" t="s">
        <v>3358</v>
      </c>
    </row>
    <row r="3299" spans="1:5" x14ac:dyDescent="0.25">
      <c r="A3299" s="1" t="s">
        <v>3298</v>
      </c>
      <c r="C3299" s="3">
        <v>42</v>
      </c>
      <c r="E3299" t="s">
        <v>4916</v>
      </c>
    </row>
    <row r="3300" spans="1:5" x14ac:dyDescent="0.25">
      <c r="A3300" s="1" t="s">
        <v>3299</v>
      </c>
      <c r="C3300" s="3">
        <v>42</v>
      </c>
      <c r="E3300" t="s">
        <v>3022</v>
      </c>
    </row>
    <row r="3301" spans="1:5" x14ac:dyDescent="0.25">
      <c r="A3301" s="1" t="s">
        <v>3300</v>
      </c>
      <c r="C3301" s="3">
        <v>42</v>
      </c>
      <c r="E3301" t="s">
        <v>15391</v>
      </c>
    </row>
    <row r="3302" spans="1:5" x14ac:dyDescent="0.25">
      <c r="A3302" s="1" t="s">
        <v>3301</v>
      </c>
      <c r="C3302" s="3">
        <v>42</v>
      </c>
      <c r="E3302" t="s">
        <v>10567</v>
      </c>
    </row>
    <row r="3303" spans="1:5" x14ac:dyDescent="0.25">
      <c r="A3303" s="1" t="s">
        <v>3302</v>
      </c>
      <c r="C3303" s="3">
        <v>42</v>
      </c>
      <c r="E3303" t="s">
        <v>2672</v>
      </c>
    </row>
    <row r="3304" spans="1:5" x14ac:dyDescent="0.25">
      <c r="A3304" s="1" t="s">
        <v>3303</v>
      </c>
      <c r="C3304" s="3">
        <v>42</v>
      </c>
      <c r="E3304" t="s">
        <v>2361</v>
      </c>
    </row>
    <row r="3305" spans="1:5" x14ac:dyDescent="0.25">
      <c r="A3305" s="1" t="s">
        <v>3304</v>
      </c>
      <c r="C3305" s="3">
        <v>42</v>
      </c>
      <c r="E3305" t="s">
        <v>17013</v>
      </c>
    </row>
    <row r="3306" spans="1:5" x14ac:dyDescent="0.25">
      <c r="A3306" s="1" t="s">
        <v>3305</v>
      </c>
      <c r="C3306" s="3">
        <v>42</v>
      </c>
      <c r="E3306" t="s">
        <v>2061</v>
      </c>
    </row>
    <row r="3307" spans="1:5" x14ac:dyDescent="0.25">
      <c r="A3307" s="1" t="s">
        <v>3306</v>
      </c>
      <c r="C3307" s="3">
        <v>42</v>
      </c>
      <c r="E3307" t="s">
        <v>23535</v>
      </c>
    </row>
    <row r="3308" spans="1:5" x14ac:dyDescent="0.25">
      <c r="A3308" s="1" t="s">
        <v>3307</v>
      </c>
      <c r="C3308" s="3">
        <v>42</v>
      </c>
      <c r="E3308" t="s">
        <v>2232</v>
      </c>
    </row>
    <row r="3309" spans="1:5" x14ac:dyDescent="0.25">
      <c r="A3309" s="1" t="s">
        <v>3308</v>
      </c>
      <c r="C3309" s="3">
        <v>42</v>
      </c>
      <c r="E3309" t="s">
        <v>7931</v>
      </c>
    </row>
    <row r="3310" spans="1:5" x14ac:dyDescent="0.25">
      <c r="A3310" s="1" t="s">
        <v>3309</v>
      </c>
      <c r="C3310" s="3">
        <v>42</v>
      </c>
      <c r="E3310" t="s">
        <v>4016</v>
      </c>
    </row>
    <row r="3311" spans="1:5" x14ac:dyDescent="0.25">
      <c r="A3311" s="1" t="s">
        <v>3310</v>
      </c>
      <c r="C3311" s="3">
        <v>42</v>
      </c>
      <c r="E3311" t="s">
        <v>8572</v>
      </c>
    </row>
    <row r="3312" spans="1:5" x14ac:dyDescent="0.25">
      <c r="A3312" s="1" t="s">
        <v>3311</v>
      </c>
      <c r="C3312" s="3">
        <v>42</v>
      </c>
      <c r="E3312" t="s">
        <v>12029</v>
      </c>
    </row>
    <row r="3313" spans="1:5" x14ac:dyDescent="0.25">
      <c r="A3313" s="1" t="s">
        <v>3312</v>
      </c>
      <c r="C3313" s="3">
        <v>42</v>
      </c>
      <c r="E3313" t="s">
        <v>5646</v>
      </c>
    </row>
    <row r="3314" spans="1:5" x14ac:dyDescent="0.25">
      <c r="A3314" s="1" t="s">
        <v>3313</v>
      </c>
      <c r="C3314" s="3">
        <v>42</v>
      </c>
      <c r="E3314" t="s">
        <v>3457</v>
      </c>
    </row>
    <row r="3315" spans="1:5" x14ac:dyDescent="0.25">
      <c r="A3315" s="1" t="s">
        <v>3314</v>
      </c>
      <c r="C3315" s="3">
        <v>42</v>
      </c>
      <c r="E3315" t="s">
        <v>863</v>
      </c>
    </row>
    <row r="3316" spans="1:5" x14ac:dyDescent="0.25">
      <c r="A3316" s="1" t="s">
        <v>3315</v>
      </c>
      <c r="C3316" s="3">
        <v>42</v>
      </c>
      <c r="E3316" t="s">
        <v>2624</v>
      </c>
    </row>
    <row r="3317" spans="1:5" x14ac:dyDescent="0.25">
      <c r="A3317" s="1" t="s">
        <v>3316</v>
      </c>
      <c r="C3317" s="3">
        <v>42</v>
      </c>
      <c r="E3317" t="s">
        <v>3589</v>
      </c>
    </row>
    <row r="3318" spans="1:5" x14ac:dyDescent="0.25">
      <c r="A3318" s="1" t="s">
        <v>3317</v>
      </c>
      <c r="C3318" s="3">
        <v>42</v>
      </c>
      <c r="E3318" t="s">
        <v>2980</v>
      </c>
    </row>
    <row r="3319" spans="1:5" x14ac:dyDescent="0.25">
      <c r="A3319" s="1" t="s">
        <v>3318</v>
      </c>
      <c r="C3319" s="3">
        <v>42</v>
      </c>
      <c r="E3319" t="s">
        <v>2189</v>
      </c>
    </row>
    <row r="3320" spans="1:5" x14ac:dyDescent="0.25">
      <c r="A3320" s="1" t="s">
        <v>3319</v>
      </c>
      <c r="C3320" s="3">
        <v>42</v>
      </c>
      <c r="E3320" t="s">
        <v>10442</v>
      </c>
    </row>
    <row r="3321" spans="1:5" x14ac:dyDescent="0.25">
      <c r="A3321" s="1" t="s">
        <v>3320</v>
      </c>
      <c r="C3321" s="3">
        <v>42</v>
      </c>
      <c r="E3321" t="s">
        <v>1705</v>
      </c>
    </row>
    <row r="3322" spans="1:5" x14ac:dyDescent="0.25">
      <c r="A3322" s="1" t="s">
        <v>3321</v>
      </c>
      <c r="C3322" s="3">
        <v>42</v>
      </c>
      <c r="E3322" t="s">
        <v>9400</v>
      </c>
    </row>
    <row r="3323" spans="1:5" x14ac:dyDescent="0.25">
      <c r="A3323" s="1" t="s">
        <v>3322</v>
      </c>
      <c r="C3323" s="3">
        <v>42</v>
      </c>
      <c r="E3323" t="s">
        <v>7712</v>
      </c>
    </row>
    <row r="3324" spans="1:5" x14ac:dyDescent="0.25">
      <c r="A3324" s="1" t="s">
        <v>3323</v>
      </c>
      <c r="C3324" s="3">
        <v>42</v>
      </c>
      <c r="E3324" t="s">
        <v>5794</v>
      </c>
    </row>
    <row r="3325" spans="1:5" x14ac:dyDescent="0.25">
      <c r="A3325" s="1" t="s">
        <v>3324</v>
      </c>
      <c r="C3325" s="3">
        <v>42</v>
      </c>
      <c r="E3325" t="s">
        <v>1522</v>
      </c>
    </row>
    <row r="3326" spans="1:5" x14ac:dyDescent="0.25">
      <c r="A3326" s="1" t="s">
        <v>3325</v>
      </c>
      <c r="C3326" s="3">
        <v>42</v>
      </c>
      <c r="E3326" t="s">
        <v>230</v>
      </c>
    </row>
    <row r="3327" spans="1:5" x14ac:dyDescent="0.25">
      <c r="A3327" s="1" t="s">
        <v>3326</v>
      </c>
      <c r="C3327" s="3">
        <v>42</v>
      </c>
      <c r="E3327" t="s">
        <v>4271</v>
      </c>
    </row>
    <row r="3328" spans="1:5" x14ac:dyDescent="0.25">
      <c r="A3328" s="1" t="s">
        <v>3327</v>
      </c>
      <c r="C3328" s="3">
        <v>42</v>
      </c>
      <c r="E3328" t="s">
        <v>3555</v>
      </c>
    </row>
    <row r="3329" spans="1:5" x14ac:dyDescent="0.25">
      <c r="A3329" s="1" t="s">
        <v>3328</v>
      </c>
      <c r="C3329" s="3">
        <v>42</v>
      </c>
      <c r="E3329" t="s">
        <v>10</v>
      </c>
    </row>
    <row r="3330" spans="1:5" x14ac:dyDescent="0.25">
      <c r="A3330" s="1" t="s">
        <v>3329</v>
      </c>
      <c r="C3330" s="3">
        <v>42</v>
      </c>
      <c r="E3330" t="s">
        <v>5176</v>
      </c>
    </row>
    <row r="3331" spans="1:5" x14ac:dyDescent="0.25">
      <c r="A3331" s="1" t="s">
        <v>3330</v>
      </c>
      <c r="C3331" s="3">
        <v>42</v>
      </c>
      <c r="E3331" t="s">
        <v>25470</v>
      </c>
    </row>
    <row r="3332" spans="1:5" x14ac:dyDescent="0.25">
      <c r="A3332" s="1" t="s">
        <v>3331</v>
      </c>
      <c r="C3332" s="3">
        <v>42</v>
      </c>
      <c r="E3332" t="s">
        <v>223</v>
      </c>
    </row>
    <row r="3333" spans="1:5" x14ac:dyDescent="0.25">
      <c r="A3333" s="1" t="s">
        <v>3332</v>
      </c>
      <c r="C3333" s="3">
        <v>42</v>
      </c>
      <c r="E3333" t="s">
        <v>7026</v>
      </c>
    </row>
    <row r="3334" spans="1:5" x14ac:dyDescent="0.25">
      <c r="A3334" s="1" t="s">
        <v>3333</v>
      </c>
      <c r="C3334" s="3">
        <v>42</v>
      </c>
      <c r="E3334" t="s">
        <v>6000</v>
      </c>
    </row>
    <row r="3335" spans="1:5" x14ac:dyDescent="0.25">
      <c r="A3335" s="1" t="s">
        <v>3334</v>
      </c>
      <c r="C3335" s="3">
        <v>42</v>
      </c>
      <c r="E3335" t="s">
        <v>1068</v>
      </c>
    </row>
    <row r="3336" spans="1:5" x14ac:dyDescent="0.25">
      <c r="A3336" s="1" t="s">
        <v>3335</v>
      </c>
      <c r="C3336" s="3">
        <v>42</v>
      </c>
      <c r="E3336" t="s">
        <v>5117</v>
      </c>
    </row>
    <row r="3337" spans="1:5" x14ac:dyDescent="0.25">
      <c r="A3337" s="1" t="s">
        <v>3336</v>
      </c>
      <c r="C3337" s="3">
        <v>42</v>
      </c>
      <c r="E3337" t="s">
        <v>17916</v>
      </c>
    </row>
    <row r="3338" spans="1:5" x14ac:dyDescent="0.25">
      <c r="A3338" s="1" t="s">
        <v>3337</v>
      </c>
      <c r="C3338" s="3">
        <v>42</v>
      </c>
      <c r="E3338" t="s">
        <v>1225</v>
      </c>
    </row>
    <row r="3339" spans="1:5" x14ac:dyDescent="0.25">
      <c r="A3339" s="1" t="s">
        <v>3338</v>
      </c>
      <c r="C3339" s="3">
        <v>42</v>
      </c>
      <c r="E3339" t="s">
        <v>6619</v>
      </c>
    </row>
    <row r="3340" spans="1:5" x14ac:dyDescent="0.25">
      <c r="A3340" s="1" t="s">
        <v>3339</v>
      </c>
      <c r="C3340" s="3">
        <v>42</v>
      </c>
      <c r="E3340" t="s">
        <v>1204</v>
      </c>
    </row>
    <row r="3341" spans="1:5" x14ac:dyDescent="0.25">
      <c r="A3341" s="1" t="s">
        <v>3340</v>
      </c>
      <c r="C3341" s="3">
        <v>42</v>
      </c>
      <c r="E3341" t="s">
        <v>5872</v>
      </c>
    </row>
    <row r="3342" spans="1:5" x14ac:dyDescent="0.25">
      <c r="A3342" s="1" t="s">
        <v>3341</v>
      </c>
      <c r="C3342" s="3">
        <v>42</v>
      </c>
      <c r="E3342" t="s">
        <v>1634</v>
      </c>
    </row>
    <row r="3343" spans="1:5" x14ac:dyDescent="0.25">
      <c r="A3343" s="1" t="s">
        <v>3342</v>
      </c>
      <c r="C3343" s="3">
        <v>42</v>
      </c>
      <c r="E3343" t="s">
        <v>59</v>
      </c>
    </row>
    <row r="3344" spans="1:5" x14ac:dyDescent="0.25">
      <c r="A3344" s="1" t="s">
        <v>3343</v>
      </c>
      <c r="C3344" s="3">
        <v>42</v>
      </c>
      <c r="E3344" t="s">
        <v>14500</v>
      </c>
    </row>
    <row r="3345" spans="1:5" x14ac:dyDescent="0.25">
      <c r="A3345" s="1" t="s">
        <v>3344</v>
      </c>
      <c r="C3345" s="3">
        <v>42</v>
      </c>
      <c r="E3345" t="s">
        <v>14033</v>
      </c>
    </row>
    <row r="3346" spans="1:5" x14ac:dyDescent="0.25">
      <c r="A3346" s="1" t="s">
        <v>3345</v>
      </c>
      <c r="C3346" s="3">
        <v>42</v>
      </c>
      <c r="E3346" t="s">
        <v>2921</v>
      </c>
    </row>
    <row r="3347" spans="1:5" x14ac:dyDescent="0.25">
      <c r="A3347" s="1" t="s">
        <v>3346</v>
      </c>
      <c r="C3347" s="3">
        <v>42</v>
      </c>
      <c r="E3347" t="s">
        <v>5869</v>
      </c>
    </row>
    <row r="3348" spans="1:5" x14ac:dyDescent="0.25">
      <c r="A3348" s="1" t="s">
        <v>3347</v>
      </c>
      <c r="C3348" s="3">
        <v>42</v>
      </c>
      <c r="E3348" t="s">
        <v>23830</v>
      </c>
    </row>
    <row r="3349" spans="1:5" x14ac:dyDescent="0.25">
      <c r="A3349" s="1" t="s">
        <v>3348</v>
      </c>
      <c r="C3349" s="3">
        <v>42</v>
      </c>
      <c r="E3349" t="s">
        <v>2545</v>
      </c>
    </row>
    <row r="3350" spans="1:5" x14ac:dyDescent="0.25">
      <c r="A3350" s="1" t="s">
        <v>3349</v>
      </c>
      <c r="C3350" s="3">
        <v>42</v>
      </c>
      <c r="E3350" t="s">
        <v>9609</v>
      </c>
    </row>
    <row r="3351" spans="1:5" x14ac:dyDescent="0.25">
      <c r="A3351" s="1" t="s">
        <v>3350</v>
      </c>
      <c r="C3351" s="3">
        <v>42</v>
      </c>
      <c r="E3351" t="s">
        <v>2217</v>
      </c>
    </row>
    <row r="3352" spans="1:5" x14ac:dyDescent="0.25">
      <c r="A3352" s="1" t="s">
        <v>3351</v>
      </c>
      <c r="C3352" s="3">
        <v>42</v>
      </c>
      <c r="E3352" t="s">
        <v>4207</v>
      </c>
    </row>
    <row r="3353" spans="1:5" x14ac:dyDescent="0.25">
      <c r="A3353" s="1" t="s">
        <v>3352</v>
      </c>
      <c r="C3353" s="3">
        <v>42</v>
      </c>
      <c r="E3353" t="s">
        <v>12524</v>
      </c>
    </row>
    <row r="3354" spans="1:5" x14ac:dyDescent="0.25">
      <c r="A3354" s="1" t="s">
        <v>3353</v>
      </c>
      <c r="C3354" s="3">
        <v>42</v>
      </c>
      <c r="E3354" t="s">
        <v>1472</v>
      </c>
    </row>
    <row r="3355" spans="1:5" x14ac:dyDescent="0.25">
      <c r="A3355" s="1" t="s">
        <v>3354</v>
      </c>
      <c r="C3355" s="3">
        <v>42</v>
      </c>
      <c r="E3355" t="s">
        <v>2175</v>
      </c>
    </row>
    <row r="3356" spans="1:5" x14ac:dyDescent="0.25">
      <c r="A3356" s="1" t="s">
        <v>3355</v>
      </c>
      <c r="C3356" s="3">
        <v>42</v>
      </c>
      <c r="E3356" t="s">
        <v>284</v>
      </c>
    </row>
    <row r="3357" spans="1:5" x14ac:dyDescent="0.25">
      <c r="A3357" s="1" t="s">
        <v>3356</v>
      </c>
      <c r="C3357" s="3">
        <v>42</v>
      </c>
      <c r="E3357" t="s">
        <v>1689</v>
      </c>
    </row>
    <row r="3358" spans="1:5" x14ac:dyDescent="0.25">
      <c r="A3358" s="1" t="s">
        <v>3357</v>
      </c>
      <c r="C3358" s="3">
        <v>42</v>
      </c>
      <c r="E3358" t="s">
        <v>5420</v>
      </c>
    </row>
    <row r="3359" spans="1:5" x14ac:dyDescent="0.25">
      <c r="A3359" s="1" t="s">
        <v>3358</v>
      </c>
      <c r="C3359" s="3">
        <v>42</v>
      </c>
      <c r="E3359" t="s">
        <v>3121</v>
      </c>
    </row>
    <row r="3360" spans="1:5" x14ac:dyDescent="0.25">
      <c r="A3360" s="1" t="s">
        <v>3359</v>
      </c>
      <c r="C3360" s="3">
        <v>42</v>
      </c>
      <c r="E3360" t="s">
        <v>10874</v>
      </c>
    </row>
    <row r="3361" spans="1:5" x14ac:dyDescent="0.25">
      <c r="A3361" s="1" t="s">
        <v>3360</v>
      </c>
      <c r="C3361" s="3">
        <v>42</v>
      </c>
      <c r="E3361" t="s">
        <v>41</v>
      </c>
    </row>
    <row r="3362" spans="1:5" x14ac:dyDescent="0.25">
      <c r="A3362" s="1" t="s">
        <v>3361</v>
      </c>
      <c r="C3362" s="3">
        <v>42</v>
      </c>
      <c r="E3362" t="s">
        <v>2961</v>
      </c>
    </row>
    <row r="3363" spans="1:5" x14ac:dyDescent="0.25">
      <c r="A3363" s="1" t="s">
        <v>3362</v>
      </c>
      <c r="C3363" s="3">
        <v>42</v>
      </c>
      <c r="E3363" t="s">
        <v>2585</v>
      </c>
    </row>
    <row r="3364" spans="1:5" x14ac:dyDescent="0.25">
      <c r="A3364" s="1" t="s">
        <v>3363</v>
      </c>
      <c r="C3364" s="3">
        <v>42</v>
      </c>
      <c r="E3364" t="s">
        <v>6329</v>
      </c>
    </row>
    <row r="3365" spans="1:5" x14ac:dyDescent="0.25">
      <c r="A3365" s="1" t="s">
        <v>3364</v>
      </c>
      <c r="C3365" s="3">
        <v>42</v>
      </c>
      <c r="E3365" t="s">
        <v>3515</v>
      </c>
    </row>
    <row r="3366" spans="1:5" x14ac:dyDescent="0.25">
      <c r="A3366" s="1" t="s">
        <v>3365</v>
      </c>
      <c r="C3366" s="3">
        <v>42</v>
      </c>
      <c r="E3366" t="s">
        <v>1123</v>
      </c>
    </row>
    <row r="3367" spans="1:5" x14ac:dyDescent="0.25">
      <c r="A3367" s="1" t="s">
        <v>3366</v>
      </c>
      <c r="C3367" s="3">
        <v>42</v>
      </c>
      <c r="E3367" t="s">
        <v>6941</v>
      </c>
    </row>
    <row r="3368" spans="1:5" x14ac:dyDescent="0.25">
      <c r="A3368" s="1" t="s">
        <v>3367</v>
      </c>
      <c r="C3368" s="3">
        <v>42</v>
      </c>
      <c r="E3368" t="s">
        <v>24696</v>
      </c>
    </row>
    <row r="3369" spans="1:5" x14ac:dyDescent="0.25">
      <c r="A3369" s="1" t="s">
        <v>3368</v>
      </c>
      <c r="C3369" s="3">
        <v>42</v>
      </c>
      <c r="E3369" t="s">
        <v>2507</v>
      </c>
    </row>
    <row r="3370" spans="1:5" x14ac:dyDescent="0.25">
      <c r="A3370" s="1" t="s">
        <v>3369</v>
      </c>
      <c r="C3370" s="3">
        <v>42</v>
      </c>
      <c r="E3370" t="s">
        <v>25471</v>
      </c>
    </row>
    <row r="3371" spans="1:5" x14ac:dyDescent="0.25">
      <c r="A3371" s="1" t="s">
        <v>3370</v>
      </c>
      <c r="C3371" s="3">
        <v>42</v>
      </c>
      <c r="E3371" t="s">
        <v>2230</v>
      </c>
    </row>
    <row r="3372" spans="1:5" x14ac:dyDescent="0.25">
      <c r="A3372" s="1" t="s">
        <v>3371</v>
      </c>
      <c r="C3372" s="3">
        <v>42</v>
      </c>
      <c r="E3372" t="s">
        <v>3885</v>
      </c>
    </row>
    <row r="3373" spans="1:5" x14ac:dyDescent="0.25">
      <c r="A3373" s="1" t="s">
        <v>3372</v>
      </c>
      <c r="C3373" s="3">
        <v>42</v>
      </c>
      <c r="E3373" t="s">
        <v>8966</v>
      </c>
    </row>
    <row r="3374" spans="1:5" x14ac:dyDescent="0.25">
      <c r="A3374" s="1" t="s">
        <v>3373</v>
      </c>
      <c r="C3374" s="3">
        <v>42</v>
      </c>
      <c r="E3374" t="s">
        <v>5670</v>
      </c>
    </row>
    <row r="3375" spans="1:5" x14ac:dyDescent="0.25">
      <c r="A3375" s="1" t="s">
        <v>3374</v>
      </c>
      <c r="C3375" s="3">
        <v>42</v>
      </c>
      <c r="E3375" t="s">
        <v>6951</v>
      </c>
    </row>
    <row r="3376" spans="1:5" x14ac:dyDescent="0.25">
      <c r="A3376" s="1" t="s">
        <v>3375</v>
      </c>
      <c r="C3376" s="3">
        <v>41</v>
      </c>
      <c r="E3376" t="s">
        <v>2746</v>
      </c>
    </row>
    <row r="3377" spans="1:5" x14ac:dyDescent="0.25">
      <c r="A3377" s="1" t="s">
        <v>3376</v>
      </c>
      <c r="C3377" s="3">
        <v>41</v>
      </c>
      <c r="E3377" t="s">
        <v>7240</v>
      </c>
    </row>
    <row r="3378" spans="1:5" x14ac:dyDescent="0.25">
      <c r="A3378" s="1" t="s">
        <v>3377</v>
      </c>
      <c r="C3378" s="3">
        <v>41</v>
      </c>
      <c r="E3378" t="s">
        <v>9656</v>
      </c>
    </row>
    <row r="3379" spans="1:5" x14ac:dyDescent="0.25">
      <c r="A3379" s="1" t="s">
        <v>3378</v>
      </c>
      <c r="C3379" s="3">
        <v>41</v>
      </c>
      <c r="E3379" t="s">
        <v>2050</v>
      </c>
    </row>
    <row r="3380" spans="1:5" x14ac:dyDescent="0.25">
      <c r="A3380" s="1" t="s">
        <v>3379</v>
      </c>
      <c r="C3380" s="3">
        <v>41</v>
      </c>
      <c r="E3380" t="s">
        <v>1328</v>
      </c>
    </row>
    <row r="3381" spans="1:5" x14ac:dyDescent="0.25">
      <c r="A3381" s="1" t="s">
        <v>3380</v>
      </c>
      <c r="C3381" s="3">
        <v>41</v>
      </c>
      <c r="E3381" t="s">
        <v>7733</v>
      </c>
    </row>
    <row r="3382" spans="1:5" x14ac:dyDescent="0.25">
      <c r="A3382" s="1" t="s">
        <v>3381</v>
      </c>
      <c r="C3382" s="3">
        <v>41</v>
      </c>
      <c r="E3382" t="s">
        <v>14727</v>
      </c>
    </row>
    <row r="3383" spans="1:5" x14ac:dyDescent="0.25">
      <c r="A3383" s="1" t="s">
        <v>3382</v>
      </c>
      <c r="C3383" s="3">
        <v>41</v>
      </c>
      <c r="E3383" t="s">
        <v>1254</v>
      </c>
    </row>
    <row r="3384" spans="1:5" x14ac:dyDescent="0.25">
      <c r="A3384" s="1" t="s">
        <v>3383</v>
      </c>
      <c r="C3384" s="3">
        <v>41</v>
      </c>
      <c r="E3384" t="s">
        <v>8186</v>
      </c>
    </row>
    <row r="3385" spans="1:5" x14ac:dyDescent="0.25">
      <c r="A3385" s="1" t="s">
        <v>3384</v>
      </c>
      <c r="C3385" s="3">
        <v>41</v>
      </c>
      <c r="E3385" t="s">
        <v>214</v>
      </c>
    </row>
    <row r="3386" spans="1:5" x14ac:dyDescent="0.25">
      <c r="A3386" s="1" t="s">
        <v>3385</v>
      </c>
      <c r="C3386" s="3">
        <v>41</v>
      </c>
      <c r="E3386" t="s">
        <v>3423</v>
      </c>
    </row>
    <row r="3387" spans="1:5" x14ac:dyDescent="0.25">
      <c r="A3387" s="1" t="s">
        <v>3386</v>
      </c>
      <c r="C3387" s="3">
        <v>41</v>
      </c>
      <c r="E3387" t="s">
        <v>6706</v>
      </c>
    </row>
    <row r="3388" spans="1:5" x14ac:dyDescent="0.25">
      <c r="A3388" s="1" t="s">
        <v>3387</v>
      </c>
      <c r="C3388" s="3">
        <v>41</v>
      </c>
      <c r="E3388" t="s">
        <v>6412</v>
      </c>
    </row>
    <row r="3389" spans="1:5" x14ac:dyDescent="0.25">
      <c r="A3389" s="1" t="s">
        <v>3388</v>
      </c>
      <c r="C3389" s="3">
        <v>41</v>
      </c>
      <c r="E3389" t="s">
        <v>1845</v>
      </c>
    </row>
    <row r="3390" spans="1:5" x14ac:dyDescent="0.25">
      <c r="A3390" s="1" t="s">
        <v>3389</v>
      </c>
      <c r="C3390" s="3">
        <v>41</v>
      </c>
      <c r="E3390" t="s">
        <v>4356</v>
      </c>
    </row>
    <row r="3391" spans="1:5" x14ac:dyDescent="0.25">
      <c r="A3391" s="1" t="s">
        <v>3390</v>
      </c>
      <c r="C3391" s="3">
        <v>41</v>
      </c>
      <c r="E3391" t="s">
        <v>2357</v>
      </c>
    </row>
    <row r="3392" spans="1:5" x14ac:dyDescent="0.25">
      <c r="A3392" s="1" t="s">
        <v>3391</v>
      </c>
      <c r="C3392" s="3">
        <v>41</v>
      </c>
      <c r="E3392" t="s">
        <v>2104</v>
      </c>
    </row>
    <row r="3393" spans="1:5" x14ac:dyDescent="0.25">
      <c r="A3393" s="1" t="s">
        <v>3392</v>
      </c>
      <c r="C3393" s="3">
        <v>41</v>
      </c>
      <c r="E3393" t="s">
        <v>4655</v>
      </c>
    </row>
    <row r="3394" spans="1:5" x14ac:dyDescent="0.25">
      <c r="A3394" s="1" t="s">
        <v>3393</v>
      </c>
      <c r="C3394" s="3">
        <v>41</v>
      </c>
      <c r="E3394" t="s">
        <v>7711</v>
      </c>
    </row>
    <row r="3395" spans="1:5" x14ac:dyDescent="0.25">
      <c r="A3395" s="1" t="s">
        <v>3394</v>
      </c>
      <c r="C3395" s="3">
        <v>41</v>
      </c>
      <c r="E3395" t="s">
        <v>2352</v>
      </c>
    </row>
    <row r="3396" spans="1:5" x14ac:dyDescent="0.25">
      <c r="A3396" s="1" t="s">
        <v>3395</v>
      </c>
      <c r="C3396" s="3">
        <v>41</v>
      </c>
      <c r="E3396" t="s">
        <v>4587</v>
      </c>
    </row>
    <row r="3397" spans="1:5" x14ac:dyDescent="0.25">
      <c r="A3397" s="1" t="s">
        <v>3396</v>
      </c>
      <c r="C3397" s="3">
        <v>41</v>
      </c>
      <c r="E3397" t="s">
        <v>21280</v>
      </c>
    </row>
    <row r="3398" spans="1:5" x14ac:dyDescent="0.25">
      <c r="A3398" s="1" t="s">
        <v>3397</v>
      </c>
      <c r="C3398" s="3">
        <v>41</v>
      </c>
      <c r="E3398" t="s">
        <v>11433</v>
      </c>
    </row>
    <row r="3399" spans="1:5" x14ac:dyDescent="0.25">
      <c r="A3399" s="1" t="s">
        <v>3398</v>
      </c>
      <c r="C3399" s="3">
        <v>41</v>
      </c>
      <c r="E3399" t="s">
        <v>987</v>
      </c>
    </row>
    <row r="3400" spans="1:5" x14ac:dyDescent="0.25">
      <c r="A3400" s="1" t="s">
        <v>3399</v>
      </c>
      <c r="C3400" s="3">
        <v>41</v>
      </c>
      <c r="E3400" t="s">
        <v>5237</v>
      </c>
    </row>
    <row r="3401" spans="1:5" x14ac:dyDescent="0.25">
      <c r="A3401" s="1" t="s">
        <v>3400</v>
      </c>
      <c r="C3401" s="3">
        <v>41</v>
      </c>
      <c r="E3401" t="s">
        <v>6645</v>
      </c>
    </row>
    <row r="3402" spans="1:5" x14ac:dyDescent="0.25">
      <c r="A3402" s="1" t="s">
        <v>3401</v>
      </c>
      <c r="C3402" s="3">
        <v>41</v>
      </c>
      <c r="E3402" t="s">
        <v>1266</v>
      </c>
    </row>
    <row r="3403" spans="1:5" x14ac:dyDescent="0.25">
      <c r="A3403" s="1" t="s">
        <v>3402</v>
      </c>
      <c r="C3403" s="3">
        <v>41</v>
      </c>
      <c r="E3403" t="s">
        <v>15480</v>
      </c>
    </row>
    <row r="3404" spans="1:5" x14ac:dyDescent="0.25">
      <c r="A3404" s="1" t="s">
        <v>3403</v>
      </c>
      <c r="C3404" s="3">
        <v>41</v>
      </c>
      <c r="E3404" t="s">
        <v>5160</v>
      </c>
    </row>
    <row r="3405" spans="1:5" x14ac:dyDescent="0.25">
      <c r="A3405" s="1" t="s">
        <v>3404</v>
      </c>
      <c r="C3405" s="3">
        <v>41</v>
      </c>
      <c r="E3405" t="s">
        <v>597</v>
      </c>
    </row>
    <row r="3406" spans="1:5" x14ac:dyDescent="0.25">
      <c r="A3406" s="1" t="s">
        <v>3405</v>
      </c>
      <c r="C3406" s="3">
        <v>41</v>
      </c>
      <c r="E3406" t="s">
        <v>7388</v>
      </c>
    </row>
    <row r="3407" spans="1:5" x14ac:dyDescent="0.25">
      <c r="A3407" s="1" t="s">
        <v>3406</v>
      </c>
      <c r="C3407" s="3">
        <v>41</v>
      </c>
      <c r="E3407" t="s">
        <v>25472</v>
      </c>
    </row>
    <row r="3408" spans="1:5" x14ac:dyDescent="0.25">
      <c r="A3408" s="1" t="s">
        <v>3407</v>
      </c>
      <c r="C3408" s="3">
        <v>41</v>
      </c>
      <c r="E3408" t="s">
        <v>229</v>
      </c>
    </row>
    <row r="3409" spans="1:5" x14ac:dyDescent="0.25">
      <c r="A3409" s="1" t="s">
        <v>3408</v>
      </c>
      <c r="C3409" s="3">
        <v>41</v>
      </c>
      <c r="E3409" t="s">
        <v>2004</v>
      </c>
    </row>
    <row r="3410" spans="1:5" x14ac:dyDescent="0.25">
      <c r="A3410" s="1" t="s">
        <v>3409</v>
      </c>
      <c r="C3410" s="3">
        <v>41</v>
      </c>
      <c r="E3410" t="s">
        <v>6267</v>
      </c>
    </row>
    <row r="3411" spans="1:5" x14ac:dyDescent="0.25">
      <c r="A3411" s="1" t="s">
        <v>3410</v>
      </c>
      <c r="C3411" s="3">
        <v>41</v>
      </c>
      <c r="E3411" t="s">
        <v>13267</v>
      </c>
    </row>
    <row r="3412" spans="1:5" x14ac:dyDescent="0.25">
      <c r="A3412" s="1" t="s">
        <v>3411</v>
      </c>
      <c r="C3412" s="3">
        <v>41</v>
      </c>
      <c r="E3412" t="s">
        <v>1933</v>
      </c>
    </row>
    <row r="3413" spans="1:5" x14ac:dyDescent="0.25">
      <c r="A3413" s="1" t="s">
        <v>3412</v>
      </c>
      <c r="C3413" s="3">
        <v>41</v>
      </c>
      <c r="E3413" t="s">
        <v>146</v>
      </c>
    </row>
    <row r="3414" spans="1:5" x14ac:dyDescent="0.25">
      <c r="A3414" s="1" t="s">
        <v>3413</v>
      </c>
      <c r="C3414" s="3">
        <v>41</v>
      </c>
      <c r="E3414" t="s">
        <v>12177</v>
      </c>
    </row>
    <row r="3415" spans="1:5" x14ac:dyDescent="0.25">
      <c r="A3415" s="1" t="s">
        <v>3414</v>
      </c>
      <c r="C3415" s="3">
        <v>41</v>
      </c>
      <c r="E3415" t="s">
        <v>11085</v>
      </c>
    </row>
    <row r="3416" spans="1:5" x14ac:dyDescent="0.25">
      <c r="A3416" s="1" t="s">
        <v>3415</v>
      </c>
      <c r="C3416" s="3">
        <v>41</v>
      </c>
      <c r="E3416" t="s">
        <v>2037</v>
      </c>
    </row>
    <row r="3417" spans="1:5" x14ac:dyDescent="0.25">
      <c r="A3417" s="1" t="s">
        <v>3416</v>
      </c>
      <c r="C3417" s="3">
        <v>41</v>
      </c>
      <c r="E3417" t="s">
        <v>11722</v>
      </c>
    </row>
    <row r="3418" spans="1:5" x14ac:dyDescent="0.25">
      <c r="A3418" s="1" t="s">
        <v>3417</v>
      </c>
      <c r="C3418" s="3">
        <v>41</v>
      </c>
      <c r="E3418" t="s">
        <v>14916</v>
      </c>
    </row>
    <row r="3419" spans="1:5" x14ac:dyDescent="0.25">
      <c r="A3419" s="1" t="s">
        <v>3418</v>
      </c>
      <c r="C3419" s="3">
        <v>41</v>
      </c>
      <c r="E3419" t="s">
        <v>7889</v>
      </c>
    </row>
    <row r="3420" spans="1:5" x14ac:dyDescent="0.25">
      <c r="A3420" s="1" t="s">
        <v>3419</v>
      </c>
      <c r="C3420" s="3">
        <v>41</v>
      </c>
      <c r="E3420" t="s">
        <v>23143</v>
      </c>
    </row>
    <row r="3421" spans="1:5" x14ac:dyDescent="0.25">
      <c r="A3421" s="1" t="s">
        <v>3420</v>
      </c>
      <c r="C3421" s="3">
        <v>41</v>
      </c>
      <c r="E3421" t="s">
        <v>6102</v>
      </c>
    </row>
    <row r="3422" spans="1:5" x14ac:dyDescent="0.25">
      <c r="A3422" s="1" t="s">
        <v>3421</v>
      </c>
      <c r="C3422" s="3">
        <v>41</v>
      </c>
      <c r="E3422" t="s">
        <v>103</v>
      </c>
    </row>
    <row r="3423" spans="1:5" x14ac:dyDescent="0.25">
      <c r="A3423" s="1" t="s">
        <v>3422</v>
      </c>
      <c r="C3423" s="3">
        <v>41</v>
      </c>
      <c r="E3423" t="s">
        <v>18537</v>
      </c>
    </row>
    <row r="3424" spans="1:5" x14ac:dyDescent="0.25">
      <c r="A3424" s="1" t="s">
        <v>3423</v>
      </c>
      <c r="C3424" s="3">
        <v>41</v>
      </c>
      <c r="E3424" t="s">
        <v>9157</v>
      </c>
    </row>
    <row r="3425" spans="1:5" x14ac:dyDescent="0.25">
      <c r="A3425" s="1" t="s">
        <v>3424</v>
      </c>
      <c r="C3425" s="3">
        <v>41</v>
      </c>
      <c r="E3425" t="s">
        <v>6226</v>
      </c>
    </row>
    <row r="3426" spans="1:5" x14ac:dyDescent="0.25">
      <c r="A3426" s="1" t="s">
        <v>3425</v>
      </c>
      <c r="C3426" s="3">
        <v>41</v>
      </c>
      <c r="E3426" t="s">
        <v>1156</v>
      </c>
    </row>
    <row r="3427" spans="1:5" x14ac:dyDescent="0.25">
      <c r="A3427" s="1" t="s">
        <v>3426</v>
      </c>
      <c r="C3427" s="3">
        <v>41</v>
      </c>
      <c r="E3427" t="s">
        <v>18332</v>
      </c>
    </row>
    <row r="3428" spans="1:5" x14ac:dyDescent="0.25">
      <c r="A3428" s="1" t="s">
        <v>3427</v>
      </c>
      <c r="C3428" s="3">
        <v>41</v>
      </c>
      <c r="E3428" t="s">
        <v>8806</v>
      </c>
    </row>
    <row r="3429" spans="1:5" x14ac:dyDescent="0.25">
      <c r="A3429" s="1" t="s">
        <v>3428</v>
      </c>
      <c r="C3429" s="3">
        <v>41</v>
      </c>
      <c r="E3429" t="s">
        <v>11649</v>
      </c>
    </row>
    <row r="3430" spans="1:5" x14ac:dyDescent="0.25">
      <c r="A3430" s="1" t="s">
        <v>3429</v>
      </c>
      <c r="C3430" s="3">
        <v>41</v>
      </c>
      <c r="E3430" t="s">
        <v>4086</v>
      </c>
    </row>
    <row r="3431" spans="1:5" x14ac:dyDescent="0.25">
      <c r="A3431" s="1" t="s">
        <v>3430</v>
      </c>
      <c r="C3431" s="3">
        <v>41</v>
      </c>
      <c r="E3431" t="s">
        <v>8085</v>
      </c>
    </row>
    <row r="3432" spans="1:5" x14ac:dyDescent="0.25">
      <c r="A3432" s="1" t="s">
        <v>3431</v>
      </c>
      <c r="C3432" s="3">
        <v>41</v>
      </c>
      <c r="E3432" t="s">
        <v>197</v>
      </c>
    </row>
    <row r="3433" spans="1:5" x14ac:dyDescent="0.25">
      <c r="A3433" s="1" t="s">
        <v>3432</v>
      </c>
      <c r="C3433" s="3">
        <v>41</v>
      </c>
      <c r="E3433" t="s">
        <v>17010</v>
      </c>
    </row>
    <row r="3434" spans="1:5" x14ac:dyDescent="0.25">
      <c r="A3434" s="1" t="s">
        <v>3433</v>
      </c>
      <c r="C3434" s="3">
        <v>41</v>
      </c>
      <c r="E3434" t="s">
        <v>217</v>
      </c>
    </row>
    <row r="3435" spans="1:5" x14ac:dyDescent="0.25">
      <c r="A3435" s="1" t="s">
        <v>3434</v>
      </c>
      <c r="C3435" s="3">
        <v>41</v>
      </c>
      <c r="E3435" t="s">
        <v>5932</v>
      </c>
    </row>
    <row r="3436" spans="1:5" x14ac:dyDescent="0.25">
      <c r="A3436" s="1" t="s">
        <v>3435</v>
      </c>
      <c r="C3436" s="3">
        <v>41</v>
      </c>
      <c r="E3436" t="s">
        <v>3048</v>
      </c>
    </row>
    <row r="3437" spans="1:5" x14ac:dyDescent="0.25">
      <c r="A3437" s="1" t="s">
        <v>3436</v>
      </c>
      <c r="C3437" s="3">
        <v>41</v>
      </c>
      <c r="E3437" t="s">
        <v>1234</v>
      </c>
    </row>
    <row r="3438" spans="1:5" x14ac:dyDescent="0.25">
      <c r="A3438" s="1" t="s">
        <v>3437</v>
      </c>
      <c r="C3438" s="3">
        <v>41</v>
      </c>
      <c r="E3438" t="s">
        <v>1662</v>
      </c>
    </row>
    <row r="3439" spans="1:5" x14ac:dyDescent="0.25">
      <c r="A3439" s="1" t="s">
        <v>3438</v>
      </c>
      <c r="C3439" s="3">
        <v>41</v>
      </c>
      <c r="E3439" t="s">
        <v>25473</v>
      </c>
    </row>
    <row r="3440" spans="1:5" x14ac:dyDescent="0.25">
      <c r="A3440" s="1" t="s">
        <v>3439</v>
      </c>
      <c r="C3440" s="3">
        <v>41</v>
      </c>
      <c r="E3440" t="s">
        <v>5762</v>
      </c>
    </row>
    <row r="3441" spans="1:5" x14ac:dyDescent="0.25">
      <c r="A3441" s="1" t="s">
        <v>3440</v>
      </c>
      <c r="C3441" s="3">
        <v>41</v>
      </c>
      <c r="E3441" t="s">
        <v>7204</v>
      </c>
    </row>
    <row r="3442" spans="1:5" x14ac:dyDescent="0.25">
      <c r="A3442" s="1" t="s">
        <v>3441</v>
      </c>
      <c r="C3442" s="3">
        <v>41</v>
      </c>
      <c r="E3442" t="s">
        <v>8208</v>
      </c>
    </row>
    <row r="3443" spans="1:5" x14ac:dyDescent="0.25">
      <c r="A3443" s="1" t="s">
        <v>3442</v>
      </c>
      <c r="C3443" s="3">
        <v>41</v>
      </c>
      <c r="E3443" t="s">
        <v>3498</v>
      </c>
    </row>
    <row r="3444" spans="1:5" x14ac:dyDescent="0.25">
      <c r="A3444" s="1" t="s">
        <v>3443</v>
      </c>
      <c r="C3444" s="3">
        <v>41</v>
      </c>
      <c r="E3444" t="s">
        <v>7333</v>
      </c>
    </row>
    <row r="3445" spans="1:5" x14ac:dyDescent="0.25">
      <c r="A3445" s="1" t="s">
        <v>3444</v>
      </c>
      <c r="C3445" s="3">
        <v>41</v>
      </c>
      <c r="E3445" t="s">
        <v>39</v>
      </c>
    </row>
    <row r="3446" spans="1:5" x14ac:dyDescent="0.25">
      <c r="A3446" s="1" t="s">
        <v>3445</v>
      </c>
      <c r="C3446" s="3">
        <v>41</v>
      </c>
      <c r="E3446" t="s">
        <v>2208</v>
      </c>
    </row>
    <row r="3447" spans="1:5" x14ac:dyDescent="0.25">
      <c r="A3447" s="1" t="s">
        <v>3446</v>
      </c>
      <c r="C3447" s="3">
        <v>41</v>
      </c>
      <c r="E3447" t="s">
        <v>20092</v>
      </c>
    </row>
    <row r="3448" spans="1:5" x14ac:dyDescent="0.25">
      <c r="A3448" s="1" t="s">
        <v>3447</v>
      </c>
      <c r="C3448" s="3">
        <v>41</v>
      </c>
      <c r="E3448" t="s">
        <v>793</v>
      </c>
    </row>
    <row r="3449" spans="1:5" x14ac:dyDescent="0.25">
      <c r="A3449" s="1" t="s">
        <v>3448</v>
      </c>
      <c r="C3449" s="3">
        <v>41</v>
      </c>
      <c r="E3449" t="s">
        <v>652</v>
      </c>
    </row>
    <row r="3450" spans="1:5" x14ac:dyDescent="0.25">
      <c r="A3450" s="1" t="s">
        <v>3449</v>
      </c>
      <c r="C3450" s="3">
        <v>41</v>
      </c>
      <c r="E3450" t="s">
        <v>5980</v>
      </c>
    </row>
    <row r="3451" spans="1:5" x14ac:dyDescent="0.25">
      <c r="A3451" s="1" t="s">
        <v>3450</v>
      </c>
      <c r="C3451" s="3">
        <v>41</v>
      </c>
      <c r="E3451" t="s">
        <v>8326</v>
      </c>
    </row>
    <row r="3452" spans="1:5" x14ac:dyDescent="0.25">
      <c r="A3452" s="1" t="s">
        <v>3451</v>
      </c>
      <c r="C3452" s="3">
        <v>41</v>
      </c>
      <c r="E3452" t="s">
        <v>6462</v>
      </c>
    </row>
    <row r="3453" spans="1:5" x14ac:dyDescent="0.25">
      <c r="A3453" s="1" t="s">
        <v>3452</v>
      </c>
      <c r="C3453" s="3">
        <v>41</v>
      </c>
      <c r="E3453" t="s">
        <v>25474</v>
      </c>
    </row>
    <row r="3454" spans="1:5" x14ac:dyDescent="0.25">
      <c r="A3454" s="1" t="s">
        <v>3453</v>
      </c>
      <c r="C3454" s="3">
        <v>41</v>
      </c>
      <c r="E3454" t="s">
        <v>25362</v>
      </c>
    </row>
    <row r="3455" spans="1:5" x14ac:dyDescent="0.25">
      <c r="A3455" s="1" t="s">
        <v>3454</v>
      </c>
      <c r="C3455" s="3">
        <v>41</v>
      </c>
      <c r="E3455" t="s">
        <v>2733</v>
      </c>
    </row>
    <row r="3456" spans="1:5" x14ac:dyDescent="0.25">
      <c r="A3456" s="1" t="s">
        <v>3455</v>
      </c>
      <c r="C3456" s="3">
        <v>41</v>
      </c>
      <c r="E3456" t="s">
        <v>5409</v>
      </c>
    </row>
    <row r="3457" spans="1:5" x14ac:dyDescent="0.25">
      <c r="A3457" s="1" t="s">
        <v>3456</v>
      </c>
      <c r="C3457" s="3">
        <v>41</v>
      </c>
      <c r="E3457" t="s">
        <v>6893</v>
      </c>
    </row>
    <row r="3458" spans="1:5" x14ac:dyDescent="0.25">
      <c r="A3458" s="1" t="s">
        <v>3457</v>
      </c>
      <c r="C3458" s="3">
        <v>41</v>
      </c>
      <c r="E3458" t="s">
        <v>200</v>
      </c>
    </row>
    <row r="3459" spans="1:5" x14ac:dyDescent="0.25">
      <c r="A3459" s="1" t="s">
        <v>3458</v>
      </c>
      <c r="C3459" s="3">
        <v>41</v>
      </c>
      <c r="E3459" t="s">
        <v>136</v>
      </c>
    </row>
    <row r="3460" spans="1:5" x14ac:dyDescent="0.25">
      <c r="A3460" s="1" t="s">
        <v>3459</v>
      </c>
      <c r="C3460" s="3">
        <v>41</v>
      </c>
      <c r="E3460" t="s">
        <v>48</v>
      </c>
    </row>
    <row r="3461" spans="1:5" x14ac:dyDescent="0.25">
      <c r="A3461" s="1" t="s">
        <v>3460</v>
      </c>
      <c r="C3461" s="3">
        <v>41</v>
      </c>
      <c r="E3461" t="s">
        <v>1193</v>
      </c>
    </row>
    <row r="3462" spans="1:5" x14ac:dyDescent="0.25">
      <c r="A3462" s="1" t="s">
        <v>3461</v>
      </c>
      <c r="C3462" s="3">
        <v>41</v>
      </c>
      <c r="E3462" t="s">
        <v>2649</v>
      </c>
    </row>
    <row r="3463" spans="1:5" x14ac:dyDescent="0.25">
      <c r="A3463" s="1" t="s">
        <v>3462</v>
      </c>
      <c r="C3463" s="3">
        <v>41</v>
      </c>
      <c r="E3463" t="s">
        <v>1318</v>
      </c>
    </row>
    <row r="3464" spans="1:5" x14ac:dyDescent="0.25">
      <c r="A3464" s="1" t="s">
        <v>3463</v>
      </c>
      <c r="C3464" s="3">
        <v>41</v>
      </c>
      <c r="E3464" t="s">
        <v>1075</v>
      </c>
    </row>
    <row r="3465" spans="1:5" x14ac:dyDescent="0.25">
      <c r="A3465" s="1" t="s">
        <v>3464</v>
      </c>
      <c r="C3465" s="3">
        <v>41</v>
      </c>
      <c r="E3465" t="s">
        <v>1590</v>
      </c>
    </row>
    <row r="3466" spans="1:5" x14ac:dyDescent="0.25">
      <c r="A3466" s="1" t="s">
        <v>3465</v>
      </c>
      <c r="C3466" s="3">
        <v>41</v>
      </c>
      <c r="E3466" t="s">
        <v>2721</v>
      </c>
    </row>
    <row r="3467" spans="1:5" x14ac:dyDescent="0.25">
      <c r="A3467" s="1" t="s">
        <v>3466</v>
      </c>
      <c r="C3467" s="3">
        <v>41</v>
      </c>
      <c r="E3467" t="s">
        <v>2663</v>
      </c>
    </row>
    <row r="3468" spans="1:5" x14ac:dyDescent="0.25">
      <c r="A3468" s="1" t="s">
        <v>3467</v>
      </c>
      <c r="C3468" s="3">
        <v>41</v>
      </c>
      <c r="E3468" t="s">
        <v>1191</v>
      </c>
    </row>
    <row r="3469" spans="1:5" x14ac:dyDescent="0.25">
      <c r="A3469" s="2" t="s">
        <v>3468</v>
      </c>
      <c r="C3469" s="4">
        <v>40</v>
      </c>
      <c r="E3469" t="s">
        <v>25475</v>
      </c>
    </row>
    <row r="3470" spans="1:5" x14ac:dyDescent="0.25">
      <c r="A3470" s="1" t="s">
        <v>3469</v>
      </c>
      <c r="C3470" s="3">
        <v>40</v>
      </c>
      <c r="E3470" t="s">
        <v>4898</v>
      </c>
    </row>
    <row r="3471" spans="1:5" x14ac:dyDescent="0.25">
      <c r="A3471" s="1" t="s">
        <v>3470</v>
      </c>
      <c r="C3471" s="3">
        <v>40</v>
      </c>
      <c r="E3471" t="s">
        <v>2322</v>
      </c>
    </row>
    <row r="3472" spans="1:5" x14ac:dyDescent="0.25">
      <c r="A3472" s="1" t="s">
        <v>3471</v>
      </c>
      <c r="C3472" s="3">
        <v>40</v>
      </c>
      <c r="E3472" t="s">
        <v>93</v>
      </c>
    </row>
    <row r="3473" spans="1:5" x14ac:dyDescent="0.25">
      <c r="A3473" s="1" t="s">
        <v>3472</v>
      </c>
      <c r="C3473" s="3">
        <v>40</v>
      </c>
      <c r="E3473" t="s">
        <v>2424</v>
      </c>
    </row>
    <row r="3474" spans="1:5" x14ac:dyDescent="0.25">
      <c r="A3474" s="1" t="s">
        <v>3473</v>
      </c>
      <c r="C3474" s="3">
        <v>40</v>
      </c>
      <c r="E3474" t="s">
        <v>1243</v>
      </c>
    </row>
    <row r="3475" spans="1:5" x14ac:dyDescent="0.25">
      <c r="A3475" s="1" t="s">
        <v>3474</v>
      </c>
      <c r="C3475" s="3">
        <v>40</v>
      </c>
      <c r="E3475" t="s">
        <v>14666</v>
      </c>
    </row>
    <row r="3476" spans="1:5" x14ac:dyDescent="0.25">
      <c r="A3476" s="1" t="s">
        <v>3475</v>
      </c>
      <c r="C3476" s="3">
        <v>40</v>
      </c>
      <c r="E3476" t="s">
        <v>8679</v>
      </c>
    </row>
    <row r="3477" spans="1:5" x14ac:dyDescent="0.25">
      <c r="A3477" s="1" t="s">
        <v>3476</v>
      </c>
      <c r="C3477" s="3">
        <v>40</v>
      </c>
      <c r="E3477" t="s">
        <v>2475</v>
      </c>
    </row>
    <row r="3478" spans="1:5" x14ac:dyDescent="0.25">
      <c r="A3478" s="1" t="s">
        <v>3477</v>
      </c>
      <c r="C3478" s="3">
        <v>40</v>
      </c>
      <c r="E3478" t="s">
        <v>40</v>
      </c>
    </row>
    <row r="3479" spans="1:5" x14ac:dyDescent="0.25">
      <c r="A3479" s="1" t="s">
        <v>3478</v>
      </c>
      <c r="C3479" s="3">
        <v>40</v>
      </c>
      <c r="E3479" t="s">
        <v>25476</v>
      </c>
    </row>
    <row r="3480" spans="1:5" x14ac:dyDescent="0.25">
      <c r="A3480" s="1" t="s">
        <v>3479</v>
      </c>
      <c r="C3480" s="3">
        <v>40</v>
      </c>
      <c r="E3480" t="s">
        <v>9160</v>
      </c>
    </row>
    <row r="3481" spans="1:5" x14ac:dyDescent="0.25">
      <c r="A3481" s="1" t="s">
        <v>3480</v>
      </c>
      <c r="C3481" s="3">
        <v>40</v>
      </c>
      <c r="E3481" t="s">
        <v>1280</v>
      </c>
    </row>
    <row r="3482" spans="1:5" x14ac:dyDescent="0.25">
      <c r="A3482" s="1" t="s">
        <v>3481</v>
      </c>
      <c r="C3482" s="3">
        <v>40</v>
      </c>
      <c r="E3482" t="s">
        <v>8522</v>
      </c>
    </row>
    <row r="3483" spans="1:5" x14ac:dyDescent="0.25">
      <c r="A3483" s="1" t="s">
        <v>3482</v>
      </c>
      <c r="C3483" s="3">
        <v>40</v>
      </c>
      <c r="E3483" t="s">
        <v>3474</v>
      </c>
    </row>
    <row r="3484" spans="1:5" x14ac:dyDescent="0.25">
      <c r="A3484" s="1" t="s">
        <v>3483</v>
      </c>
      <c r="C3484" s="3">
        <v>40</v>
      </c>
      <c r="E3484" t="s">
        <v>5537</v>
      </c>
    </row>
    <row r="3485" spans="1:5" x14ac:dyDescent="0.25">
      <c r="A3485" s="1" t="s">
        <v>3484</v>
      </c>
      <c r="C3485" s="3">
        <v>40</v>
      </c>
      <c r="E3485" t="s">
        <v>7709</v>
      </c>
    </row>
    <row r="3486" spans="1:5" x14ac:dyDescent="0.25">
      <c r="A3486" s="1" t="s">
        <v>3485</v>
      </c>
      <c r="C3486" s="3">
        <v>40</v>
      </c>
      <c r="E3486" t="s">
        <v>788</v>
      </c>
    </row>
    <row r="3487" spans="1:5" x14ac:dyDescent="0.25">
      <c r="A3487" s="1" t="s">
        <v>3486</v>
      </c>
      <c r="C3487" s="3">
        <v>40</v>
      </c>
      <c r="E3487" t="s">
        <v>9124</v>
      </c>
    </row>
    <row r="3488" spans="1:5" x14ac:dyDescent="0.25">
      <c r="A3488" s="1" t="s">
        <v>3487</v>
      </c>
      <c r="C3488" s="3">
        <v>40</v>
      </c>
      <c r="E3488" t="s">
        <v>1578</v>
      </c>
    </row>
    <row r="3489" spans="1:5" x14ac:dyDescent="0.25">
      <c r="A3489" s="1" t="s">
        <v>3488</v>
      </c>
      <c r="C3489" s="3">
        <v>40</v>
      </c>
      <c r="E3489" t="s">
        <v>1771</v>
      </c>
    </row>
    <row r="3490" spans="1:5" x14ac:dyDescent="0.25">
      <c r="A3490" s="1" t="s">
        <v>3489</v>
      </c>
      <c r="C3490" s="3">
        <v>40</v>
      </c>
      <c r="E3490" t="s">
        <v>2164</v>
      </c>
    </row>
    <row r="3491" spans="1:5" x14ac:dyDescent="0.25">
      <c r="A3491" s="1" t="s">
        <v>3490</v>
      </c>
      <c r="C3491" s="3">
        <v>40</v>
      </c>
      <c r="E3491" t="s">
        <v>8403</v>
      </c>
    </row>
    <row r="3492" spans="1:5" x14ac:dyDescent="0.25">
      <c r="A3492" s="1" t="s">
        <v>3491</v>
      </c>
      <c r="C3492" s="3">
        <v>40</v>
      </c>
      <c r="E3492" t="s">
        <v>11221</v>
      </c>
    </row>
    <row r="3493" spans="1:5" x14ac:dyDescent="0.25">
      <c r="A3493" s="1" t="s">
        <v>3492</v>
      </c>
      <c r="C3493" s="3">
        <v>40</v>
      </c>
      <c r="E3493" t="s">
        <v>12583</v>
      </c>
    </row>
    <row r="3494" spans="1:5" x14ac:dyDescent="0.25">
      <c r="A3494" s="1" t="s">
        <v>3493</v>
      </c>
      <c r="C3494" s="3">
        <v>40</v>
      </c>
      <c r="E3494" t="s">
        <v>1937</v>
      </c>
    </row>
    <row r="3495" spans="1:5" x14ac:dyDescent="0.25">
      <c r="A3495" s="1" t="s">
        <v>3494</v>
      </c>
      <c r="C3495" s="3">
        <v>40</v>
      </c>
      <c r="E3495" t="s">
        <v>3067</v>
      </c>
    </row>
    <row r="3496" spans="1:5" x14ac:dyDescent="0.25">
      <c r="A3496" s="1" t="s">
        <v>3495</v>
      </c>
      <c r="C3496" s="3">
        <v>40</v>
      </c>
      <c r="E3496" t="s">
        <v>5511</v>
      </c>
    </row>
    <row r="3497" spans="1:5" x14ac:dyDescent="0.25">
      <c r="A3497" s="1" t="s">
        <v>3496</v>
      </c>
      <c r="C3497" s="3">
        <v>40</v>
      </c>
      <c r="E3497" t="s">
        <v>1560</v>
      </c>
    </row>
    <row r="3498" spans="1:5" x14ac:dyDescent="0.25">
      <c r="A3498" s="1" t="s">
        <v>3497</v>
      </c>
      <c r="C3498" s="3">
        <v>40</v>
      </c>
      <c r="E3498" t="s">
        <v>19690</v>
      </c>
    </row>
    <row r="3499" spans="1:5" x14ac:dyDescent="0.25">
      <c r="A3499" s="1" t="s">
        <v>3498</v>
      </c>
      <c r="C3499" s="3">
        <v>40</v>
      </c>
      <c r="E3499" t="s">
        <v>3599</v>
      </c>
    </row>
    <row r="3500" spans="1:5" x14ac:dyDescent="0.25">
      <c r="A3500" s="1" t="s">
        <v>3499</v>
      </c>
      <c r="C3500" s="3">
        <v>40</v>
      </c>
      <c r="E3500" t="s">
        <v>1124</v>
      </c>
    </row>
    <row r="3501" spans="1:5" x14ac:dyDescent="0.25">
      <c r="A3501" s="1" t="s">
        <v>3500</v>
      </c>
      <c r="C3501" s="3">
        <v>40</v>
      </c>
      <c r="E3501" t="s">
        <v>7454</v>
      </c>
    </row>
    <row r="3502" spans="1:5" x14ac:dyDescent="0.25">
      <c r="A3502" s="1" t="s">
        <v>3501</v>
      </c>
      <c r="C3502" s="3">
        <v>40</v>
      </c>
      <c r="E3502" t="s">
        <v>3929</v>
      </c>
    </row>
    <row r="3503" spans="1:5" x14ac:dyDescent="0.25">
      <c r="A3503" s="1" t="s">
        <v>3502</v>
      </c>
      <c r="C3503" s="3">
        <v>40</v>
      </c>
      <c r="E3503" t="s">
        <v>939</v>
      </c>
    </row>
    <row r="3504" spans="1:5" x14ac:dyDescent="0.25">
      <c r="A3504" s="1" t="s">
        <v>3503</v>
      </c>
      <c r="C3504" s="3">
        <v>40</v>
      </c>
      <c r="E3504" t="s">
        <v>3430</v>
      </c>
    </row>
    <row r="3505" spans="1:5" x14ac:dyDescent="0.25">
      <c r="A3505" s="1" t="s">
        <v>3504</v>
      </c>
      <c r="C3505" s="3">
        <v>40</v>
      </c>
      <c r="E3505" t="s">
        <v>1407</v>
      </c>
    </row>
    <row r="3506" spans="1:5" x14ac:dyDescent="0.25">
      <c r="A3506" s="1" t="s">
        <v>3505</v>
      </c>
      <c r="C3506" s="3">
        <v>40</v>
      </c>
      <c r="E3506" t="s">
        <v>11396</v>
      </c>
    </row>
    <row r="3507" spans="1:5" x14ac:dyDescent="0.25">
      <c r="A3507" s="1" t="s">
        <v>3506</v>
      </c>
      <c r="C3507" s="3">
        <v>40</v>
      </c>
      <c r="E3507" t="s">
        <v>5227</v>
      </c>
    </row>
    <row r="3508" spans="1:5" x14ac:dyDescent="0.25">
      <c r="A3508" s="1" t="s">
        <v>3507</v>
      </c>
      <c r="C3508" s="3">
        <v>40</v>
      </c>
      <c r="E3508" t="s">
        <v>6704</v>
      </c>
    </row>
    <row r="3509" spans="1:5" x14ac:dyDescent="0.25">
      <c r="A3509" s="1" t="s">
        <v>3508</v>
      </c>
      <c r="C3509" s="3">
        <v>40</v>
      </c>
      <c r="E3509" t="s">
        <v>9614</v>
      </c>
    </row>
    <row r="3510" spans="1:5" x14ac:dyDescent="0.25">
      <c r="A3510" s="1" t="s">
        <v>3509</v>
      </c>
      <c r="C3510" s="3">
        <v>40</v>
      </c>
      <c r="E3510" t="s">
        <v>6512</v>
      </c>
    </row>
    <row r="3511" spans="1:5" x14ac:dyDescent="0.25">
      <c r="A3511" s="1" t="s">
        <v>3510</v>
      </c>
      <c r="C3511" s="3">
        <v>40</v>
      </c>
      <c r="E3511" t="s">
        <v>10213</v>
      </c>
    </row>
    <row r="3512" spans="1:5" x14ac:dyDescent="0.25">
      <c r="A3512" s="1" t="s">
        <v>3511</v>
      </c>
      <c r="C3512" s="3">
        <v>40</v>
      </c>
      <c r="E3512" t="s">
        <v>2140</v>
      </c>
    </row>
    <row r="3513" spans="1:5" x14ac:dyDescent="0.25">
      <c r="A3513" s="1" t="s">
        <v>3512</v>
      </c>
      <c r="C3513" s="3">
        <v>40</v>
      </c>
      <c r="E3513" t="s">
        <v>8609</v>
      </c>
    </row>
    <row r="3514" spans="1:5" x14ac:dyDescent="0.25">
      <c r="A3514" s="1" t="s">
        <v>3513</v>
      </c>
      <c r="C3514" s="3">
        <v>40</v>
      </c>
      <c r="E3514" t="s">
        <v>5145</v>
      </c>
    </row>
    <row r="3515" spans="1:5" x14ac:dyDescent="0.25">
      <c r="A3515" s="1" t="s">
        <v>3514</v>
      </c>
      <c r="C3515" s="3">
        <v>40</v>
      </c>
      <c r="E3515" t="s">
        <v>2601</v>
      </c>
    </row>
    <row r="3516" spans="1:5" x14ac:dyDescent="0.25">
      <c r="A3516" s="1" t="s">
        <v>3515</v>
      </c>
      <c r="C3516" s="3">
        <v>40</v>
      </c>
      <c r="E3516" t="s">
        <v>5188</v>
      </c>
    </row>
    <row r="3517" spans="1:5" x14ac:dyDescent="0.25">
      <c r="A3517" s="1" t="s">
        <v>3516</v>
      </c>
      <c r="C3517" s="3">
        <v>40</v>
      </c>
      <c r="E3517" t="s">
        <v>1509</v>
      </c>
    </row>
    <row r="3518" spans="1:5" x14ac:dyDescent="0.25">
      <c r="A3518" s="1" t="s">
        <v>3517</v>
      </c>
      <c r="C3518" s="3">
        <v>40</v>
      </c>
      <c r="E3518" t="s">
        <v>8327</v>
      </c>
    </row>
    <row r="3519" spans="1:5" x14ac:dyDescent="0.25">
      <c r="A3519" s="1" t="s">
        <v>3518</v>
      </c>
      <c r="C3519" s="3">
        <v>40</v>
      </c>
      <c r="E3519" t="s">
        <v>17029</v>
      </c>
    </row>
    <row r="3520" spans="1:5" x14ac:dyDescent="0.25">
      <c r="A3520" s="1" t="s">
        <v>3519</v>
      </c>
      <c r="C3520" s="3">
        <v>40</v>
      </c>
      <c r="E3520" t="s">
        <v>7587</v>
      </c>
    </row>
    <row r="3521" spans="1:5" x14ac:dyDescent="0.25">
      <c r="A3521" s="1" t="s">
        <v>3520</v>
      </c>
      <c r="C3521" s="3">
        <v>40</v>
      </c>
      <c r="E3521" t="s">
        <v>1061</v>
      </c>
    </row>
    <row r="3522" spans="1:5" x14ac:dyDescent="0.25">
      <c r="A3522" s="1" t="s">
        <v>3521</v>
      </c>
      <c r="C3522" s="3">
        <v>40</v>
      </c>
      <c r="E3522" t="s">
        <v>10239</v>
      </c>
    </row>
    <row r="3523" spans="1:5" x14ac:dyDescent="0.25">
      <c r="A3523" s="1" t="s">
        <v>3522</v>
      </c>
      <c r="C3523" s="3">
        <v>40</v>
      </c>
      <c r="E3523" t="s">
        <v>6605</v>
      </c>
    </row>
    <row r="3524" spans="1:5" x14ac:dyDescent="0.25">
      <c r="A3524" s="1" t="s">
        <v>3523</v>
      </c>
      <c r="C3524" s="3">
        <v>40</v>
      </c>
      <c r="E3524" t="s">
        <v>967</v>
      </c>
    </row>
    <row r="3525" spans="1:5" x14ac:dyDescent="0.25">
      <c r="A3525" s="1" t="s">
        <v>3524</v>
      </c>
      <c r="C3525" s="3">
        <v>40</v>
      </c>
      <c r="E3525" t="s">
        <v>2756</v>
      </c>
    </row>
    <row r="3526" spans="1:5" x14ac:dyDescent="0.25">
      <c r="A3526" s="1" t="s">
        <v>3525</v>
      </c>
      <c r="C3526" s="3">
        <v>40</v>
      </c>
      <c r="E3526" t="s">
        <v>388</v>
      </c>
    </row>
    <row r="3527" spans="1:5" x14ac:dyDescent="0.25">
      <c r="A3527" s="1" t="s">
        <v>3526</v>
      </c>
      <c r="C3527" s="3">
        <v>40</v>
      </c>
      <c r="E3527" t="s">
        <v>2025</v>
      </c>
    </row>
    <row r="3528" spans="1:5" x14ac:dyDescent="0.25">
      <c r="A3528" s="1" t="s">
        <v>3527</v>
      </c>
      <c r="C3528" s="3">
        <v>40</v>
      </c>
      <c r="E3528" t="s">
        <v>5033</v>
      </c>
    </row>
    <row r="3529" spans="1:5" x14ac:dyDescent="0.25">
      <c r="A3529" s="1" t="s">
        <v>3528</v>
      </c>
      <c r="C3529" s="3">
        <v>40</v>
      </c>
      <c r="E3529" t="s">
        <v>2851</v>
      </c>
    </row>
    <row r="3530" spans="1:5" x14ac:dyDescent="0.25">
      <c r="A3530" s="1" t="s">
        <v>3529</v>
      </c>
      <c r="C3530" s="3">
        <v>40</v>
      </c>
      <c r="E3530" t="s">
        <v>11062</v>
      </c>
    </row>
    <row r="3531" spans="1:5" x14ac:dyDescent="0.25">
      <c r="A3531" s="1" t="s">
        <v>3530</v>
      </c>
      <c r="C3531" s="3">
        <v>40</v>
      </c>
      <c r="E3531" t="s">
        <v>6277</v>
      </c>
    </row>
    <row r="3532" spans="1:5" x14ac:dyDescent="0.25">
      <c r="A3532" s="1" t="s">
        <v>3531</v>
      </c>
      <c r="C3532" s="3">
        <v>40</v>
      </c>
      <c r="E3532" t="s">
        <v>852</v>
      </c>
    </row>
    <row r="3533" spans="1:5" x14ac:dyDescent="0.25">
      <c r="A3533" s="1" t="s">
        <v>3532</v>
      </c>
      <c r="C3533" s="3">
        <v>40</v>
      </c>
      <c r="E3533" t="s">
        <v>16801</v>
      </c>
    </row>
    <row r="3534" spans="1:5" x14ac:dyDescent="0.25">
      <c r="A3534" s="1" t="s">
        <v>3533</v>
      </c>
      <c r="C3534" s="3">
        <v>40</v>
      </c>
      <c r="E3534" t="s">
        <v>6305</v>
      </c>
    </row>
    <row r="3535" spans="1:5" x14ac:dyDescent="0.25">
      <c r="A3535" s="1" t="s">
        <v>3534</v>
      </c>
      <c r="C3535" s="3">
        <v>40</v>
      </c>
      <c r="E3535" t="s">
        <v>256</v>
      </c>
    </row>
    <row r="3536" spans="1:5" x14ac:dyDescent="0.25">
      <c r="A3536" s="1" t="s">
        <v>3535</v>
      </c>
      <c r="C3536" s="3">
        <v>40</v>
      </c>
      <c r="E3536" t="s">
        <v>2088</v>
      </c>
    </row>
    <row r="3537" spans="1:5" x14ac:dyDescent="0.25">
      <c r="A3537" s="1" t="s">
        <v>3536</v>
      </c>
      <c r="C3537" s="3">
        <v>40</v>
      </c>
      <c r="E3537" t="s">
        <v>1981</v>
      </c>
    </row>
    <row r="3538" spans="1:5" x14ac:dyDescent="0.25">
      <c r="A3538" s="1" t="s">
        <v>3537</v>
      </c>
      <c r="C3538" s="3">
        <v>40</v>
      </c>
      <c r="E3538" t="s">
        <v>13863</v>
      </c>
    </row>
    <row r="3539" spans="1:5" x14ac:dyDescent="0.25">
      <c r="A3539" s="1" t="s">
        <v>3538</v>
      </c>
      <c r="C3539" s="3">
        <v>40</v>
      </c>
      <c r="E3539" t="s">
        <v>1024</v>
      </c>
    </row>
    <row r="3540" spans="1:5" x14ac:dyDescent="0.25">
      <c r="A3540" s="1" t="s">
        <v>3539</v>
      </c>
      <c r="C3540" s="3">
        <v>40</v>
      </c>
      <c r="E3540" t="s">
        <v>2373</v>
      </c>
    </row>
    <row r="3541" spans="1:5" x14ac:dyDescent="0.25">
      <c r="A3541" s="1" t="s">
        <v>3540</v>
      </c>
      <c r="C3541" s="3">
        <v>40</v>
      </c>
      <c r="E3541" t="s">
        <v>3366</v>
      </c>
    </row>
    <row r="3542" spans="1:5" x14ac:dyDescent="0.25">
      <c r="A3542" s="1" t="s">
        <v>3541</v>
      </c>
      <c r="C3542" s="3">
        <v>40</v>
      </c>
      <c r="E3542" t="s">
        <v>6548</v>
      </c>
    </row>
    <row r="3543" spans="1:5" x14ac:dyDescent="0.25">
      <c r="A3543" s="1" t="s">
        <v>3542</v>
      </c>
      <c r="C3543" s="3">
        <v>40</v>
      </c>
      <c r="E3543" t="s">
        <v>889</v>
      </c>
    </row>
    <row r="3544" spans="1:5" x14ac:dyDescent="0.25">
      <c r="A3544" s="1" t="s">
        <v>3543</v>
      </c>
      <c r="C3544" s="3">
        <v>40</v>
      </c>
      <c r="E3544" t="s">
        <v>2572</v>
      </c>
    </row>
    <row r="3545" spans="1:5" x14ac:dyDescent="0.25">
      <c r="A3545" s="1" t="s">
        <v>3544</v>
      </c>
      <c r="C3545" s="3">
        <v>40</v>
      </c>
      <c r="E3545" t="s">
        <v>9832</v>
      </c>
    </row>
    <row r="3546" spans="1:5" x14ac:dyDescent="0.25">
      <c r="A3546" s="1" t="s">
        <v>3545</v>
      </c>
      <c r="C3546" s="3">
        <v>40</v>
      </c>
      <c r="E3546" t="s">
        <v>1965</v>
      </c>
    </row>
    <row r="3547" spans="1:5" x14ac:dyDescent="0.25">
      <c r="A3547" s="1" t="s">
        <v>3546</v>
      </c>
      <c r="C3547" s="3">
        <v>40</v>
      </c>
      <c r="E3547" t="s">
        <v>1686</v>
      </c>
    </row>
    <row r="3548" spans="1:5" x14ac:dyDescent="0.25">
      <c r="A3548" s="1" t="s">
        <v>3547</v>
      </c>
      <c r="C3548" s="3">
        <v>40</v>
      </c>
      <c r="E3548" t="s">
        <v>4151</v>
      </c>
    </row>
    <row r="3549" spans="1:5" x14ac:dyDescent="0.25">
      <c r="A3549" s="1" t="s">
        <v>3548</v>
      </c>
      <c r="C3549" s="3">
        <v>40</v>
      </c>
      <c r="E3549" t="s">
        <v>6478</v>
      </c>
    </row>
    <row r="3550" spans="1:5" x14ac:dyDescent="0.25">
      <c r="A3550" s="1" t="s">
        <v>3549</v>
      </c>
      <c r="C3550" s="3">
        <v>40</v>
      </c>
      <c r="E3550" t="s">
        <v>11865</v>
      </c>
    </row>
    <row r="3551" spans="1:5" x14ac:dyDescent="0.25">
      <c r="A3551" s="1" t="s">
        <v>3550</v>
      </c>
      <c r="C3551" s="3">
        <v>40</v>
      </c>
      <c r="E3551" t="s">
        <v>4336</v>
      </c>
    </row>
    <row r="3552" spans="1:5" x14ac:dyDescent="0.25">
      <c r="A3552" s="1" t="s">
        <v>3551</v>
      </c>
      <c r="C3552" s="3">
        <v>40</v>
      </c>
      <c r="E3552" t="s">
        <v>3480</v>
      </c>
    </row>
    <row r="3553" spans="1:5" x14ac:dyDescent="0.25">
      <c r="A3553" s="1" t="s">
        <v>3552</v>
      </c>
      <c r="C3553" s="3">
        <v>40</v>
      </c>
      <c r="E3553" t="s">
        <v>705</v>
      </c>
    </row>
    <row r="3554" spans="1:5" x14ac:dyDescent="0.25">
      <c r="A3554" s="1" t="s">
        <v>3553</v>
      </c>
      <c r="C3554" s="3">
        <v>40</v>
      </c>
      <c r="E3554" t="s">
        <v>8876</v>
      </c>
    </row>
    <row r="3555" spans="1:5" x14ac:dyDescent="0.25">
      <c r="A3555" s="1" t="s">
        <v>3554</v>
      </c>
      <c r="C3555" s="3">
        <v>40</v>
      </c>
      <c r="E3555" t="s">
        <v>3187</v>
      </c>
    </row>
    <row r="3556" spans="1:5" x14ac:dyDescent="0.25">
      <c r="A3556" s="1" t="s">
        <v>3555</v>
      </c>
      <c r="C3556" s="3">
        <v>40</v>
      </c>
      <c r="E3556" t="s">
        <v>8586</v>
      </c>
    </row>
    <row r="3557" spans="1:5" x14ac:dyDescent="0.25">
      <c r="A3557" s="1" t="s">
        <v>3556</v>
      </c>
      <c r="C3557" s="3">
        <v>40</v>
      </c>
      <c r="E3557" t="s">
        <v>3681</v>
      </c>
    </row>
    <row r="3558" spans="1:5" x14ac:dyDescent="0.25">
      <c r="A3558" s="1" t="s">
        <v>3557</v>
      </c>
      <c r="C3558" s="3">
        <v>40</v>
      </c>
      <c r="E3558" t="s">
        <v>1157</v>
      </c>
    </row>
    <row r="3559" spans="1:5" x14ac:dyDescent="0.25">
      <c r="A3559" s="1" t="s">
        <v>3558</v>
      </c>
      <c r="C3559" s="3">
        <v>40</v>
      </c>
      <c r="E3559" t="s">
        <v>9857</v>
      </c>
    </row>
    <row r="3560" spans="1:5" x14ac:dyDescent="0.25">
      <c r="A3560" s="1" t="s">
        <v>3559</v>
      </c>
      <c r="C3560" s="3">
        <v>40</v>
      </c>
      <c r="E3560" t="s">
        <v>12751</v>
      </c>
    </row>
    <row r="3561" spans="1:5" x14ac:dyDescent="0.25">
      <c r="A3561" s="1" t="s">
        <v>3560</v>
      </c>
      <c r="C3561" s="3">
        <v>39</v>
      </c>
      <c r="E3561" t="s">
        <v>82</v>
      </c>
    </row>
    <row r="3562" spans="1:5" x14ac:dyDescent="0.25">
      <c r="A3562" s="1" t="s">
        <v>3561</v>
      </c>
      <c r="C3562" s="3">
        <v>39</v>
      </c>
      <c r="E3562" t="s">
        <v>1514</v>
      </c>
    </row>
    <row r="3563" spans="1:5" x14ac:dyDescent="0.25">
      <c r="A3563" s="1" t="s">
        <v>3562</v>
      </c>
      <c r="C3563" s="3">
        <v>39</v>
      </c>
      <c r="E3563" t="s">
        <v>2318</v>
      </c>
    </row>
    <row r="3564" spans="1:5" x14ac:dyDescent="0.25">
      <c r="A3564" s="1" t="s">
        <v>3563</v>
      </c>
      <c r="C3564" s="3">
        <v>39</v>
      </c>
      <c r="E3564" t="s">
        <v>25477</v>
      </c>
    </row>
    <row r="3565" spans="1:5" x14ac:dyDescent="0.25">
      <c r="A3565" s="1" t="s">
        <v>3564</v>
      </c>
      <c r="C3565" s="3">
        <v>39</v>
      </c>
      <c r="E3565" t="s">
        <v>1091</v>
      </c>
    </row>
    <row r="3566" spans="1:5" x14ac:dyDescent="0.25">
      <c r="A3566" s="1" t="s">
        <v>3565</v>
      </c>
      <c r="C3566" s="3">
        <v>39</v>
      </c>
      <c r="E3566" t="s">
        <v>4331</v>
      </c>
    </row>
    <row r="3567" spans="1:5" x14ac:dyDescent="0.25">
      <c r="A3567" s="1" t="s">
        <v>3566</v>
      </c>
      <c r="C3567" s="3">
        <v>39</v>
      </c>
      <c r="E3567" t="s">
        <v>8135</v>
      </c>
    </row>
    <row r="3568" spans="1:5" x14ac:dyDescent="0.25">
      <c r="A3568" s="1" t="s">
        <v>3567</v>
      </c>
      <c r="C3568" s="3">
        <v>39</v>
      </c>
      <c r="E3568" t="s">
        <v>875</v>
      </c>
    </row>
    <row r="3569" spans="1:5" x14ac:dyDescent="0.25">
      <c r="A3569" s="1" t="s">
        <v>3568</v>
      </c>
      <c r="C3569" s="3">
        <v>39</v>
      </c>
      <c r="E3569" t="s">
        <v>2146</v>
      </c>
    </row>
    <row r="3570" spans="1:5" x14ac:dyDescent="0.25">
      <c r="A3570" s="1" t="s">
        <v>3569</v>
      </c>
      <c r="C3570" s="3">
        <v>39</v>
      </c>
      <c r="E3570" t="s">
        <v>3140</v>
      </c>
    </row>
    <row r="3571" spans="1:5" x14ac:dyDescent="0.25">
      <c r="A3571" s="1" t="s">
        <v>3570</v>
      </c>
      <c r="C3571" s="3">
        <v>39</v>
      </c>
      <c r="E3571" t="s">
        <v>3867</v>
      </c>
    </row>
    <row r="3572" spans="1:5" x14ac:dyDescent="0.25">
      <c r="A3572" s="1" t="s">
        <v>3571</v>
      </c>
      <c r="C3572" s="3">
        <v>39</v>
      </c>
      <c r="E3572" t="s">
        <v>4840</v>
      </c>
    </row>
    <row r="3573" spans="1:5" x14ac:dyDescent="0.25">
      <c r="A3573" s="1" t="s">
        <v>3572</v>
      </c>
      <c r="C3573" s="3">
        <v>39</v>
      </c>
      <c r="E3573" t="s">
        <v>7424</v>
      </c>
    </row>
    <row r="3574" spans="1:5" x14ac:dyDescent="0.25">
      <c r="A3574" s="1" t="s">
        <v>3573</v>
      </c>
      <c r="C3574" s="3">
        <v>39</v>
      </c>
      <c r="E3574" t="s">
        <v>12654</v>
      </c>
    </row>
    <row r="3575" spans="1:5" x14ac:dyDescent="0.25">
      <c r="A3575" s="1" t="s">
        <v>3574</v>
      </c>
      <c r="C3575" s="3">
        <v>39</v>
      </c>
      <c r="E3575" t="s">
        <v>8492</v>
      </c>
    </row>
    <row r="3576" spans="1:5" x14ac:dyDescent="0.25">
      <c r="A3576" s="1" t="s">
        <v>3575</v>
      </c>
      <c r="C3576" s="3">
        <v>39</v>
      </c>
      <c r="E3576" t="s">
        <v>8412</v>
      </c>
    </row>
    <row r="3577" spans="1:5" x14ac:dyDescent="0.25">
      <c r="A3577" s="1" t="s">
        <v>3576</v>
      </c>
      <c r="C3577" s="3">
        <v>39</v>
      </c>
      <c r="E3577" t="s">
        <v>2679</v>
      </c>
    </row>
    <row r="3578" spans="1:5" x14ac:dyDescent="0.25">
      <c r="A3578" s="1" t="s">
        <v>3577</v>
      </c>
      <c r="C3578" s="3">
        <v>39</v>
      </c>
      <c r="E3578" t="s">
        <v>2049</v>
      </c>
    </row>
    <row r="3579" spans="1:5" x14ac:dyDescent="0.25">
      <c r="A3579" s="1" t="s">
        <v>3578</v>
      </c>
      <c r="C3579" s="3">
        <v>39</v>
      </c>
      <c r="E3579" t="s">
        <v>5826</v>
      </c>
    </row>
    <row r="3580" spans="1:5" x14ac:dyDescent="0.25">
      <c r="A3580" s="1" t="s">
        <v>3579</v>
      </c>
      <c r="C3580" s="3">
        <v>39</v>
      </c>
      <c r="E3580" t="s">
        <v>4182</v>
      </c>
    </row>
    <row r="3581" spans="1:5" x14ac:dyDescent="0.25">
      <c r="A3581" s="1" t="s">
        <v>3580</v>
      </c>
      <c r="C3581" s="3">
        <v>39</v>
      </c>
      <c r="E3581" t="s">
        <v>3585</v>
      </c>
    </row>
    <row r="3582" spans="1:5" x14ac:dyDescent="0.25">
      <c r="A3582" s="1" t="s">
        <v>3581</v>
      </c>
      <c r="C3582" s="3">
        <v>39</v>
      </c>
      <c r="E3582" t="s">
        <v>1887</v>
      </c>
    </row>
    <row r="3583" spans="1:5" x14ac:dyDescent="0.25">
      <c r="A3583" s="1" t="s">
        <v>3582</v>
      </c>
      <c r="C3583" s="3">
        <v>39</v>
      </c>
      <c r="E3583" t="s">
        <v>22574</v>
      </c>
    </row>
    <row r="3584" spans="1:5" x14ac:dyDescent="0.25">
      <c r="A3584" s="1" t="s">
        <v>3583</v>
      </c>
      <c r="C3584" s="3">
        <v>39</v>
      </c>
      <c r="E3584" t="s">
        <v>6672</v>
      </c>
    </row>
    <row r="3585" spans="1:5" x14ac:dyDescent="0.25">
      <c r="A3585" s="1" t="s">
        <v>3584</v>
      </c>
      <c r="C3585" s="3">
        <v>39</v>
      </c>
      <c r="E3585" t="s">
        <v>1142</v>
      </c>
    </row>
    <row r="3586" spans="1:5" x14ac:dyDescent="0.25">
      <c r="A3586" s="1" t="s">
        <v>3585</v>
      </c>
      <c r="C3586" s="3">
        <v>39</v>
      </c>
      <c r="E3586" t="s">
        <v>5810</v>
      </c>
    </row>
    <row r="3587" spans="1:5" x14ac:dyDescent="0.25">
      <c r="A3587" s="1" t="s">
        <v>3586</v>
      </c>
      <c r="C3587" s="3">
        <v>39</v>
      </c>
      <c r="E3587" t="s">
        <v>2754</v>
      </c>
    </row>
    <row r="3588" spans="1:5" x14ac:dyDescent="0.25">
      <c r="A3588" s="1" t="s">
        <v>3587</v>
      </c>
      <c r="C3588" s="3">
        <v>39</v>
      </c>
      <c r="E3588" t="s">
        <v>14866</v>
      </c>
    </row>
    <row r="3589" spans="1:5" x14ac:dyDescent="0.25">
      <c r="A3589" s="1" t="s">
        <v>3588</v>
      </c>
      <c r="C3589" s="3">
        <v>39</v>
      </c>
      <c r="E3589" t="s">
        <v>2849</v>
      </c>
    </row>
    <row r="3590" spans="1:5" x14ac:dyDescent="0.25">
      <c r="A3590" s="1" t="s">
        <v>3589</v>
      </c>
      <c r="C3590" s="3">
        <v>39</v>
      </c>
      <c r="E3590" t="s">
        <v>8368</v>
      </c>
    </row>
    <row r="3591" spans="1:5" x14ac:dyDescent="0.25">
      <c r="A3591" s="1" t="s">
        <v>3590</v>
      </c>
      <c r="C3591" s="3">
        <v>39</v>
      </c>
      <c r="E3591" t="s">
        <v>4953</v>
      </c>
    </row>
    <row r="3592" spans="1:5" x14ac:dyDescent="0.25">
      <c r="A3592" s="1" t="s">
        <v>3591</v>
      </c>
      <c r="C3592" s="3">
        <v>39</v>
      </c>
      <c r="E3592" t="s">
        <v>13246</v>
      </c>
    </row>
    <row r="3593" spans="1:5" x14ac:dyDescent="0.25">
      <c r="A3593" s="1" t="s">
        <v>3592</v>
      </c>
      <c r="C3593" s="3">
        <v>39</v>
      </c>
      <c r="E3593" t="s">
        <v>8084</v>
      </c>
    </row>
    <row r="3594" spans="1:5" x14ac:dyDescent="0.25">
      <c r="A3594" s="1" t="s">
        <v>3593</v>
      </c>
      <c r="C3594" s="3">
        <v>39</v>
      </c>
      <c r="E3594" t="s">
        <v>1496</v>
      </c>
    </row>
    <row r="3595" spans="1:5" x14ac:dyDescent="0.25">
      <c r="A3595" s="1" t="s">
        <v>3594</v>
      </c>
      <c r="C3595" s="3">
        <v>39</v>
      </c>
      <c r="E3595" t="s">
        <v>9092</v>
      </c>
    </row>
    <row r="3596" spans="1:5" x14ac:dyDescent="0.25">
      <c r="A3596" s="1" t="s">
        <v>3595</v>
      </c>
      <c r="C3596" s="3">
        <v>39</v>
      </c>
      <c r="E3596" t="s">
        <v>15081</v>
      </c>
    </row>
    <row r="3597" spans="1:5" x14ac:dyDescent="0.25">
      <c r="A3597" s="1" t="s">
        <v>3596</v>
      </c>
      <c r="C3597" s="3">
        <v>39</v>
      </c>
      <c r="E3597" t="s">
        <v>4440</v>
      </c>
    </row>
    <row r="3598" spans="1:5" x14ac:dyDescent="0.25">
      <c r="A3598" s="1" t="s">
        <v>3597</v>
      </c>
      <c r="C3598" s="3">
        <v>39</v>
      </c>
      <c r="E3598" t="s">
        <v>1968</v>
      </c>
    </row>
    <row r="3599" spans="1:5" x14ac:dyDescent="0.25">
      <c r="A3599" s="1" t="s">
        <v>3598</v>
      </c>
      <c r="C3599" s="3">
        <v>39</v>
      </c>
      <c r="E3599" t="s">
        <v>6345</v>
      </c>
    </row>
    <row r="3600" spans="1:5" x14ac:dyDescent="0.25">
      <c r="A3600" s="1" t="s">
        <v>3599</v>
      </c>
      <c r="C3600" s="3">
        <v>39</v>
      </c>
      <c r="E3600" t="s">
        <v>3024</v>
      </c>
    </row>
    <row r="3601" spans="1:5" x14ac:dyDescent="0.25">
      <c r="A3601" s="1" t="s">
        <v>3600</v>
      </c>
      <c r="C3601" s="3">
        <v>39</v>
      </c>
      <c r="E3601" t="s">
        <v>7884</v>
      </c>
    </row>
    <row r="3602" spans="1:5" x14ac:dyDescent="0.25">
      <c r="A3602" s="1" t="s">
        <v>3601</v>
      </c>
      <c r="C3602" s="3">
        <v>39</v>
      </c>
      <c r="E3602" t="s">
        <v>3145</v>
      </c>
    </row>
    <row r="3603" spans="1:5" x14ac:dyDescent="0.25">
      <c r="A3603" s="1" t="s">
        <v>3602</v>
      </c>
      <c r="C3603" s="3">
        <v>39</v>
      </c>
      <c r="E3603" t="s">
        <v>7034</v>
      </c>
    </row>
    <row r="3604" spans="1:5" x14ac:dyDescent="0.25">
      <c r="A3604" s="1" t="s">
        <v>3603</v>
      </c>
      <c r="C3604" s="3">
        <v>39</v>
      </c>
      <c r="E3604" t="s">
        <v>2508</v>
      </c>
    </row>
    <row r="3605" spans="1:5" x14ac:dyDescent="0.25">
      <c r="A3605" s="1" t="s">
        <v>3604</v>
      </c>
      <c r="C3605" s="3">
        <v>39</v>
      </c>
      <c r="E3605" t="s">
        <v>643</v>
      </c>
    </row>
    <row r="3606" spans="1:5" x14ac:dyDescent="0.25">
      <c r="A3606" s="1" t="s">
        <v>3605</v>
      </c>
      <c r="C3606" s="3">
        <v>39</v>
      </c>
      <c r="E3606" t="s">
        <v>120</v>
      </c>
    </row>
    <row r="3607" spans="1:5" x14ac:dyDescent="0.25">
      <c r="A3607" s="1" t="s">
        <v>3606</v>
      </c>
      <c r="C3607" s="3">
        <v>39</v>
      </c>
      <c r="E3607" t="s">
        <v>525</v>
      </c>
    </row>
    <row r="3608" spans="1:5" x14ac:dyDescent="0.25">
      <c r="A3608" s="1" t="s">
        <v>3607</v>
      </c>
      <c r="C3608" s="3">
        <v>39</v>
      </c>
      <c r="E3608" t="s">
        <v>8550</v>
      </c>
    </row>
    <row r="3609" spans="1:5" x14ac:dyDescent="0.25">
      <c r="A3609" s="1" t="s">
        <v>3608</v>
      </c>
      <c r="C3609" s="3">
        <v>39</v>
      </c>
      <c r="E3609" t="s">
        <v>3265</v>
      </c>
    </row>
    <row r="3610" spans="1:5" x14ac:dyDescent="0.25">
      <c r="A3610" s="1" t="s">
        <v>3609</v>
      </c>
      <c r="C3610" s="3">
        <v>39</v>
      </c>
      <c r="E3610" t="s">
        <v>8370</v>
      </c>
    </row>
    <row r="3611" spans="1:5" x14ac:dyDescent="0.25">
      <c r="A3611" s="1" t="s">
        <v>3610</v>
      </c>
      <c r="C3611" s="3">
        <v>39</v>
      </c>
      <c r="E3611" t="s">
        <v>632</v>
      </c>
    </row>
    <row r="3612" spans="1:5" x14ac:dyDescent="0.25">
      <c r="A3612" s="1" t="s">
        <v>3611</v>
      </c>
      <c r="C3612" s="3">
        <v>39</v>
      </c>
      <c r="E3612" t="s">
        <v>665</v>
      </c>
    </row>
    <row r="3613" spans="1:5" x14ac:dyDescent="0.25">
      <c r="A3613" s="1" t="s">
        <v>3612</v>
      </c>
      <c r="C3613" s="3">
        <v>39</v>
      </c>
      <c r="E3613" t="s">
        <v>4914</v>
      </c>
    </row>
    <row r="3614" spans="1:5" x14ac:dyDescent="0.25">
      <c r="A3614" s="1" t="s">
        <v>3613</v>
      </c>
      <c r="C3614" s="3">
        <v>39</v>
      </c>
      <c r="E3614" t="s">
        <v>6775</v>
      </c>
    </row>
    <row r="3615" spans="1:5" x14ac:dyDescent="0.25">
      <c r="A3615" s="1" t="s">
        <v>3614</v>
      </c>
      <c r="C3615" s="3">
        <v>39</v>
      </c>
      <c r="E3615" t="s">
        <v>11395</v>
      </c>
    </row>
    <row r="3616" spans="1:5" x14ac:dyDescent="0.25">
      <c r="A3616" s="1" t="s">
        <v>3615</v>
      </c>
      <c r="C3616" s="3">
        <v>39</v>
      </c>
      <c r="E3616" t="s">
        <v>1060</v>
      </c>
    </row>
    <row r="3617" spans="1:5" x14ac:dyDescent="0.25">
      <c r="A3617" s="1" t="s">
        <v>3616</v>
      </c>
      <c r="C3617" s="3">
        <v>39</v>
      </c>
      <c r="E3617" t="s">
        <v>1746</v>
      </c>
    </row>
    <row r="3618" spans="1:5" x14ac:dyDescent="0.25">
      <c r="A3618" s="1" t="s">
        <v>3617</v>
      </c>
      <c r="C3618" s="3">
        <v>39</v>
      </c>
      <c r="E3618" t="s">
        <v>25478</v>
      </c>
    </row>
    <row r="3619" spans="1:5" x14ac:dyDescent="0.25">
      <c r="A3619" s="1" t="s">
        <v>3618</v>
      </c>
      <c r="C3619" s="3">
        <v>39</v>
      </c>
      <c r="E3619" t="s">
        <v>902</v>
      </c>
    </row>
    <row r="3620" spans="1:5" x14ac:dyDescent="0.25">
      <c r="A3620" s="1" t="s">
        <v>3619</v>
      </c>
      <c r="C3620" s="3">
        <v>39</v>
      </c>
      <c r="E3620" t="s">
        <v>2742</v>
      </c>
    </row>
    <row r="3621" spans="1:5" x14ac:dyDescent="0.25">
      <c r="A3621" s="1" t="s">
        <v>3620</v>
      </c>
      <c r="C3621" s="3">
        <v>39</v>
      </c>
      <c r="E3621" t="s">
        <v>2737</v>
      </c>
    </row>
    <row r="3622" spans="1:5" x14ac:dyDescent="0.25">
      <c r="A3622" s="1" t="s">
        <v>3621</v>
      </c>
      <c r="C3622" s="3">
        <v>39</v>
      </c>
      <c r="E3622" t="s">
        <v>6097</v>
      </c>
    </row>
    <row r="3623" spans="1:5" x14ac:dyDescent="0.25">
      <c r="A3623" s="1" t="s">
        <v>3622</v>
      </c>
      <c r="C3623" s="3">
        <v>39</v>
      </c>
      <c r="E3623" t="s">
        <v>5715</v>
      </c>
    </row>
    <row r="3624" spans="1:5" x14ac:dyDescent="0.25">
      <c r="A3624" s="1" t="s">
        <v>3623</v>
      </c>
      <c r="C3624" s="3">
        <v>39</v>
      </c>
      <c r="E3624" t="s">
        <v>3291</v>
      </c>
    </row>
    <row r="3625" spans="1:5" x14ac:dyDescent="0.25">
      <c r="A3625" s="1" t="s">
        <v>3624</v>
      </c>
      <c r="C3625" s="3">
        <v>39</v>
      </c>
      <c r="E3625" t="s">
        <v>2676</v>
      </c>
    </row>
    <row r="3626" spans="1:5" x14ac:dyDescent="0.25">
      <c r="A3626" s="1" t="s">
        <v>3625</v>
      </c>
      <c r="C3626" s="3">
        <v>39</v>
      </c>
      <c r="E3626" t="s">
        <v>2630</v>
      </c>
    </row>
    <row r="3627" spans="1:5" x14ac:dyDescent="0.25">
      <c r="A3627" s="1" t="s">
        <v>3626</v>
      </c>
      <c r="C3627" s="3">
        <v>39</v>
      </c>
      <c r="E3627" t="s">
        <v>1614</v>
      </c>
    </row>
    <row r="3628" spans="1:5" x14ac:dyDescent="0.25">
      <c r="A3628" s="1" t="s">
        <v>3627</v>
      </c>
      <c r="C3628" s="3">
        <v>39</v>
      </c>
      <c r="E3628" t="s">
        <v>4314</v>
      </c>
    </row>
    <row r="3629" spans="1:5" x14ac:dyDescent="0.25">
      <c r="A3629" s="1" t="s">
        <v>3628</v>
      </c>
      <c r="C3629" s="3">
        <v>39</v>
      </c>
      <c r="E3629" t="s">
        <v>7933</v>
      </c>
    </row>
    <row r="3630" spans="1:5" x14ac:dyDescent="0.25">
      <c r="A3630" s="1" t="s">
        <v>3629</v>
      </c>
      <c r="C3630" s="3">
        <v>39</v>
      </c>
      <c r="E3630" t="s">
        <v>25479</v>
      </c>
    </row>
    <row r="3631" spans="1:5" x14ac:dyDescent="0.25">
      <c r="A3631" s="1" t="s">
        <v>3630</v>
      </c>
      <c r="C3631" s="3">
        <v>39</v>
      </c>
      <c r="E3631" t="s">
        <v>354</v>
      </c>
    </row>
    <row r="3632" spans="1:5" x14ac:dyDescent="0.25">
      <c r="A3632" s="1" t="s">
        <v>3631</v>
      </c>
      <c r="C3632" s="3">
        <v>39</v>
      </c>
      <c r="E3632" t="s">
        <v>4381</v>
      </c>
    </row>
    <row r="3633" spans="1:5" x14ac:dyDescent="0.25">
      <c r="A3633" s="1" t="s">
        <v>3632</v>
      </c>
      <c r="C3633" s="3">
        <v>39</v>
      </c>
      <c r="E3633" t="s">
        <v>2306</v>
      </c>
    </row>
    <row r="3634" spans="1:5" x14ac:dyDescent="0.25">
      <c r="A3634" s="1" t="s">
        <v>3633</v>
      </c>
      <c r="C3634" s="3">
        <v>39</v>
      </c>
      <c r="E3634" t="s">
        <v>24337</v>
      </c>
    </row>
    <row r="3635" spans="1:5" x14ac:dyDescent="0.25">
      <c r="A3635" s="1" t="s">
        <v>3634</v>
      </c>
      <c r="C3635" s="3">
        <v>39</v>
      </c>
      <c r="E3635" t="s">
        <v>115</v>
      </c>
    </row>
    <row r="3636" spans="1:5" x14ac:dyDescent="0.25">
      <c r="A3636" s="1" t="s">
        <v>3635</v>
      </c>
      <c r="C3636" s="3">
        <v>39</v>
      </c>
      <c r="E3636" t="s">
        <v>5770</v>
      </c>
    </row>
    <row r="3637" spans="1:5" x14ac:dyDescent="0.25">
      <c r="A3637" s="1" t="s">
        <v>3636</v>
      </c>
      <c r="C3637" s="3">
        <v>39</v>
      </c>
      <c r="E3637" t="s">
        <v>5665</v>
      </c>
    </row>
    <row r="3638" spans="1:5" x14ac:dyDescent="0.25">
      <c r="A3638" s="1" t="s">
        <v>3637</v>
      </c>
      <c r="C3638" s="3">
        <v>39</v>
      </c>
      <c r="E3638" t="s">
        <v>85</v>
      </c>
    </row>
    <row r="3639" spans="1:5" x14ac:dyDescent="0.25">
      <c r="A3639" s="1" t="s">
        <v>3638</v>
      </c>
      <c r="C3639" s="3">
        <v>38</v>
      </c>
      <c r="E3639" t="s">
        <v>7027</v>
      </c>
    </row>
    <row r="3640" spans="1:5" x14ac:dyDescent="0.25">
      <c r="A3640" s="1" t="s">
        <v>3639</v>
      </c>
      <c r="C3640" s="3">
        <v>38</v>
      </c>
      <c r="E3640" t="s">
        <v>5602</v>
      </c>
    </row>
    <row r="3641" spans="1:5" x14ac:dyDescent="0.25">
      <c r="A3641" s="1" t="s">
        <v>3640</v>
      </c>
      <c r="C3641" s="3">
        <v>38</v>
      </c>
      <c r="E3641" t="s">
        <v>1170</v>
      </c>
    </row>
    <row r="3642" spans="1:5" x14ac:dyDescent="0.25">
      <c r="A3642" s="1" t="s">
        <v>3641</v>
      </c>
      <c r="C3642" s="3">
        <v>38</v>
      </c>
      <c r="E3642" t="s">
        <v>2927</v>
      </c>
    </row>
    <row r="3643" spans="1:5" x14ac:dyDescent="0.25">
      <c r="A3643" s="1" t="s">
        <v>3642</v>
      </c>
      <c r="C3643" s="3">
        <v>38</v>
      </c>
      <c r="E3643" t="s">
        <v>579</v>
      </c>
    </row>
    <row r="3644" spans="1:5" x14ac:dyDescent="0.25">
      <c r="A3644" s="1" t="s">
        <v>3643</v>
      </c>
      <c r="C3644" s="3">
        <v>38</v>
      </c>
      <c r="E3644" t="s">
        <v>1819</v>
      </c>
    </row>
    <row r="3645" spans="1:5" x14ac:dyDescent="0.25">
      <c r="A3645" s="1" t="s">
        <v>3644</v>
      </c>
      <c r="C3645" s="3">
        <v>38</v>
      </c>
      <c r="E3645" t="s">
        <v>1564</v>
      </c>
    </row>
    <row r="3646" spans="1:5" x14ac:dyDescent="0.25">
      <c r="A3646" s="1" t="s">
        <v>3645</v>
      </c>
      <c r="C3646" s="3">
        <v>38</v>
      </c>
      <c r="E3646" t="s">
        <v>4391</v>
      </c>
    </row>
    <row r="3647" spans="1:5" x14ac:dyDescent="0.25">
      <c r="A3647" s="1" t="s">
        <v>3646</v>
      </c>
      <c r="C3647" s="3">
        <v>38</v>
      </c>
      <c r="E3647" t="s">
        <v>5745</v>
      </c>
    </row>
    <row r="3648" spans="1:5" x14ac:dyDescent="0.25">
      <c r="A3648" s="1" t="s">
        <v>3647</v>
      </c>
      <c r="C3648" s="3">
        <v>38</v>
      </c>
      <c r="E3648" t="s">
        <v>3162</v>
      </c>
    </row>
    <row r="3649" spans="1:5" x14ac:dyDescent="0.25">
      <c r="A3649" s="1" t="s">
        <v>3648</v>
      </c>
      <c r="C3649" s="3">
        <v>38</v>
      </c>
      <c r="E3649" t="s">
        <v>43</v>
      </c>
    </row>
    <row r="3650" spans="1:5" x14ac:dyDescent="0.25">
      <c r="A3650" s="1" t="s">
        <v>3649</v>
      </c>
      <c r="C3650" s="3">
        <v>38</v>
      </c>
      <c r="E3650" t="s">
        <v>478</v>
      </c>
    </row>
    <row r="3651" spans="1:5" x14ac:dyDescent="0.25">
      <c r="A3651" s="1" t="s">
        <v>3650</v>
      </c>
      <c r="C3651" s="3">
        <v>38</v>
      </c>
      <c r="E3651" t="s">
        <v>7262</v>
      </c>
    </row>
    <row r="3652" spans="1:5" x14ac:dyDescent="0.25">
      <c r="A3652" s="1" t="s">
        <v>3651</v>
      </c>
      <c r="C3652" s="3">
        <v>38</v>
      </c>
      <c r="E3652" t="s">
        <v>232</v>
      </c>
    </row>
    <row r="3653" spans="1:5" x14ac:dyDescent="0.25">
      <c r="A3653" s="1" t="s">
        <v>3652</v>
      </c>
      <c r="C3653" s="3">
        <v>38</v>
      </c>
      <c r="E3653" t="s">
        <v>1495</v>
      </c>
    </row>
    <row r="3654" spans="1:5" x14ac:dyDescent="0.25">
      <c r="A3654" s="1" t="s">
        <v>3653</v>
      </c>
      <c r="C3654" s="3">
        <v>38</v>
      </c>
      <c r="E3654" t="s">
        <v>11282</v>
      </c>
    </row>
    <row r="3655" spans="1:5" x14ac:dyDescent="0.25">
      <c r="A3655" s="1" t="s">
        <v>3654</v>
      </c>
      <c r="C3655" s="3">
        <v>38</v>
      </c>
      <c r="E3655" t="s">
        <v>5509</v>
      </c>
    </row>
    <row r="3656" spans="1:5" x14ac:dyDescent="0.25">
      <c r="A3656" s="1" t="s">
        <v>3655</v>
      </c>
      <c r="C3656" s="3">
        <v>38</v>
      </c>
      <c r="E3656" t="s">
        <v>4566</v>
      </c>
    </row>
    <row r="3657" spans="1:5" x14ac:dyDescent="0.25">
      <c r="A3657" s="1" t="s">
        <v>3656</v>
      </c>
      <c r="C3657" s="3">
        <v>38</v>
      </c>
      <c r="E3657" t="s">
        <v>14099</v>
      </c>
    </row>
    <row r="3658" spans="1:5" x14ac:dyDescent="0.25">
      <c r="A3658" s="1" t="s">
        <v>3657</v>
      </c>
      <c r="C3658" s="3">
        <v>38</v>
      </c>
      <c r="E3658" t="s">
        <v>25480</v>
      </c>
    </row>
    <row r="3659" spans="1:5" x14ac:dyDescent="0.25">
      <c r="A3659" s="1" t="s">
        <v>3658</v>
      </c>
      <c r="C3659" s="3">
        <v>38</v>
      </c>
      <c r="E3659" t="s">
        <v>2864</v>
      </c>
    </row>
    <row r="3660" spans="1:5" x14ac:dyDescent="0.25">
      <c r="A3660" s="1" t="s">
        <v>3659</v>
      </c>
      <c r="C3660" s="3">
        <v>38</v>
      </c>
      <c r="E3660" t="s">
        <v>9720</v>
      </c>
    </row>
    <row r="3661" spans="1:5" x14ac:dyDescent="0.25">
      <c r="A3661" s="1" t="s">
        <v>3660</v>
      </c>
      <c r="C3661" s="3">
        <v>38</v>
      </c>
      <c r="E3661" t="s">
        <v>2368</v>
      </c>
    </row>
    <row r="3662" spans="1:5" x14ac:dyDescent="0.25">
      <c r="A3662" s="1" t="s">
        <v>3661</v>
      </c>
      <c r="C3662" s="3">
        <v>38</v>
      </c>
      <c r="E3662" t="s">
        <v>1843</v>
      </c>
    </row>
    <row r="3663" spans="1:5" x14ac:dyDescent="0.25">
      <c r="A3663" s="1" t="s">
        <v>3662</v>
      </c>
      <c r="C3663" s="3">
        <v>38</v>
      </c>
      <c r="E3663" t="s">
        <v>12539</v>
      </c>
    </row>
    <row r="3664" spans="1:5" x14ac:dyDescent="0.25">
      <c r="A3664" s="1" t="s">
        <v>3663</v>
      </c>
      <c r="C3664" s="3">
        <v>38</v>
      </c>
      <c r="E3664" t="s">
        <v>25481</v>
      </c>
    </row>
    <row r="3665" spans="1:5" x14ac:dyDescent="0.25">
      <c r="A3665" s="1" t="s">
        <v>3664</v>
      </c>
      <c r="C3665" s="3">
        <v>38</v>
      </c>
      <c r="E3665" t="s">
        <v>13797</v>
      </c>
    </row>
    <row r="3666" spans="1:5" x14ac:dyDescent="0.25">
      <c r="A3666" s="1" t="s">
        <v>3665</v>
      </c>
      <c r="C3666" s="3">
        <v>38</v>
      </c>
      <c r="E3666" t="s">
        <v>4527</v>
      </c>
    </row>
    <row r="3667" spans="1:5" x14ac:dyDescent="0.25">
      <c r="A3667" s="1" t="s">
        <v>3666</v>
      </c>
      <c r="C3667" s="3">
        <v>38</v>
      </c>
      <c r="E3667" t="s">
        <v>1105</v>
      </c>
    </row>
    <row r="3668" spans="1:5" x14ac:dyDescent="0.25">
      <c r="A3668" s="1" t="s">
        <v>3667</v>
      </c>
      <c r="C3668" s="3">
        <v>38</v>
      </c>
      <c r="E3668" t="s">
        <v>11400</v>
      </c>
    </row>
    <row r="3669" spans="1:5" x14ac:dyDescent="0.25">
      <c r="A3669" s="1" t="s">
        <v>3668</v>
      </c>
      <c r="C3669" s="3">
        <v>38</v>
      </c>
      <c r="E3669" t="s">
        <v>927</v>
      </c>
    </row>
    <row r="3670" spans="1:5" x14ac:dyDescent="0.25">
      <c r="A3670" s="1" t="s">
        <v>3669</v>
      </c>
      <c r="C3670" s="3">
        <v>38</v>
      </c>
      <c r="E3670" t="s">
        <v>4404</v>
      </c>
    </row>
    <row r="3671" spans="1:5" x14ac:dyDescent="0.25">
      <c r="A3671" s="1" t="s">
        <v>3670</v>
      </c>
      <c r="C3671" s="3">
        <v>38</v>
      </c>
      <c r="E3671" t="s">
        <v>786</v>
      </c>
    </row>
    <row r="3672" spans="1:5" x14ac:dyDescent="0.25">
      <c r="A3672" s="1" t="s">
        <v>3671</v>
      </c>
      <c r="C3672" s="3">
        <v>38</v>
      </c>
      <c r="E3672" t="s">
        <v>1645</v>
      </c>
    </row>
    <row r="3673" spans="1:5" x14ac:dyDescent="0.25">
      <c r="A3673" s="1" t="s">
        <v>3672</v>
      </c>
      <c r="C3673" s="3">
        <v>38</v>
      </c>
      <c r="E3673" t="s">
        <v>19417</v>
      </c>
    </row>
    <row r="3674" spans="1:5" x14ac:dyDescent="0.25">
      <c r="A3674" s="1" t="s">
        <v>3673</v>
      </c>
      <c r="C3674" s="3">
        <v>38</v>
      </c>
      <c r="E3674" t="s">
        <v>1821</v>
      </c>
    </row>
    <row r="3675" spans="1:5" x14ac:dyDescent="0.25">
      <c r="A3675" s="1" t="s">
        <v>3674</v>
      </c>
      <c r="C3675" s="3">
        <v>38</v>
      </c>
      <c r="E3675" t="s">
        <v>5920</v>
      </c>
    </row>
    <row r="3676" spans="1:5" x14ac:dyDescent="0.25">
      <c r="A3676" s="1" t="s">
        <v>3675</v>
      </c>
      <c r="C3676" s="3">
        <v>38</v>
      </c>
      <c r="E3676" t="s">
        <v>2482</v>
      </c>
    </row>
    <row r="3677" spans="1:5" x14ac:dyDescent="0.25">
      <c r="A3677" s="1" t="s">
        <v>3676</v>
      </c>
      <c r="C3677" s="3">
        <v>38</v>
      </c>
      <c r="E3677" t="s">
        <v>1300</v>
      </c>
    </row>
    <row r="3678" spans="1:5" x14ac:dyDescent="0.25">
      <c r="A3678" s="1" t="s">
        <v>3677</v>
      </c>
      <c r="C3678" s="3">
        <v>38</v>
      </c>
      <c r="E3678" t="s">
        <v>913</v>
      </c>
    </row>
    <row r="3679" spans="1:5" x14ac:dyDescent="0.25">
      <c r="A3679" s="1" t="s">
        <v>3678</v>
      </c>
      <c r="C3679" s="3">
        <v>38</v>
      </c>
      <c r="E3679" t="s">
        <v>2412</v>
      </c>
    </row>
    <row r="3680" spans="1:5" x14ac:dyDescent="0.25">
      <c r="A3680" s="1" t="s">
        <v>3679</v>
      </c>
      <c r="C3680" s="3">
        <v>38</v>
      </c>
      <c r="E3680" t="s">
        <v>2261</v>
      </c>
    </row>
    <row r="3681" spans="1:5" x14ac:dyDescent="0.25">
      <c r="A3681" s="1" t="s">
        <v>3680</v>
      </c>
      <c r="C3681" s="3">
        <v>38</v>
      </c>
      <c r="E3681" t="s">
        <v>5953</v>
      </c>
    </row>
    <row r="3682" spans="1:5" x14ac:dyDescent="0.25">
      <c r="A3682" s="1" t="s">
        <v>3681</v>
      </c>
      <c r="C3682" s="3">
        <v>38</v>
      </c>
      <c r="E3682" t="s">
        <v>4839</v>
      </c>
    </row>
    <row r="3683" spans="1:5" x14ac:dyDescent="0.25">
      <c r="A3683" s="1" t="s">
        <v>3682</v>
      </c>
      <c r="C3683" s="3">
        <v>38</v>
      </c>
      <c r="E3683" t="s">
        <v>10520</v>
      </c>
    </row>
    <row r="3684" spans="1:5" x14ac:dyDescent="0.25">
      <c r="A3684" s="1" t="s">
        <v>3683</v>
      </c>
      <c r="C3684" s="3">
        <v>38</v>
      </c>
      <c r="E3684" t="s">
        <v>3400</v>
      </c>
    </row>
    <row r="3685" spans="1:5" x14ac:dyDescent="0.25">
      <c r="A3685" s="1" t="s">
        <v>3684</v>
      </c>
      <c r="C3685" s="3">
        <v>38</v>
      </c>
      <c r="E3685" t="s">
        <v>4746</v>
      </c>
    </row>
    <row r="3686" spans="1:5" x14ac:dyDescent="0.25">
      <c r="A3686" s="1" t="s">
        <v>3685</v>
      </c>
      <c r="C3686" s="3">
        <v>38</v>
      </c>
      <c r="E3686" t="s">
        <v>4443</v>
      </c>
    </row>
    <row r="3687" spans="1:5" x14ac:dyDescent="0.25">
      <c r="A3687" s="1" t="s">
        <v>3686</v>
      </c>
      <c r="C3687" s="3">
        <v>38</v>
      </c>
      <c r="E3687" t="s">
        <v>9464</v>
      </c>
    </row>
    <row r="3688" spans="1:5" x14ac:dyDescent="0.25">
      <c r="A3688" s="1" t="s">
        <v>3687</v>
      </c>
      <c r="C3688" s="3">
        <v>38</v>
      </c>
      <c r="E3688" t="s">
        <v>7591</v>
      </c>
    </row>
    <row r="3689" spans="1:5" x14ac:dyDescent="0.25">
      <c r="A3689" s="1" t="s">
        <v>3688</v>
      </c>
      <c r="C3689" s="3">
        <v>38</v>
      </c>
      <c r="E3689" t="s">
        <v>4649</v>
      </c>
    </row>
    <row r="3690" spans="1:5" x14ac:dyDescent="0.25">
      <c r="A3690" s="1" t="s">
        <v>3689</v>
      </c>
      <c r="C3690" s="3">
        <v>38</v>
      </c>
      <c r="E3690" t="s">
        <v>8328</v>
      </c>
    </row>
    <row r="3691" spans="1:5" x14ac:dyDescent="0.25">
      <c r="A3691" s="1" t="s">
        <v>3690</v>
      </c>
      <c r="C3691" s="3">
        <v>38</v>
      </c>
      <c r="E3691" t="s">
        <v>2597</v>
      </c>
    </row>
    <row r="3692" spans="1:5" x14ac:dyDescent="0.25">
      <c r="A3692" s="1" t="s">
        <v>3691</v>
      </c>
      <c r="C3692" s="3">
        <v>38</v>
      </c>
      <c r="E3692" t="s">
        <v>13920</v>
      </c>
    </row>
    <row r="3693" spans="1:5" x14ac:dyDescent="0.25">
      <c r="A3693" s="1" t="s">
        <v>3692</v>
      </c>
      <c r="C3693" s="3">
        <v>38</v>
      </c>
      <c r="E3693" t="s">
        <v>4251</v>
      </c>
    </row>
    <row r="3694" spans="1:5" x14ac:dyDescent="0.25">
      <c r="A3694" s="1" t="s">
        <v>3693</v>
      </c>
      <c r="C3694" s="3">
        <v>38</v>
      </c>
      <c r="E3694" t="s">
        <v>15075</v>
      </c>
    </row>
    <row r="3695" spans="1:5" x14ac:dyDescent="0.25">
      <c r="A3695" s="1" t="s">
        <v>3694</v>
      </c>
      <c r="C3695" s="3">
        <v>38</v>
      </c>
      <c r="E3695" t="s">
        <v>6670</v>
      </c>
    </row>
    <row r="3696" spans="1:5" x14ac:dyDescent="0.25">
      <c r="A3696" s="1" t="s">
        <v>3695</v>
      </c>
      <c r="C3696" s="3">
        <v>38</v>
      </c>
      <c r="E3696" t="s">
        <v>5656</v>
      </c>
    </row>
    <row r="3697" spans="1:5" x14ac:dyDescent="0.25">
      <c r="A3697" s="1" t="s">
        <v>3696</v>
      </c>
      <c r="C3697" s="3">
        <v>38</v>
      </c>
      <c r="E3697" t="s">
        <v>924</v>
      </c>
    </row>
    <row r="3698" spans="1:5" x14ac:dyDescent="0.25">
      <c r="A3698" s="1" t="s">
        <v>3697</v>
      </c>
      <c r="C3698" s="3">
        <v>38</v>
      </c>
      <c r="E3698" t="s">
        <v>8792</v>
      </c>
    </row>
    <row r="3699" spans="1:5" x14ac:dyDescent="0.25">
      <c r="A3699" s="1" t="s">
        <v>3698</v>
      </c>
      <c r="C3699" s="3">
        <v>38</v>
      </c>
      <c r="E3699" t="s">
        <v>431</v>
      </c>
    </row>
    <row r="3700" spans="1:5" x14ac:dyDescent="0.25">
      <c r="A3700" s="1" t="s">
        <v>3699</v>
      </c>
      <c r="C3700" s="3">
        <v>38</v>
      </c>
      <c r="E3700" t="s">
        <v>3527</v>
      </c>
    </row>
    <row r="3701" spans="1:5" x14ac:dyDescent="0.25">
      <c r="A3701" s="1" t="s">
        <v>3700</v>
      </c>
      <c r="C3701" s="3">
        <v>38</v>
      </c>
      <c r="E3701" t="s">
        <v>4489</v>
      </c>
    </row>
    <row r="3702" spans="1:5" x14ac:dyDescent="0.25">
      <c r="A3702" s="1" t="s">
        <v>3701</v>
      </c>
      <c r="C3702" s="3">
        <v>38</v>
      </c>
      <c r="E3702" t="s">
        <v>159</v>
      </c>
    </row>
    <row r="3703" spans="1:5" x14ac:dyDescent="0.25">
      <c r="A3703" s="1" t="s">
        <v>3702</v>
      </c>
      <c r="C3703" s="3">
        <v>38</v>
      </c>
      <c r="E3703" t="s">
        <v>6932</v>
      </c>
    </row>
    <row r="3704" spans="1:5" x14ac:dyDescent="0.25">
      <c r="A3704" s="1" t="s">
        <v>3703</v>
      </c>
      <c r="C3704" s="3">
        <v>38</v>
      </c>
      <c r="E3704" t="s">
        <v>11647</v>
      </c>
    </row>
    <row r="3705" spans="1:5" x14ac:dyDescent="0.25">
      <c r="A3705" s="1" t="s">
        <v>3704</v>
      </c>
      <c r="C3705" s="3">
        <v>38</v>
      </c>
      <c r="E3705" t="s">
        <v>1755</v>
      </c>
    </row>
    <row r="3706" spans="1:5" x14ac:dyDescent="0.25">
      <c r="A3706" s="1" t="s">
        <v>3705</v>
      </c>
      <c r="C3706" s="3">
        <v>38</v>
      </c>
      <c r="E3706" t="s">
        <v>13069</v>
      </c>
    </row>
    <row r="3707" spans="1:5" x14ac:dyDescent="0.25">
      <c r="A3707" s="1" t="s">
        <v>3706</v>
      </c>
      <c r="C3707" s="3">
        <v>38</v>
      </c>
      <c r="E3707" t="s">
        <v>7390</v>
      </c>
    </row>
    <row r="3708" spans="1:5" x14ac:dyDescent="0.25">
      <c r="A3708" s="1" t="s">
        <v>3707</v>
      </c>
      <c r="C3708" s="3">
        <v>38</v>
      </c>
      <c r="E3708" t="s">
        <v>649</v>
      </c>
    </row>
    <row r="3709" spans="1:5" x14ac:dyDescent="0.25">
      <c r="A3709" s="1" t="s">
        <v>3708</v>
      </c>
      <c r="C3709" s="3">
        <v>38</v>
      </c>
      <c r="E3709" t="s">
        <v>4089</v>
      </c>
    </row>
    <row r="3710" spans="1:5" x14ac:dyDescent="0.25">
      <c r="A3710" s="1" t="s">
        <v>3709</v>
      </c>
      <c r="C3710" s="3">
        <v>38</v>
      </c>
      <c r="E3710" t="s">
        <v>973</v>
      </c>
    </row>
    <row r="3711" spans="1:5" x14ac:dyDescent="0.25">
      <c r="A3711" s="1" t="s">
        <v>3710</v>
      </c>
      <c r="C3711" s="3">
        <v>38</v>
      </c>
      <c r="E3711" t="s">
        <v>9728</v>
      </c>
    </row>
    <row r="3712" spans="1:5" x14ac:dyDescent="0.25">
      <c r="A3712" s="1" t="s">
        <v>3711</v>
      </c>
      <c r="C3712" s="3">
        <v>38</v>
      </c>
      <c r="E3712" t="s">
        <v>3601</v>
      </c>
    </row>
    <row r="3713" spans="1:5" x14ac:dyDescent="0.25">
      <c r="A3713" s="1" t="s">
        <v>3712</v>
      </c>
      <c r="C3713" s="3">
        <v>38</v>
      </c>
      <c r="E3713" t="s">
        <v>1209</v>
      </c>
    </row>
    <row r="3714" spans="1:5" x14ac:dyDescent="0.25">
      <c r="A3714" s="1" t="s">
        <v>3713</v>
      </c>
      <c r="C3714" s="3">
        <v>38</v>
      </c>
      <c r="E3714" t="s">
        <v>569</v>
      </c>
    </row>
    <row r="3715" spans="1:5" x14ac:dyDescent="0.25">
      <c r="A3715" s="1" t="s">
        <v>3714</v>
      </c>
      <c r="C3715" s="3">
        <v>38</v>
      </c>
      <c r="E3715" t="s">
        <v>13728</v>
      </c>
    </row>
    <row r="3716" spans="1:5" x14ac:dyDescent="0.25">
      <c r="A3716" s="1" t="s">
        <v>3715</v>
      </c>
      <c r="C3716" s="3">
        <v>38</v>
      </c>
      <c r="E3716" t="s">
        <v>2064</v>
      </c>
    </row>
    <row r="3717" spans="1:5" x14ac:dyDescent="0.25">
      <c r="A3717" s="1" t="s">
        <v>3716</v>
      </c>
      <c r="C3717" s="3">
        <v>38</v>
      </c>
      <c r="E3717" t="s">
        <v>3245</v>
      </c>
    </row>
    <row r="3718" spans="1:5" x14ac:dyDescent="0.25">
      <c r="A3718" s="1" t="s">
        <v>3717</v>
      </c>
      <c r="C3718" s="3">
        <v>37</v>
      </c>
      <c r="E3718" t="s">
        <v>380</v>
      </c>
    </row>
    <row r="3719" spans="1:5" x14ac:dyDescent="0.25">
      <c r="A3719" s="1" t="s">
        <v>3718</v>
      </c>
      <c r="C3719" s="3">
        <v>37</v>
      </c>
      <c r="E3719" t="s">
        <v>6915</v>
      </c>
    </row>
    <row r="3720" spans="1:5" x14ac:dyDescent="0.25">
      <c r="A3720" s="1" t="s">
        <v>3719</v>
      </c>
      <c r="C3720" s="3">
        <v>37</v>
      </c>
      <c r="E3720" t="s">
        <v>143</v>
      </c>
    </row>
    <row r="3721" spans="1:5" x14ac:dyDescent="0.25">
      <c r="A3721" s="1" t="s">
        <v>3720</v>
      </c>
      <c r="C3721" s="3">
        <v>37</v>
      </c>
      <c r="E3721" t="s">
        <v>4185</v>
      </c>
    </row>
    <row r="3722" spans="1:5" x14ac:dyDescent="0.25">
      <c r="A3722" s="1" t="s">
        <v>3721</v>
      </c>
      <c r="C3722" s="3">
        <v>37</v>
      </c>
      <c r="E3722" t="s">
        <v>1054</v>
      </c>
    </row>
    <row r="3723" spans="1:5" x14ac:dyDescent="0.25">
      <c r="A3723" s="1" t="s">
        <v>3722</v>
      </c>
      <c r="C3723" s="3">
        <v>37</v>
      </c>
      <c r="E3723" t="s">
        <v>4407</v>
      </c>
    </row>
    <row r="3724" spans="1:5" x14ac:dyDescent="0.25">
      <c r="A3724" s="1" t="s">
        <v>3723</v>
      </c>
      <c r="C3724" s="3">
        <v>37</v>
      </c>
      <c r="E3724" t="s">
        <v>1195</v>
      </c>
    </row>
    <row r="3725" spans="1:5" x14ac:dyDescent="0.25">
      <c r="A3725" s="1" t="s">
        <v>3724</v>
      </c>
      <c r="C3725" s="3">
        <v>37</v>
      </c>
      <c r="E3725" t="s">
        <v>25482</v>
      </c>
    </row>
    <row r="3726" spans="1:5" x14ac:dyDescent="0.25">
      <c r="A3726" s="1" t="s">
        <v>3725</v>
      </c>
      <c r="C3726" s="3">
        <v>37</v>
      </c>
      <c r="E3726" t="s">
        <v>5997</v>
      </c>
    </row>
    <row r="3727" spans="1:5" x14ac:dyDescent="0.25">
      <c r="A3727" s="1" t="s">
        <v>3726</v>
      </c>
      <c r="C3727" s="3">
        <v>37</v>
      </c>
      <c r="E3727" t="s">
        <v>1966</v>
      </c>
    </row>
    <row r="3728" spans="1:5" x14ac:dyDescent="0.25">
      <c r="A3728" s="1" t="s">
        <v>3727</v>
      </c>
      <c r="C3728" s="3">
        <v>37</v>
      </c>
      <c r="E3728" t="s">
        <v>405</v>
      </c>
    </row>
    <row r="3729" spans="1:5" x14ac:dyDescent="0.25">
      <c r="A3729" s="1" t="s">
        <v>3728</v>
      </c>
      <c r="C3729" s="3">
        <v>37</v>
      </c>
      <c r="E3729" t="s">
        <v>5941</v>
      </c>
    </row>
    <row r="3730" spans="1:5" x14ac:dyDescent="0.25">
      <c r="A3730" s="1" t="s">
        <v>3729</v>
      </c>
      <c r="C3730" s="3">
        <v>37</v>
      </c>
      <c r="E3730" t="s">
        <v>2280</v>
      </c>
    </row>
    <row r="3731" spans="1:5" x14ac:dyDescent="0.25">
      <c r="A3731" s="1" t="s">
        <v>3730</v>
      </c>
      <c r="C3731" s="3">
        <v>37</v>
      </c>
      <c r="E3731" t="s">
        <v>1295</v>
      </c>
    </row>
    <row r="3732" spans="1:5" x14ac:dyDescent="0.25">
      <c r="A3732" s="1" t="s">
        <v>3731</v>
      </c>
      <c r="C3732" s="3">
        <v>37</v>
      </c>
      <c r="E3732" t="s">
        <v>6635</v>
      </c>
    </row>
    <row r="3733" spans="1:5" x14ac:dyDescent="0.25">
      <c r="A3733" s="1" t="s">
        <v>3732</v>
      </c>
      <c r="C3733" s="3">
        <v>37</v>
      </c>
      <c r="E3733" t="s">
        <v>3789</v>
      </c>
    </row>
    <row r="3734" spans="1:5" x14ac:dyDescent="0.25">
      <c r="A3734" s="1" t="s">
        <v>3733</v>
      </c>
      <c r="C3734" s="3">
        <v>37</v>
      </c>
      <c r="E3734" t="s">
        <v>6500</v>
      </c>
    </row>
    <row r="3735" spans="1:5" x14ac:dyDescent="0.25">
      <c r="A3735" s="1" t="s">
        <v>3734</v>
      </c>
      <c r="C3735" s="3">
        <v>37</v>
      </c>
      <c r="E3735" t="s">
        <v>5927</v>
      </c>
    </row>
    <row r="3736" spans="1:5" x14ac:dyDescent="0.25">
      <c r="A3736" s="1" t="s">
        <v>3735</v>
      </c>
      <c r="C3736" s="3">
        <v>37</v>
      </c>
      <c r="E3736" t="s">
        <v>25483</v>
      </c>
    </row>
    <row r="3737" spans="1:5" x14ac:dyDescent="0.25">
      <c r="A3737" s="1" t="s">
        <v>3736</v>
      </c>
      <c r="C3737" s="3">
        <v>37</v>
      </c>
      <c r="E3737" t="s">
        <v>5713</v>
      </c>
    </row>
    <row r="3738" spans="1:5" x14ac:dyDescent="0.25">
      <c r="A3738" s="1" t="s">
        <v>3737</v>
      </c>
      <c r="C3738" s="3">
        <v>37</v>
      </c>
      <c r="E3738" t="s">
        <v>16538</v>
      </c>
    </row>
    <row r="3739" spans="1:5" x14ac:dyDescent="0.25">
      <c r="A3739" s="1" t="s">
        <v>3738</v>
      </c>
      <c r="C3739" s="3">
        <v>37</v>
      </c>
      <c r="E3739" t="s">
        <v>6655</v>
      </c>
    </row>
    <row r="3740" spans="1:5" x14ac:dyDescent="0.25">
      <c r="A3740" s="1" t="s">
        <v>3739</v>
      </c>
      <c r="C3740" s="3">
        <v>37</v>
      </c>
      <c r="E3740" t="s">
        <v>25484</v>
      </c>
    </row>
    <row r="3741" spans="1:5" x14ac:dyDescent="0.25">
      <c r="A3741" s="1" t="s">
        <v>3740</v>
      </c>
      <c r="C3741" s="3">
        <v>37</v>
      </c>
      <c r="E3741" t="s">
        <v>15484</v>
      </c>
    </row>
    <row r="3742" spans="1:5" x14ac:dyDescent="0.25">
      <c r="A3742" s="1" t="s">
        <v>3741</v>
      </c>
      <c r="C3742" s="3">
        <v>37</v>
      </c>
      <c r="E3742" t="s">
        <v>1666</v>
      </c>
    </row>
    <row r="3743" spans="1:5" x14ac:dyDescent="0.25">
      <c r="A3743" s="1" t="s">
        <v>3742</v>
      </c>
      <c r="C3743" s="3">
        <v>37</v>
      </c>
      <c r="E3743" t="s">
        <v>8415</v>
      </c>
    </row>
    <row r="3744" spans="1:5" x14ac:dyDescent="0.25">
      <c r="A3744" s="1" t="s">
        <v>3743</v>
      </c>
      <c r="C3744" s="3">
        <v>37</v>
      </c>
      <c r="E3744" t="s">
        <v>3151</v>
      </c>
    </row>
    <row r="3745" spans="1:5" x14ac:dyDescent="0.25">
      <c r="A3745" s="1" t="s">
        <v>3744</v>
      </c>
      <c r="C3745" s="3">
        <v>37</v>
      </c>
      <c r="E3745" t="s">
        <v>7470</v>
      </c>
    </row>
    <row r="3746" spans="1:5" x14ac:dyDescent="0.25">
      <c r="A3746" s="1" t="s">
        <v>3745</v>
      </c>
      <c r="C3746" s="3">
        <v>37</v>
      </c>
      <c r="E3746" t="s">
        <v>1015</v>
      </c>
    </row>
    <row r="3747" spans="1:5" x14ac:dyDescent="0.25">
      <c r="A3747" s="1" t="s">
        <v>3746</v>
      </c>
      <c r="C3747" s="3">
        <v>37</v>
      </c>
      <c r="E3747" t="s">
        <v>25485</v>
      </c>
    </row>
    <row r="3748" spans="1:5" x14ac:dyDescent="0.25">
      <c r="A3748" s="1" t="s">
        <v>3747</v>
      </c>
      <c r="C3748" s="3">
        <v>37</v>
      </c>
      <c r="E3748" t="s">
        <v>3435</v>
      </c>
    </row>
    <row r="3749" spans="1:5" x14ac:dyDescent="0.25">
      <c r="A3749" s="1" t="s">
        <v>3748</v>
      </c>
      <c r="C3749" s="3">
        <v>37</v>
      </c>
      <c r="E3749" t="s">
        <v>8389</v>
      </c>
    </row>
    <row r="3750" spans="1:5" x14ac:dyDescent="0.25">
      <c r="A3750" s="1" t="s">
        <v>3749</v>
      </c>
      <c r="C3750" s="3">
        <v>37</v>
      </c>
      <c r="E3750" t="s">
        <v>7558</v>
      </c>
    </row>
    <row r="3751" spans="1:5" x14ac:dyDescent="0.25">
      <c r="A3751" s="1" t="s">
        <v>3750</v>
      </c>
      <c r="C3751" s="3">
        <v>37</v>
      </c>
      <c r="E3751" t="s">
        <v>8407</v>
      </c>
    </row>
    <row r="3752" spans="1:5" x14ac:dyDescent="0.25">
      <c r="A3752" s="1" t="s">
        <v>3751</v>
      </c>
      <c r="C3752" s="3">
        <v>37</v>
      </c>
      <c r="E3752" t="s">
        <v>1008</v>
      </c>
    </row>
    <row r="3753" spans="1:5" x14ac:dyDescent="0.25">
      <c r="A3753" s="1" t="s">
        <v>3752</v>
      </c>
      <c r="C3753" s="3">
        <v>37</v>
      </c>
      <c r="E3753" t="s">
        <v>1756</v>
      </c>
    </row>
    <row r="3754" spans="1:5" x14ac:dyDescent="0.25">
      <c r="A3754" s="1" t="s">
        <v>3753</v>
      </c>
      <c r="C3754" s="3">
        <v>37</v>
      </c>
      <c r="E3754" t="s">
        <v>1602</v>
      </c>
    </row>
    <row r="3755" spans="1:5" x14ac:dyDescent="0.25">
      <c r="A3755" s="1" t="s">
        <v>3754</v>
      </c>
      <c r="C3755" s="3">
        <v>37</v>
      </c>
      <c r="E3755" t="s">
        <v>4063</v>
      </c>
    </row>
    <row r="3756" spans="1:5" x14ac:dyDescent="0.25">
      <c r="A3756" s="1" t="s">
        <v>3755</v>
      </c>
      <c r="C3756" s="3">
        <v>37</v>
      </c>
      <c r="E3756" t="s">
        <v>4040</v>
      </c>
    </row>
    <row r="3757" spans="1:5" x14ac:dyDescent="0.25">
      <c r="A3757" s="1" t="s">
        <v>3756</v>
      </c>
      <c r="C3757" s="3">
        <v>37</v>
      </c>
      <c r="E3757" t="s">
        <v>4272</v>
      </c>
    </row>
    <row r="3758" spans="1:5" x14ac:dyDescent="0.25">
      <c r="A3758" s="1" t="s">
        <v>3757</v>
      </c>
      <c r="C3758" s="3">
        <v>37</v>
      </c>
      <c r="E3758" t="s">
        <v>11105</v>
      </c>
    </row>
    <row r="3759" spans="1:5" x14ac:dyDescent="0.25">
      <c r="A3759" s="1" t="s">
        <v>3758</v>
      </c>
      <c r="C3759" s="3">
        <v>37</v>
      </c>
      <c r="E3759" t="s">
        <v>4348</v>
      </c>
    </row>
    <row r="3760" spans="1:5" x14ac:dyDescent="0.25">
      <c r="A3760" s="1" t="s">
        <v>3759</v>
      </c>
      <c r="C3760" s="3">
        <v>37</v>
      </c>
      <c r="E3760" t="s">
        <v>800</v>
      </c>
    </row>
    <row r="3761" spans="1:5" x14ac:dyDescent="0.25">
      <c r="A3761" s="1" t="s">
        <v>3760</v>
      </c>
      <c r="C3761" s="3">
        <v>37</v>
      </c>
      <c r="E3761" t="s">
        <v>399</v>
      </c>
    </row>
    <row r="3762" spans="1:5" x14ac:dyDescent="0.25">
      <c r="A3762" s="1" t="s">
        <v>3761</v>
      </c>
      <c r="C3762" s="3">
        <v>37</v>
      </c>
      <c r="E3762" t="s">
        <v>3825</v>
      </c>
    </row>
    <row r="3763" spans="1:5" x14ac:dyDescent="0.25">
      <c r="A3763" s="1" t="s">
        <v>3762</v>
      </c>
      <c r="C3763" s="3">
        <v>37</v>
      </c>
      <c r="E3763" t="s">
        <v>6159</v>
      </c>
    </row>
    <row r="3764" spans="1:5" x14ac:dyDescent="0.25">
      <c r="A3764" s="1" t="s">
        <v>3763</v>
      </c>
      <c r="C3764" s="3">
        <v>37</v>
      </c>
      <c r="E3764" t="s">
        <v>8149</v>
      </c>
    </row>
    <row r="3765" spans="1:5" x14ac:dyDescent="0.25">
      <c r="A3765" s="1" t="s">
        <v>3764</v>
      </c>
      <c r="C3765" s="3">
        <v>37</v>
      </c>
      <c r="E3765" t="s">
        <v>3228</v>
      </c>
    </row>
    <row r="3766" spans="1:5" x14ac:dyDescent="0.25">
      <c r="A3766" s="1" t="s">
        <v>3765</v>
      </c>
      <c r="C3766" s="3">
        <v>37</v>
      </c>
      <c r="E3766" t="s">
        <v>4106</v>
      </c>
    </row>
    <row r="3767" spans="1:5" x14ac:dyDescent="0.25">
      <c r="A3767" s="1" t="s">
        <v>3766</v>
      </c>
      <c r="C3767" s="3">
        <v>37</v>
      </c>
      <c r="E3767" t="s">
        <v>2051</v>
      </c>
    </row>
    <row r="3768" spans="1:5" x14ac:dyDescent="0.25">
      <c r="A3768" s="1" t="s">
        <v>3767</v>
      </c>
      <c r="C3768" s="3">
        <v>37</v>
      </c>
      <c r="E3768" t="s">
        <v>7867</v>
      </c>
    </row>
    <row r="3769" spans="1:5" x14ac:dyDescent="0.25">
      <c r="A3769" s="1" t="s">
        <v>3768</v>
      </c>
      <c r="C3769" s="3">
        <v>37</v>
      </c>
      <c r="E3769" t="s">
        <v>19</v>
      </c>
    </row>
    <row r="3770" spans="1:5" x14ac:dyDescent="0.25">
      <c r="A3770" s="1" t="s">
        <v>3769</v>
      </c>
      <c r="C3770" s="3">
        <v>37</v>
      </c>
      <c r="E3770" t="s">
        <v>1750</v>
      </c>
    </row>
    <row r="3771" spans="1:5" x14ac:dyDescent="0.25">
      <c r="A3771" s="1" t="s">
        <v>3770</v>
      </c>
      <c r="C3771" s="3">
        <v>37</v>
      </c>
      <c r="E3771" t="s">
        <v>309</v>
      </c>
    </row>
    <row r="3772" spans="1:5" x14ac:dyDescent="0.25">
      <c r="A3772" s="1" t="s">
        <v>3771</v>
      </c>
      <c r="C3772" s="3">
        <v>37</v>
      </c>
      <c r="E3772" t="s">
        <v>6683</v>
      </c>
    </row>
    <row r="3773" spans="1:5" x14ac:dyDescent="0.25">
      <c r="A3773" s="1" t="s">
        <v>3772</v>
      </c>
      <c r="C3773" s="3">
        <v>37</v>
      </c>
      <c r="E3773" t="s">
        <v>3382</v>
      </c>
    </row>
    <row r="3774" spans="1:5" x14ac:dyDescent="0.25">
      <c r="A3774" s="1" t="s">
        <v>3773</v>
      </c>
      <c r="C3774" s="3">
        <v>37</v>
      </c>
      <c r="E3774" t="s">
        <v>9</v>
      </c>
    </row>
    <row r="3775" spans="1:5" x14ac:dyDescent="0.25">
      <c r="A3775" s="1" t="s">
        <v>3774</v>
      </c>
      <c r="C3775" s="3">
        <v>37</v>
      </c>
      <c r="E3775" t="s">
        <v>1717</v>
      </c>
    </row>
    <row r="3776" spans="1:5" x14ac:dyDescent="0.25">
      <c r="A3776" s="1" t="s">
        <v>3775</v>
      </c>
      <c r="C3776" s="3">
        <v>37</v>
      </c>
      <c r="E3776" t="s">
        <v>7613</v>
      </c>
    </row>
    <row r="3777" spans="1:5" x14ac:dyDescent="0.25">
      <c r="A3777" s="1" t="s">
        <v>3776</v>
      </c>
      <c r="C3777" s="3">
        <v>37</v>
      </c>
      <c r="E3777" t="s">
        <v>1450</v>
      </c>
    </row>
    <row r="3778" spans="1:5" x14ac:dyDescent="0.25">
      <c r="A3778" s="1" t="s">
        <v>3777</v>
      </c>
      <c r="C3778" s="3">
        <v>37</v>
      </c>
      <c r="E3778" t="s">
        <v>6111</v>
      </c>
    </row>
    <row r="3779" spans="1:5" x14ac:dyDescent="0.25">
      <c r="A3779" s="1" t="s">
        <v>3778</v>
      </c>
      <c r="C3779" s="3">
        <v>37</v>
      </c>
      <c r="E3779" t="s">
        <v>11676</v>
      </c>
    </row>
    <row r="3780" spans="1:5" x14ac:dyDescent="0.25">
      <c r="A3780" s="1" t="s">
        <v>3779</v>
      </c>
      <c r="C3780" s="3">
        <v>37</v>
      </c>
      <c r="E3780" t="s">
        <v>8750</v>
      </c>
    </row>
    <row r="3781" spans="1:5" x14ac:dyDescent="0.25">
      <c r="A3781" s="1" t="s">
        <v>3780</v>
      </c>
      <c r="C3781" s="3">
        <v>37</v>
      </c>
      <c r="E3781" t="s">
        <v>17138</v>
      </c>
    </row>
    <row r="3782" spans="1:5" x14ac:dyDescent="0.25">
      <c r="A3782" s="1" t="s">
        <v>3781</v>
      </c>
      <c r="C3782" s="3">
        <v>37</v>
      </c>
      <c r="E3782" t="s">
        <v>818</v>
      </c>
    </row>
    <row r="3783" spans="1:5" x14ac:dyDescent="0.25">
      <c r="A3783" s="1" t="s">
        <v>3782</v>
      </c>
      <c r="C3783" s="3">
        <v>37</v>
      </c>
      <c r="E3783" t="s">
        <v>13418</v>
      </c>
    </row>
    <row r="3784" spans="1:5" x14ac:dyDescent="0.25">
      <c r="A3784" s="1" t="s">
        <v>3783</v>
      </c>
      <c r="C3784" s="3">
        <v>37</v>
      </c>
      <c r="E3784" t="s">
        <v>5534</v>
      </c>
    </row>
    <row r="3785" spans="1:5" x14ac:dyDescent="0.25">
      <c r="A3785" s="1" t="s">
        <v>3784</v>
      </c>
      <c r="C3785" s="3">
        <v>37</v>
      </c>
      <c r="E3785" t="s">
        <v>288</v>
      </c>
    </row>
    <row r="3786" spans="1:5" x14ac:dyDescent="0.25">
      <c r="A3786" s="1" t="s">
        <v>3785</v>
      </c>
      <c r="C3786" s="3">
        <v>37</v>
      </c>
      <c r="E3786" t="s">
        <v>1650</v>
      </c>
    </row>
    <row r="3787" spans="1:5" x14ac:dyDescent="0.25">
      <c r="A3787" s="1" t="s">
        <v>3786</v>
      </c>
      <c r="C3787" s="3">
        <v>37</v>
      </c>
      <c r="E3787" t="s">
        <v>6285</v>
      </c>
    </row>
    <row r="3788" spans="1:5" x14ac:dyDescent="0.25">
      <c r="A3788" s="1" t="s">
        <v>3787</v>
      </c>
      <c r="C3788" s="3">
        <v>37</v>
      </c>
      <c r="E3788" t="s">
        <v>225</v>
      </c>
    </row>
    <row r="3789" spans="1:5" x14ac:dyDescent="0.25">
      <c r="A3789" s="1" t="s">
        <v>3788</v>
      </c>
      <c r="C3789" s="3">
        <v>37</v>
      </c>
      <c r="E3789" t="s">
        <v>12299</v>
      </c>
    </row>
    <row r="3790" spans="1:5" x14ac:dyDescent="0.25">
      <c r="A3790" s="1" t="s">
        <v>3789</v>
      </c>
      <c r="C3790" s="3">
        <v>37</v>
      </c>
      <c r="E3790" t="s">
        <v>4874</v>
      </c>
    </row>
    <row r="3791" spans="1:5" x14ac:dyDescent="0.25">
      <c r="A3791" s="1" t="s">
        <v>3790</v>
      </c>
      <c r="C3791" s="3">
        <v>37</v>
      </c>
      <c r="E3791" t="s">
        <v>4452</v>
      </c>
    </row>
    <row r="3792" spans="1:5" x14ac:dyDescent="0.25">
      <c r="A3792" s="1" t="s">
        <v>3791</v>
      </c>
      <c r="C3792" s="3">
        <v>37</v>
      </c>
      <c r="E3792" t="s">
        <v>5795</v>
      </c>
    </row>
    <row r="3793" spans="1:5" x14ac:dyDescent="0.25">
      <c r="A3793" s="1" t="s">
        <v>3792</v>
      </c>
      <c r="C3793" s="3">
        <v>37</v>
      </c>
      <c r="E3793" t="s">
        <v>459</v>
      </c>
    </row>
    <row r="3794" spans="1:5" x14ac:dyDescent="0.25">
      <c r="A3794" s="1" t="s">
        <v>3793</v>
      </c>
      <c r="C3794" s="3">
        <v>37</v>
      </c>
      <c r="E3794" t="s">
        <v>3754</v>
      </c>
    </row>
    <row r="3795" spans="1:5" x14ac:dyDescent="0.25">
      <c r="A3795" s="1" t="s">
        <v>3794</v>
      </c>
      <c r="C3795" s="3">
        <v>37</v>
      </c>
      <c r="E3795" t="s">
        <v>1579</v>
      </c>
    </row>
    <row r="3796" spans="1:5" x14ac:dyDescent="0.25">
      <c r="A3796" s="1" t="s">
        <v>3795</v>
      </c>
      <c r="C3796" s="3">
        <v>37</v>
      </c>
      <c r="E3796" t="s">
        <v>908</v>
      </c>
    </row>
    <row r="3797" spans="1:5" x14ac:dyDescent="0.25">
      <c r="A3797" s="1" t="s">
        <v>3796</v>
      </c>
      <c r="C3797" s="3">
        <v>37</v>
      </c>
      <c r="E3797" t="s">
        <v>3552</v>
      </c>
    </row>
    <row r="3798" spans="1:5" x14ac:dyDescent="0.25">
      <c r="A3798" s="1" t="s">
        <v>3797</v>
      </c>
      <c r="C3798" s="3">
        <v>37</v>
      </c>
      <c r="E3798" t="s">
        <v>2105</v>
      </c>
    </row>
    <row r="3799" spans="1:5" x14ac:dyDescent="0.25">
      <c r="A3799" s="1" t="s">
        <v>3798</v>
      </c>
      <c r="C3799" s="3">
        <v>37</v>
      </c>
      <c r="E3799" t="s">
        <v>1284</v>
      </c>
    </row>
    <row r="3800" spans="1:5" x14ac:dyDescent="0.25">
      <c r="A3800" s="1" t="s">
        <v>3799</v>
      </c>
      <c r="C3800" s="3">
        <v>37</v>
      </c>
      <c r="E3800" t="s">
        <v>3633</v>
      </c>
    </row>
    <row r="3801" spans="1:5" x14ac:dyDescent="0.25">
      <c r="A3801" s="1" t="s">
        <v>3800</v>
      </c>
      <c r="C3801" s="3">
        <v>37</v>
      </c>
      <c r="E3801" t="s">
        <v>1885</v>
      </c>
    </row>
    <row r="3802" spans="1:5" x14ac:dyDescent="0.25">
      <c r="A3802" s="1" t="s">
        <v>3801</v>
      </c>
      <c r="C3802" s="3">
        <v>37</v>
      </c>
      <c r="E3802" t="s">
        <v>7098</v>
      </c>
    </row>
    <row r="3803" spans="1:5" x14ac:dyDescent="0.25">
      <c r="A3803" s="1" t="s">
        <v>3802</v>
      </c>
      <c r="C3803" s="3">
        <v>37</v>
      </c>
      <c r="E3803" t="s">
        <v>3408</v>
      </c>
    </row>
    <row r="3804" spans="1:5" x14ac:dyDescent="0.25">
      <c r="A3804" s="1" t="s">
        <v>3803</v>
      </c>
      <c r="C3804" s="3">
        <v>37</v>
      </c>
      <c r="E3804" t="s">
        <v>1029</v>
      </c>
    </row>
    <row r="3805" spans="1:5" x14ac:dyDescent="0.25">
      <c r="A3805" s="1" t="s">
        <v>3804</v>
      </c>
      <c r="C3805" s="3">
        <v>37</v>
      </c>
      <c r="E3805" t="s">
        <v>2628</v>
      </c>
    </row>
    <row r="3806" spans="1:5" x14ac:dyDescent="0.25">
      <c r="A3806" s="1" t="s">
        <v>3805</v>
      </c>
      <c r="C3806" s="3">
        <v>37</v>
      </c>
      <c r="E3806" t="s">
        <v>629</v>
      </c>
    </row>
    <row r="3807" spans="1:5" x14ac:dyDescent="0.25">
      <c r="A3807" s="1" t="s">
        <v>3806</v>
      </c>
      <c r="C3807" s="3">
        <v>37</v>
      </c>
      <c r="E3807" t="s">
        <v>930</v>
      </c>
    </row>
    <row r="3808" spans="1:5" x14ac:dyDescent="0.25">
      <c r="A3808" s="1" t="s">
        <v>3807</v>
      </c>
      <c r="C3808" s="3">
        <v>37</v>
      </c>
      <c r="E3808" t="s">
        <v>10921</v>
      </c>
    </row>
    <row r="3809" spans="1:5" x14ac:dyDescent="0.25">
      <c r="A3809" s="1" t="s">
        <v>3808</v>
      </c>
      <c r="C3809" s="3">
        <v>37</v>
      </c>
      <c r="E3809" t="s">
        <v>5986</v>
      </c>
    </row>
    <row r="3810" spans="1:5" x14ac:dyDescent="0.25">
      <c r="A3810" s="1" t="s">
        <v>3809</v>
      </c>
      <c r="C3810" s="3">
        <v>37</v>
      </c>
      <c r="E3810" t="s">
        <v>4081</v>
      </c>
    </row>
    <row r="3811" spans="1:5" x14ac:dyDescent="0.25">
      <c r="A3811" s="1" t="s">
        <v>3810</v>
      </c>
      <c r="C3811" s="3">
        <v>37</v>
      </c>
      <c r="E3811" t="s">
        <v>1302</v>
      </c>
    </row>
    <row r="3812" spans="1:5" x14ac:dyDescent="0.25">
      <c r="A3812" s="1" t="s">
        <v>3811</v>
      </c>
      <c r="C3812" s="3">
        <v>37</v>
      </c>
      <c r="E3812" t="s">
        <v>1610</v>
      </c>
    </row>
    <row r="3813" spans="1:5" x14ac:dyDescent="0.25">
      <c r="A3813" s="1" t="s">
        <v>3812</v>
      </c>
      <c r="C3813" s="3">
        <v>37</v>
      </c>
      <c r="E3813" t="s">
        <v>3008</v>
      </c>
    </row>
    <row r="3814" spans="1:5" x14ac:dyDescent="0.25">
      <c r="A3814" s="1" t="s">
        <v>3813</v>
      </c>
      <c r="C3814" s="3">
        <v>36</v>
      </c>
      <c r="E3814" t="s">
        <v>2303</v>
      </c>
    </row>
    <row r="3815" spans="1:5" x14ac:dyDescent="0.25">
      <c r="A3815" s="1" t="s">
        <v>3814</v>
      </c>
      <c r="C3815" s="3">
        <v>36</v>
      </c>
      <c r="E3815" t="s">
        <v>6379</v>
      </c>
    </row>
    <row r="3816" spans="1:5" x14ac:dyDescent="0.25">
      <c r="A3816" s="1" t="s">
        <v>3815</v>
      </c>
      <c r="C3816" s="3">
        <v>36</v>
      </c>
      <c r="E3816" t="s">
        <v>1568</v>
      </c>
    </row>
    <row r="3817" spans="1:5" x14ac:dyDescent="0.25">
      <c r="A3817" s="1" t="s">
        <v>3816</v>
      </c>
      <c r="C3817" s="3">
        <v>36</v>
      </c>
      <c r="E3817" t="s">
        <v>4742</v>
      </c>
    </row>
    <row r="3818" spans="1:5" x14ac:dyDescent="0.25">
      <c r="A3818" s="1" t="s">
        <v>3817</v>
      </c>
      <c r="C3818" s="3">
        <v>36</v>
      </c>
      <c r="E3818" t="s">
        <v>10620</v>
      </c>
    </row>
    <row r="3819" spans="1:5" x14ac:dyDescent="0.25">
      <c r="A3819" s="1" t="s">
        <v>3818</v>
      </c>
      <c r="C3819" s="3">
        <v>36</v>
      </c>
      <c r="E3819" t="s">
        <v>14944</v>
      </c>
    </row>
    <row r="3820" spans="1:5" x14ac:dyDescent="0.25">
      <c r="A3820" s="1" t="s">
        <v>3819</v>
      </c>
      <c r="C3820" s="3">
        <v>36</v>
      </c>
      <c r="E3820" t="s">
        <v>1476</v>
      </c>
    </row>
    <row r="3821" spans="1:5" x14ac:dyDescent="0.25">
      <c r="A3821" s="1" t="s">
        <v>3820</v>
      </c>
      <c r="C3821" s="3">
        <v>36</v>
      </c>
      <c r="E3821" t="s">
        <v>2643</v>
      </c>
    </row>
    <row r="3822" spans="1:5" x14ac:dyDescent="0.25">
      <c r="A3822" s="1" t="s">
        <v>3821</v>
      </c>
      <c r="C3822" s="3">
        <v>36</v>
      </c>
      <c r="E3822" t="s">
        <v>4047</v>
      </c>
    </row>
    <row r="3823" spans="1:5" x14ac:dyDescent="0.25">
      <c r="A3823" s="1" t="s">
        <v>3822</v>
      </c>
      <c r="C3823" s="3">
        <v>36</v>
      </c>
      <c r="E3823" t="s">
        <v>23797</v>
      </c>
    </row>
    <row r="3824" spans="1:5" x14ac:dyDescent="0.25">
      <c r="A3824" s="1" t="s">
        <v>3823</v>
      </c>
      <c r="C3824" s="3">
        <v>36</v>
      </c>
      <c r="E3824" t="s">
        <v>4003</v>
      </c>
    </row>
    <row r="3825" spans="1:5" x14ac:dyDescent="0.25">
      <c r="A3825" s="1" t="s">
        <v>3824</v>
      </c>
      <c r="C3825" s="3">
        <v>36</v>
      </c>
      <c r="E3825" t="s">
        <v>2521</v>
      </c>
    </row>
    <row r="3826" spans="1:5" x14ac:dyDescent="0.25">
      <c r="A3826" s="1" t="s">
        <v>3825</v>
      </c>
      <c r="C3826" s="3">
        <v>36</v>
      </c>
      <c r="E3826" t="s">
        <v>1940</v>
      </c>
    </row>
    <row r="3827" spans="1:5" x14ac:dyDescent="0.25">
      <c r="A3827" s="1" t="s">
        <v>3826</v>
      </c>
      <c r="C3827" s="3">
        <v>36</v>
      </c>
      <c r="E3827" t="s">
        <v>5918</v>
      </c>
    </row>
    <row r="3828" spans="1:5" x14ac:dyDescent="0.25">
      <c r="A3828" s="1" t="s">
        <v>3827</v>
      </c>
      <c r="C3828" s="3">
        <v>36</v>
      </c>
      <c r="E3828" t="s">
        <v>809</v>
      </c>
    </row>
    <row r="3829" spans="1:5" x14ac:dyDescent="0.25">
      <c r="A3829" s="1" t="s">
        <v>3828</v>
      </c>
      <c r="C3829" s="3">
        <v>36</v>
      </c>
      <c r="E3829" t="s">
        <v>6008</v>
      </c>
    </row>
    <row r="3830" spans="1:5" x14ac:dyDescent="0.25">
      <c r="A3830" s="1" t="s">
        <v>3829</v>
      </c>
      <c r="C3830" s="3">
        <v>36</v>
      </c>
      <c r="E3830" t="s">
        <v>1720</v>
      </c>
    </row>
    <row r="3831" spans="1:5" x14ac:dyDescent="0.25">
      <c r="A3831" s="1" t="s">
        <v>3830</v>
      </c>
      <c r="C3831" s="3">
        <v>36</v>
      </c>
      <c r="E3831" t="s">
        <v>2704</v>
      </c>
    </row>
    <row r="3832" spans="1:5" x14ac:dyDescent="0.25">
      <c r="A3832" s="1" t="s">
        <v>3831</v>
      </c>
      <c r="C3832" s="3">
        <v>36</v>
      </c>
      <c r="E3832" t="s">
        <v>1824</v>
      </c>
    </row>
    <row r="3833" spans="1:5" x14ac:dyDescent="0.25">
      <c r="A3833" s="1" t="s">
        <v>3832</v>
      </c>
      <c r="C3833" s="3">
        <v>36</v>
      </c>
      <c r="E3833" t="s">
        <v>344</v>
      </c>
    </row>
    <row r="3834" spans="1:5" x14ac:dyDescent="0.25">
      <c r="A3834" s="1" t="s">
        <v>3833</v>
      </c>
      <c r="C3834" s="3">
        <v>36</v>
      </c>
      <c r="E3834" t="s">
        <v>23898</v>
      </c>
    </row>
    <row r="3835" spans="1:5" x14ac:dyDescent="0.25">
      <c r="A3835" s="1" t="s">
        <v>3834</v>
      </c>
      <c r="C3835" s="3">
        <v>36</v>
      </c>
      <c r="E3835" t="s">
        <v>6845</v>
      </c>
    </row>
    <row r="3836" spans="1:5" x14ac:dyDescent="0.25">
      <c r="A3836" s="1" t="s">
        <v>3835</v>
      </c>
      <c r="C3836" s="3">
        <v>36</v>
      </c>
      <c r="E3836" t="s">
        <v>2731</v>
      </c>
    </row>
    <row r="3837" spans="1:5" x14ac:dyDescent="0.25">
      <c r="A3837" s="1" t="s">
        <v>3836</v>
      </c>
      <c r="C3837" s="3">
        <v>36</v>
      </c>
      <c r="E3837" t="s">
        <v>7195</v>
      </c>
    </row>
    <row r="3838" spans="1:5" x14ac:dyDescent="0.25">
      <c r="A3838" s="1" t="s">
        <v>3837</v>
      </c>
      <c r="C3838" s="3">
        <v>36</v>
      </c>
      <c r="E3838" t="s">
        <v>1419</v>
      </c>
    </row>
    <row r="3839" spans="1:5" x14ac:dyDescent="0.25">
      <c r="A3839" s="1" t="s">
        <v>3838</v>
      </c>
      <c r="C3839" s="3">
        <v>36</v>
      </c>
      <c r="E3839" t="s">
        <v>4888</v>
      </c>
    </row>
    <row r="3840" spans="1:5" x14ac:dyDescent="0.25">
      <c r="A3840" s="1" t="s">
        <v>3839</v>
      </c>
      <c r="C3840" s="3">
        <v>36</v>
      </c>
      <c r="E3840" t="s">
        <v>9033</v>
      </c>
    </row>
    <row r="3841" spans="1:5" x14ac:dyDescent="0.25">
      <c r="A3841" s="1" t="s">
        <v>3840</v>
      </c>
      <c r="C3841" s="3">
        <v>36</v>
      </c>
      <c r="E3841" t="s">
        <v>18013</v>
      </c>
    </row>
    <row r="3842" spans="1:5" x14ac:dyDescent="0.25">
      <c r="A3842" s="1" t="s">
        <v>3841</v>
      </c>
      <c r="C3842" s="3">
        <v>36</v>
      </c>
      <c r="E3842" t="s">
        <v>4176</v>
      </c>
    </row>
    <row r="3843" spans="1:5" x14ac:dyDescent="0.25">
      <c r="A3843" s="1" t="s">
        <v>3842</v>
      </c>
      <c r="C3843" s="3">
        <v>36</v>
      </c>
      <c r="E3843" t="s">
        <v>2151</v>
      </c>
    </row>
    <row r="3844" spans="1:5" x14ac:dyDescent="0.25">
      <c r="A3844" s="1" t="s">
        <v>3843</v>
      </c>
      <c r="C3844" s="3">
        <v>36</v>
      </c>
      <c r="E3844" t="s">
        <v>2063</v>
      </c>
    </row>
    <row r="3845" spans="1:5" x14ac:dyDescent="0.25">
      <c r="A3845" s="1" t="s">
        <v>3844</v>
      </c>
      <c r="C3845" s="3">
        <v>36</v>
      </c>
      <c r="E3845" t="s">
        <v>3314</v>
      </c>
    </row>
    <row r="3846" spans="1:5" x14ac:dyDescent="0.25">
      <c r="A3846" s="1" t="s">
        <v>3845</v>
      </c>
      <c r="C3846" s="3">
        <v>36</v>
      </c>
      <c r="E3846" t="s">
        <v>1183</v>
      </c>
    </row>
    <row r="3847" spans="1:5" x14ac:dyDescent="0.25">
      <c r="A3847" s="1" t="s">
        <v>3846</v>
      </c>
      <c r="C3847" s="3">
        <v>36</v>
      </c>
      <c r="E3847" t="s">
        <v>4716</v>
      </c>
    </row>
    <row r="3848" spans="1:5" x14ac:dyDescent="0.25">
      <c r="A3848" s="1" t="s">
        <v>3847</v>
      </c>
      <c r="C3848" s="3">
        <v>36</v>
      </c>
      <c r="E3848" t="s">
        <v>1305</v>
      </c>
    </row>
    <row r="3849" spans="1:5" x14ac:dyDescent="0.25">
      <c r="A3849" s="1" t="s">
        <v>3848</v>
      </c>
      <c r="C3849" s="3">
        <v>36</v>
      </c>
      <c r="E3849" t="s">
        <v>5731</v>
      </c>
    </row>
    <row r="3850" spans="1:5" x14ac:dyDescent="0.25">
      <c r="A3850" s="1" t="s">
        <v>3849</v>
      </c>
      <c r="C3850" s="3">
        <v>36</v>
      </c>
      <c r="E3850" t="s">
        <v>8833</v>
      </c>
    </row>
    <row r="3851" spans="1:5" x14ac:dyDescent="0.25">
      <c r="A3851" s="1" t="s">
        <v>3850</v>
      </c>
      <c r="C3851" s="3">
        <v>36</v>
      </c>
      <c r="E3851" t="s">
        <v>787</v>
      </c>
    </row>
    <row r="3852" spans="1:5" x14ac:dyDescent="0.25">
      <c r="A3852" s="1" t="s">
        <v>3851</v>
      </c>
      <c r="C3852" s="3">
        <v>36</v>
      </c>
      <c r="E3852" t="s">
        <v>4395</v>
      </c>
    </row>
    <row r="3853" spans="1:5" x14ac:dyDescent="0.25">
      <c r="A3853" s="1" t="s">
        <v>3852</v>
      </c>
      <c r="C3853" s="3">
        <v>36</v>
      </c>
      <c r="E3853" t="s">
        <v>5856</v>
      </c>
    </row>
    <row r="3854" spans="1:5" x14ac:dyDescent="0.25">
      <c r="A3854" s="1" t="s">
        <v>3853</v>
      </c>
      <c r="C3854" s="3">
        <v>36</v>
      </c>
      <c r="E3854" t="s">
        <v>5265</v>
      </c>
    </row>
    <row r="3855" spans="1:5" x14ac:dyDescent="0.25">
      <c r="A3855" s="1" t="s">
        <v>3854</v>
      </c>
      <c r="C3855" s="3">
        <v>36</v>
      </c>
      <c r="E3855" t="s">
        <v>1293</v>
      </c>
    </row>
    <row r="3856" spans="1:5" x14ac:dyDescent="0.25">
      <c r="A3856" s="1" t="s">
        <v>3855</v>
      </c>
      <c r="C3856" s="3">
        <v>36</v>
      </c>
      <c r="E3856" t="s">
        <v>10466</v>
      </c>
    </row>
    <row r="3857" spans="1:5" x14ac:dyDescent="0.25">
      <c r="A3857" s="1" t="s">
        <v>3856</v>
      </c>
      <c r="C3857" s="3">
        <v>36</v>
      </c>
      <c r="E3857" t="s">
        <v>6778</v>
      </c>
    </row>
    <row r="3858" spans="1:5" x14ac:dyDescent="0.25">
      <c r="A3858" s="1" t="s">
        <v>3857</v>
      </c>
      <c r="C3858" s="3">
        <v>36</v>
      </c>
      <c r="E3858" t="s">
        <v>1872</v>
      </c>
    </row>
    <row r="3859" spans="1:5" x14ac:dyDescent="0.25">
      <c r="A3859" s="1" t="s">
        <v>3858</v>
      </c>
      <c r="C3859" s="3">
        <v>36</v>
      </c>
      <c r="E3859" t="s">
        <v>83</v>
      </c>
    </row>
    <row r="3860" spans="1:5" x14ac:dyDescent="0.25">
      <c r="A3860" s="1" t="s">
        <v>3859</v>
      </c>
      <c r="C3860" s="3">
        <v>36</v>
      </c>
      <c r="E3860" t="s">
        <v>2758</v>
      </c>
    </row>
    <row r="3861" spans="1:5" x14ac:dyDescent="0.25">
      <c r="A3861" s="1" t="s">
        <v>3860</v>
      </c>
      <c r="C3861" s="3">
        <v>36</v>
      </c>
      <c r="E3861" t="s">
        <v>6050</v>
      </c>
    </row>
    <row r="3862" spans="1:5" x14ac:dyDescent="0.25">
      <c r="A3862" s="1" t="s">
        <v>3861</v>
      </c>
      <c r="C3862" s="3">
        <v>36</v>
      </c>
      <c r="E3862" t="s">
        <v>3133</v>
      </c>
    </row>
    <row r="3863" spans="1:5" x14ac:dyDescent="0.25">
      <c r="A3863" s="1" t="s">
        <v>3862</v>
      </c>
      <c r="C3863" s="3">
        <v>36</v>
      </c>
      <c r="E3863" t="s">
        <v>741</v>
      </c>
    </row>
    <row r="3864" spans="1:5" x14ac:dyDescent="0.25">
      <c r="A3864" s="1" t="s">
        <v>3863</v>
      </c>
      <c r="C3864" s="3">
        <v>36</v>
      </c>
      <c r="E3864" t="s">
        <v>13957</v>
      </c>
    </row>
    <row r="3865" spans="1:5" x14ac:dyDescent="0.25">
      <c r="A3865" s="1" t="s">
        <v>3864</v>
      </c>
      <c r="C3865" s="3">
        <v>36</v>
      </c>
      <c r="E3865" t="s">
        <v>4379</v>
      </c>
    </row>
    <row r="3866" spans="1:5" x14ac:dyDescent="0.25">
      <c r="A3866" s="1" t="s">
        <v>3865</v>
      </c>
      <c r="C3866" s="3">
        <v>36</v>
      </c>
      <c r="E3866" t="s">
        <v>2767</v>
      </c>
    </row>
    <row r="3867" spans="1:5" x14ac:dyDescent="0.25">
      <c r="A3867" s="1" t="s">
        <v>3866</v>
      </c>
      <c r="C3867" s="3">
        <v>36</v>
      </c>
      <c r="E3867" t="s">
        <v>12519</v>
      </c>
    </row>
    <row r="3868" spans="1:5" x14ac:dyDescent="0.25">
      <c r="A3868" s="1" t="s">
        <v>3867</v>
      </c>
      <c r="C3868" s="3">
        <v>36</v>
      </c>
      <c r="E3868" t="s">
        <v>7804</v>
      </c>
    </row>
    <row r="3869" spans="1:5" x14ac:dyDescent="0.25">
      <c r="A3869" s="1" t="s">
        <v>3868</v>
      </c>
      <c r="C3869" s="3">
        <v>36</v>
      </c>
      <c r="E3869" t="s">
        <v>1577</v>
      </c>
    </row>
    <row r="3870" spans="1:5" x14ac:dyDescent="0.25">
      <c r="A3870" s="1" t="s">
        <v>3869</v>
      </c>
      <c r="C3870" s="3">
        <v>36</v>
      </c>
      <c r="E3870" t="s">
        <v>2512</v>
      </c>
    </row>
    <row r="3871" spans="1:5" x14ac:dyDescent="0.25">
      <c r="A3871" s="1" t="s">
        <v>3870</v>
      </c>
      <c r="C3871" s="3">
        <v>36</v>
      </c>
      <c r="E3871" t="s">
        <v>5714</v>
      </c>
    </row>
    <row r="3872" spans="1:5" x14ac:dyDescent="0.25">
      <c r="A3872" s="1" t="s">
        <v>3871</v>
      </c>
      <c r="C3872" s="3">
        <v>36</v>
      </c>
      <c r="E3872" t="s">
        <v>5536</v>
      </c>
    </row>
    <row r="3873" spans="1:5" x14ac:dyDescent="0.25">
      <c r="A3873" s="1" t="s">
        <v>3872</v>
      </c>
      <c r="C3873" s="3">
        <v>36</v>
      </c>
      <c r="E3873" t="s">
        <v>6338</v>
      </c>
    </row>
    <row r="3874" spans="1:5" x14ac:dyDescent="0.25">
      <c r="A3874" s="1" t="s">
        <v>3873</v>
      </c>
      <c r="C3874" s="3">
        <v>36</v>
      </c>
      <c r="E3874" t="s">
        <v>13059</v>
      </c>
    </row>
    <row r="3875" spans="1:5" x14ac:dyDescent="0.25">
      <c r="A3875" s="1" t="s">
        <v>3874</v>
      </c>
      <c r="C3875" s="3">
        <v>36</v>
      </c>
      <c r="E3875" t="s">
        <v>6433</v>
      </c>
    </row>
    <row r="3876" spans="1:5" x14ac:dyDescent="0.25">
      <c r="A3876" s="1" t="s">
        <v>3875</v>
      </c>
      <c r="C3876" s="3">
        <v>36</v>
      </c>
      <c r="E3876" t="s">
        <v>1782</v>
      </c>
    </row>
    <row r="3877" spans="1:5" x14ac:dyDescent="0.25">
      <c r="A3877" s="1" t="s">
        <v>3876</v>
      </c>
      <c r="C3877" s="3">
        <v>36</v>
      </c>
      <c r="E3877" t="s">
        <v>2408</v>
      </c>
    </row>
    <row r="3878" spans="1:5" x14ac:dyDescent="0.25">
      <c r="A3878" s="1" t="s">
        <v>3877</v>
      </c>
      <c r="C3878" s="3">
        <v>36</v>
      </c>
      <c r="E3878" t="s">
        <v>850</v>
      </c>
    </row>
    <row r="3879" spans="1:5" x14ac:dyDescent="0.25">
      <c r="A3879" s="1" t="s">
        <v>3878</v>
      </c>
      <c r="C3879" s="3">
        <v>36</v>
      </c>
      <c r="E3879" t="s">
        <v>1895</v>
      </c>
    </row>
    <row r="3880" spans="1:5" x14ac:dyDescent="0.25">
      <c r="A3880" s="1" t="s">
        <v>3879</v>
      </c>
      <c r="C3880" s="3">
        <v>36</v>
      </c>
      <c r="E3880" t="s">
        <v>18750</v>
      </c>
    </row>
    <row r="3881" spans="1:5" x14ac:dyDescent="0.25">
      <c r="A3881" s="1" t="s">
        <v>3880</v>
      </c>
      <c r="C3881" s="3">
        <v>36</v>
      </c>
      <c r="E3881" t="s">
        <v>453</v>
      </c>
    </row>
    <row r="3882" spans="1:5" x14ac:dyDescent="0.25">
      <c r="A3882" s="1" t="s">
        <v>3881</v>
      </c>
      <c r="C3882" s="3">
        <v>36</v>
      </c>
      <c r="E3882" t="s">
        <v>8666</v>
      </c>
    </row>
    <row r="3883" spans="1:5" x14ac:dyDescent="0.25">
      <c r="A3883" s="1" t="s">
        <v>3882</v>
      </c>
      <c r="C3883" s="3">
        <v>36</v>
      </c>
      <c r="E3883" t="s">
        <v>7661</v>
      </c>
    </row>
    <row r="3884" spans="1:5" x14ac:dyDescent="0.25">
      <c r="A3884" s="1" t="s">
        <v>3883</v>
      </c>
      <c r="C3884" s="3">
        <v>36</v>
      </c>
      <c r="E3884" t="s">
        <v>10582</v>
      </c>
    </row>
    <row r="3885" spans="1:5" x14ac:dyDescent="0.25">
      <c r="A3885" s="1" t="s">
        <v>3884</v>
      </c>
      <c r="C3885" s="3">
        <v>36</v>
      </c>
      <c r="E3885" t="s">
        <v>7380</v>
      </c>
    </row>
    <row r="3886" spans="1:5" x14ac:dyDescent="0.25">
      <c r="A3886" s="1" t="s">
        <v>3885</v>
      </c>
      <c r="C3886" s="3">
        <v>36</v>
      </c>
      <c r="E3886" t="s">
        <v>15177</v>
      </c>
    </row>
    <row r="3887" spans="1:5" x14ac:dyDescent="0.25">
      <c r="A3887" s="1" t="s">
        <v>3886</v>
      </c>
      <c r="C3887" s="3">
        <v>36</v>
      </c>
      <c r="E3887" t="s">
        <v>438</v>
      </c>
    </row>
    <row r="3888" spans="1:5" x14ac:dyDescent="0.25">
      <c r="A3888" s="1" t="s">
        <v>3887</v>
      </c>
      <c r="C3888" s="3">
        <v>36</v>
      </c>
      <c r="E3888" t="s">
        <v>6919</v>
      </c>
    </row>
    <row r="3889" spans="1:5" x14ac:dyDescent="0.25">
      <c r="A3889" s="1" t="s">
        <v>3888</v>
      </c>
      <c r="C3889" s="3">
        <v>36</v>
      </c>
      <c r="E3889" t="s">
        <v>20389</v>
      </c>
    </row>
    <row r="3890" spans="1:5" x14ac:dyDescent="0.25">
      <c r="A3890" s="1" t="s">
        <v>3889</v>
      </c>
      <c r="C3890" s="3">
        <v>36</v>
      </c>
      <c r="E3890" t="s">
        <v>295</v>
      </c>
    </row>
    <row r="3891" spans="1:5" x14ac:dyDescent="0.25">
      <c r="A3891" s="1" t="s">
        <v>3890</v>
      </c>
      <c r="C3891" s="3">
        <v>36</v>
      </c>
      <c r="E3891" t="s">
        <v>2622</v>
      </c>
    </row>
    <row r="3892" spans="1:5" x14ac:dyDescent="0.25">
      <c r="A3892" s="1" t="s">
        <v>3891</v>
      </c>
      <c r="C3892" s="3">
        <v>36</v>
      </c>
      <c r="E3892" t="s">
        <v>8952</v>
      </c>
    </row>
    <row r="3893" spans="1:5" x14ac:dyDescent="0.25">
      <c r="A3893" s="1" t="s">
        <v>3892</v>
      </c>
      <c r="C3893" s="3">
        <v>35</v>
      </c>
      <c r="E3893" t="s">
        <v>5548</v>
      </c>
    </row>
    <row r="3894" spans="1:5" x14ac:dyDescent="0.25">
      <c r="A3894" s="1" t="s">
        <v>3893</v>
      </c>
      <c r="C3894" s="3">
        <v>35</v>
      </c>
      <c r="E3894" t="s">
        <v>2384</v>
      </c>
    </row>
    <row r="3895" spans="1:5" x14ac:dyDescent="0.25">
      <c r="A3895" s="1" t="s">
        <v>3894</v>
      </c>
      <c r="C3895" s="3">
        <v>35</v>
      </c>
      <c r="E3895" t="s">
        <v>4800</v>
      </c>
    </row>
    <row r="3896" spans="1:5" x14ac:dyDescent="0.25">
      <c r="A3896" s="1" t="s">
        <v>3895</v>
      </c>
      <c r="C3896" s="3">
        <v>35</v>
      </c>
      <c r="E3896" t="s">
        <v>5243</v>
      </c>
    </row>
    <row r="3897" spans="1:5" x14ac:dyDescent="0.25">
      <c r="A3897" s="1" t="s">
        <v>3896</v>
      </c>
      <c r="C3897" s="3">
        <v>35</v>
      </c>
      <c r="E3897" t="s">
        <v>984</v>
      </c>
    </row>
    <row r="3898" spans="1:5" x14ac:dyDescent="0.25">
      <c r="A3898" s="1" t="s">
        <v>3897</v>
      </c>
      <c r="C3898" s="3">
        <v>35</v>
      </c>
      <c r="E3898" t="s">
        <v>3021</v>
      </c>
    </row>
    <row r="3899" spans="1:5" x14ac:dyDescent="0.25">
      <c r="A3899" s="1" t="s">
        <v>3898</v>
      </c>
      <c r="C3899" s="3">
        <v>35</v>
      </c>
      <c r="E3899" t="s">
        <v>2406</v>
      </c>
    </row>
    <row r="3900" spans="1:5" x14ac:dyDescent="0.25">
      <c r="A3900" s="1" t="s">
        <v>3899</v>
      </c>
      <c r="C3900" s="3">
        <v>35</v>
      </c>
      <c r="E3900" t="s">
        <v>666</v>
      </c>
    </row>
    <row r="3901" spans="1:5" x14ac:dyDescent="0.25">
      <c r="A3901" s="1" t="s">
        <v>3900</v>
      </c>
      <c r="C3901" s="3">
        <v>35</v>
      </c>
      <c r="E3901" t="s">
        <v>1217</v>
      </c>
    </row>
    <row r="3902" spans="1:5" x14ac:dyDescent="0.25">
      <c r="A3902" s="1" t="s">
        <v>3901</v>
      </c>
      <c r="C3902" s="3">
        <v>35</v>
      </c>
      <c r="E3902" t="s">
        <v>11239</v>
      </c>
    </row>
    <row r="3903" spans="1:5" x14ac:dyDescent="0.25">
      <c r="A3903" s="1" t="s">
        <v>3902</v>
      </c>
      <c r="C3903" s="3">
        <v>35</v>
      </c>
      <c r="E3903" t="s">
        <v>2400</v>
      </c>
    </row>
    <row r="3904" spans="1:5" x14ac:dyDescent="0.25">
      <c r="A3904" s="1" t="s">
        <v>3903</v>
      </c>
      <c r="C3904" s="3">
        <v>35</v>
      </c>
      <c r="E3904" t="s">
        <v>3016</v>
      </c>
    </row>
    <row r="3905" spans="1:5" x14ac:dyDescent="0.25">
      <c r="A3905" s="1" t="s">
        <v>3904</v>
      </c>
      <c r="C3905" s="3">
        <v>35</v>
      </c>
      <c r="E3905" t="s">
        <v>708</v>
      </c>
    </row>
    <row r="3906" spans="1:5" x14ac:dyDescent="0.25">
      <c r="A3906" s="1" t="s">
        <v>3905</v>
      </c>
      <c r="C3906" s="3">
        <v>35</v>
      </c>
      <c r="E3906" t="s">
        <v>6848</v>
      </c>
    </row>
    <row r="3907" spans="1:5" x14ac:dyDescent="0.25">
      <c r="A3907" s="1" t="s">
        <v>3906</v>
      </c>
      <c r="C3907" s="3">
        <v>35</v>
      </c>
      <c r="E3907" t="s">
        <v>1014</v>
      </c>
    </row>
    <row r="3908" spans="1:5" x14ac:dyDescent="0.25">
      <c r="A3908" s="1" t="s">
        <v>3907</v>
      </c>
      <c r="C3908" s="3">
        <v>35</v>
      </c>
      <c r="E3908" t="s">
        <v>17095</v>
      </c>
    </row>
    <row r="3909" spans="1:5" x14ac:dyDescent="0.25">
      <c r="A3909" s="1" t="s">
        <v>3908</v>
      </c>
      <c r="C3909" s="3">
        <v>35</v>
      </c>
      <c r="E3909" t="s">
        <v>3040</v>
      </c>
    </row>
    <row r="3910" spans="1:5" x14ac:dyDescent="0.25">
      <c r="A3910" s="1" t="s">
        <v>3909</v>
      </c>
      <c r="C3910" s="3">
        <v>35</v>
      </c>
      <c r="E3910" t="s">
        <v>16047</v>
      </c>
    </row>
    <row r="3911" spans="1:5" x14ac:dyDescent="0.25">
      <c r="A3911" s="1" t="s">
        <v>3910</v>
      </c>
      <c r="C3911" s="3">
        <v>35</v>
      </c>
      <c r="E3911" t="s">
        <v>3164</v>
      </c>
    </row>
    <row r="3912" spans="1:5" x14ac:dyDescent="0.25">
      <c r="A3912" s="1" t="s">
        <v>3911</v>
      </c>
      <c r="C3912" s="3">
        <v>35</v>
      </c>
      <c r="E3912" t="s">
        <v>3253</v>
      </c>
    </row>
    <row r="3913" spans="1:5" x14ac:dyDescent="0.25">
      <c r="A3913" s="1" t="s">
        <v>3912</v>
      </c>
      <c r="C3913" s="3">
        <v>35</v>
      </c>
      <c r="E3913" t="s">
        <v>13870</v>
      </c>
    </row>
    <row r="3914" spans="1:5" x14ac:dyDescent="0.25">
      <c r="A3914" s="1" t="s">
        <v>3913</v>
      </c>
      <c r="C3914" s="3">
        <v>35</v>
      </c>
      <c r="E3914" t="s">
        <v>18644</v>
      </c>
    </row>
    <row r="3915" spans="1:5" x14ac:dyDescent="0.25">
      <c r="A3915" s="1" t="s">
        <v>3914</v>
      </c>
      <c r="C3915" s="3">
        <v>35</v>
      </c>
      <c r="E3915" t="s">
        <v>9686</v>
      </c>
    </row>
    <row r="3916" spans="1:5" x14ac:dyDescent="0.25">
      <c r="A3916" s="1" t="s">
        <v>3915</v>
      </c>
      <c r="C3916" s="3">
        <v>35</v>
      </c>
      <c r="E3916" t="s">
        <v>2875</v>
      </c>
    </row>
    <row r="3917" spans="1:5" x14ac:dyDescent="0.25">
      <c r="A3917" s="1" t="s">
        <v>3916</v>
      </c>
      <c r="C3917" s="3">
        <v>35</v>
      </c>
      <c r="E3917" t="s">
        <v>1321</v>
      </c>
    </row>
    <row r="3918" spans="1:5" x14ac:dyDescent="0.25">
      <c r="A3918" s="1" t="s">
        <v>3917</v>
      </c>
      <c r="C3918" s="3">
        <v>35</v>
      </c>
      <c r="E3918" t="s">
        <v>748</v>
      </c>
    </row>
    <row r="3919" spans="1:5" x14ac:dyDescent="0.25">
      <c r="A3919" s="1" t="s">
        <v>3918</v>
      </c>
      <c r="C3919" s="3">
        <v>35</v>
      </c>
      <c r="E3919" t="s">
        <v>1200</v>
      </c>
    </row>
    <row r="3920" spans="1:5" x14ac:dyDescent="0.25">
      <c r="A3920" s="1" t="s">
        <v>3919</v>
      </c>
      <c r="C3920" s="3">
        <v>35</v>
      </c>
      <c r="E3920" t="s">
        <v>4618</v>
      </c>
    </row>
    <row r="3921" spans="1:5" x14ac:dyDescent="0.25">
      <c r="A3921" s="1" t="s">
        <v>3920</v>
      </c>
      <c r="C3921" s="3">
        <v>35</v>
      </c>
      <c r="E3921" t="s">
        <v>2998</v>
      </c>
    </row>
    <row r="3922" spans="1:5" x14ac:dyDescent="0.25">
      <c r="A3922" s="1" t="s">
        <v>3921</v>
      </c>
      <c r="C3922" s="3">
        <v>35</v>
      </c>
      <c r="E3922" t="s">
        <v>15621</v>
      </c>
    </row>
    <row r="3923" spans="1:5" x14ac:dyDescent="0.25">
      <c r="A3923" s="1" t="s">
        <v>3922</v>
      </c>
      <c r="C3923" s="3">
        <v>35</v>
      </c>
      <c r="E3923" t="s">
        <v>18240</v>
      </c>
    </row>
    <row r="3924" spans="1:5" x14ac:dyDescent="0.25">
      <c r="A3924" s="1" t="s">
        <v>3923</v>
      </c>
      <c r="C3924" s="3">
        <v>35</v>
      </c>
      <c r="E3924" t="s">
        <v>8069</v>
      </c>
    </row>
    <row r="3925" spans="1:5" x14ac:dyDescent="0.25">
      <c r="A3925" s="1" t="s">
        <v>3924</v>
      </c>
      <c r="C3925" s="3">
        <v>35</v>
      </c>
      <c r="E3925" t="s">
        <v>1273</v>
      </c>
    </row>
    <row r="3926" spans="1:5" x14ac:dyDescent="0.25">
      <c r="A3926" s="1" t="s">
        <v>3925</v>
      </c>
      <c r="C3926" s="3">
        <v>35</v>
      </c>
      <c r="E3926" t="s">
        <v>18156</v>
      </c>
    </row>
    <row r="3927" spans="1:5" x14ac:dyDescent="0.25">
      <c r="A3927" s="1" t="s">
        <v>3926</v>
      </c>
      <c r="C3927" s="3">
        <v>35</v>
      </c>
      <c r="E3927" t="s">
        <v>3318</v>
      </c>
    </row>
    <row r="3928" spans="1:5" x14ac:dyDescent="0.25">
      <c r="A3928" s="1" t="s">
        <v>3927</v>
      </c>
      <c r="C3928" s="3">
        <v>35</v>
      </c>
      <c r="E3928" t="s">
        <v>144</v>
      </c>
    </row>
    <row r="3929" spans="1:5" x14ac:dyDescent="0.25">
      <c r="A3929" s="1" t="s">
        <v>3928</v>
      </c>
      <c r="C3929" s="3">
        <v>35</v>
      </c>
      <c r="E3929" t="s">
        <v>77</v>
      </c>
    </row>
    <row r="3930" spans="1:5" x14ac:dyDescent="0.25">
      <c r="A3930" s="1" t="s">
        <v>3929</v>
      </c>
      <c r="C3930" s="3">
        <v>35</v>
      </c>
      <c r="E3930" t="s">
        <v>775</v>
      </c>
    </row>
    <row r="3931" spans="1:5" x14ac:dyDescent="0.25">
      <c r="A3931" s="1" t="s">
        <v>3930</v>
      </c>
      <c r="C3931" s="3">
        <v>35</v>
      </c>
      <c r="E3931" t="s">
        <v>6402</v>
      </c>
    </row>
    <row r="3932" spans="1:5" x14ac:dyDescent="0.25">
      <c r="A3932" s="1" t="s">
        <v>3931</v>
      </c>
      <c r="C3932" s="3">
        <v>35</v>
      </c>
      <c r="E3932" t="s">
        <v>2592</v>
      </c>
    </row>
    <row r="3933" spans="1:5" x14ac:dyDescent="0.25">
      <c r="A3933" s="1" t="s">
        <v>3932</v>
      </c>
      <c r="C3933" s="3">
        <v>35</v>
      </c>
      <c r="E3933" t="s">
        <v>16100</v>
      </c>
    </row>
    <row r="3934" spans="1:5" x14ac:dyDescent="0.25">
      <c r="A3934" s="1" t="s">
        <v>3933</v>
      </c>
      <c r="C3934" s="3">
        <v>35</v>
      </c>
      <c r="E3934" t="s">
        <v>4638</v>
      </c>
    </row>
    <row r="3935" spans="1:5" x14ac:dyDescent="0.25">
      <c r="A3935" s="1" t="s">
        <v>3934</v>
      </c>
      <c r="C3935" s="3">
        <v>35</v>
      </c>
      <c r="E3935" t="s">
        <v>5092</v>
      </c>
    </row>
    <row r="3936" spans="1:5" x14ac:dyDescent="0.25">
      <c r="A3936" s="1" t="s">
        <v>3935</v>
      </c>
      <c r="C3936" s="3">
        <v>35</v>
      </c>
      <c r="E3936" t="s">
        <v>3357</v>
      </c>
    </row>
    <row r="3937" spans="1:5" x14ac:dyDescent="0.25">
      <c r="A3937" s="1" t="s">
        <v>3936</v>
      </c>
      <c r="C3937" s="3">
        <v>35</v>
      </c>
      <c r="E3937" t="s">
        <v>575</v>
      </c>
    </row>
    <row r="3938" spans="1:5" x14ac:dyDescent="0.25">
      <c r="A3938" s="1" t="s">
        <v>3937</v>
      </c>
      <c r="C3938" s="3">
        <v>35</v>
      </c>
      <c r="E3938" t="s">
        <v>11111</v>
      </c>
    </row>
    <row r="3939" spans="1:5" x14ac:dyDescent="0.25">
      <c r="A3939" s="1" t="s">
        <v>3938</v>
      </c>
      <c r="C3939" s="3">
        <v>35</v>
      </c>
      <c r="E3939" t="s">
        <v>14912</v>
      </c>
    </row>
    <row r="3940" spans="1:5" x14ac:dyDescent="0.25">
      <c r="A3940" s="1" t="s">
        <v>3939</v>
      </c>
      <c r="C3940" s="3">
        <v>35</v>
      </c>
      <c r="E3940" t="s">
        <v>2926</v>
      </c>
    </row>
    <row r="3941" spans="1:5" x14ac:dyDescent="0.25">
      <c r="A3941" s="1" t="s">
        <v>3940</v>
      </c>
      <c r="C3941" s="3">
        <v>35</v>
      </c>
      <c r="E3941" t="s">
        <v>3251</v>
      </c>
    </row>
    <row r="3942" spans="1:5" x14ac:dyDescent="0.25">
      <c r="A3942" s="1" t="s">
        <v>3941</v>
      </c>
      <c r="C3942" s="3">
        <v>35</v>
      </c>
      <c r="E3942" t="s">
        <v>12896</v>
      </c>
    </row>
    <row r="3943" spans="1:5" x14ac:dyDescent="0.25">
      <c r="A3943" s="1" t="s">
        <v>3942</v>
      </c>
      <c r="C3943" s="3">
        <v>35</v>
      </c>
      <c r="E3943" t="s">
        <v>13208</v>
      </c>
    </row>
    <row r="3944" spans="1:5" x14ac:dyDescent="0.25">
      <c r="A3944" s="1" t="s">
        <v>3943</v>
      </c>
      <c r="C3944" s="3">
        <v>35</v>
      </c>
      <c r="E3944" t="s">
        <v>6813</v>
      </c>
    </row>
    <row r="3945" spans="1:5" x14ac:dyDescent="0.25">
      <c r="A3945" s="1" t="s">
        <v>3944</v>
      </c>
      <c r="C3945" s="3">
        <v>35</v>
      </c>
      <c r="E3945" t="s">
        <v>22528</v>
      </c>
    </row>
    <row r="3946" spans="1:5" x14ac:dyDescent="0.25">
      <c r="A3946" s="1" t="s">
        <v>3945</v>
      </c>
      <c r="C3946" s="3">
        <v>35</v>
      </c>
      <c r="E3946" t="s">
        <v>1516</v>
      </c>
    </row>
    <row r="3947" spans="1:5" x14ac:dyDescent="0.25">
      <c r="A3947" s="1" t="s">
        <v>3946</v>
      </c>
      <c r="C3947" s="3">
        <v>35</v>
      </c>
      <c r="E3947" t="s">
        <v>266</v>
      </c>
    </row>
    <row r="3948" spans="1:5" x14ac:dyDescent="0.25">
      <c r="A3948" s="1" t="s">
        <v>3947</v>
      </c>
      <c r="C3948" s="3">
        <v>35</v>
      </c>
      <c r="E3948" t="s">
        <v>25486</v>
      </c>
    </row>
    <row r="3949" spans="1:5" x14ac:dyDescent="0.25">
      <c r="A3949" s="1" t="s">
        <v>3948</v>
      </c>
      <c r="C3949" s="3">
        <v>35</v>
      </c>
      <c r="E3949" t="s">
        <v>24541</v>
      </c>
    </row>
    <row r="3950" spans="1:5" x14ac:dyDescent="0.25">
      <c r="A3950" s="1" t="s">
        <v>3949</v>
      </c>
      <c r="C3950" s="3">
        <v>35</v>
      </c>
      <c r="E3950" t="s">
        <v>7670</v>
      </c>
    </row>
    <row r="3951" spans="1:5" x14ac:dyDescent="0.25">
      <c r="A3951" s="1" t="s">
        <v>3950</v>
      </c>
      <c r="C3951" s="3">
        <v>35</v>
      </c>
      <c r="E3951" t="s">
        <v>11848</v>
      </c>
    </row>
    <row r="3952" spans="1:5" x14ac:dyDescent="0.25">
      <c r="A3952" s="1" t="s">
        <v>3951</v>
      </c>
      <c r="C3952" s="3">
        <v>35</v>
      </c>
      <c r="E3952" t="s">
        <v>2931</v>
      </c>
    </row>
    <row r="3953" spans="1:5" x14ac:dyDescent="0.25">
      <c r="A3953" s="1" t="s">
        <v>3952</v>
      </c>
      <c r="C3953" s="3">
        <v>35</v>
      </c>
      <c r="E3953" t="s">
        <v>13781</v>
      </c>
    </row>
    <row r="3954" spans="1:5" x14ac:dyDescent="0.25">
      <c r="A3954" s="1" t="s">
        <v>3953</v>
      </c>
      <c r="C3954" s="3">
        <v>35</v>
      </c>
      <c r="E3954" t="s">
        <v>3680</v>
      </c>
    </row>
    <row r="3955" spans="1:5" x14ac:dyDescent="0.25">
      <c r="A3955" s="1" t="s">
        <v>3954</v>
      </c>
      <c r="C3955" s="3">
        <v>35</v>
      </c>
      <c r="E3955" t="s">
        <v>1446</v>
      </c>
    </row>
    <row r="3956" spans="1:5" x14ac:dyDescent="0.25">
      <c r="A3956" s="1" t="s">
        <v>3955</v>
      </c>
      <c r="C3956" s="3">
        <v>35</v>
      </c>
      <c r="E3956" t="s">
        <v>952</v>
      </c>
    </row>
    <row r="3957" spans="1:5" x14ac:dyDescent="0.25">
      <c r="A3957" s="1" t="s">
        <v>3956</v>
      </c>
      <c r="C3957" s="3">
        <v>35</v>
      </c>
      <c r="E3957" t="s">
        <v>6252</v>
      </c>
    </row>
    <row r="3958" spans="1:5" x14ac:dyDescent="0.25">
      <c r="A3958" s="1" t="s">
        <v>3957</v>
      </c>
      <c r="C3958" s="3">
        <v>35</v>
      </c>
      <c r="E3958" t="s">
        <v>6856</v>
      </c>
    </row>
    <row r="3959" spans="1:5" x14ac:dyDescent="0.25">
      <c r="A3959" s="1" t="s">
        <v>3958</v>
      </c>
      <c r="C3959" s="3">
        <v>35</v>
      </c>
      <c r="E3959" t="s">
        <v>8471</v>
      </c>
    </row>
    <row r="3960" spans="1:5" x14ac:dyDescent="0.25">
      <c r="A3960" s="1" t="s">
        <v>3959</v>
      </c>
      <c r="C3960" s="3">
        <v>35</v>
      </c>
      <c r="E3960" t="s">
        <v>13079</v>
      </c>
    </row>
    <row r="3961" spans="1:5" x14ac:dyDescent="0.25">
      <c r="A3961" s="1" t="s">
        <v>3960</v>
      </c>
      <c r="C3961" s="3">
        <v>35</v>
      </c>
      <c r="E3961" t="s">
        <v>2153</v>
      </c>
    </row>
    <row r="3962" spans="1:5" x14ac:dyDescent="0.25">
      <c r="A3962" s="1" t="s">
        <v>3961</v>
      </c>
      <c r="C3962" s="3">
        <v>35</v>
      </c>
      <c r="E3962" t="s">
        <v>22338</v>
      </c>
    </row>
    <row r="3963" spans="1:5" x14ac:dyDescent="0.25">
      <c r="A3963" s="1" t="s">
        <v>3962</v>
      </c>
      <c r="C3963" s="3">
        <v>35</v>
      </c>
      <c r="E3963" t="s">
        <v>7165</v>
      </c>
    </row>
    <row r="3964" spans="1:5" x14ac:dyDescent="0.25">
      <c r="A3964" s="1" t="s">
        <v>3963</v>
      </c>
      <c r="C3964" s="3">
        <v>35</v>
      </c>
      <c r="E3964" t="s">
        <v>5303</v>
      </c>
    </row>
    <row r="3965" spans="1:5" x14ac:dyDescent="0.25">
      <c r="A3965" s="1" t="s">
        <v>3964</v>
      </c>
      <c r="C3965" s="3">
        <v>35</v>
      </c>
      <c r="E3965" t="s">
        <v>3407</v>
      </c>
    </row>
    <row r="3966" spans="1:5" x14ac:dyDescent="0.25">
      <c r="A3966" s="1" t="s">
        <v>3965</v>
      </c>
      <c r="C3966" s="3">
        <v>35</v>
      </c>
      <c r="E3966" t="s">
        <v>590</v>
      </c>
    </row>
    <row r="3967" spans="1:5" x14ac:dyDescent="0.25">
      <c r="A3967" s="1" t="s">
        <v>3966</v>
      </c>
      <c r="C3967" s="3">
        <v>35</v>
      </c>
      <c r="E3967" t="s">
        <v>3671</v>
      </c>
    </row>
    <row r="3968" spans="1:5" x14ac:dyDescent="0.25">
      <c r="A3968" s="1" t="s">
        <v>3967</v>
      </c>
      <c r="C3968" s="3">
        <v>35</v>
      </c>
      <c r="E3968" t="s">
        <v>8557</v>
      </c>
    </row>
    <row r="3969" spans="1:5" x14ac:dyDescent="0.25">
      <c r="A3969" s="1" t="s">
        <v>3968</v>
      </c>
      <c r="C3969" s="3">
        <v>35</v>
      </c>
      <c r="E3969" t="s">
        <v>957</v>
      </c>
    </row>
    <row r="3970" spans="1:5" x14ac:dyDescent="0.25">
      <c r="A3970" s="1" t="s">
        <v>3969</v>
      </c>
      <c r="C3970" s="3">
        <v>35</v>
      </c>
      <c r="E3970" t="s">
        <v>3740</v>
      </c>
    </row>
    <row r="3971" spans="1:5" x14ac:dyDescent="0.25">
      <c r="A3971" s="1" t="s">
        <v>3970</v>
      </c>
      <c r="C3971" s="3">
        <v>35</v>
      </c>
      <c r="E3971" t="s">
        <v>830</v>
      </c>
    </row>
    <row r="3972" spans="1:5" x14ac:dyDescent="0.25">
      <c r="A3972" s="1" t="s">
        <v>3971</v>
      </c>
      <c r="C3972" s="3">
        <v>35</v>
      </c>
      <c r="E3972" t="s">
        <v>9643</v>
      </c>
    </row>
    <row r="3973" spans="1:5" x14ac:dyDescent="0.25">
      <c r="A3973" s="1" t="s">
        <v>3972</v>
      </c>
      <c r="C3973" s="3">
        <v>35</v>
      </c>
      <c r="E3973" t="s">
        <v>417</v>
      </c>
    </row>
    <row r="3974" spans="1:5" x14ac:dyDescent="0.25">
      <c r="A3974" s="1" t="s">
        <v>3973</v>
      </c>
      <c r="C3974" s="3">
        <v>35</v>
      </c>
      <c r="E3974" t="s">
        <v>9864</v>
      </c>
    </row>
    <row r="3975" spans="1:5" x14ac:dyDescent="0.25">
      <c r="A3975" s="1" t="s">
        <v>3974</v>
      </c>
      <c r="C3975" s="3">
        <v>35</v>
      </c>
      <c r="E3975" t="s">
        <v>11087</v>
      </c>
    </row>
    <row r="3976" spans="1:5" x14ac:dyDescent="0.25">
      <c r="A3976" s="1" t="s">
        <v>3975</v>
      </c>
      <c r="C3976" s="3">
        <v>35</v>
      </c>
      <c r="E3976" t="s">
        <v>1528</v>
      </c>
    </row>
    <row r="3977" spans="1:5" x14ac:dyDescent="0.25">
      <c r="A3977" s="1" t="s">
        <v>3976</v>
      </c>
      <c r="C3977" s="3">
        <v>35</v>
      </c>
      <c r="E3977" t="s">
        <v>4137</v>
      </c>
    </row>
    <row r="3978" spans="1:5" x14ac:dyDescent="0.25">
      <c r="A3978" s="1" t="s">
        <v>3977</v>
      </c>
      <c r="C3978" s="3">
        <v>35</v>
      </c>
      <c r="E3978" t="s">
        <v>2337</v>
      </c>
    </row>
    <row r="3979" spans="1:5" x14ac:dyDescent="0.25">
      <c r="A3979" s="1" t="s">
        <v>3978</v>
      </c>
      <c r="C3979" s="3">
        <v>35</v>
      </c>
      <c r="E3979" t="s">
        <v>4269</v>
      </c>
    </row>
    <row r="3980" spans="1:5" x14ac:dyDescent="0.25">
      <c r="A3980" s="1" t="s">
        <v>3979</v>
      </c>
      <c r="C3980" s="3">
        <v>35</v>
      </c>
      <c r="E3980" t="s">
        <v>13734</v>
      </c>
    </row>
    <row r="3981" spans="1:5" x14ac:dyDescent="0.25">
      <c r="A3981" s="1" t="s">
        <v>3980</v>
      </c>
      <c r="C3981" s="3">
        <v>35</v>
      </c>
      <c r="E3981" t="s">
        <v>13954</v>
      </c>
    </row>
    <row r="3982" spans="1:5" x14ac:dyDescent="0.25">
      <c r="A3982" s="1" t="s">
        <v>3981</v>
      </c>
      <c r="C3982" s="3">
        <v>35</v>
      </c>
      <c r="E3982" t="s">
        <v>1430</v>
      </c>
    </row>
    <row r="3983" spans="1:5" x14ac:dyDescent="0.25">
      <c r="A3983" s="1" t="s">
        <v>3982</v>
      </c>
      <c r="C3983" s="3">
        <v>35</v>
      </c>
      <c r="E3983" t="s">
        <v>449</v>
      </c>
    </row>
    <row r="3984" spans="1:5" x14ac:dyDescent="0.25">
      <c r="A3984" s="1" t="s">
        <v>3983</v>
      </c>
      <c r="C3984" s="3">
        <v>35</v>
      </c>
      <c r="E3984" t="s">
        <v>716</v>
      </c>
    </row>
    <row r="3985" spans="1:5" x14ac:dyDescent="0.25">
      <c r="A3985" s="1" t="s">
        <v>3984</v>
      </c>
      <c r="C3985" s="3">
        <v>35</v>
      </c>
      <c r="E3985" t="s">
        <v>2896</v>
      </c>
    </row>
    <row r="3986" spans="1:5" x14ac:dyDescent="0.25">
      <c r="A3986" s="1" t="s">
        <v>3985</v>
      </c>
      <c r="C3986" s="3">
        <v>35</v>
      </c>
      <c r="E3986" t="s">
        <v>15877</v>
      </c>
    </row>
    <row r="3987" spans="1:5" x14ac:dyDescent="0.25">
      <c r="A3987" s="1" t="s">
        <v>3986</v>
      </c>
      <c r="C3987" s="3">
        <v>35</v>
      </c>
      <c r="E3987" t="s">
        <v>759</v>
      </c>
    </row>
    <row r="3988" spans="1:5" x14ac:dyDescent="0.25">
      <c r="A3988" s="1" t="s">
        <v>3987</v>
      </c>
      <c r="C3988" s="3">
        <v>35</v>
      </c>
      <c r="E3988" t="s">
        <v>5975</v>
      </c>
    </row>
    <row r="3989" spans="1:5" x14ac:dyDescent="0.25">
      <c r="A3989" s="1" t="s">
        <v>3988</v>
      </c>
      <c r="C3989" s="3">
        <v>35</v>
      </c>
      <c r="E3989" t="s">
        <v>5335</v>
      </c>
    </row>
    <row r="3990" spans="1:5" x14ac:dyDescent="0.25">
      <c r="A3990" s="1" t="s">
        <v>3989</v>
      </c>
      <c r="C3990" s="3">
        <v>35</v>
      </c>
      <c r="E3990" t="s">
        <v>25487</v>
      </c>
    </row>
    <row r="3991" spans="1:5" x14ac:dyDescent="0.25">
      <c r="A3991" s="1" t="s">
        <v>3990</v>
      </c>
      <c r="C3991" s="3">
        <v>35</v>
      </c>
      <c r="E3991" t="s">
        <v>2898</v>
      </c>
    </row>
    <row r="3992" spans="1:5" x14ac:dyDescent="0.25">
      <c r="A3992" s="1" t="s">
        <v>3991</v>
      </c>
      <c r="C3992" s="3">
        <v>35</v>
      </c>
      <c r="E3992" t="s">
        <v>11055</v>
      </c>
    </row>
    <row r="3993" spans="1:5" x14ac:dyDescent="0.25">
      <c r="A3993" s="1" t="s">
        <v>3992</v>
      </c>
      <c r="C3993" s="3">
        <v>35</v>
      </c>
      <c r="E3993" t="s">
        <v>8760</v>
      </c>
    </row>
    <row r="3994" spans="1:5" x14ac:dyDescent="0.25">
      <c r="A3994" s="1" t="s">
        <v>3993</v>
      </c>
      <c r="C3994" s="3">
        <v>35</v>
      </c>
      <c r="E3994" t="s">
        <v>1467</v>
      </c>
    </row>
    <row r="3995" spans="1:5" x14ac:dyDescent="0.25">
      <c r="A3995" s="1" t="s">
        <v>3994</v>
      </c>
      <c r="C3995" s="3">
        <v>35</v>
      </c>
      <c r="E3995" t="s">
        <v>1517</v>
      </c>
    </row>
    <row r="3996" spans="1:5" x14ac:dyDescent="0.25">
      <c r="A3996" s="1" t="s">
        <v>3995</v>
      </c>
      <c r="C3996" s="3">
        <v>35</v>
      </c>
      <c r="E3996" t="s">
        <v>13950</v>
      </c>
    </row>
    <row r="3997" spans="1:5" x14ac:dyDescent="0.25">
      <c r="A3997" s="1" t="s">
        <v>3996</v>
      </c>
      <c r="C3997" s="3">
        <v>35</v>
      </c>
      <c r="E3997" t="s">
        <v>240</v>
      </c>
    </row>
    <row r="3998" spans="1:5" x14ac:dyDescent="0.25">
      <c r="A3998" s="1" t="s">
        <v>3997</v>
      </c>
      <c r="C3998" s="3">
        <v>35</v>
      </c>
      <c r="E3998" t="s">
        <v>2989</v>
      </c>
    </row>
    <row r="3999" spans="1:5" x14ac:dyDescent="0.25">
      <c r="A3999" s="1" t="s">
        <v>3998</v>
      </c>
      <c r="C3999" s="3">
        <v>35</v>
      </c>
      <c r="E3999" t="s">
        <v>1434</v>
      </c>
    </row>
    <row r="4000" spans="1:5" x14ac:dyDescent="0.25">
      <c r="A4000" s="1" t="s">
        <v>3999</v>
      </c>
      <c r="C4000" s="3">
        <v>34</v>
      </c>
      <c r="E4000" t="s">
        <v>1499</v>
      </c>
    </row>
    <row r="4001" spans="1:5" x14ac:dyDescent="0.25">
      <c r="A4001" s="1" t="s">
        <v>4000</v>
      </c>
      <c r="C4001" s="3">
        <v>34</v>
      </c>
      <c r="E4001" t="s">
        <v>4011</v>
      </c>
    </row>
    <row r="4002" spans="1:5" x14ac:dyDescent="0.25">
      <c r="A4002" s="1" t="s">
        <v>4001</v>
      </c>
      <c r="C4002" s="3">
        <v>34</v>
      </c>
      <c r="E4002" t="s">
        <v>1588</v>
      </c>
    </row>
    <row r="4003" spans="1:5" x14ac:dyDescent="0.25">
      <c r="A4003" s="1" t="s">
        <v>4002</v>
      </c>
      <c r="C4003" s="3">
        <v>34</v>
      </c>
      <c r="E4003" t="s">
        <v>2274</v>
      </c>
    </row>
    <row r="4004" spans="1:5" x14ac:dyDescent="0.25">
      <c r="A4004" s="1" t="s">
        <v>4003</v>
      </c>
      <c r="C4004" s="3">
        <v>34</v>
      </c>
      <c r="E4004" t="s">
        <v>10026</v>
      </c>
    </row>
    <row r="4005" spans="1:5" x14ac:dyDescent="0.25">
      <c r="A4005" s="1" t="s">
        <v>4004</v>
      </c>
      <c r="C4005" s="3">
        <v>34</v>
      </c>
      <c r="E4005" t="s">
        <v>1676</v>
      </c>
    </row>
    <row r="4006" spans="1:5" x14ac:dyDescent="0.25">
      <c r="A4006" s="1" t="s">
        <v>4005</v>
      </c>
      <c r="C4006" s="3">
        <v>34</v>
      </c>
      <c r="E4006" t="s">
        <v>5479</v>
      </c>
    </row>
    <row r="4007" spans="1:5" x14ac:dyDescent="0.25">
      <c r="A4007" s="1" t="s">
        <v>4006</v>
      </c>
      <c r="C4007" s="3">
        <v>34</v>
      </c>
      <c r="E4007" t="s">
        <v>504</v>
      </c>
    </row>
    <row r="4008" spans="1:5" x14ac:dyDescent="0.25">
      <c r="A4008" s="1" t="s">
        <v>4007</v>
      </c>
      <c r="C4008" s="3">
        <v>34</v>
      </c>
      <c r="E4008" t="s">
        <v>18483</v>
      </c>
    </row>
    <row r="4009" spans="1:5" x14ac:dyDescent="0.25">
      <c r="A4009" s="1" t="s">
        <v>4008</v>
      </c>
      <c r="C4009" s="3">
        <v>34</v>
      </c>
      <c r="E4009" t="s">
        <v>13942</v>
      </c>
    </row>
    <row r="4010" spans="1:5" x14ac:dyDescent="0.25">
      <c r="A4010" s="1" t="s">
        <v>4009</v>
      </c>
      <c r="C4010" s="3">
        <v>34</v>
      </c>
      <c r="E4010" t="s">
        <v>11425</v>
      </c>
    </row>
    <row r="4011" spans="1:5" x14ac:dyDescent="0.25">
      <c r="A4011" s="1" t="s">
        <v>4010</v>
      </c>
      <c r="C4011" s="3">
        <v>34</v>
      </c>
      <c r="E4011" t="s">
        <v>30</v>
      </c>
    </row>
    <row r="4012" spans="1:5" x14ac:dyDescent="0.25">
      <c r="A4012" s="1" t="s">
        <v>4011</v>
      </c>
      <c r="C4012" s="3">
        <v>34</v>
      </c>
      <c r="E4012" t="s">
        <v>2428</v>
      </c>
    </row>
    <row r="4013" spans="1:5" x14ac:dyDescent="0.25">
      <c r="A4013" s="1" t="s">
        <v>4012</v>
      </c>
      <c r="C4013" s="3">
        <v>34</v>
      </c>
      <c r="E4013" t="s">
        <v>9450</v>
      </c>
    </row>
    <row r="4014" spans="1:5" x14ac:dyDescent="0.25">
      <c r="A4014" s="1" t="s">
        <v>4013</v>
      </c>
      <c r="C4014" s="3">
        <v>34</v>
      </c>
      <c r="E4014" t="s">
        <v>15824</v>
      </c>
    </row>
    <row r="4015" spans="1:5" x14ac:dyDescent="0.25">
      <c r="A4015" s="1" t="s">
        <v>4014</v>
      </c>
      <c r="C4015" s="3">
        <v>34</v>
      </c>
      <c r="E4015" t="s">
        <v>4383</v>
      </c>
    </row>
    <row r="4016" spans="1:5" x14ac:dyDescent="0.25">
      <c r="A4016" s="1" t="s">
        <v>4015</v>
      </c>
      <c r="C4016" s="3">
        <v>34</v>
      </c>
      <c r="E4016" t="s">
        <v>17168</v>
      </c>
    </row>
    <row r="4017" spans="1:5" x14ac:dyDescent="0.25">
      <c r="A4017" s="1" t="s">
        <v>4016</v>
      </c>
      <c r="C4017" s="3">
        <v>34</v>
      </c>
      <c r="E4017" t="s">
        <v>1742</v>
      </c>
    </row>
    <row r="4018" spans="1:5" x14ac:dyDescent="0.25">
      <c r="A4018" s="1" t="s">
        <v>4017</v>
      </c>
      <c r="C4018" s="3">
        <v>34</v>
      </c>
      <c r="E4018" t="s">
        <v>25488</v>
      </c>
    </row>
    <row r="4019" spans="1:5" x14ac:dyDescent="0.25">
      <c r="A4019" s="1" t="s">
        <v>4018</v>
      </c>
      <c r="C4019" s="3">
        <v>34</v>
      </c>
      <c r="E4019" t="s">
        <v>870</v>
      </c>
    </row>
    <row r="4020" spans="1:5" x14ac:dyDescent="0.25">
      <c r="A4020" s="1" t="s">
        <v>4019</v>
      </c>
      <c r="C4020" s="3">
        <v>34</v>
      </c>
      <c r="E4020" t="s">
        <v>6046</v>
      </c>
    </row>
    <row r="4021" spans="1:5" x14ac:dyDescent="0.25">
      <c r="A4021" s="1" t="s">
        <v>4020</v>
      </c>
      <c r="C4021" s="3">
        <v>34</v>
      </c>
      <c r="E4021" t="s">
        <v>2029</v>
      </c>
    </row>
    <row r="4022" spans="1:5" x14ac:dyDescent="0.25">
      <c r="A4022" s="1" t="s">
        <v>4021</v>
      </c>
      <c r="C4022" s="3">
        <v>34</v>
      </c>
      <c r="E4022" t="s">
        <v>14679</v>
      </c>
    </row>
    <row r="4023" spans="1:5" x14ac:dyDescent="0.25">
      <c r="A4023" s="1" t="s">
        <v>4022</v>
      </c>
      <c r="C4023" s="3">
        <v>34</v>
      </c>
      <c r="E4023" t="s">
        <v>5718</v>
      </c>
    </row>
    <row r="4024" spans="1:5" x14ac:dyDescent="0.25">
      <c r="A4024" s="1" t="s">
        <v>4023</v>
      </c>
      <c r="C4024" s="3">
        <v>34</v>
      </c>
      <c r="E4024" t="s">
        <v>5858</v>
      </c>
    </row>
    <row r="4025" spans="1:5" x14ac:dyDescent="0.25">
      <c r="A4025" s="1" t="s">
        <v>4024</v>
      </c>
      <c r="C4025" s="3">
        <v>34</v>
      </c>
      <c r="E4025" t="s">
        <v>11095</v>
      </c>
    </row>
    <row r="4026" spans="1:5" x14ac:dyDescent="0.25">
      <c r="A4026" s="1" t="s">
        <v>4025</v>
      </c>
      <c r="C4026" s="3">
        <v>34</v>
      </c>
      <c r="E4026" t="s">
        <v>5784</v>
      </c>
    </row>
    <row r="4027" spans="1:5" x14ac:dyDescent="0.25">
      <c r="A4027" s="1" t="s">
        <v>4026</v>
      </c>
      <c r="C4027" s="3">
        <v>34</v>
      </c>
      <c r="E4027" t="s">
        <v>2099</v>
      </c>
    </row>
    <row r="4028" spans="1:5" x14ac:dyDescent="0.25">
      <c r="A4028" s="1" t="s">
        <v>4027</v>
      </c>
      <c r="C4028" s="3">
        <v>34</v>
      </c>
      <c r="E4028" t="s">
        <v>15870</v>
      </c>
    </row>
    <row r="4029" spans="1:5" x14ac:dyDescent="0.25">
      <c r="A4029" s="1" t="s">
        <v>4028</v>
      </c>
      <c r="C4029" s="3">
        <v>34</v>
      </c>
      <c r="E4029" t="s">
        <v>4803</v>
      </c>
    </row>
    <row r="4030" spans="1:5" x14ac:dyDescent="0.25">
      <c r="A4030" s="1" t="s">
        <v>4029</v>
      </c>
      <c r="C4030" s="3">
        <v>34</v>
      </c>
      <c r="E4030" t="s">
        <v>10610</v>
      </c>
    </row>
    <row r="4031" spans="1:5" x14ac:dyDescent="0.25">
      <c r="A4031" s="1" t="s">
        <v>4030</v>
      </c>
      <c r="C4031" s="3">
        <v>34</v>
      </c>
      <c r="E4031" t="s">
        <v>8493</v>
      </c>
    </row>
    <row r="4032" spans="1:5" x14ac:dyDescent="0.25">
      <c r="A4032" s="1" t="s">
        <v>4031</v>
      </c>
      <c r="C4032" s="3">
        <v>34</v>
      </c>
      <c r="E4032" t="s">
        <v>2436</v>
      </c>
    </row>
    <row r="4033" spans="1:5" x14ac:dyDescent="0.25">
      <c r="A4033" s="1" t="s">
        <v>4032</v>
      </c>
      <c r="C4033" s="3">
        <v>34</v>
      </c>
      <c r="E4033" t="s">
        <v>5561</v>
      </c>
    </row>
    <row r="4034" spans="1:5" x14ac:dyDescent="0.25">
      <c r="A4034" s="1" t="s">
        <v>4033</v>
      </c>
      <c r="C4034" s="3">
        <v>34</v>
      </c>
      <c r="E4034" t="s">
        <v>2119</v>
      </c>
    </row>
    <row r="4035" spans="1:5" x14ac:dyDescent="0.25">
      <c r="A4035" s="1" t="s">
        <v>4034</v>
      </c>
      <c r="C4035" s="3">
        <v>34</v>
      </c>
      <c r="E4035" t="s">
        <v>12710</v>
      </c>
    </row>
    <row r="4036" spans="1:5" x14ac:dyDescent="0.25">
      <c r="A4036" s="1" t="s">
        <v>4035</v>
      </c>
      <c r="C4036" s="3">
        <v>34</v>
      </c>
      <c r="E4036" t="s">
        <v>5173</v>
      </c>
    </row>
    <row r="4037" spans="1:5" x14ac:dyDescent="0.25">
      <c r="A4037" s="1" t="s">
        <v>4036</v>
      </c>
      <c r="C4037" s="3">
        <v>34</v>
      </c>
      <c r="E4037" t="s">
        <v>1956</v>
      </c>
    </row>
    <row r="4038" spans="1:5" x14ac:dyDescent="0.25">
      <c r="A4038" s="1" t="s">
        <v>4037</v>
      </c>
      <c r="C4038" s="3">
        <v>34</v>
      </c>
      <c r="E4038" t="s">
        <v>623</v>
      </c>
    </row>
    <row r="4039" spans="1:5" x14ac:dyDescent="0.25">
      <c r="A4039" s="1" t="s">
        <v>4038</v>
      </c>
      <c r="C4039" s="3">
        <v>34</v>
      </c>
      <c r="E4039" t="s">
        <v>7106</v>
      </c>
    </row>
    <row r="4040" spans="1:5" x14ac:dyDescent="0.25">
      <c r="A4040" s="1" t="s">
        <v>4039</v>
      </c>
      <c r="C4040" s="3">
        <v>34</v>
      </c>
      <c r="E4040" t="s">
        <v>6270</v>
      </c>
    </row>
    <row r="4041" spans="1:5" x14ac:dyDescent="0.25">
      <c r="A4041" s="1" t="s">
        <v>4040</v>
      </c>
      <c r="C4041" s="3">
        <v>34</v>
      </c>
      <c r="E4041" t="s">
        <v>3619</v>
      </c>
    </row>
    <row r="4042" spans="1:5" x14ac:dyDescent="0.25">
      <c r="A4042" s="1" t="s">
        <v>4041</v>
      </c>
      <c r="C4042" s="3">
        <v>34</v>
      </c>
      <c r="E4042" t="s">
        <v>4671</v>
      </c>
    </row>
    <row r="4043" spans="1:5" x14ac:dyDescent="0.25">
      <c r="A4043" s="1" t="s">
        <v>4042</v>
      </c>
      <c r="C4043" s="3">
        <v>34</v>
      </c>
      <c r="E4043" t="s">
        <v>9409</v>
      </c>
    </row>
    <row r="4044" spans="1:5" x14ac:dyDescent="0.25">
      <c r="A4044" s="1" t="s">
        <v>4043</v>
      </c>
      <c r="C4044" s="3">
        <v>34</v>
      </c>
      <c r="E4044" t="s">
        <v>2018</v>
      </c>
    </row>
    <row r="4045" spans="1:5" x14ac:dyDescent="0.25">
      <c r="A4045" s="1" t="s">
        <v>4044</v>
      </c>
      <c r="C4045" s="3">
        <v>34</v>
      </c>
      <c r="E4045" t="s">
        <v>10840</v>
      </c>
    </row>
    <row r="4046" spans="1:5" x14ac:dyDescent="0.25">
      <c r="A4046" s="1" t="s">
        <v>4045</v>
      </c>
      <c r="C4046" s="3">
        <v>34</v>
      </c>
      <c r="E4046" t="s">
        <v>6030</v>
      </c>
    </row>
    <row r="4047" spans="1:5" x14ac:dyDescent="0.25">
      <c r="A4047" s="1" t="s">
        <v>4046</v>
      </c>
      <c r="C4047" s="3">
        <v>34</v>
      </c>
      <c r="E4047" t="s">
        <v>151</v>
      </c>
    </row>
    <row r="4048" spans="1:5" x14ac:dyDescent="0.25">
      <c r="A4048" s="1" t="s">
        <v>4047</v>
      </c>
      <c r="C4048" s="3">
        <v>34</v>
      </c>
      <c r="E4048" t="s">
        <v>372</v>
      </c>
    </row>
    <row r="4049" spans="1:5" x14ac:dyDescent="0.25">
      <c r="A4049" s="1" t="s">
        <v>4048</v>
      </c>
      <c r="C4049" s="3">
        <v>34</v>
      </c>
      <c r="E4049" t="s">
        <v>5769</v>
      </c>
    </row>
    <row r="4050" spans="1:5" x14ac:dyDescent="0.25">
      <c r="A4050" s="1" t="s">
        <v>4049</v>
      </c>
      <c r="C4050" s="3">
        <v>34</v>
      </c>
      <c r="E4050" t="s">
        <v>2522</v>
      </c>
    </row>
    <row r="4051" spans="1:5" x14ac:dyDescent="0.25">
      <c r="A4051" s="1" t="s">
        <v>4050</v>
      </c>
      <c r="C4051" s="3">
        <v>34</v>
      </c>
      <c r="E4051" t="s">
        <v>12912</v>
      </c>
    </row>
    <row r="4052" spans="1:5" x14ac:dyDescent="0.25">
      <c r="A4052" s="1" t="s">
        <v>4051</v>
      </c>
      <c r="C4052" s="3">
        <v>34</v>
      </c>
      <c r="E4052" t="s">
        <v>9810</v>
      </c>
    </row>
    <row r="4053" spans="1:5" x14ac:dyDescent="0.25">
      <c r="A4053" s="1" t="s">
        <v>4052</v>
      </c>
      <c r="C4053" s="3">
        <v>34</v>
      </c>
      <c r="E4053" t="s">
        <v>4626</v>
      </c>
    </row>
    <row r="4054" spans="1:5" x14ac:dyDescent="0.25">
      <c r="A4054" s="1" t="s">
        <v>4053</v>
      </c>
      <c r="C4054" s="3">
        <v>34</v>
      </c>
      <c r="E4054" t="s">
        <v>1615</v>
      </c>
    </row>
    <row r="4055" spans="1:5" x14ac:dyDescent="0.25">
      <c r="A4055" s="1" t="s">
        <v>4054</v>
      </c>
      <c r="C4055" s="3">
        <v>34</v>
      </c>
      <c r="E4055" t="s">
        <v>8712</v>
      </c>
    </row>
    <row r="4056" spans="1:5" x14ac:dyDescent="0.25">
      <c r="A4056" s="1" t="s">
        <v>4055</v>
      </c>
      <c r="C4056" s="3">
        <v>34</v>
      </c>
      <c r="E4056" t="s">
        <v>4917</v>
      </c>
    </row>
    <row r="4057" spans="1:5" x14ac:dyDescent="0.25">
      <c r="A4057" s="1" t="s">
        <v>4056</v>
      </c>
      <c r="C4057" s="3">
        <v>34</v>
      </c>
      <c r="E4057" t="s">
        <v>8364</v>
      </c>
    </row>
    <row r="4058" spans="1:5" x14ac:dyDescent="0.25">
      <c r="A4058" s="1" t="s">
        <v>4057</v>
      </c>
      <c r="C4058" s="3">
        <v>34</v>
      </c>
      <c r="E4058" t="s">
        <v>11849</v>
      </c>
    </row>
    <row r="4059" spans="1:5" x14ac:dyDescent="0.25">
      <c r="A4059" s="1" t="s">
        <v>4058</v>
      </c>
      <c r="C4059" s="3">
        <v>34</v>
      </c>
      <c r="E4059" t="s">
        <v>1000</v>
      </c>
    </row>
    <row r="4060" spans="1:5" x14ac:dyDescent="0.25">
      <c r="A4060" s="1" t="s">
        <v>4059</v>
      </c>
      <c r="C4060" s="3">
        <v>34</v>
      </c>
      <c r="E4060" t="s">
        <v>2239</v>
      </c>
    </row>
    <row r="4061" spans="1:5" x14ac:dyDescent="0.25">
      <c r="A4061" s="1" t="s">
        <v>4060</v>
      </c>
      <c r="C4061" s="3">
        <v>34</v>
      </c>
      <c r="E4061" t="s">
        <v>5910</v>
      </c>
    </row>
    <row r="4062" spans="1:5" x14ac:dyDescent="0.25">
      <c r="A4062" s="1" t="s">
        <v>4061</v>
      </c>
      <c r="C4062" s="3">
        <v>34</v>
      </c>
      <c r="E4062" t="s">
        <v>5543</v>
      </c>
    </row>
    <row r="4063" spans="1:5" x14ac:dyDescent="0.25">
      <c r="A4063" s="1" t="s">
        <v>4062</v>
      </c>
      <c r="C4063" s="3">
        <v>34</v>
      </c>
      <c r="E4063" t="s">
        <v>10972</v>
      </c>
    </row>
    <row r="4064" spans="1:5" x14ac:dyDescent="0.25">
      <c r="A4064" s="1" t="s">
        <v>4063</v>
      </c>
      <c r="C4064" s="3">
        <v>34</v>
      </c>
      <c r="E4064" t="s">
        <v>1040</v>
      </c>
    </row>
    <row r="4065" spans="1:5" x14ac:dyDescent="0.25">
      <c r="A4065" s="1" t="s">
        <v>4064</v>
      </c>
      <c r="C4065" s="3">
        <v>34</v>
      </c>
      <c r="E4065" t="s">
        <v>7772</v>
      </c>
    </row>
    <row r="4066" spans="1:5" x14ac:dyDescent="0.25">
      <c r="A4066" s="1" t="s">
        <v>4065</v>
      </c>
      <c r="C4066" s="3">
        <v>34</v>
      </c>
      <c r="E4066" t="s">
        <v>1050</v>
      </c>
    </row>
    <row r="4067" spans="1:5" x14ac:dyDescent="0.25">
      <c r="A4067" s="1" t="s">
        <v>4066</v>
      </c>
      <c r="C4067" s="3">
        <v>34</v>
      </c>
      <c r="E4067" t="s">
        <v>5894</v>
      </c>
    </row>
    <row r="4068" spans="1:5" x14ac:dyDescent="0.25">
      <c r="A4068" s="1" t="s">
        <v>4067</v>
      </c>
      <c r="C4068" s="3">
        <v>34</v>
      </c>
      <c r="E4068" t="s">
        <v>126</v>
      </c>
    </row>
    <row r="4069" spans="1:5" x14ac:dyDescent="0.25">
      <c r="A4069" s="1" t="s">
        <v>4068</v>
      </c>
      <c r="C4069" s="3">
        <v>34</v>
      </c>
      <c r="E4069" t="s">
        <v>17653</v>
      </c>
    </row>
    <row r="4070" spans="1:5" x14ac:dyDescent="0.25">
      <c r="A4070" s="1" t="s">
        <v>4069</v>
      </c>
      <c r="C4070" s="3">
        <v>34</v>
      </c>
      <c r="E4070" t="s">
        <v>15233</v>
      </c>
    </row>
    <row r="4071" spans="1:5" x14ac:dyDescent="0.25">
      <c r="A4071" s="1" t="s">
        <v>4070</v>
      </c>
      <c r="C4071" s="3">
        <v>34</v>
      </c>
      <c r="E4071" t="s">
        <v>1677</v>
      </c>
    </row>
    <row r="4072" spans="1:5" x14ac:dyDescent="0.25">
      <c r="A4072" s="1" t="s">
        <v>4071</v>
      </c>
      <c r="C4072" s="3">
        <v>34</v>
      </c>
      <c r="E4072" t="s">
        <v>211</v>
      </c>
    </row>
    <row r="4073" spans="1:5" x14ac:dyDescent="0.25">
      <c r="A4073" s="1" t="s">
        <v>4072</v>
      </c>
      <c r="C4073" s="3">
        <v>34</v>
      </c>
      <c r="E4073" t="s">
        <v>10826</v>
      </c>
    </row>
    <row r="4074" spans="1:5" x14ac:dyDescent="0.25">
      <c r="A4074" s="1" t="s">
        <v>4073</v>
      </c>
      <c r="C4074" s="3">
        <v>34</v>
      </c>
      <c r="E4074" t="s">
        <v>3447</v>
      </c>
    </row>
    <row r="4075" spans="1:5" x14ac:dyDescent="0.25">
      <c r="A4075" s="1" t="s">
        <v>4074</v>
      </c>
      <c r="C4075" s="3">
        <v>34</v>
      </c>
      <c r="E4075" t="s">
        <v>6080</v>
      </c>
    </row>
    <row r="4076" spans="1:5" x14ac:dyDescent="0.25">
      <c r="A4076" s="1" t="s">
        <v>4075</v>
      </c>
      <c r="C4076" s="3">
        <v>34</v>
      </c>
      <c r="E4076" t="s">
        <v>1439</v>
      </c>
    </row>
    <row r="4077" spans="1:5" x14ac:dyDescent="0.25">
      <c r="A4077" s="1" t="s">
        <v>4076</v>
      </c>
      <c r="C4077" s="3">
        <v>34</v>
      </c>
      <c r="E4077" t="s">
        <v>1265</v>
      </c>
    </row>
    <row r="4078" spans="1:5" x14ac:dyDescent="0.25">
      <c r="A4078" s="1" t="s">
        <v>4077</v>
      </c>
      <c r="C4078" s="3">
        <v>34</v>
      </c>
      <c r="E4078" t="s">
        <v>1551</v>
      </c>
    </row>
    <row r="4079" spans="1:5" x14ac:dyDescent="0.25">
      <c r="A4079" s="1" t="s">
        <v>4078</v>
      </c>
      <c r="C4079" s="3">
        <v>34</v>
      </c>
      <c r="E4079" t="s">
        <v>22330</v>
      </c>
    </row>
    <row r="4080" spans="1:5" x14ac:dyDescent="0.25">
      <c r="A4080" s="1" t="s">
        <v>4079</v>
      </c>
      <c r="C4080" s="3">
        <v>34</v>
      </c>
      <c r="E4080" t="s">
        <v>25489</v>
      </c>
    </row>
    <row r="4081" spans="1:5" x14ac:dyDescent="0.25">
      <c r="A4081" s="1" t="s">
        <v>4080</v>
      </c>
      <c r="C4081" s="3">
        <v>34</v>
      </c>
      <c r="E4081" t="s">
        <v>1241</v>
      </c>
    </row>
    <row r="4082" spans="1:5" x14ac:dyDescent="0.25">
      <c r="A4082" s="1" t="s">
        <v>4081</v>
      </c>
      <c r="C4082" s="3">
        <v>34</v>
      </c>
      <c r="E4082" t="s">
        <v>216</v>
      </c>
    </row>
    <row r="4083" spans="1:5" x14ac:dyDescent="0.25">
      <c r="A4083" s="1" t="s">
        <v>4082</v>
      </c>
      <c r="C4083" s="3">
        <v>34</v>
      </c>
      <c r="E4083" t="s">
        <v>24771</v>
      </c>
    </row>
    <row r="4084" spans="1:5" x14ac:dyDescent="0.25">
      <c r="A4084" s="1" t="s">
        <v>4083</v>
      </c>
      <c r="C4084" s="3">
        <v>34</v>
      </c>
      <c r="E4084" t="s">
        <v>17701</v>
      </c>
    </row>
    <row r="4085" spans="1:5" x14ac:dyDescent="0.25">
      <c r="A4085" s="1" t="s">
        <v>4084</v>
      </c>
      <c r="C4085" s="3">
        <v>34</v>
      </c>
      <c r="E4085" t="s">
        <v>958</v>
      </c>
    </row>
    <row r="4086" spans="1:5" x14ac:dyDescent="0.25">
      <c r="A4086" s="1" t="s">
        <v>4085</v>
      </c>
      <c r="C4086" s="3">
        <v>34</v>
      </c>
      <c r="E4086" t="s">
        <v>3462</v>
      </c>
    </row>
    <row r="4087" spans="1:5" x14ac:dyDescent="0.25">
      <c r="A4087" s="1" t="s">
        <v>4086</v>
      </c>
      <c r="C4087" s="3">
        <v>34</v>
      </c>
      <c r="E4087" t="s">
        <v>6382</v>
      </c>
    </row>
    <row r="4088" spans="1:5" x14ac:dyDescent="0.25">
      <c r="A4088" s="1" t="s">
        <v>4087</v>
      </c>
      <c r="C4088" s="3">
        <v>34</v>
      </c>
      <c r="E4088" t="s">
        <v>300</v>
      </c>
    </row>
    <row r="4089" spans="1:5" x14ac:dyDescent="0.25">
      <c r="A4089" s="1" t="s">
        <v>4088</v>
      </c>
      <c r="C4089" s="3">
        <v>34</v>
      </c>
      <c r="E4089" t="s">
        <v>2500</v>
      </c>
    </row>
    <row r="4090" spans="1:5" x14ac:dyDescent="0.25">
      <c r="A4090" s="1" t="s">
        <v>4089</v>
      </c>
      <c r="C4090" s="3">
        <v>34</v>
      </c>
      <c r="E4090" t="s">
        <v>5595</v>
      </c>
    </row>
    <row r="4091" spans="1:5" x14ac:dyDescent="0.25">
      <c r="A4091" s="1" t="s">
        <v>4090</v>
      </c>
      <c r="C4091" s="3">
        <v>34</v>
      </c>
      <c r="E4091" t="s">
        <v>8426</v>
      </c>
    </row>
    <row r="4092" spans="1:5" x14ac:dyDescent="0.25">
      <c r="A4092" s="1" t="s">
        <v>4091</v>
      </c>
      <c r="C4092" s="3">
        <v>34</v>
      </c>
      <c r="E4092" t="s">
        <v>4562</v>
      </c>
    </row>
    <row r="4093" spans="1:5" x14ac:dyDescent="0.25">
      <c r="A4093" s="1" t="s">
        <v>4092</v>
      </c>
      <c r="C4093" s="3">
        <v>34</v>
      </c>
      <c r="E4093" t="s">
        <v>547</v>
      </c>
    </row>
    <row r="4094" spans="1:5" x14ac:dyDescent="0.25">
      <c r="A4094" s="1" t="s">
        <v>4093</v>
      </c>
      <c r="C4094" s="3">
        <v>34</v>
      </c>
      <c r="E4094" t="s">
        <v>2130</v>
      </c>
    </row>
    <row r="4095" spans="1:5" x14ac:dyDescent="0.25">
      <c r="A4095" s="1" t="s">
        <v>4094</v>
      </c>
      <c r="C4095" s="3">
        <v>34</v>
      </c>
      <c r="E4095" t="s">
        <v>2313</v>
      </c>
    </row>
    <row r="4096" spans="1:5" x14ac:dyDescent="0.25">
      <c r="A4096" s="1" t="s">
        <v>4095</v>
      </c>
      <c r="C4096" s="3">
        <v>34</v>
      </c>
      <c r="E4096" t="s">
        <v>362</v>
      </c>
    </row>
    <row r="4097" spans="1:5" x14ac:dyDescent="0.25">
      <c r="A4097" s="1" t="s">
        <v>4096</v>
      </c>
      <c r="C4097" s="3">
        <v>34</v>
      </c>
      <c r="E4097" t="s">
        <v>3414</v>
      </c>
    </row>
    <row r="4098" spans="1:5" x14ac:dyDescent="0.25">
      <c r="A4098" s="1" t="s">
        <v>4097</v>
      </c>
      <c r="C4098" s="3">
        <v>34</v>
      </c>
      <c r="E4098" t="s">
        <v>9269</v>
      </c>
    </row>
    <row r="4099" spans="1:5" x14ac:dyDescent="0.25">
      <c r="A4099" s="1" t="s">
        <v>4098</v>
      </c>
      <c r="C4099" s="3">
        <v>34</v>
      </c>
      <c r="E4099" t="s">
        <v>57</v>
      </c>
    </row>
    <row r="4100" spans="1:5" x14ac:dyDescent="0.25">
      <c r="A4100" s="1" t="s">
        <v>4099</v>
      </c>
      <c r="C4100" s="3">
        <v>34</v>
      </c>
      <c r="E4100" t="s">
        <v>2763</v>
      </c>
    </row>
    <row r="4101" spans="1:5" x14ac:dyDescent="0.25">
      <c r="A4101" s="1" t="s">
        <v>4100</v>
      </c>
      <c r="C4101" s="3">
        <v>34</v>
      </c>
      <c r="E4101" t="s">
        <v>21125</v>
      </c>
    </row>
    <row r="4102" spans="1:5" x14ac:dyDescent="0.25">
      <c r="A4102" s="1" t="s">
        <v>4101</v>
      </c>
      <c r="C4102" s="3">
        <v>34</v>
      </c>
      <c r="E4102" t="s">
        <v>668</v>
      </c>
    </row>
    <row r="4103" spans="1:5" x14ac:dyDescent="0.25">
      <c r="A4103" s="1" t="s">
        <v>4102</v>
      </c>
      <c r="C4103" s="3">
        <v>34</v>
      </c>
      <c r="E4103" t="s">
        <v>731</v>
      </c>
    </row>
    <row r="4104" spans="1:5" x14ac:dyDescent="0.25">
      <c r="A4104" s="1" t="s">
        <v>4103</v>
      </c>
      <c r="C4104" s="3">
        <v>34</v>
      </c>
      <c r="E4104" t="s">
        <v>1125</v>
      </c>
    </row>
    <row r="4105" spans="1:5" x14ac:dyDescent="0.25">
      <c r="A4105" s="1" t="s">
        <v>4104</v>
      </c>
      <c r="C4105" s="3">
        <v>34</v>
      </c>
      <c r="E4105" t="s">
        <v>8611</v>
      </c>
    </row>
    <row r="4106" spans="1:5" x14ac:dyDescent="0.25">
      <c r="A4106" s="1" t="s">
        <v>4105</v>
      </c>
      <c r="C4106" s="3">
        <v>34</v>
      </c>
      <c r="E4106" t="s">
        <v>7457</v>
      </c>
    </row>
    <row r="4107" spans="1:5" x14ac:dyDescent="0.25">
      <c r="A4107" s="1" t="s">
        <v>4106</v>
      </c>
      <c r="C4107" s="3">
        <v>34</v>
      </c>
      <c r="E4107" t="s">
        <v>1323</v>
      </c>
    </row>
    <row r="4108" spans="1:5" x14ac:dyDescent="0.25">
      <c r="A4108" s="1" t="s">
        <v>4107</v>
      </c>
      <c r="C4108" s="3">
        <v>34</v>
      </c>
      <c r="E4108" t="s">
        <v>6644</v>
      </c>
    </row>
    <row r="4109" spans="1:5" x14ac:dyDescent="0.25">
      <c r="A4109" s="1" t="s">
        <v>4108</v>
      </c>
      <c r="C4109" s="3">
        <v>34</v>
      </c>
      <c r="E4109" t="s">
        <v>7923</v>
      </c>
    </row>
    <row r="4110" spans="1:5" x14ac:dyDescent="0.25">
      <c r="A4110" s="1" t="s">
        <v>4109</v>
      </c>
      <c r="C4110" s="3">
        <v>34</v>
      </c>
      <c r="E4110" t="s">
        <v>8086</v>
      </c>
    </row>
    <row r="4111" spans="1:5" x14ac:dyDescent="0.25">
      <c r="A4111" s="1" t="s">
        <v>4110</v>
      </c>
      <c r="C4111" s="3">
        <v>34</v>
      </c>
      <c r="E4111" t="s">
        <v>3115</v>
      </c>
    </row>
    <row r="4112" spans="1:5" x14ac:dyDescent="0.25">
      <c r="A4112" s="1" t="s">
        <v>4111</v>
      </c>
      <c r="C4112" s="3">
        <v>34</v>
      </c>
      <c r="E4112" t="s">
        <v>10414</v>
      </c>
    </row>
    <row r="4113" spans="1:5" x14ac:dyDescent="0.25">
      <c r="A4113" s="1" t="s">
        <v>4112</v>
      </c>
      <c r="C4113" s="3">
        <v>34</v>
      </c>
      <c r="E4113" t="s">
        <v>1172</v>
      </c>
    </row>
    <row r="4114" spans="1:5" x14ac:dyDescent="0.25">
      <c r="A4114" s="1" t="s">
        <v>4113</v>
      </c>
      <c r="C4114" s="3">
        <v>34</v>
      </c>
      <c r="E4114" t="s">
        <v>14038</v>
      </c>
    </row>
    <row r="4115" spans="1:5" x14ac:dyDescent="0.25">
      <c r="A4115" s="1" t="s">
        <v>4114</v>
      </c>
      <c r="C4115" s="3">
        <v>34</v>
      </c>
      <c r="E4115" t="s">
        <v>2780</v>
      </c>
    </row>
    <row r="4116" spans="1:5" x14ac:dyDescent="0.25">
      <c r="A4116" s="1" t="s">
        <v>4115</v>
      </c>
      <c r="C4116" s="3">
        <v>34</v>
      </c>
      <c r="E4116" t="s">
        <v>3304</v>
      </c>
    </row>
    <row r="4117" spans="1:5" x14ac:dyDescent="0.25">
      <c r="A4117" s="1" t="s">
        <v>4116</v>
      </c>
      <c r="C4117" s="3">
        <v>34</v>
      </c>
      <c r="E4117" t="s">
        <v>6127</v>
      </c>
    </row>
    <row r="4118" spans="1:5" x14ac:dyDescent="0.25">
      <c r="A4118" s="1" t="s">
        <v>4117</v>
      </c>
      <c r="C4118" s="3">
        <v>34</v>
      </c>
      <c r="E4118" t="s">
        <v>1465</v>
      </c>
    </row>
    <row r="4119" spans="1:5" x14ac:dyDescent="0.25">
      <c r="A4119" s="1" t="s">
        <v>4118</v>
      </c>
      <c r="C4119" s="3">
        <v>33</v>
      </c>
      <c r="E4119" t="s">
        <v>1081</v>
      </c>
    </row>
    <row r="4120" spans="1:5" x14ac:dyDescent="0.25">
      <c r="A4120" s="1" t="s">
        <v>4119</v>
      </c>
      <c r="C4120" s="3">
        <v>33</v>
      </c>
      <c r="E4120" t="s">
        <v>263</v>
      </c>
    </row>
    <row r="4121" spans="1:5" x14ac:dyDescent="0.25">
      <c r="A4121" s="1" t="s">
        <v>4120</v>
      </c>
      <c r="C4121" s="3">
        <v>33</v>
      </c>
      <c r="E4121" t="s">
        <v>7339</v>
      </c>
    </row>
    <row r="4122" spans="1:5" x14ac:dyDescent="0.25">
      <c r="A4122" s="1" t="s">
        <v>4121</v>
      </c>
      <c r="C4122" s="3">
        <v>33</v>
      </c>
      <c r="E4122" t="s">
        <v>3094</v>
      </c>
    </row>
    <row r="4123" spans="1:5" x14ac:dyDescent="0.25">
      <c r="A4123" s="1" t="s">
        <v>4122</v>
      </c>
      <c r="C4123" s="3">
        <v>33</v>
      </c>
      <c r="E4123" t="s">
        <v>14610</v>
      </c>
    </row>
    <row r="4124" spans="1:5" x14ac:dyDescent="0.25">
      <c r="A4124" s="1" t="s">
        <v>4123</v>
      </c>
      <c r="C4124" s="3">
        <v>33</v>
      </c>
      <c r="E4124" t="s">
        <v>4532</v>
      </c>
    </row>
    <row r="4125" spans="1:5" x14ac:dyDescent="0.25">
      <c r="A4125" s="1" t="s">
        <v>4124</v>
      </c>
      <c r="C4125" s="3">
        <v>33</v>
      </c>
      <c r="E4125" t="s">
        <v>6868</v>
      </c>
    </row>
    <row r="4126" spans="1:5" x14ac:dyDescent="0.25">
      <c r="A4126" s="1" t="s">
        <v>4125</v>
      </c>
      <c r="C4126" s="3">
        <v>33</v>
      </c>
      <c r="E4126" t="s">
        <v>1687</v>
      </c>
    </row>
    <row r="4127" spans="1:5" x14ac:dyDescent="0.25">
      <c r="A4127" s="1" t="s">
        <v>4126</v>
      </c>
      <c r="C4127" s="3">
        <v>33</v>
      </c>
      <c r="E4127" t="s">
        <v>446</v>
      </c>
    </row>
    <row r="4128" spans="1:5" x14ac:dyDescent="0.25">
      <c r="A4128" s="1" t="s">
        <v>4127</v>
      </c>
      <c r="C4128" s="3">
        <v>33</v>
      </c>
      <c r="E4128" t="s">
        <v>5396</v>
      </c>
    </row>
    <row r="4129" spans="1:5" x14ac:dyDescent="0.25">
      <c r="A4129" s="1" t="s">
        <v>4128</v>
      </c>
      <c r="C4129" s="3">
        <v>33</v>
      </c>
      <c r="E4129" t="s">
        <v>3126</v>
      </c>
    </row>
    <row r="4130" spans="1:5" x14ac:dyDescent="0.25">
      <c r="A4130" s="1" t="s">
        <v>4129</v>
      </c>
      <c r="C4130" s="3">
        <v>33</v>
      </c>
      <c r="E4130" t="s">
        <v>9012</v>
      </c>
    </row>
    <row r="4131" spans="1:5" x14ac:dyDescent="0.25">
      <c r="A4131" s="1" t="s">
        <v>4130</v>
      </c>
      <c r="C4131" s="3">
        <v>33</v>
      </c>
      <c r="E4131" t="s">
        <v>5753</v>
      </c>
    </row>
    <row r="4132" spans="1:5" x14ac:dyDescent="0.25">
      <c r="A4132" s="1" t="s">
        <v>4131</v>
      </c>
      <c r="C4132" s="3">
        <v>33</v>
      </c>
      <c r="E4132" t="s">
        <v>6106</v>
      </c>
    </row>
    <row r="4133" spans="1:5" x14ac:dyDescent="0.25">
      <c r="A4133" s="1" t="s">
        <v>4132</v>
      </c>
      <c r="C4133" s="3">
        <v>33</v>
      </c>
      <c r="E4133" t="s">
        <v>6731</v>
      </c>
    </row>
    <row r="4134" spans="1:5" x14ac:dyDescent="0.25">
      <c r="A4134" s="1" t="s">
        <v>4133</v>
      </c>
      <c r="C4134" s="3">
        <v>33</v>
      </c>
      <c r="E4134" t="s">
        <v>14181</v>
      </c>
    </row>
    <row r="4135" spans="1:5" x14ac:dyDescent="0.25">
      <c r="A4135" s="1" t="s">
        <v>4134</v>
      </c>
      <c r="C4135" s="3">
        <v>33</v>
      </c>
      <c r="E4135" t="s">
        <v>18572</v>
      </c>
    </row>
    <row r="4136" spans="1:5" x14ac:dyDescent="0.25">
      <c r="A4136" s="1" t="s">
        <v>4135</v>
      </c>
      <c r="C4136" s="3">
        <v>33</v>
      </c>
      <c r="E4136" t="s">
        <v>7442</v>
      </c>
    </row>
    <row r="4137" spans="1:5" x14ac:dyDescent="0.25">
      <c r="A4137" s="1" t="s">
        <v>4136</v>
      </c>
      <c r="C4137" s="3">
        <v>33</v>
      </c>
      <c r="E4137" t="s">
        <v>203</v>
      </c>
    </row>
    <row r="4138" spans="1:5" x14ac:dyDescent="0.25">
      <c r="A4138" s="1" t="s">
        <v>4137</v>
      </c>
      <c r="C4138" s="3">
        <v>33</v>
      </c>
      <c r="E4138" t="s">
        <v>7609</v>
      </c>
    </row>
    <row r="4139" spans="1:5" x14ac:dyDescent="0.25">
      <c r="A4139" s="1" t="s">
        <v>4138</v>
      </c>
      <c r="C4139" s="3">
        <v>33</v>
      </c>
      <c r="E4139" t="s">
        <v>10381</v>
      </c>
    </row>
    <row r="4140" spans="1:5" x14ac:dyDescent="0.25">
      <c r="A4140" s="1" t="s">
        <v>4139</v>
      </c>
      <c r="C4140" s="3">
        <v>33</v>
      </c>
      <c r="E4140" t="s">
        <v>6414</v>
      </c>
    </row>
    <row r="4141" spans="1:5" x14ac:dyDescent="0.25">
      <c r="A4141" s="1" t="s">
        <v>4140</v>
      </c>
      <c r="C4141" s="3">
        <v>33</v>
      </c>
      <c r="E4141" t="s">
        <v>20112</v>
      </c>
    </row>
    <row r="4142" spans="1:5" x14ac:dyDescent="0.25">
      <c r="A4142" s="1" t="s">
        <v>4141</v>
      </c>
      <c r="C4142" s="3">
        <v>33</v>
      </c>
      <c r="E4142" t="s">
        <v>4387</v>
      </c>
    </row>
    <row r="4143" spans="1:5" x14ac:dyDescent="0.25">
      <c r="A4143" s="1" t="s">
        <v>4142</v>
      </c>
      <c r="C4143" s="3">
        <v>33</v>
      </c>
      <c r="E4143" t="s">
        <v>3966</v>
      </c>
    </row>
    <row r="4144" spans="1:5" x14ac:dyDescent="0.25">
      <c r="A4144" s="1" t="s">
        <v>4143</v>
      </c>
      <c r="C4144" s="3">
        <v>33</v>
      </c>
      <c r="E4144" t="s">
        <v>10951</v>
      </c>
    </row>
    <row r="4145" spans="1:5" x14ac:dyDescent="0.25">
      <c r="A4145" s="1" t="s">
        <v>4144</v>
      </c>
      <c r="C4145" s="3">
        <v>33</v>
      </c>
      <c r="E4145" t="s">
        <v>8169</v>
      </c>
    </row>
    <row r="4146" spans="1:5" x14ac:dyDescent="0.25">
      <c r="A4146" s="1" t="s">
        <v>4145</v>
      </c>
      <c r="C4146" s="3">
        <v>33</v>
      </c>
      <c r="E4146" t="s">
        <v>2204</v>
      </c>
    </row>
    <row r="4147" spans="1:5" x14ac:dyDescent="0.25">
      <c r="A4147" s="1" t="s">
        <v>4146</v>
      </c>
      <c r="C4147" s="3">
        <v>33</v>
      </c>
      <c r="E4147" t="s">
        <v>8724</v>
      </c>
    </row>
    <row r="4148" spans="1:5" x14ac:dyDescent="0.25">
      <c r="A4148" s="1" t="s">
        <v>4147</v>
      </c>
      <c r="C4148" s="3">
        <v>33</v>
      </c>
      <c r="E4148" t="s">
        <v>17517</v>
      </c>
    </row>
    <row r="4149" spans="1:5" x14ac:dyDescent="0.25">
      <c r="A4149" s="1" t="s">
        <v>4148</v>
      </c>
      <c r="C4149" s="3">
        <v>33</v>
      </c>
      <c r="E4149" t="s">
        <v>659</v>
      </c>
    </row>
    <row r="4150" spans="1:5" x14ac:dyDescent="0.25">
      <c r="A4150" s="1" t="s">
        <v>4149</v>
      </c>
      <c r="C4150" s="3">
        <v>33</v>
      </c>
      <c r="E4150" t="s">
        <v>568</v>
      </c>
    </row>
    <row r="4151" spans="1:5" x14ac:dyDescent="0.25">
      <c r="A4151" s="1" t="s">
        <v>4150</v>
      </c>
      <c r="C4151" s="3">
        <v>33</v>
      </c>
      <c r="E4151" t="s">
        <v>18057</v>
      </c>
    </row>
    <row r="4152" spans="1:5" x14ac:dyDescent="0.25">
      <c r="A4152" s="1" t="s">
        <v>4151</v>
      </c>
      <c r="C4152" s="3">
        <v>33</v>
      </c>
      <c r="E4152" t="s">
        <v>13331</v>
      </c>
    </row>
    <row r="4153" spans="1:5" x14ac:dyDescent="0.25">
      <c r="A4153" s="1" t="s">
        <v>4152</v>
      </c>
      <c r="C4153" s="3">
        <v>33</v>
      </c>
      <c r="E4153" t="s">
        <v>4901</v>
      </c>
    </row>
    <row r="4154" spans="1:5" x14ac:dyDescent="0.25">
      <c r="A4154" s="1" t="s">
        <v>4153</v>
      </c>
      <c r="C4154" s="3">
        <v>33</v>
      </c>
      <c r="E4154" t="s">
        <v>198</v>
      </c>
    </row>
    <row r="4155" spans="1:5" x14ac:dyDescent="0.25">
      <c r="A4155" s="1" t="s">
        <v>4154</v>
      </c>
      <c r="C4155" s="3">
        <v>33</v>
      </c>
      <c r="E4155" t="s">
        <v>3531</v>
      </c>
    </row>
    <row r="4156" spans="1:5" x14ac:dyDescent="0.25">
      <c r="A4156" s="1" t="s">
        <v>4155</v>
      </c>
      <c r="C4156" s="3">
        <v>33</v>
      </c>
      <c r="E4156" t="s">
        <v>817</v>
      </c>
    </row>
    <row r="4157" spans="1:5" x14ac:dyDescent="0.25">
      <c r="A4157" s="1" t="s">
        <v>4156</v>
      </c>
      <c r="C4157" s="3">
        <v>33</v>
      </c>
      <c r="E4157" t="s">
        <v>2609</v>
      </c>
    </row>
    <row r="4158" spans="1:5" x14ac:dyDescent="0.25">
      <c r="A4158" s="1" t="s">
        <v>4157</v>
      </c>
      <c r="C4158" s="3">
        <v>33</v>
      </c>
      <c r="E4158" t="s">
        <v>1483</v>
      </c>
    </row>
    <row r="4159" spans="1:5" x14ac:dyDescent="0.25">
      <c r="A4159" s="1" t="s">
        <v>4158</v>
      </c>
      <c r="C4159" s="3">
        <v>33</v>
      </c>
      <c r="E4159" t="s">
        <v>14806</v>
      </c>
    </row>
    <row r="4160" spans="1:5" x14ac:dyDescent="0.25">
      <c r="A4160" s="1" t="s">
        <v>4159</v>
      </c>
      <c r="C4160" s="3">
        <v>33</v>
      </c>
      <c r="E4160" t="s">
        <v>8218</v>
      </c>
    </row>
    <row r="4161" spans="1:5" x14ac:dyDescent="0.25">
      <c r="A4161" s="1" t="s">
        <v>4160</v>
      </c>
      <c r="C4161" s="3">
        <v>33</v>
      </c>
      <c r="E4161" t="s">
        <v>9327</v>
      </c>
    </row>
    <row r="4162" spans="1:5" x14ac:dyDescent="0.25">
      <c r="A4162" s="1" t="s">
        <v>4161</v>
      </c>
      <c r="C4162" s="3">
        <v>33</v>
      </c>
      <c r="E4162" t="s">
        <v>1690</v>
      </c>
    </row>
    <row r="4163" spans="1:5" x14ac:dyDescent="0.25">
      <c r="A4163" s="1" t="s">
        <v>4162</v>
      </c>
      <c r="C4163" s="3">
        <v>33</v>
      </c>
      <c r="E4163" t="s">
        <v>11214</v>
      </c>
    </row>
    <row r="4164" spans="1:5" x14ac:dyDescent="0.25">
      <c r="A4164" s="1" t="s">
        <v>4163</v>
      </c>
      <c r="C4164" s="3">
        <v>33</v>
      </c>
      <c r="E4164" t="s">
        <v>815</v>
      </c>
    </row>
    <row r="4165" spans="1:5" x14ac:dyDescent="0.25">
      <c r="A4165" s="1" t="s">
        <v>4164</v>
      </c>
      <c r="C4165" s="3">
        <v>33</v>
      </c>
      <c r="E4165" t="s">
        <v>8424</v>
      </c>
    </row>
    <row r="4166" spans="1:5" x14ac:dyDescent="0.25">
      <c r="A4166" s="1" t="s">
        <v>4165</v>
      </c>
      <c r="C4166" s="3">
        <v>33</v>
      </c>
      <c r="E4166" t="s">
        <v>13</v>
      </c>
    </row>
    <row r="4167" spans="1:5" x14ac:dyDescent="0.25">
      <c r="A4167" s="1" t="s">
        <v>4166</v>
      </c>
      <c r="C4167" s="3">
        <v>33</v>
      </c>
      <c r="E4167" t="s">
        <v>3148</v>
      </c>
    </row>
    <row r="4168" spans="1:5" x14ac:dyDescent="0.25">
      <c r="A4168" s="1" t="s">
        <v>4167</v>
      </c>
      <c r="C4168" s="3">
        <v>33</v>
      </c>
      <c r="E4168" t="s">
        <v>2047</v>
      </c>
    </row>
    <row r="4169" spans="1:5" x14ac:dyDescent="0.25">
      <c r="A4169" s="1" t="s">
        <v>4168</v>
      </c>
      <c r="C4169" s="3">
        <v>33</v>
      </c>
      <c r="E4169" t="s">
        <v>2724</v>
      </c>
    </row>
    <row r="4170" spans="1:5" x14ac:dyDescent="0.25">
      <c r="A4170" s="1" t="s">
        <v>4169</v>
      </c>
      <c r="C4170" s="3">
        <v>33</v>
      </c>
      <c r="E4170" t="s">
        <v>4023</v>
      </c>
    </row>
    <row r="4171" spans="1:5" x14ac:dyDescent="0.25">
      <c r="A4171" s="1" t="s">
        <v>4170</v>
      </c>
      <c r="C4171" s="3">
        <v>33</v>
      </c>
      <c r="E4171" t="s">
        <v>2017</v>
      </c>
    </row>
    <row r="4172" spans="1:5" x14ac:dyDescent="0.25">
      <c r="A4172" s="1" t="s">
        <v>4171</v>
      </c>
      <c r="C4172" s="3">
        <v>33</v>
      </c>
      <c r="E4172" t="s">
        <v>5587</v>
      </c>
    </row>
    <row r="4173" spans="1:5" x14ac:dyDescent="0.25">
      <c r="A4173" s="1" t="s">
        <v>4172</v>
      </c>
      <c r="C4173" s="3">
        <v>33</v>
      </c>
      <c r="E4173" t="s">
        <v>10853</v>
      </c>
    </row>
    <row r="4174" spans="1:5" x14ac:dyDescent="0.25">
      <c r="A4174" s="1" t="s">
        <v>4173</v>
      </c>
      <c r="C4174" s="3">
        <v>33</v>
      </c>
      <c r="E4174" t="s">
        <v>2389</v>
      </c>
    </row>
    <row r="4175" spans="1:5" x14ac:dyDescent="0.25">
      <c r="A4175" s="1" t="s">
        <v>4174</v>
      </c>
      <c r="C4175" s="3">
        <v>33</v>
      </c>
      <c r="E4175" t="s">
        <v>3066</v>
      </c>
    </row>
    <row r="4176" spans="1:5" x14ac:dyDescent="0.25">
      <c r="A4176" s="1" t="s">
        <v>4175</v>
      </c>
      <c r="C4176" s="3">
        <v>33</v>
      </c>
      <c r="E4176" t="s">
        <v>14724</v>
      </c>
    </row>
    <row r="4177" spans="1:5" x14ac:dyDescent="0.25">
      <c r="A4177" s="1" t="s">
        <v>4176</v>
      </c>
      <c r="C4177" s="3">
        <v>33</v>
      </c>
      <c r="E4177" t="s">
        <v>163</v>
      </c>
    </row>
    <row r="4178" spans="1:5" x14ac:dyDescent="0.25">
      <c r="A4178" s="1" t="s">
        <v>4177</v>
      </c>
      <c r="C4178" s="3">
        <v>33</v>
      </c>
      <c r="E4178" t="s">
        <v>9221</v>
      </c>
    </row>
    <row r="4179" spans="1:5" x14ac:dyDescent="0.25">
      <c r="A4179" s="1" t="s">
        <v>4178</v>
      </c>
      <c r="C4179" s="3">
        <v>33</v>
      </c>
      <c r="E4179" t="s">
        <v>6137</v>
      </c>
    </row>
    <row r="4180" spans="1:5" x14ac:dyDescent="0.25">
      <c r="A4180" s="1" t="s">
        <v>4179</v>
      </c>
      <c r="C4180" s="3">
        <v>33</v>
      </c>
      <c r="E4180" t="s">
        <v>15207</v>
      </c>
    </row>
    <row r="4181" spans="1:5" x14ac:dyDescent="0.25">
      <c r="A4181" s="1" t="s">
        <v>4180</v>
      </c>
      <c r="C4181" s="3">
        <v>33</v>
      </c>
      <c r="E4181" t="s">
        <v>1192</v>
      </c>
    </row>
    <row r="4182" spans="1:5" x14ac:dyDescent="0.25">
      <c r="A4182" s="1" t="s">
        <v>4181</v>
      </c>
      <c r="C4182" s="3">
        <v>33</v>
      </c>
      <c r="E4182" t="s">
        <v>3346</v>
      </c>
    </row>
    <row r="4183" spans="1:5" x14ac:dyDescent="0.25">
      <c r="A4183" s="1" t="s">
        <v>4182</v>
      </c>
      <c r="C4183" s="3">
        <v>33</v>
      </c>
      <c r="E4183" t="s">
        <v>10058</v>
      </c>
    </row>
    <row r="4184" spans="1:5" x14ac:dyDescent="0.25">
      <c r="A4184" s="1" t="s">
        <v>4183</v>
      </c>
      <c r="C4184" s="3">
        <v>33</v>
      </c>
      <c r="E4184" t="s">
        <v>10219</v>
      </c>
    </row>
    <row r="4185" spans="1:5" x14ac:dyDescent="0.25">
      <c r="A4185" s="1" t="s">
        <v>4184</v>
      </c>
      <c r="C4185" s="3">
        <v>33</v>
      </c>
      <c r="E4185" t="s">
        <v>12463</v>
      </c>
    </row>
    <row r="4186" spans="1:5" x14ac:dyDescent="0.25">
      <c r="A4186" s="1" t="s">
        <v>4185</v>
      </c>
      <c r="C4186" s="3">
        <v>33</v>
      </c>
      <c r="E4186" t="s">
        <v>1562</v>
      </c>
    </row>
    <row r="4187" spans="1:5" x14ac:dyDescent="0.25">
      <c r="A4187" s="1" t="s">
        <v>4186</v>
      </c>
      <c r="C4187" s="3">
        <v>33</v>
      </c>
      <c r="E4187" t="s">
        <v>6275</v>
      </c>
    </row>
    <row r="4188" spans="1:5" x14ac:dyDescent="0.25">
      <c r="A4188" s="1" t="s">
        <v>4187</v>
      </c>
      <c r="C4188" s="3">
        <v>33</v>
      </c>
      <c r="E4188" t="s">
        <v>7142</v>
      </c>
    </row>
    <row r="4189" spans="1:5" x14ac:dyDescent="0.25">
      <c r="A4189" s="1" t="s">
        <v>4188</v>
      </c>
      <c r="C4189" s="3">
        <v>33</v>
      </c>
      <c r="E4189" t="s">
        <v>3416</v>
      </c>
    </row>
    <row r="4190" spans="1:5" x14ac:dyDescent="0.25">
      <c r="A4190" s="1" t="s">
        <v>4189</v>
      </c>
      <c r="C4190" s="3">
        <v>33</v>
      </c>
      <c r="E4190" t="s">
        <v>4688</v>
      </c>
    </row>
    <row r="4191" spans="1:5" x14ac:dyDescent="0.25">
      <c r="A4191" s="1" t="s">
        <v>4190</v>
      </c>
      <c r="C4191" s="3">
        <v>33</v>
      </c>
      <c r="E4191" t="s">
        <v>2723</v>
      </c>
    </row>
    <row r="4192" spans="1:5" x14ac:dyDescent="0.25">
      <c r="A4192" s="1" t="s">
        <v>4191</v>
      </c>
      <c r="C4192" s="3">
        <v>33</v>
      </c>
      <c r="E4192" t="s">
        <v>7042</v>
      </c>
    </row>
    <row r="4193" spans="1:5" x14ac:dyDescent="0.25">
      <c r="A4193" s="1" t="s">
        <v>4192</v>
      </c>
      <c r="C4193" s="3">
        <v>33</v>
      </c>
      <c r="E4193" t="s">
        <v>3571</v>
      </c>
    </row>
    <row r="4194" spans="1:5" x14ac:dyDescent="0.25">
      <c r="A4194" s="1" t="s">
        <v>4193</v>
      </c>
      <c r="C4194" s="3">
        <v>33</v>
      </c>
      <c r="E4194" t="s">
        <v>1762</v>
      </c>
    </row>
    <row r="4195" spans="1:5" x14ac:dyDescent="0.25">
      <c r="A4195" s="1" t="s">
        <v>4194</v>
      </c>
      <c r="C4195" s="3">
        <v>33</v>
      </c>
      <c r="E4195" t="s">
        <v>1158</v>
      </c>
    </row>
    <row r="4196" spans="1:5" x14ac:dyDescent="0.25">
      <c r="A4196" s="1" t="s">
        <v>4195</v>
      </c>
      <c r="C4196" s="3">
        <v>33</v>
      </c>
      <c r="E4196" t="s">
        <v>23261</v>
      </c>
    </row>
    <row r="4197" spans="1:5" x14ac:dyDescent="0.25">
      <c r="A4197" s="1" t="s">
        <v>4196</v>
      </c>
      <c r="C4197" s="3">
        <v>33</v>
      </c>
      <c r="E4197" t="s">
        <v>3321</v>
      </c>
    </row>
    <row r="4198" spans="1:5" x14ac:dyDescent="0.25">
      <c r="A4198" s="1" t="s">
        <v>4197</v>
      </c>
      <c r="C4198" s="3">
        <v>33</v>
      </c>
      <c r="E4198" t="s">
        <v>3485</v>
      </c>
    </row>
    <row r="4199" spans="1:5" x14ac:dyDescent="0.25">
      <c r="A4199" s="1" t="s">
        <v>4198</v>
      </c>
      <c r="C4199" s="3">
        <v>33</v>
      </c>
      <c r="E4199" t="s">
        <v>365</v>
      </c>
    </row>
    <row r="4200" spans="1:5" x14ac:dyDescent="0.25">
      <c r="A4200" s="1" t="s">
        <v>4199</v>
      </c>
      <c r="C4200" s="3">
        <v>33</v>
      </c>
      <c r="E4200" t="s">
        <v>20353</v>
      </c>
    </row>
    <row r="4201" spans="1:5" x14ac:dyDescent="0.25">
      <c r="A4201" s="1" t="s">
        <v>4200</v>
      </c>
      <c r="C4201" s="3">
        <v>33</v>
      </c>
      <c r="E4201" t="s">
        <v>42</v>
      </c>
    </row>
    <row r="4202" spans="1:5" x14ac:dyDescent="0.25">
      <c r="A4202" s="1" t="s">
        <v>4201</v>
      </c>
      <c r="C4202" s="3">
        <v>33</v>
      </c>
      <c r="E4202" t="s">
        <v>2071</v>
      </c>
    </row>
    <row r="4203" spans="1:5" x14ac:dyDescent="0.25">
      <c r="A4203" s="1" t="s">
        <v>4202</v>
      </c>
      <c r="C4203" s="3">
        <v>33</v>
      </c>
      <c r="E4203" t="s">
        <v>1216</v>
      </c>
    </row>
    <row r="4204" spans="1:5" x14ac:dyDescent="0.25">
      <c r="A4204" s="1" t="s">
        <v>4203</v>
      </c>
      <c r="C4204" s="3">
        <v>33</v>
      </c>
      <c r="E4204" t="s">
        <v>17491</v>
      </c>
    </row>
    <row r="4205" spans="1:5" x14ac:dyDescent="0.25">
      <c r="A4205" s="1" t="s">
        <v>4204</v>
      </c>
      <c r="C4205" s="3">
        <v>33</v>
      </c>
      <c r="E4205" t="s">
        <v>3384</v>
      </c>
    </row>
    <row r="4206" spans="1:5" x14ac:dyDescent="0.25">
      <c r="A4206" s="1" t="s">
        <v>4205</v>
      </c>
      <c r="C4206" s="3">
        <v>33</v>
      </c>
      <c r="E4206" t="s">
        <v>226</v>
      </c>
    </row>
    <row r="4207" spans="1:5" x14ac:dyDescent="0.25">
      <c r="A4207" s="1" t="s">
        <v>4206</v>
      </c>
      <c r="C4207" s="3">
        <v>33</v>
      </c>
      <c r="E4207" t="s">
        <v>11743</v>
      </c>
    </row>
    <row r="4208" spans="1:5" x14ac:dyDescent="0.25">
      <c r="A4208" s="1" t="s">
        <v>4207</v>
      </c>
      <c r="C4208" s="3">
        <v>33</v>
      </c>
      <c r="E4208" t="s">
        <v>4324</v>
      </c>
    </row>
    <row r="4209" spans="1:5" x14ac:dyDescent="0.25">
      <c r="A4209" s="1" t="s">
        <v>4208</v>
      </c>
      <c r="C4209" s="3">
        <v>33</v>
      </c>
      <c r="E4209" t="s">
        <v>2454</v>
      </c>
    </row>
    <row r="4210" spans="1:5" x14ac:dyDescent="0.25">
      <c r="A4210" s="1" t="s">
        <v>4209</v>
      </c>
      <c r="C4210" s="3">
        <v>33</v>
      </c>
      <c r="E4210" t="s">
        <v>17043</v>
      </c>
    </row>
    <row r="4211" spans="1:5" x14ac:dyDescent="0.25">
      <c r="A4211" s="1" t="s">
        <v>4210</v>
      </c>
      <c r="C4211" s="3">
        <v>33</v>
      </c>
      <c r="E4211" t="s">
        <v>17223</v>
      </c>
    </row>
    <row r="4212" spans="1:5" x14ac:dyDescent="0.25">
      <c r="A4212" s="1" t="s">
        <v>4211</v>
      </c>
      <c r="C4212" s="3">
        <v>33</v>
      </c>
      <c r="E4212" t="s">
        <v>5546</v>
      </c>
    </row>
    <row r="4213" spans="1:5" x14ac:dyDescent="0.25">
      <c r="A4213" s="1" t="s">
        <v>4212</v>
      </c>
      <c r="C4213" s="3">
        <v>33</v>
      </c>
      <c r="E4213" t="s">
        <v>7050</v>
      </c>
    </row>
    <row r="4214" spans="1:5" x14ac:dyDescent="0.25">
      <c r="A4214" s="1" t="s">
        <v>4213</v>
      </c>
      <c r="C4214" s="3">
        <v>33</v>
      </c>
      <c r="E4214" t="s">
        <v>5760</v>
      </c>
    </row>
    <row r="4215" spans="1:5" x14ac:dyDescent="0.25">
      <c r="A4215" s="1" t="s">
        <v>4214</v>
      </c>
      <c r="C4215" s="3">
        <v>33</v>
      </c>
      <c r="E4215" t="s">
        <v>8287</v>
      </c>
    </row>
    <row r="4216" spans="1:5" x14ac:dyDescent="0.25">
      <c r="A4216" s="1" t="s">
        <v>4215</v>
      </c>
      <c r="C4216" s="3">
        <v>33</v>
      </c>
      <c r="E4216" t="s">
        <v>16794</v>
      </c>
    </row>
    <row r="4217" spans="1:5" x14ac:dyDescent="0.25">
      <c r="A4217" s="1" t="s">
        <v>4216</v>
      </c>
      <c r="C4217" s="3">
        <v>33</v>
      </c>
      <c r="E4217" t="s">
        <v>1459</v>
      </c>
    </row>
    <row r="4218" spans="1:5" x14ac:dyDescent="0.25">
      <c r="A4218" s="1" t="s">
        <v>4217</v>
      </c>
      <c r="C4218" s="3">
        <v>33</v>
      </c>
      <c r="E4218" t="s">
        <v>1136</v>
      </c>
    </row>
    <row r="4219" spans="1:5" x14ac:dyDescent="0.25">
      <c r="A4219" s="1" t="s">
        <v>4218</v>
      </c>
      <c r="C4219" s="3">
        <v>33</v>
      </c>
      <c r="E4219" t="s">
        <v>1983</v>
      </c>
    </row>
    <row r="4220" spans="1:5" x14ac:dyDescent="0.25">
      <c r="A4220" s="1" t="s">
        <v>4219</v>
      </c>
      <c r="C4220" s="3">
        <v>33</v>
      </c>
      <c r="E4220" t="s">
        <v>1354</v>
      </c>
    </row>
    <row r="4221" spans="1:5" x14ac:dyDescent="0.25">
      <c r="A4221" s="1" t="s">
        <v>4220</v>
      </c>
      <c r="C4221" s="3">
        <v>33</v>
      </c>
      <c r="E4221" t="s">
        <v>24735</v>
      </c>
    </row>
    <row r="4222" spans="1:5" x14ac:dyDescent="0.25">
      <c r="A4222" s="1" t="s">
        <v>4221</v>
      </c>
      <c r="C4222" s="3">
        <v>33</v>
      </c>
      <c r="E4222" t="s">
        <v>1071</v>
      </c>
    </row>
    <row r="4223" spans="1:5" x14ac:dyDescent="0.25">
      <c r="A4223" s="1" t="s">
        <v>4222</v>
      </c>
      <c r="C4223" s="3">
        <v>33</v>
      </c>
      <c r="E4223" t="s">
        <v>9665</v>
      </c>
    </row>
    <row r="4224" spans="1:5" x14ac:dyDescent="0.25">
      <c r="A4224" s="1" t="s">
        <v>4223</v>
      </c>
      <c r="C4224" s="3">
        <v>33</v>
      </c>
      <c r="E4224" t="s">
        <v>5902</v>
      </c>
    </row>
    <row r="4225" spans="1:5" x14ac:dyDescent="0.25">
      <c r="A4225" s="1" t="s">
        <v>4224</v>
      </c>
      <c r="C4225" s="3">
        <v>33</v>
      </c>
      <c r="E4225" t="s">
        <v>25490</v>
      </c>
    </row>
    <row r="4226" spans="1:5" x14ac:dyDescent="0.25">
      <c r="A4226" s="1" t="s">
        <v>4225</v>
      </c>
      <c r="C4226" s="3">
        <v>33</v>
      </c>
      <c r="E4226" t="s">
        <v>12150</v>
      </c>
    </row>
    <row r="4227" spans="1:5" x14ac:dyDescent="0.25">
      <c r="A4227" s="1" t="s">
        <v>4226</v>
      </c>
      <c r="C4227" s="3">
        <v>33</v>
      </c>
      <c r="E4227" t="s">
        <v>23451</v>
      </c>
    </row>
    <row r="4228" spans="1:5" x14ac:dyDescent="0.25">
      <c r="A4228" s="1" t="s">
        <v>4227</v>
      </c>
      <c r="C4228" s="3">
        <v>33</v>
      </c>
      <c r="E4228" t="s">
        <v>2296</v>
      </c>
    </row>
    <row r="4229" spans="1:5" x14ac:dyDescent="0.25">
      <c r="A4229" s="1" t="s">
        <v>4228</v>
      </c>
      <c r="C4229" s="3">
        <v>33</v>
      </c>
      <c r="E4229" t="s">
        <v>8641</v>
      </c>
    </row>
    <row r="4230" spans="1:5" x14ac:dyDescent="0.25">
      <c r="A4230" s="1" t="s">
        <v>4229</v>
      </c>
      <c r="C4230" s="3">
        <v>33</v>
      </c>
      <c r="E4230" t="s">
        <v>23</v>
      </c>
    </row>
    <row r="4231" spans="1:5" x14ac:dyDescent="0.25">
      <c r="A4231" s="1" t="s">
        <v>4230</v>
      </c>
      <c r="C4231" s="3">
        <v>33</v>
      </c>
      <c r="E4231" t="s">
        <v>7793</v>
      </c>
    </row>
    <row r="4232" spans="1:5" x14ac:dyDescent="0.25">
      <c r="A4232" s="1" t="s">
        <v>4231</v>
      </c>
      <c r="C4232" s="3">
        <v>32</v>
      </c>
      <c r="E4232" t="s">
        <v>1584</v>
      </c>
    </row>
    <row r="4233" spans="1:5" x14ac:dyDescent="0.25">
      <c r="A4233" s="1" t="s">
        <v>4232</v>
      </c>
      <c r="C4233" s="3">
        <v>32</v>
      </c>
      <c r="E4233" t="s">
        <v>16439</v>
      </c>
    </row>
    <row r="4234" spans="1:5" x14ac:dyDescent="0.25">
      <c r="A4234" s="1" t="s">
        <v>4233</v>
      </c>
      <c r="C4234" s="3">
        <v>32</v>
      </c>
      <c r="E4234" t="s">
        <v>14310</v>
      </c>
    </row>
    <row r="4235" spans="1:5" x14ac:dyDescent="0.25">
      <c r="A4235" s="1" t="s">
        <v>4234</v>
      </c>
      <c r="C4235" s="3">
        <v>32</v>
      </c>
      <c r="E4235" t="s">
        <v>6909</v>
      </c>
    </row>
    <row r="4236" spans="1:5" x14ac:dyDescent="0.25">
      <c r="A4236" s="1" t="s">
        <v>4235</v>
      </c>
      <c r="C4236" s="3">
        <v>32</v>
      </c>
      <c r="E4236" t="s">
        <v>2682</v>
      </c>
    </row>
    <row r="4237" spans="1:5" x14ac:dyDescent="0.25">
      <c r="A4237" s="1" t="s">
        <v>4236</v>
      </c>
      <c r="C4237" s="3">
        <v>32</v>
      </c>
      <c r="E4237" t="s">
        <v>1627</v>
      </c>
    </row>
    <row r="4238" spans="1:5" x14ac:dyDescent="0.25">
      <c r="A4238" s="1" t="s">
        <v>4237</v>
      </c>
      <c r="C4238" s="3">
        <v>32</v>
      </c>
      <c r="E4238" t="s">
        <v>993</v>
      </c>
    </row>
    <row r="4239" spans="1:5" x14ac:dyDescent="0.25">
      <c r="A4239" s="1" t="s">
        <v>4238</v>
      </c>
      <c r="C4239" s="3">
        <v>32</v>
      </c>
      <c r="E4239" t="s">
        <v>7354</v>
      </c>
    </row>
    <row r="4240" spans="1:5" x14ac:dyDescent="0.25">
      <c r="A4240" s="1" t="s">
        <v>4239</v>
      </c>
      <c r="C4240" s="3">
        <v>32</v>
      </c>
      <c r="E4240" t="s">
        <v>25491</v>
      </c>
    </row>
    <row r="4241" spans="1:5" x14ac:dyDescent="0.25">
      <c r="A4241" s="1" t="s">
        <v>4240</v>
      </c>
      <c r="C4241" s="3">
        <v>32</v>
      </c>
      <c r="E4241" t="s">
        <v>15432</v>
      </c>
    </row>
    <row r="4242" spans="1:5" x14ac:dyDescent="0.25">
      <c r="A4242" s="1" t="s">
        <v>4241</v>
      </c>
      <c r="C4242" s="3">
        <v>32</v>
      </c>
      <c r="E4242" t="s">
        <v>445</v>
      </c>
    </row>
    <row r="4243" spans="1:5" x14ac:dyDescent="0.25">
      <c r="A4243" s="1" t="s">
        <v>4242</v>
      </c>
      <c r="C4243" s="3">
        <v>32</v>
      </c>
      <c r="E4243" t="s">
        <v>8693</v>
      </c>
    </row>
    <row r="4244" spans="1:5" x14ac:dyDescent="0.25">
      <c r="A4244" s="1" t="s">
        <v>4243</v>
      </c>
      <c r="C4244" s="3">
        <v>32</v>
      </c>
      <c r="E4244" t="s">
        <v>2245</v>
      </c>
    </row>
    <row r="4245" spans="1:5" x14ac:dyDescent="0.25">
      <c r="A4245" s="1" t="s">
        <v>4244</v>
      </c>
      <c r="C4245" s="3">
        <v>32</v>
      </c>
      <c r="E4245" t="s">
        <v>754</v>
      </c>
    </row>
    <row r="4246" spans="1:5" x14ac:dyDescent="0.25">
      <c r="A4246" s="1" t="s">
        <v>4245</v>
      </c>
      <c r="C4246" s="3">
        <v>32</v>
      </c>
      <c r="E4246" t="s">
        <v>3280</v>
      </c>
    </row>
    <row r="4247" spans="1:5" x14ac:dyDescent="0.25">
      <c r="A4247" s="1" t="s">
        <v>4246</v>
      </c>
      <c r="C4247" s="3">
        <v>32</v>
      </c>
      <c r="E4247" t="s">
        <v>56</v>
      </c>
    </row>
    <row r="4248" spans="1:5" x14ac:dyDescent="0.25">
      <c r="A4248" s="1" t="s">
        <v>4247</v>
      </c>
      <c r="C4248" s="3">
        <v>32</v>
      </c>
      <c r="E4248" t="s">
        <v>670</v>
      </c>
    </row>
    <row r="4249" spans="1:5" x14ac:dyDescent="0.25">
      <c r="A4249" s="1" t="s">
        <v>4248</v>
      </c>
      <c r="C4249" s="3">
        <v>32</v>
      </c>
      <c r="E4249" t="s">
        <v>5372</v>
      </c>
    </row>
    <row r="4250" spans="1:5" x14ac:dyDescent="0.25">
      <c r="A4250" s="1" t="s">
        <v>4249</v>
      </c>
      <c r="C4250" s="3">
        <v>32</v>
      </c>
      <c r="E4250" t="s">
        <v>1980</v>
      </c>
    </row>
    <row r="4251" spans="1:5" x14ac:dyDescent="0.25">
      <c r="A4251" s="1" t="s">
        <v>4250</v>
      </c>
      <c r="C4251" s="3">
        <v>32</v>
      </c>
      <c r="E4251" t="s">
        <v>285</v>
      </c>
    </row>
    <row r="4252" spans="1:5" x14ac:dyDescent="0.25">
      <c r="A4252" s="1" t="s">
        <v>4251</v>
      </c>
      <c r="C4252" s="3">
        <v>32</v>
      </c>
      <c r="E4252" t="s">
        <v>8170</v>
      </c>
    </row>
    <row r="4253" spans="1:5" x14ac:dyDescent="0.25">
      <c r="A4253" s="1" t="s">
        <v>4252</v>
      </c>
      <c r="C4253" s="3">
        <v>32</v>
      </c>
      <c r="E4253" t="s">
        <v>3566</v>
      </c>
    </row>
    <row r="4254" spans="1:5" x14ac:dyDescent="0.25">
      <c r="A4254" s="1" t="s">
        <v>4253</v>
      </c>
      <c r="C4254" s="3">
        <v>32</v>
      </c>
      <c r="E4254" t="s">
        <v>19861</v>
      </c>
    </row>
    <row r="4255" spans="1:5" x14ac:dyDescent="0.25">
      <c r="A4255" s="1" t="s">
        <v>4254</v>
      </c>
      <c r="C4255" s="3">
        <v>32</v>
      </c>
      <c r="E4255" t="s">
        <v>1920</v>
      </c>
    </row>
    <row r="4256" spans="1:5" x14ac:dyDescent="0.25">
      <c r="A4256" s="1" t="s">
        <v>4255</v>
      </c>
      <c r="C4256" s="3">
        <v>32</v>
      </c>
      <c r="E4256" t="s">
        <v>1758</v>
      </c>
    </row>
    <row r="4257" spans="1:5" x14ac:dyDescent="0.25">
      <c r="A4257" s="1" t="s">
        <v>4256</v>
      </c>
      <c r="C4257" s="3">
        <v>32</v>
      </c>
      <c r="E4257" t="s">
        <v>5761</v>
      </c>
    </row>
    <row r="4258" spans="1:5" x14ac:dyDescent="0.25">
      <c r="A4258" s="1" t="s">
        <v>4257</v>
      </c>
      <c r="C4258" s="3">
        <v>32</v>
      </c>
      <c r="E4258" t="s">
        <v>100</v>
      </c>
    </row>
    <row r="4259" spans="1:5" x14ac:dyDescent="0.25">
      <c r="A4259" s="1" t="s">
        <v>4258</v>
      </c>
      <c r="C4259" s="3">
        <v>32</v>
      </c>
      <c r="E4259" t="s">
        <v>19313</v>
      </c>
    </row>
    <row r="4260" spans="1:5" x14ac:dyDescent="0.25">
      <c r="A4260" s="1" t="s">
        <v>4259</v>
      </c>
      <c r="C4260" s="3">
        <v>32</v>
      </c>
      <c r="E4260" t="s">
        <v>22130</v>
      </c>
    </row>
    <row r="4261" spans="1:5" x14ac:dyDescent="0.25">
      <c r="A4261" s="1" t="s">
        <v>4260</v>
      </c>
      <c r="C4261" s="3">
        <v>32</v>
      </c>
      <c r="E4261" t="s">
        <v>658</v>
      </c>
    </row>
    <row r="4262" spans="1:5" x14ac:dyDescent="0.25">
      <c r="A4262" s="1" t="s">
        <v>4261</v>
      </c>
      <c r="C4262" s="3">
        <v>32</v>
      </c>
      <c r="E4262" t="s">
        <v>1370</v>
      </c>
    </row>
    <row r="4263" spans="1:5" x14ac:dyDescent="0.25">
      <c r="A4263" s="1" t="s">
        <v>4262</v>
      </c>
      <c r="C4263" s="3">
        <v>32</v>
      </c>
      <c r="E4263" t="s">
        <v>107</v>
      </c>
    </row>
    <row r="4264" spans="1:5" x14ac:dyDescent="0.25">
      <c r="A4264" s="1" t="s">
        <v>4263</v>
      </c>
      <c r="C4264" s="3">
        <v>32</v>
      </c>
      <c r="E4264" t="s">
        <v>6985</v>
      </c>
    </row>
    <row r="4265" spans="1:5" x14ac:dyDescent="0.25">
      <c r="A4265" s="1" t="s">
        <v>4264</v>
      </c>
      <c r="C4265" s="3">
        <v>32</v>
      </c>
      <c r="E4265" t="s">
        <v>11577</v>
      </c>
    </row>
    <row r="4266" spans="1:5" x14ac:dyDescent="0.25">
      <c r="A4266" s="1" t="s">
        <v>4265</v>
      </c>
      <c r="C4266" s="3">
        <v>32</v>
      </c>
      <c r="E4266" t="s">
        <v>855</v>
      </c>
    </row>
    <row r="4267" spans="1:5" x14ac:dyDescent="0.25">
      <c r="A4267" s="1" t="s">
        <v>4266</v>
      </c>
      <c r="C4267" s="3">
        <v>32</v>
      </c>
      <c r="E4267" t="s">
        <v>5065</v>
      </c>
    </row>
    <row r="4268" spans="1:5" x14ac:dyDescent="0.25">
      <c r="A4268" s="1" t="s">
        <v>4267</v>
      </c>
      <c r="C4268" s="3">
        <v>32</v>
      </c>
      <c r="E4268" t="s">
        <v>1511</v>
      </c>
    </row>
    <row r="4269" spans="1:5" x14ac:dyDescent="0.25">
      <c r="A4269" s="1" t="s">
        <v>4268</v>
      </c>
      <c r="C4269" s="3">
        <v>32</v>
      </c>
      <c r="E4269" t="s">
        <v>645</v>
      </c>
    </row>
    <row r="4270" spans="1:5" x14ac:dyDescent="0.25">
      <c r="A4270" s="1" t="s">
        <v>4269</v>
      </c>
      <c r="C4270" s="3">
        <v>32</v>
      </c>
      <c r="E4270" t="s">
        <v>12371</v>
      </c>
    </row>
    <row r="4271" spans="1:5" x14ac:dyDescent="0.25">
      <c r="A4271" s="1" t="s">
        <v>4270</v>
      </c>
      <c r="C4271" s="3">
        <v>32</v>
      </c>
      <c r="E4271" t="s">
        <v>17354</v>
      </c>
    </row>
    <row r="4272" spans="1:5" x14ac:dyDescent="0.25">
      <c r="A4272" s="1" t="s">
        <v>4271</v>
      </c>
      <c r="C4272" s="3">
        <v>32</v>
      </c>
      <c r="E4272" t="s">
        <v>10931</v>
      </c>
    </row>
    <row r="4273" spans="1:5" x14ac:dyDescent="0.25">
      <c r="A4273" s="1" t="s">
        <v>4272</v>
      </c>
      <c r="C4273" s="3">
        <v>32</v>
      </c>
      <c r="E4273" t="s">
        <v>5472</v>
      </c>
    </row>
    <row r="4274" spans="1:5" x14ac:dyDescent="0.25">
      <c r="A4274" s="1" t="s">
        <v>4273</v>
      </c>
      <c r="C4274" s="3">
        <v>32</v>
      </c>
      <c r="E4274" t="s">
        <v>25492</v>
      </c>
    </row>
    <row r="4275" spans="1:5" x14ac:dyDescent="0.25">
      <c r="A4275" s="1" t="s">
        <v>4274</v>
      </c>
      <c r="C4275" s="3">
        <v>32</v>
      </c>
      <c r="E4275" t="s">
        <v>5171</v>
      </c>
    </row>
    <row r="4276" spans="1:5" x14ac:dyDescent="0.25">
      <c r="A4276" s="1" t="s">
        <v>4275</v>
      </c>
      <c r="C4276" s="3">
        <v>32</v>
      </c>
      <c r="E4276" t="s">
        <v>18530</v>
      </c>
    </row>
    <row r="4277" spans="1:5" x14ac:dyDescent="0.25">
      <c r="A4277" s="1" t="s">
        <v>4276</v>
      </c>
      <c r="C4277" s="3">
        <v>32</v>
      </c>
      <c r="E4277" t="s">
        <v>3409</v>
      </c>
    </row>
    <row r="4278" spans="1:5" x14ac:dyDescent="0.25">
      <c r="A4278" s="1" t="s">
        <v>4277</v>
      </c>
      <c r="C4278" s="3">
        <v>32</v>
      </c>
      <c r="E4278" t="s">
        <v>18336</v>
      </c>
    </row>
    <row r="4279" spans="1:5" x14ac:dyDescent="0.25">
      <c r="A4279" s="1" t="s">
        <v>4278</v>
      </c>
      <c r="C4279" s="3">
        <v>32</v>
      </c>
      <c r="E4279" t="s">
        <v>1589</v>
      </c>
    </row>
    <row r="4280" spans="1:5" x14ac:dyDescent="0.25">
      <c r="A4280" s="1" t="s">
        <v>4279</v>
      </c>
      <c r="C4280" s="3">
        <v>32</v>
      </c>
      <c r="E4280" t="s">
        <v>3745</v>
      </c>
    </row>
    <row r="4281" spans="1:5" x14ac:dyDescent="0.25">
      <c r="A4281" s="1" t="s">
        <v>4280</v>
      </c>
      <c r="C4281" s="3">
        <v>32</v>
      </c>
      <c r="E4281" t="s">
        <v>8784</v>
      </c>
    </row>
    <row r="4282" spans="1:5" x14ac:dyDescent="0.25">
      <c r="A4282" s="1" t="s">
        <v>4281</v>
      </c>
      <c r="C4282" s="3">
        <v>32</v>
      </c>
      <c r="E4282" t="s">
        <v>3998</v>
      </c>
    </row>
    <row r="4283" spans="1:5" x14ac:dyDescent="0.25">
      <c r="A4283" s="1" t="s">
        <v>4282</v>
      </c>
      <c r="C4283" s="3">
        <v>32</v>
      </c>
      <c r="E4283" t="s">
        <v>4706</v>
      </c>
    </row>
    <row r="4284" spans="1:5" x14ac:dyDescent="0.25">
      <c r="A4284" s="1" t="s">
        <v>4283</v>
      </c>
      <c r="C4284" s="3">
        <v>32</v>
      </c>
      <c r="E4284" t="s">
        <v>522</v>
      </c>
    </row>
    <row r="4285" spans="1:5" x14ac:dyDescent="0.25">
      <c r="A4285" s="1" t="s">
        <v>4284</v>
      </c>
      <c r="C4285" s="3">
        <v>32</v>
      </c>
      <c r="E4285" t="s">
        <v>106</v>
      </c>
    </row>
    <row r="4286" spans="1:5" x14ac:dyDescent="0.25">
      <c r="A4286" s="1" t="s">
        <v>4285</v>
      </c>
      <c r="C4286" s="3">
        <v>32</v>
      </c>
      <c r="E4286" t="s">
        <v>24984</v>
      </c>
    </row>
    <row r="4287" spans="1:5" x14ac:dyDescent="0.25">
      <c r="A4287" s="1" t="s">
        <v>4286</v>
      </c>
      <c r="C4287" s="3">
        <v>32</v>
      </c>
      <c r="E4287" t="s">
        <v>3069</v>
      </c>
    </row>
    <row r="4288" spans="1:5" x14ac:dyDescent="0.25">
      <c r="A4288" s="1" t="s">
        <v>4287</v>
      </c>
      <c r="C4288" s="3">
        <v>32</v>
      </c>
      <c r="E4288" t="s">
        <v>6004</v>
      </c>
    </row>
    <row r="4289" spans="1:5" x14ac:dyDescent="0.25">
      <c r="A4289" s="1" t="s">
        <v>4288</v>
      </c>
      <c r="C4289" s="3">
        <v>32</v>
      </c>
      <c r="E4289" t="s">
        <v>5463</v>
      </c>
    </row>
    <row r="4290" spans="1:5" x14ac:dyDescent="0.25">
      <c r="A4290" s="1" t="s">
        <v>4289</v>
      </c>
      <c r="C4290" s="3">
        <v>32</v>
      </c>
      <c r="E4290" t="s">
        <v>2940</v>
      </c>
    </row>
    <row r="4291" spans="1:5" x14ac:dyDescent="0.25">
      <c r="A4291" s="1" t="s">
        <v>4290</v>
      </c>
      <c r="C4291" s="3">
        <v>32</v>
      </c>
      <c r="E4291" t="s">
        <v>215</v>
      </c>
    </row>
    <row r="4292" spans="1:5" x14ac:dyDescent="0.25">
      <c r="A4292" s="1" t="s">
        <v>4291</v>
      </c>
      <c r="C4292" s="3">
        <v>32</v>
      </c>
      <c r="E4292" t="s">
        <v>4360</v>
      </c>
    </row>
    <row r="4293" spans="1:5" x14ac:dyDescent="0.25">
      <c r="A4293" s="1" t="s">
        <v>4292</v>
      </c>
      <c r="C4293" s="3">
        <v>32</v>
      </c>
      <c r="E4293" t="s">
        <v>419</v>
      </c>
    </row>
    <row r="4294" spans="1:5" x14ac:dyDescent="0.25">
      <c r="A4294" s="1" t="s">
        <v>4293</v>
      </c>
      <c r="C4294" s="3">
        <v>32</v>
      </c>
      <c r="E4294" t="s">
        <v>18968</v>
      </c>
    </row>
    <row r="4295" spans="1:5" x14ac:dyDescent="0.25">
      <c r="A4295" s="1" t="s">
        <v>4294</v>
      </c>
      <c r="C4295" s="3">
        <v>32</v>
      </c>
      <c r="E4295" t="s">
        <v>5637</v>
      </c>
    </row>
    <row r="4296" spans="1:5" x14ac:dyDescent="0.25">
      <c r="A4296" s="1" t="s">
        <v>4295</v>
      </c>
      <c r="C4296" s="3">
        <v>32</v>
      </c>
      <c r="E4296" t="s">
        <v>19637</v>
      </c>
    </row>
    <row r="4297" spans="1:5" x14ac:dyDescent="0.25">
      <c r="A4297" s="1" t="s">
        <v>4296</v>
      </c>
      <c r="C4297" s="3">
        <v>32</v>
      </c>
      <c r="E4297" t="s">
        <v>12339</v>
      </c>
    </row>
    <row r="4298" spans="1:5" x14ac:dyDescent="0.25">
      <c r="A4298" s="1" t="s">
        <v>4297</v>
      </c>
      <c r="C4298" s="3">
        <v>32</v>
      </c>
      <c r="E4298" t="s">
        <v>4672</v>
      </c>
    </row>
    <row r="4299" spans="1:5" x14ac:dyDescent="0.25">
      <c r="A4299" s="1" t="s">
        <v>4298</v>
      </c>
      <c r="C4299" s="3">
        <v>32</v>
      </c>
      <c r="E4299" t="s">
        <v>11254</v>
      </c>
    </row>
    <row r="4300" spans="1:5" x14ac:dyDescent="0.25">
      <c r="A4300" s="1" t="s">
        <v>4299</v>
      </c>
      <c r="C4300" s="3">
        <v>32</v>
      </c>
      <c r="E4300" t="s">
        <v>4148</v>
      </c>
    </row>
    <row r="4301" spans="1:5" x14ac:dyDescent="0.25">
      <c r="A4301" s="1" t="s">
        <v>4300</v>
      </c>
      <c r="C4301" s="3">
        <v>32</v>
      </c>
      <c r="E4301" t="s">
        <v>15169</v>
      </c>
    </row>
    <row r="4302" spans="1:5" x14ac:dyDescent="0.25">
      <c r="A4302" s="1" t="s">
        <v>4301</v>
      </c>
      <c r="C4302" s="3">
        <v>32</v>
      </c>
      <c r="E4302" t="s">
        <v>37</v>
      </c>
    </row>
    <row r="4303" spans="1:5" x14ac:dyDescent="0.25">
      <c r="A4303" s="1" t="s">
        <v>4302</v>
      </c>
      <c r="C4303" s="3">
        <v>32</v>
      </c>
      <c r="E4303" t="s">
        <v>518</v>
      </c>
    </row>
    <row r="4304" spans="1:5" x14ac:dyDescent="0.25">
      <c r="A4304" s="1" t="s">
        <v>4303</v>
      </c>
      <c r="C4304" s="3">
        <v>32</v>
      </c>
      <c r="E4304" t="s">
        <v>656</v>
      </c>
    </row>
    <row r="4305" spans="1:5" x14ac:dyDescent="0.25">
      <c r="A4305" s="1" t="s">
        <v>4304</v>
      </c>
      <c r="C4305" s="3">
        <v>32</v>
      </c>
      <c r="E4305" t="s">
        <v>5017</v>
      </c>
    </row>
    <row r="4306" spans="1:5" x14ac:dyDescent="0.25">
      <c r="A4306" s="1" t="s">
        <v>4305</v>
      </c>
      <c r="C4306" s="3">
        <v>32</v>
      </c>
      <c r="E4306" t="s">
        <v>1628</v>
      </c>
    </row>
    <row r="4307" spans="1:5" x14ac:dyDescent="0.25">
      <c r="A4307" s="1" t="s">
        <v>4306</v>
      </c>
      <c r="C4307" s="3">
        <v>32</v>
      </c>
      <c r="E4307" t="s">
        <v>3076</v>
      </c>
    </row>
    <row r="4308" spans="1:5" x14ac:dyDescent="0.25">
      <c r="A4308" s="1" t="s">
        <v>4307</v>
      </c>
      <c r="C4308" s="3">
        <v>32</v>
      </c>
      <c r="E4308" t="s">
        <v>1092</v>
      </c>
    </row>
    <row r="4309" spans="1:5" x14ac:dyDescent="0.25">
      <c r="A4309" s="1" t="s">
        <v>4308</v>
      </c>
      <c r="C4309" s="3">
        <v>32</v>
      </c>
      <c r="E4309" t="s">
        <v>2333</v>
      </c>
    </row>
    <row r="4310" spans="1:5" x14ac:dyDescent="0.25">
      <c r="A4310" s="1" t="s">
        <v>4309</v>
      </c>
      <c r="C4310" s="3">
        <v>32</v>
      </c>
      <c r="E4310" t="s">
        <v>776</v>
      </c>
    </row>
    <row r="4311" spans="1:5" x14ac:dyDescent="0.25">
      <c r="A4311" s="1" t="s">
        <v>4310</v>
      </c>
      <c r="C4311" s="3">
        <v>32</v>
      </c>
      <c r="E4311" t="s">
        <v>1171</v>
      </c>
    </row>
    <row r="4312" spans="1:5" x14ac:dyDescent="0.25">
      <c r="A4312" s="1" t="s">
        <v>4311</v>
      </c>
      <c r="C4312" s="3">
        <v>32</v>
      </c>
      <c r="E4312" t="s">
        <v>406</v>
      </c>
    </row>
    <row r="4313" spans="1:5" x14ac:dyDescent="0.25">
      <c r="A4313" s="1" t="s">
        <v>4312</v>
      </c>
      <c r="C4313" s="3">
        <v>32</v>
      </c>
      <c r="E4313" t="s">
        <v>1022</v>
      </c>
    </row>
    <row r="4314" spans="1:5" x14ac:dyDescent="0.25">
      <c r="A4314" s="1" t="s">
        <v>4313</v>
      </c>
      <c r="C4314" s="3">
        <v>32</v>
      </c>
      <c r="E4314" t="s">
        <v>11597</v>
      </c>
    </row>
    <row r="4315" spans="1:5" x14ac:dyDescent="0.25">
      <c r="A4315" s="1" t="s">
        <v>4314</v>
      </c>
      <c r="C4315" s="3">
        <v>32</v>
      </c>
      <c r="E4315" t="s">
        <v>13754</v>
      </c>
    </row>
    <row r="4316" spans="1:5" x14ac:dyDescent="0.25">
      <c r="A4316" s="1" t="s">
        <v>4315</v>
      </c>
      <c r="C4316" s="3">
        <v>32</v>
      </c>
      <c r="E4316" t="s">
        <v>25493</v>
      </c>
    </row>
    <row r="4317" spans="1:5" x14ac:dyDescent="0.25">
      <c r="A4317" s="1" t="s">
        <v>4316</v>
      </c>
      <c r="C4317" s="3">
        <v>32</v>
      </c>
      <c r="E4317" t="s">
        <v>2757</v>
      </c>
    </row>
    <row r="4318" spans="1:5" x14ac:dyDescent="0.25">
      <c r="A4318" s="1" t="s">
        <v>4317</v>
      </c>
      <c r="C4318" s="3">
        <v>32</v>
      </c>
      <c r="E4318" t="s">
        <v>7302</v>
      </c>
    </row>
    <row r="4319" spans="1:5" x14ac:dyDescent="0.25">
      <c r="A4319" s="1" t="s">
        <v>4318</v>
      </c>
      <c r="C4319" s="3">
        <v>32</v>
      </c>
      <c r="E4319" t="s">
        <v>3565</v>
      </c>
    </row>
    <row r="4320" spans="1:5" x14ac:dyDescent="0.25">
      <c r="A4320" s="1" t="s">
        <v>4319</v>
      </c>
      <c r="C4320" s="3">
        <v>32</v>
      </c>
      <c r="E4320" t="s">
        <v>12773</v>
      </c>
    </row>
    <row r="4321" spans="1:5" x14ac:dyDescent="0.25">
      <c r="A4321" s="1" t="s">
        <v>4320</v>
      </c>
      <c r="C4321" s="3">
        <v>32</v>
      </c>
      <c r="E4321" t="s">
        <v>6239</v>
      </c>
    </row>
    <row r="4322" spans="1:5" x14ac:dyDescent="0.25">
      <c r="A4322" s="1" t="s">
        <v>4321</v>
      </c>
      <c r="C4322" s="3">
        <v>32</v>
      </c>
      <c r="E4322" t="s">
        <v>6513</v>
      </c>
    </row>
    <row r="4323" spans="1:5" x14ac:dyDescent="0.25">
      <c r="A4323" s="1" t="s">
        <v>4322</v>
      </c>
      <c r="C4323" s="3">
        <v>32</v>
      </c>
      <c r="E4323" t="s">
        <v>7079</v>
      </c>
    </row>
    <row r="4324" spans="1:5" x14ac:dyDescent="0.25">
      <c r="A4324" s="1" t="s">
        <v>4323</v>
      </c>
      <c r="C4324" s="3">
        <v>32</v>
      </c>
      <c r="E4324" t="s">
        <v>5310</v>
      </c>
    </row>
    <row r="4325" spans="1:5" x14ac:dyDescent="0.25">
      <c r="A4325" s="1" t="s">
        <v>4324</v>
      </c>
      <c r="C4325" s="3">
        <v>32</v>
      </c>
      <c r="E4325" t="s">
        <v>5307</v>
      </c>
    </row>
    <row r="4326" spans="1:5" x14ac:dyDescent="0.25">
      <c r="A4326" s="1" t="s">
        <v>4325</v>
      </c>
      <c r="C4326" s="3">
        <v>32</v>
      </c>
      <c r="E4326" t="s">
        <v>5866</v>
      </c>
    </row>
    <row r="4327" spans="1:5" x14ac:dyDescent="0.25">
      <c r="A4327" s="1" t="s">
        <v>4326</v>
      </c>
      <c r="C4327" s="3">
        <v>32</v>
      </c>
      <c r="E4327" t="s">
        <v>8245</v>
      </c>
    </row>
    <row r="4328" spans="1:5" x14ac:dyDescent="0.25">
      <c r="A4328" s="1" t="s">
        <v>4327</v>
      </c>
      <c r="C4328" s="3">
        <v>32</v>
      </c>
      <c r="E4328" t="s">
        <v>1002</v>
      </c>
    </row>
    <row r="4329" spans="1:5" x14ac:dyDescent="0.25">
      <c r="A4329" s="1" t="s">
        <v>4328</v>
      </c>
      <c r="C4329" s="3">
        <v>32</v>
      </c>
      <c r="E4329" t="s">
        <v>2121</v>
      </c>
    </row>
    <row r="4330" spans="1:5" x14ac:dyDescent="0.25">
      <c r="A4330" s="1" t="s">
        <v>4329</v>
      </c>
      <c r="C4330" s="3">
        <v>32</v>
      </c>
      <c r="E4330" t="s">
        <v>9051</v>
      </c>
    </row>
    <row r="4331" spans="1:5" x14ac:dyDescent="0.25">
      <c r="A4331" s="1" t="s">
        <v>4330</v>
      </c>
      <c r="C4331" s="3">
        <v>32</v>
      </c>
      <c r="E4331" t="s">
        <v>5360</v>
      </c>
    </row>
    <row r="4332" spans="1:5" x14ac:dyDescent="0.25">
      <c r="A4332" s="1" t="s">
        <v>4331</v>
      </c>
      <c r="C4332" s="3">
        <v>32</v>
      </c>
      <c r="E4332" t="s">
        <v>3030</v>
      </c>
    </row>
    <row r="4333" spans="1:5" x14ac:dyDescent="0.25">
      <c r="A4333" s="1" t="s">
        <v>4332</v>
      </c>
      <c r="C4333" s="3">
        <v>32</v>
      </c>
      <c r="E4333" t="s">
        <v>2077</v>
      </c>
    </row>
    <row r="4334" spans="1:5" x14ac:dyDescent="0.25">
      <c r="A4334" s="1" t="s">
        <v>4333</v>
      </c>
      <c r="C4334" s="3">
        <v>32</v>
      </c>
      <c r="E4334" t="s">
        <v>25494</v>
      </c>
    </row>
    <row r="4335" spans="1:5" x14ac:dyDescent="0.25">
      <c r="A4335" s="1" t="s">
        <v>4334</v>
      </c>
      <c r="C4335" s="3">
        <v>32</v>
      </c>
      <c r="E4335" t="s">
        <v>1600</v>
      </c>
    </row>
    <row r="4336" spans="1:5" x14ac:dyDescent="0.25">
      <c r="A4336" s="1" t="s">
        <v>4335</v>
      </c>
      <c r="C4336" s="3">
        <v>32</v>
      </c>
      <c r="E4336" t="s">
        <v>4691</v>
      </c>
    </row>
    <row r="4337" spans="1:5" x14ac:dyDescent="0.25">
      <c r="A4337" s="1" t="s">
        <v>4336</v>
      </c>
      <c r="C4337" s="3">
        <v>32</v>
      </c>
      <c r="E4337" t="s">
        <v>2005</v>
      </c>
    </row>
    <row r="4338" spans="1:5" x14ac:dyDescent="0.25">
      <c r="A4338" s="1" t="s">
        <v>4337</v>
      </c>
      <c r="C4338" s="3">
        <v>32</v>
      </c>
      <c r="E4338" t="s">
        <v>1062</v>
      </c>
    </row>
    <row r="4339" spans="1:5" x14ac:dyDescent="0.25">
      <c r="A4339" s="1" t="s">
        <v>4338</v>
      </c>
      <c r="C4339" s="3">
        <v>32</v>
      </c>
      <c r="E4339" t="s">
        <v>8028</v>
      </c>
    </row>
    <row r="4340" spans="1:5" x14ac:dyDescent="0.25">
      <c r="A4340" s="1" t="s">
        <v>4339</v>
      </c>
      <c r="C4340" s="3">
        <v>32</v>
      </c>
      <c r="E4340" t="s">
        <v>458</v>
      </c>
    </row>
    <row r="4341" spans="1:5" x14ac:dyDescent="0.25">
      <c r="A4341" s="1" t="s">
        <v>4340</v>
      </c>
      <c r="C4341" s="3">
        <v>32</v>
      </c>
      <c r="E4341" t="s">
        <v>480</v>
      </c>
    </row>
    <row r="4342" spans="1:5" x14ac:dyDescent="0.25">
      <c r="A4342" s="1" t="s">
        <v>4341</v>
      </c>
      <c r="C4342" s="3">
        <v>32</v>
      </c>
      <c r="E4342" t="s">
        <v>10599</v>
      </c>
    </row>
    <row r="4343" spans="1:5" x14ac:dyDescent="0.25">
      <c r="A4343" s="1" t="s">
        <v>4342</v>
      </c>
      <c r="C4343" s="3">
        <v>32</v>
      </c>
      <c r="E4343" t="s">
        <v>1670</v>
      </c>
    </row>
    <row r="4344" spans="1:5" x14ac:dyDescent="0.25">
      <c r="A4344" s="1" t="s">
        <v>4343</v>
      </c>
      <c r="C4344" s="3">
        <v>32</v>
      </c>
      <c r="E4344" t="s">
        <v>3614</v>
      </c>
    </row>
    <row r="4345" spans="1:5" x14ac:dyDescent="0.25">
      <c r="A4345" s="1" t="s">
        <v>4344</v>
      </c>
      <c r="C4345" s="3">
        <v>31</v>
      </c>
      <c r="E4345" t="s">
        <v>2252</v>
      </c>
    </row>
    <row r="4346" spans="1:5" x14ac:dyDescent="0.25">
      <c r="A4346" s="1" t="s">
        <v>4345</v>
      </c>
      <c r="C4346" s="3">
        <v>31</v>
      </c>
      <c r="E4346" t="s">
        <v>1137</v>
      </c>
    </row>
    <row r="4347" spans="1:5" x14ac:dyDescent="0.25">
      <c r="A4347" s="1" t="s">
        <v>4346</v>
      </c>
      <c r="C4347" s="3">
        <v>31</v>
      </c>
      <c r="E4347" t="s">
        <v>1625</v>
      </c>
    </row>
    <row r="4348" spans="1:5" x14ac:dyDescent="0.25">
      <c r="A4348" s="1" t="s">
        <v>4347</v>
      </c>
      <c r="C4348" s="3">
        <v>31</v>
      </c>
      <c r="E4348" t="s">
        <v>7219</v>
      </c>
    </row>
    <row r="4349" spans="1:5" x14ac:dyDescent="0.25">
      <c r="A4349" s="1" t="s">
        <v>4348</v>
      </c>
      <c r="C4349" s="3">
        <v>31</v>
      </c>
      <c r="E4349" t="s">
        <v>4073</v>
      </c>
    </row>
    <row r="4350" spans="1:5" x14ac:dyDescent="0.25">
      <c r="A4350" s="1" t="s">
        <v>4349</v>
      </c>
      <c r="C4350" s="3">
        <v>31</v>
      </c>
      <c r="E4350" t="s">
        <v>3642</v>
      </c>
    </row>
    <row r="4351" spans="1:5" x14ac:dyDescent="0.25">
      <c r="A4351" s="1" t="s">
        <v>4350</v>
      </c>
      <c r="C4351" s="3">
        <v>31</v>
      </c>
      <c r="E4351" t="s">
        <v>6424</v>
      </c>
    </row>
    <row r="4352" spans="1:5" x14ac:dyDescent="0.25">
      <c r="A4352" s="1" t="s">
        <v>4351</v>
      </c>
      <c r="C4352" s="3">
        <v>31</v>
      </c>
      <c r="E4352" t="s">
        <v>1301</v>
      </c>
    </row>
    <row r="4353" spans="1:5" x14ac:dyDescent="0.25">
      <c r="A4353" s="1" t="s">
        <v>4352</v>
      </c>
      <c r="C4353" s="3">
        <v>31</v>
      </c>
      <c r="E4353" t="s">
        <v>9387</v>
      </c>
    </row>
    <row r="4354" spans="1:5" x14ac:dyDescent="0.25">
      <c r="A4354" s="1" t="s">
        <v>4353</v>
      </c>
      <c r="C4354" s="3">
        <v>31</v>
      </c>
      <c r="E4354" t="s">
        <v>5177</v>
      </c>
    </row>
    <row r="4355" spans="1:5" x14ac:dyDescent="0.25">
      <c r="A4355" s="1" t="s">
        <v>4354</v>
      </c>
      <c r="C4355" s="3">
        <v>31</v>
      </c>
      <c r="E4355" t="s">
        <v>7562</v>
      </c>
    </row>
    <row r="4356" spans="1:5" x14ac:dyDescent="0.25">
      <c r="A4356" s="1" t="s">
        <v>4355</v>
      </c>
      <c r="C4356" s="3">
        <v>31</v>
      </c>
      <c r="E4356" t="s">
        <v>6039</v>
      </c>
    </row>
    <row r="4357" spans="1:5" x14ac:dyDescent="0.25">
      <c r="A4357" s="1" t="s">
        <v>4356</v>
      </c>
      <c r="C4357" s="3">
        <v>31</v>
      </c>
      <c r="E4357" t="s">
        <v>9226</v>
      </c>
    </row>
    <row r="4358" spans="1:5" x14ac:dyDescent="0.25">
      <c r="A4358" s="1" t="s">
        <v>4357</v>
      </c>
      <c r="C4358" s="3">
        <v>31</v>
      </c>
      <c r="E4358" t="s">
        <v>10654</v>
      </c>
    </row>
    <row r="4359" spans="1:5" x14ac:dyDescent="0.25">
      <c r="A4359" s="1" t="s">
        <v>4358</v>
      </c>
      <c r="C4359" s="3">
        <v>31</v>
      </c>
      <c r="E4359" t="s">
        <v>2852</v>
      </c>
    </row>
    <row r="4360" spans="1:5" x14ac:dyDescent="0.25">
      <c r="A4360" s="1" t="s">
        <v>4359</v>
      </c>
      <c r="C4360" s="3">
        <v>31</v>
      </c>
      <c r="E4360" t="s">
        <v>1753</v>
      </c>
    </row>
    <row r="4361" spans="1:5" x14ac:dyDescent="0.25">
      <c r="A4361" s="1" t="s">
        <v>4360</v>
      </c>
      <c r="C4361" s="3">
        <v>31</v>
      </c>
      <c r="E4361" t="s">
        <v>22603</v>
      </c>
    </row>
    <row r="4362" spans="1:5" x14ac:dyDescent="0.25">
      <c r="A4362" s="1" t="s">
        <v>4361</v>
      </c>
      <c r="C4362" s="3">
        <v>31</v>
      </c>
      <c r="E4362" t="s">
        <v>3543</v>
      </c>
    </row>
    <row r="4363" spans="1:5" x14ac:dyDescent="0.25">
      <c r="A4363" s="1" t="s">
        <v>4362</v>
      </c>
      <c r="C4363" s="3">
        <v>31</v>
      </c>
      <c r="E4363" t="s">
        <v>98</v>
      </c>
    </row>
    <row r="4364" spans="1:5" x14ac:dyDescent="0.25">
      <c r="A4364" s="1" t="s">
        <v>4363</v>
      </c>
      <c r="C4364" s="3">
        <v>31</v>
      </c>
      <c r="E4364" t="s">
        <v>9038</v>
      </c>
    </row>
    <row r="4365" spans="1:5" x14ac:dyDescent="0.25">
      <c r="A4365" s="1" t="s">
        <v>4364</v>
      </c>
      <c r="C4365" s="3">
        <v>31</v>
      </c>
      <c r="E4365" t="s">
        <v>9030</v>
      </c>
    </row>
    <row r="4366" spans="1:5" x14ac:dyDescent="0.25">
      <c r="A4366" s="1" t="s">
        <v>4365</v>
      </c>
      <c r="C4366" s="3">
        <v>31</v>
      </c>
      <c r="E4366" t="s">
        <v>5427</v>
      </c>
    </row>
    <row r="4367" spans="1:5" x14ac:dyDescent="0.25">
      <c r="A4367" s="1" t="s">
        <v>4366</v>
      </c>
      <c r="C4367" s="3">
        <v>31</v>
      </c>
      <c r="E4367" t="s">
        <v>7654</v>
      </c>
    </row>
    <row r="4368" spans="1:5" x14ac:dyDescent="0.25">
      <c r="A4368" s="1" t="s">
        <v>4367</v>
      </c>
      <c r="C4368" s="3">
        <v>31</v>
      </c>
      <c r="E4368" t="s">
        <v>4288</v>
      </c>
    </row>
    <row r="4369" spans="1:5" x14ac:dyDescent="0.25">
      <c r="A4369" s="1" t="s">
        <v>4368</v>
      </c>
      <c r="C4369" s="3">
        <v>31</v>
      </c>
      <c r="E4369" t="s">
        <v>5688</v>
      </c>
    </row>
    <row r="4370" spans="1:5" x14ac:dyDescent="0.25">
      <c r="A4370" s="1" t="s">
        <v>4369</v>
      </c>
      <c r="C4370" s="3">
        <v>31</v>
      </c>
      <c r="E4370" t="s">
        <v>2118</v>
      </c>
    </row>
    <row r="4371" spans="1:5" x14ac:dyDescent="0.25">
      <c r="A4371" s="1" t="s">
        <v>4370</v>
      </c>
      <c r="C4371" s="3">
        <v>31</v>
      </c>
      <c r="E4371" t="s">
        <v>20025</v>
      </c>
    </row>
    <row r="4372" spans="1:5" x14ac:dyDescent="0.25">
      <c r="A4372" s="1" t="s">
        <v>4371</v>
      </c>
      <c r="C4372" s="3">
        <v>31</v>
      </c>
      <c r="E4372" t="s">
        <v>2235</v>
      </c>
    </row>
    <row r="4373" spans="1:5" x14ac:dyDescent="0.25">
      <c r="A4373" s="1" t="s">
        <v>4372</v>
      </c>
      <c r="C4373" s="3">
        <v>31</v>
      </c>
      <c r="E4373" t="s">
        <v>4074</v>
      </c>
    </row>
    <row r="4374" spans="1:5" x14ac:dyDescent="0.25">
      <c r="A4374" s="1" t="s">
        <v>4373</v>
      </c>
      <c r="C4374" s="3">
        <v>31</v>
      </c>
      <c r="E4374" t="s">
        <v>7437</v>
      </c>
    </row>
    <row r="4375" spans="1:5" x14ac:dyDescent="0.25">
      <c r="A4375" s="1" t="s">
        <v>4374</v>
      </c>
      <c r="C4375" s="3">
        <v>31</v>
      </c>
      <c r="E4375" t="s">
        <v>5937</v>
      </c>
    </row>
    <row r="4376" spans="1:5" x14ac:dyDescent="0.25">
      <c r="A4376" s="1" t="s">
        <v>4375</v>
      </c>
      <c r="C4376" s="3">
        <v>31</v>
      </c>
      <c r="E4376" t="s">
        <v>196</v>
      </c>
    </row>
    <row r="4377" spans="1:5" x14ac:dyDescent="0.25">
      <c r="A4377" s="1" t="s">
        <v>4376</v>
      </c>
      <c r="C4377" s="3">
        <v>31</v>
      </c>
      <c r="E4377" t="s">
        <v>7127</v>
      </c>
    </row>
    <row r="4378" spans="1:5" x14ac:dyDescent="0.25">
      <c r="A4378" s="1" t="s">
        <v>4377</v>
      </c>
      <c r="C4378" s="3">
        <v>31</v>
      </c>
      <c r="E4378" t="s">
        <v>11354</v>
      </c>
    </row>
    <row r="4379" spans="1:5" x14ac:dyDescent="0.25">
      <c r="A4379" s="1" t="s">
        <v>4378</v>
      </c>
      <c r="C4379" s="3">
        <v>31</v>
      </c>
      <c r="E4379" t="s">
        <v>3807</v>
      </c>
    </row>
    <row r="4380" spans="1:5" x14ac:dyDescent="0.25">
      <c r="A4380" s="1" t="s">
        <v>4379</v>
      </c>
      <c r="C4380" s="3">
        <v>31</v>
      </c>
      <c r="E4380" t="s">
        <v>8102</v>
      </c>
    </row>
    <row r="4381" spans="1:5" x14ac:dyDescent="0.25">
      <c r="A4381" s="1" t="s">
        <v>4380</v>
      </c>
      <c r="C4381" s="3">
        <v>31</v>
      </c>
      <c r="E4381" t="s">
        <v>996</v>
      </c>
    </row>
    <row r="4382" spans="1:5" x14ac:dyDescent="0.25">
      <c r="A4382" s="1" t="s">
        <v>4381</v>
      </c>
      <c r="C4382" s="3">
        <v>31</v>
      </c>
      <c r="E4382" t="s">
        <v>895</v>
      </c>
    </row>
    <row r="4383" spans="1:5" x14ac:dyDescent="0.25">
      <c r="A4383" s="1" t="s">
        <v>4382</v>
      </c>
      <c r="C4383" s="3">
        <v>31</v>
      </c>
      <c r="E4383" t="s">
        <v>6495</v>
      </c>
    </row>
    <row r="4384" spans="1:5" x14ac:dyDescent="0.25">
      <c r="A4384" s="1" t="s">
        <v>4383</v>
      </c>
      <c r="C4384" s="3">
        <v>31</v>
      </c>
      <c r="E4384" t="s">
        <v>5287</v>
      </c>
    </row>
    <row r="4385" spans="1:5" x14ac:dyDescent="0.25">
      <c r="A4385" s="1" t="s">
        <v>4384</v>
      </c>
      <c r="C4385" s="3">
        <v>31</v>
      </c>
      <c r="E4385" t="s">
        <v>9449</v>
      </c>
    </row>
    <row r="4386" spans="1:5" x14ac:dyDescent="0.25">
      <c r="A4386" s="1" t="s">
        <v>4385</v>
      </c>
      <c r="C4386" s="3">
        <v>31</v>
      </c>
      <c r="E4386" t="s">
        <v>15764</v>
      </c>
    </row>
    <row r="4387" spans="1:5" x14ac:dyDescent="0.25">
      <c r="A4387" s="1" t="s">
        <v>4386</v>
      </c>
      <c r="C4387" s="3">
        <v>31</v>
      </c>
      <c r="E4387" t="s">
        <v>3854</v>
      </c>
    </row>
    <row r="4388" spans="1:5" x14ac:dyDescent="0.25">
      <c r="A4388" s="1" t="s">
        <v>4387</v>
      </c>
      <c r="C4388" s="3">
        <v>31</v>
      </c>
      <c r="E4388" t="s">
        <v>3150</v>
      </c>
    </row>
    <row r="4389" spans="1:5" x14ac:dyDescent="0.25">
      <c r="A4389" s="1" t="s">
        <v>4388</v>
      </c>
      <c r="C4389" s="3">
        <v>31</v>
      </c>
      <c r="E4389" t="s">
        <v>5313</v>
      </c>
    </row>
    <row r="4390" spans="1:5" x14ac:dyDescent="0.25">
      <c r="A4390" s="1" t="s">
        <v>4389</v>
      </c>
      <c r="C4390" s="3">
        <v>31</v>
      </c>
      <c r="E4390" t="s">
        <v>2330</v>
      </c>
    </row>
    <row r="4391" spans="1:5" x14ac:dyDescent="0.25">
      <c r="A4391" s="1" t="s">
        <v>4390</v>
      </c>
      <c r="C4391" s="3">
        <v>31</v>
      </c>
      <c r="E4391" t="s">
        <v>2614</v>
      </c>
    </row>
    <row r="4392" spans="1:5" x14ac:dyDescent="0.25">
      <c r="A4392" s="1" t="s">
        <v>4391</v>
      </c>
      <c r="C4392" s="3">
        <v>31</v>
      </c>
      <c r="E4392" t="s">
        <v>5179</v>
      </c>
    </row>
    <row r="4393" spans="1:5" x14ac:dyDescent="0.25">
      <c r="A4393" s="1" t="s">
        <v>4392</v>
      </c>
      <c r="C4393" s="3">
        <v>31</v>
      </c>
      <c r="E4393" t="s">
        <v>7583</v>
      </c>
    </row>
    <row r="4394" spans="1:5" x14ac:dyDescent="0.25">
      <c r="A4394" s="1" t="s">
        <v>4393</v>
      </c>
      <c r="C4394" s="3">
        <v>31</v>
      </c>
      <c r="E4394" t="s">
        <v>7925</v>
      </c>
    </row>
    <row r="4395" spans="1:5" x14ac:dyDescent="0.25">
      <c r="A4395" s="1" t="s">
        <v>4394</v>
      </c>
      <c r="C4395" s="3">
        <v>31</v>
      </c>
      <c r="E4395" t="s">
        <v>17891</v>
      </c>
    </row>
    <row r="4396" spans="1:5" x14ac:dyDescent="0.25">
      <c r="A4396" s="1" t="s">
        <v>4395</v>
      </c>
      <c r="C4396" s="3">
        <v>31</v>
      </c>
      <c r="E4396" t="s">
        <v>6924</v>
      </c>
    </row>
    <row r="4397" spans="1:5" x14ac:dyDescent="0.25">
      <c r="A4397" s="1" t="s">
        <v>4396</v>
      </c>
      <c r="C4397" s="3">
        <v>31</v>
      </c>
      <c r="E4397" t="s">
        <v>11943</v>
      </c>
    </row>
    <row r="4398" spans="1:5" x14ac:dyDescent="0.25">
      <c r="A4398" s="1" t="s">
        <v>4397</v>
      </c>
      <c r="C4398" s="3">
        <v>31</v>
      </c>
      <c r="E4398" t="s">
        <v>770</v>
      </c>
    </row>
    <row r="4399" spans="1:5" x14ac:dyDescent="0.25">
      <c r="A4399" s="1" t="s">
        <v>4398</v>
      </c>
      <c r="C4399" s="3">
        <v>31</v>
      </c>
      <c r="E4399" t="s">
        <v>12764</v>
      </c>
    </row>
    <row r="4400" spans="1:5" x14ac:dyDescent="0.25">
      <c r="A4400" s="1" t="s">
        <v>4399</v>
      </c>
      <c r="C4400" s="3">
        <v>31</v>
      </c>
      <c r="E4400" t="s">
        <v>2584</v>
      </c>
    </row>
    <row r="4401" spans="1:5" x14ac:dyDescent="0.25">
      <c r="A4401" s="1" t="s">
        <v>4400</v>
      </c>
      <c r="C4401" s="3">
        <v>31</v>
      </c>
      <c r="E4401" t="s">
        <v>20875</v>
      </c>
    </row>
    <row r="4402" spans="1:5" x14ac:dyDescent="0.25">
      <c r="A4402" s="1" t="s">
        <v>4401</v>
      </c>
      <c r="C4402" s="3">
        <v>31</v>
      </c>
      <c r="E4402" t="s">
        <v>18106</v>
      </c>
    </row>
    <row r="4403" spans="1:5" x14ac:dyDescent="0.25">
      <c r="A4403" s="1" t="s">
        <v>4402</v>
      </c>
      <c r="C4403" s="3">
        <v>31</v>
      </c>
      <c r="E4403" t="s">
        <v>1518</v>
      </c>
    </row>
    <row r="4404" spans="1:5" x14ac:dyDescent="0.25">
      <c r="A4404" s="1" t="s">
        <v>4403</v>
      </c>
      <c r="C4404" s="3">
        <v>31</v>
      </c>
      <c r="E4404" t="s">
        <v>3643</v>
      </c>
    </row>
    <row r="4405" spans="1:5" x14ac:dyDescent="0.25">
      <c r="A4405" s="1" t="s">
        <v>4404</v>
      </c>
      <c r="C4405" s="3">
        <v>31</v>
      </c>
      <c r="E4405" t="s">
        <v>9345</v>
      </c>
    </row>
    <row r="4406" spans="1:5" x14ac:dyDescent="0.25">
      <c r="A4406" s="1" t="s">
        <v>4405</v>
      </c>
      <c r="C4406" s="3">
        <v>31</v>
      </c>
      <c r="E4406" t="s">
        <v>2536</v>
      </c>
    </row>
    <row r="4407" spans="1:5" x14ac:dyDescent="0.25">
      <c r="A4407" s="1" t="s">
        <v>4406</v>
      </c>
      <c r="C4407" s="3">
        <v>31</v>
      </c>
      <c r="E4407" t="s">
        <v>1454</v>
      </c>
    </row>
    <row r="4408" spans="1:5" x14ac:dyDescent="0.25">
      <c r="A4408" s="1" t="s">
        <v>4407</v>
      </c>
      <c r="C4408" s="3">
        <v>31</v>
      </c>
      <c r="E4408" t="s">
        <v>2715</v>
      </c>
    </row>
    <row r="4409" spans="1:5" x14ac:dyDescent="0.25">
      <c r="A4409" s="1" t="s">
        <v>4408</v>
      </c>
      <c r="C4409" s="3">
        <v>31</v>
      </c>
      <c r="E4409" t="s">
        <v>619</v>
      </c>
    </row>
    <row r="4410" spans="1:5" x14ac:dyDescent="0.25">
      <c r="A4410" s="1" t="s">
        <v>4409</v>
      </c>
      <c r="C4410" s="3">
        <v>31</v>
      </c>
      <c r="E4410" t="s">
        <v>2030</v>
      </c>
    </row>
    <row r="4411" spans="1:5" x14ac:dyDescent="0.25">
      <c r="A4411" s="1" t="s">
        <v>4410</v>
      </c>
      <c r="C4411" s="3">
        <v>31</v>
      </c>
      <c r="E4411" t="s">
        <v>589</v>
      </c>
    </row>
    <row r="4412" spans="1:5" x14ac:dyDescent="0.25">
      <c r="A4412" s="1" t="s">
        <v>4411</v>
      </c>
      <c r="C4412" s="3">
        <v>31</v>
      </c>
      <c r="E4412" t="s">
        <v>2768</v>
      </c>
    </row>
    <row r="4413" spans="1:5" x14ac:dyDescent="0.25">
      <c r="A4413" s="1" t="s">
        <v>4412</v>
      </c>
      <c r="C4413" s="3">
        <v>31</v>
      </c>
      <c r="E4413" t="s">
        <v>5131</v>
      </c>
    </row>
    <row r="4414" spans="1:5" x14ac:dyDescent="0.25">
      <c r="A4414" s="1" t="s">
        <v>4413</v>
      </c>
      <c r="C4414" s="3">
        <v>31</v>
      </c>
      <c r="E4414" t="s">
        <v>1166</v>
      </c>
    </row>
    <row r="4415" spans="1:5" x14ac:dyDescent="0.25">
      <c r="A4415" s="1" t="s">
        <v>4414</v>
      </c>
      <c r="C4415" s="3">
        <v>31</v>
      </c>
      <c r="E4415" t="s">
        <v>16925</v>
      </c>
    </row>
    <row r="4416" spans="1:5" x14ac:dyDescent="0.25">
      <c r="A4416" s="1" t="s">
        <v>4415</v>
      </c>
      <c r="C4416" s="3">
        <v>31</v>
      </c>
      <c r="E4416" t="s">
        <v>3353</v>
      </c>
    </row>
    <row r="4417" spans="1:5" x14ac:dyDescent="0.25">
      <c r="A4417" s="1" t="s">
        <v>4416</v>
      </c>
      <c r="C4417" s="3">
        <v>31</v>
      </c>
      <c r="E4417" t="s">
        <v>2269</v>
      </c>
    </row>
    <row r="4418" spans="1:5" x14ac:dyDescent="0.25">
      <c r="A4418" s="1" t="s">
        <v>4417</v>
      </c>
      <c r="C4418" s="3">
        <v>31</v>
      </c>
      <c r="E4418" t="s">
        <v>4882</v>
      </c>
    </row>
    <row r="4419" spans="1:5" x14ac:dyDescent="0.25">
      <c r="A4419" s="1" t="s">
        <v>4418</v>
      </c>
      <c r="C4419" s="3">
        <v>31</v>
      </c>
      <c r="E4419" t="s">
        <v>8152</v>
      </c>
    </row>
    <row r="4420" spans="1:5" x14ac:dyDescent="0.25">
      <c r="A4420" s="1" t="s">
        <v>4419</v>
      </c>
      <c r="C4420" s="3">
        <v>31</v>
      </c>
      <c r="E4420" t="s">
        <v>6294</v>
      </c>
    </row>
    <row r="4421" spans="1:5" x14ac:dyDescent="0.25">
      <c r="A4421" s="1" t="s">
        <v>4420</v>
      </c>
      <c r="C4421" s="3">
        <v>31</v>
      </c>
      <c r="E4421" t="s">
        <v>6632</v>
      </c>
    </row>
    <row r="4422" spans="1:5" x14ac:dyDescent="0.25">
      <c r="A4422" s="1" t="s">
        <v>4421</v>
      </c>
      <c r="C4422" s="3">
        <v>31</v>
      </c>
      <c r="E4422" t="s">
        <v>1336</v>
      </c>
    </row>
    <row r="4423" spans="1:5" x14ac:dyDescent="0.25">
      <c r="A4423" s="1" t="s">
        <v>4422</v>
      </c>
      <c r="C4423" s="3">
        <v>31</v>
      </c>
      <c r="E4423" t="s">
        <v>8425</v>
      </c>
    </row>
    <row r="4424" spans="1:5" x14ac:dyDescent="0.25">
      <c r="A4424" s="1" t="s">
        <v>4423</v>
      </c>
      <c r="C4424" s="3">
        <v>31</v>
      </c>
      <c r="E4424" t="s">
        <v>2577</v>
      </c>
    </row>
    <row r="4425" spans="1:5" x14ac:dyDescent="0.25">
      <c r="A4425" s="1" t="s">
        <v>4424</v>
      </c>
      <c r="C4425" s="3">
        <v>31</v>
      </c>
      <c r="E4425" t="s">
        <v>10435</v>
      </c>
    </row>
    <row r="4426" spans="1:5" x14ac:dyDescent="0.25">
      <c r="A4426" s="1" t="s">
        <v>4425</v>
      </c>
      <c r="C4426" s="3">
        <v>31</v>
      </c>
      <c r="E4426" t="s">
        <v>3372</v>
      </c>
    </row>
    <row r="4427" spans="1:5" x14ac:dyDescent="0.25">
      <c r="A4427" s="1" t="s">
        <v>4426</v>
      </c>
      <c r="C4427" s="3">
        <v>31</v>
      </c>
      <c r="E4427" t="s">
        <v>15416</v>
      </c>
    </row>
    <row r="4428" spans="1:5" x14ac:dyDescent="0.25">
      <c r="A4428" s="1" t="s">
        <v>4427</v>
      </c>
      <c r="C4428" s="3">
        <v>31</v>
      </c>
      <c r="E4428" t="s">
        <v>12792</v>
      </c>
    </row>
    <row r="4429" spans="1:5" x14ac:dyDescent="0.25">
      <c r="A4429" s="1" t="s">
        <v>4428</v>
      </c>
      <c r="C4429" s="3">
        <v>31</v>
      </c>
      <c r="E4429" t="s">
        <v>2839</v>
      </c>
    </row>
    <row r="4430" spans="1:5" x14ac:dyDescent="0.25">
      <c r="A4430" s="1" t="s">
        <v>4429</v>
      </c>
      <c r="C4430" s="3">
        <v>31</v>
      </c>
      <c r="E4430" t="s">
        <v>8502</v>
      </c>
    </row>
    <row r="4431" spans="1:5" x14ac:dyDescent="0.25">
      <c r="A4431" s="1" t="s">
        <v>4430</v>
      </c>
      <c r="C4431" s="3">
        <v>31</v>
      </c>
      <c r="E4431" t="s">
        <v>7092</v>
      </c>
    </row>
    <row r="4432" spans="1:5" x14ac:dyDescent="0.25">
      <c r="A4432" s="1" t="s">
        <v>4431</v>
      </c>
      <c r="C4432" s="3">
        <v>31</v>
      </c>
      <c r="E4432" t="s">
        <v>1250</v>
      </c>
    </row>
    <row r="4433" spans="1:5" x14ac:dyDescent="0.25">
      <c r="A4433" s="1" t="s">
        <v>4432</v>
      </c>
      <c r="C4433" s="3">
        <v>31</v>
      </c>
      <c r="E4433" t="s">
        <v>113</v>
      </c>
    </row>
    <row r="4434" spans="1:5" x14ac:dyDescent="0.25">
      <c r="A4434" s="1" t="s">
        <v>4433</v>
      </c>
      <c r="C4434" s="3">
        <v>31</v>
      </c>
      <c r="E4434" t="s">
        <v>345</v>
      </c>
    </row>
    <row r="4435" spans="1:5" x14ac:dyDescent="0.25">
      <c r="A4435" s="1" t="s">
        <v>4434</v>
      </c>
      <c r="C4435" s="3">
        <v>31</v>
      </c>
      <c r="E4435" t="s">
        <v>4264</v>
      </c>
    </row>
    <row r="4436" spans="1:5" x14ac:dyDescent="0.25">
      <c r="A4436" s="1" t="s">
        <v>4435</v>
      </c>
      <c r="C4436" s="3">
        <v>31</v>
      </c>
      <c r="E4436" t="s">
        <v>1287</v>
      </c>
    </row>
    <row r="4437" spans="1:5" x14ac:dyDescent="0.25">
      <c r="A4437" s="1" t="s">
        <v>4436</v>
      </c>
      <c r="C4437" s="3">
        <v>31</v>
      </c>
      <c r="E4437" t="s">
        <v>2703</v>
      </c>
    </row>
    <row r="4438" spans="1:5" x14ac:dyDescent="0.25">
      <c r="A4438" s="1" t="s">
        <v>4437</v>
      </c>
      <c r="C4438" s="3">
        <v>31</v>
      </c>
      <c r="E4438" t="s">
        <v>330</v>
      </c>
    </row>
    <row r="4439" spans="1:5" x14ac:dyDescent="0.25">
      <c r="A4439" s="1" t="s">
        <v>4438</v>
      </c>
      <c r="C4439" s="3">
        <v>31</v>
      </c>
      <c r="E4439" t="s">
        <v>6883</v>
      </c>
    </row>
    <row r="4440" spans="1:5" x14ac:dyDescent="0.25">
      <c r="A4440" s="1" t="s">
        <v>4439</v>
      </c>
      <c r="C4440" s="3">
        <v>31</v>
      </c>
      <c r="E4440" t="s">
        <v>986</v>
      </c>
    </row>
    <row r="4441" spans="1:5" x14ac:dyDescent="0.25">
      <c r="A4441" s="1" t="s">
        <v>4440</v>
      </c>
      <c r="C4441" s="3">
        <v>31</v>
      </c>
      <c r="E4441" t="s">
        <v>3977</v>
      </c>
    </row>
    <row r="4442" spans="1:5" x14ac:dyDescent="0.25">
      <c r="A4442" s="1" t="s">
        <v>4441</v>
      </c>
      <c r="C4442" s="3">
        <v>31</v>
      </c>
      <c r="E4442" t="s">
        <v>9442</v>
      </c>
    </row>
    <row r="4443" spans="1:5" x14ac:dyDescent="0.25">
      <c r="A4443" s="1" t="s">
        <v>4442</v>
      </c>
      <c r="C4443" s="3">
        <v>31</v>
      </c>
      <c r="E4443" t="s">
        <v>4648</v>
      </c>
    </row>
    <row r="4444" spans="1:5" x14ac:dyDescent="0.25">
      <c r="A4444" s="1" t="s">
        <v>4443</v>
      </c>
      <c r="C4444" s="3">
        <v>31</v>
      </c>
      <c r="E4444" t="s">
        <v>7211</v>
      </c>
    </row>
    <row r="4445" spans="1:5" x14ac:dyDescent="0.25">
      <c r="A4445" s="1" t="s">
        <v>4444</v>
      </c>
      <c r="C4445" s="3">
        <v>31</v>
      </c>
      <c r="E4445" t="s">
        <v>3634</v>
      </c>
    </row>
    <row r="4446" spans="1:5" x14ac:dyDescent="0.25">
      <c r="A4446" s="1" t="s">
        <v>4445</v>
      </c>
      <c r="C4446" s="3">
        <v>31</v>
      </c>
      <c r="E4446" t="s">
        <v>1779</v>
      </c>
    </row>
    <row r="4447" spans="1:5" x14ac:dyDescent="0.25">
      <c r="A4447" s="1" t="s">
        <v>4446</v>
      </c>
      <c r="C4447" s="3">
        <v>31</v>
      </c>
      <c r="E4447" t="s">
        <v>4975</v>
      </c>
    </row>
    <row r="4448" spans="1:5" x14ac:dyDescent="0.25">
      <c r="A4448" s="1" t="s">
        <v>4447</v>
      </c>
      <c r="C4448" s="3">
        <v>31</v>
      </c>
      <c r="E4448" t="s">
        <v>15010</v>
      </c>
    </row>
    <row r="4449" spans="1:5" x14ac:dyDescent="0.25">
      <c r="A4449" s="1" t="s">
        <v>4448</v>
      </c>
      <c r="C4449" s="3">
        <v>31</v>
      </c>
      <c r="E4449" t="s">
        <v>7118</v>
      </c>
    </row>
    <row r="4450" spans="1:5" x14ac:dyDescent="0.25">
      <c r="A4450" s="1" t="s">
        <v>4449</v>
      </c>
      <c r="C4450" s="3">
        <v>31</v>
      </c>
      <c r="E4450" t="s">
        <v>2403</v>
      </c>
    </row>
    <row r="4451" spans="1:5" x14ac:dyDescent="0.25">
      <c r="A4451" s="1" t="s">
        <v>4450</v>
      </c>
      <c r="C4451" s="3">
        <v>31</v>
      </c>
      <c r="E4451" t="s">
        <v>1803</v>
      </c>
    </row>
    <row r="4452" spans="1:5" x14ac:dyDescent="0.25">
      <c r="A4452" s="1" t="s">
        <v>4451</v>
      </c>
      <c r="C4452" s="3">
        <v>31</v>
      </c>
      <c r="E4452" t="s">
        <v>9396</v>
      </c>
    </row>
    <row r="4453" spans="1:5" x14ac:dyDescent="0.25">
      <c r="A4453" s="1" t="s">
        <v>4452</v>
      </c>
      <c r="C4453" s="3">
        <v>31</v>
      </c>
      <c r="E4453" t="s">
        <v>1026</v>
      </c>
    </row>
    <row r="4454" spans="1:5" x14ac:dyDescent="0.25">
      <c r="A4454" s="1" t="s">
        <v>4453</v>
      </c>
      <c r="C4454" s="3">
        <v>31</v>
      </c>
      <c r="E4454" t="s">
        <v>3492</v>
      </c>
    </row>
    <row r="4455" spans="1:5" x14ac:dyDescent="0.25">
      <c r="A4455" s="1" t="s">
        <v>4454</v>
      </c>
      <c r="C4455" s="3">
        <v>31</v>
      </c>
      <c r="E4455" t="s">
        <v>2074</v>
      </c>
    </row>
    <row r="4456" spans="1:5" x14ac:dyDescent="0.25">
      <c r="A4456" s="1" t="s">
        <v>4455</v>
      </c>
      <c r="C4456" s="3">
        <v>31</v>
      </c>
      <c r="E4456" t="s">
        <v>18883</v>
      </c>
    </row>
    <row r="4457" spans="1:5" x14ac:dyDescent="0.25">
      <c r="A4457" s="1" t="s">
        <v>4456</v>
      </c>
      <c r="C4457" s="3">
        <v>31</v>
      </c>
      <c r="E4457" t="s">
        <v>9710</v>
      </c>
    </row>
    <row r="4458" spans="1:5" x14ac:dyDescent="0.25">
      <c r="A4458" s="1" t="s">
        <v>4457</v>
      </c>
      <c r="C4458" s="3">
        <v>31</v>
      </c>
      <c r="E4458" t="s">
        <v>22587</v>
      </c>
    </row>
    <row r="4459" spans="1:5" x14ac:dyDescent="0.25">
      <c r="A4459" s="1" t="s">
        <v>4458</v>
      </c>
      <c r="C4459" s="3">
        <v>31</v>
      </c>
      <c r="E4459" t="s">
        <v>3791</v>
      </c>
    </row>
    <row r="4460" spans="1:5" x14ac:dyDescent="0.25">
      <c r="A4460" s="1" t="s">
        <v>4459</v>
      </c>
      <c r="C4460" s="3">
        <v>31</v>
      </c>
      <c r="E4460" t="s">
        <v>1523</v>
      </c>
    </row>
    <row r="4461" spans="1:5" x14ac:dyDescent="0.25">
      <c r="A4461" s="1" t="s">
        <v>4460</v>
      </c>
      <c r="C4461" s="3">
        <v>31</v>
      </c>
      <c r="E4461" t="s">
        <v>805</v>
      </c>
    </row>
    <row r="4462" spans="1:5" x14ac:dyDescent="0.25">
      <c r="A4462" s="1" t="s">
        <v>4461</v>
      </c>
      <c r="C4462" s="3">
        <v>31</v>
      </c>
      <c r="E4462" t="s">
        <v>4551</v>
      </c>
    </row>
    <row r="4463" spans="1:5" x14ac:dyDescent="0.25">
      <c r="A4463" s="1" t="s">
        <v>4462</v>
      </c>
      <c r="C4463" s="3">
        <v>31</v>
      </c>
      <c r="E4463" t="s">
        <v>3939</v>
      </c>
    </row>
    <row r="4464" spans="1:5" x14ac:dyDescent="0.25">
      <c r="A4464" s="1" t="s">
        <v>4463</v>
      </c>
      <c r="C4464" s="3">
        <v>31</v>
      </c>
      <c r="E4464" t="s">
        <v>4767</v>
      </c>
    </row>
    <row r="4465" spans="1:5" x14ac:dyDescent="0.25">
      <c r="A4465" s="1" t="s">
        <v>4464</v>
      </c>
      <c r="C4465" s="3">
        <v>31</v>
      </c>
      <c r="E4465" t="s">
        <v>948</v>
      </c>
    </row>
    <row r="4466" spans="1:5" x14ac:dyDescent="0.25">
      <c r="A4466" s="1" t="s">
        <v>4465</v>
      </c>
      <c r="C4466" s="3">
        <v>31</v>
      </c>
      <c r="E4466" t="s">
        <v>12166</v>
      </c>
    </row>
    <row r="4467" spans="1:5" x14ac:dyDescent="0.25">
      <c r="A4467" s="1" t="s">
        <v>4466</v>
      </c>
      <c r="C4467" s="3">
        <v>31</v>
      </c>
      <c r="E4467" t="s">
        <v>6494</v>
      </c>
    </row>
    <row r="4468" spans="1:5" x14ac:dyDescent="0.25">
      <c r="A4468" s="1" t="s">
        <v>4467</v>
      </c>
      <c r="C4468" s="3">
        <v>31</v>
      </c>
      <c r="E4468" t="s">
        <v>12713</v>
      </c>
    </row>
    <row r="4469" spans="1:5" x14ac:dyDescent="0.25">
      <c r="A4469" s="1" t="s">
        <v>4468</v>
      </c>
      <c r="C4469" s="3">
        <v>31</v>
      </c>
      <c r="E4469" t="s">
        <v>5342</v>
      </c>
    </row>
    <row r="4470" spans="1:5" x14ac:dyDescent="0.25">
      <c r="A4470" s="1" t="s">
        <v>4469</v>
      </c>
      <c r="C4470" s="3">
        <v>31</v>
      </c>
      <c r="E4470" t="s">
        <v>600</v>
      </c>
    </row>
    <row r="4471" spans="1:5" x14ac:dyDescent="0.25">
      <c r="A4471" s="1" t="s">
        <v>4470</v>
      </c>
      <c r="C4471" s="3">
        <v>31</v>
      </c>
      <c r="E4471" t="s">
        <v>16243</v>
      </c>
    </row>
    <row r="4472" spans="1:5" x14ac:dyDescent="0.25">
      <c r="A4472" s="1" t="s">
        <v>4471</v>
      </c>
      <c r="C4472" s="3">
        <v>31</v>
      </c>
      <c r="E4472" t="s">
        <v>9481</v>
      </c>
    </row>
    <row r="4473" spans="1:5" x14ac:dyDescent="0.25">
      <c r="A4473" s="1" t="s">
        <v>4472</v>
      </c>
      <c r="C4473" s="3">
        <v>31</v>
      </c>
      <c r="E4473" t="s">
        <v>1647</v>
      </c>
    </row>
    <row r="4474" spans="1:5" x14ac:dyDescent="0.25">
      <c r="A4474" s="1" t="s">
        <v>4473</v>
      </c>
      <c r="C4474" s="3">
        <v>31</v>
      </c>
      <c r="E4474" t="s">
        <v>5340</v>
      </c>
    </row>
    <row r="4475" spans="1:5" x14ac:dyDescent="0.25">
      <c r="A4475" s="2" t="s">
        <v>4474</v>
      </c>
      <c r="C4475" s="4">
        <v>30</v>
      </c>
      <c r="E4475" t="s">
        <v>3309</v>
      </c>
    </row>
    <row r="4476" spans="1:5" x14ac:dyDescent="0.25">
      <c r="A4476" s="1" t="s">
        <v>4475</v>
      </c>
      <c r="C4476" s="3">
        <v>30</v>
      </c>
      <c r="E4476" t="s">
        <v>4639</v>
      </c>
    </row>
    <row r="4477" spans="1:5" x14ac:dyDescent="0.25">
      <c r="A4477" s="1" t="s">
        <v>4476</v>
      </c>
      <c r="C4477" s="3">
        <v>30</v>
      </c>
      <c r="E4477" t="s">
        <v>7014</v>
      </c>
    </row>
    <row r="4478" spans="1:5" x14ac:dyDescent="0.25">
      <c r="A4478" s="1" t="s">
        <v>4477</v>
      </c>
      <c r="C4478" s="3">
        <v>30</v>
      </c>
      <c r="E4478" t="s">
        <v>16108</v>
      </c>
    </row>
    <row r="4479" spans="1:5" x14ac:dyDescent="0.25">
      <c r="A4479" s="1" t="s">
        <v>4478</v>
      </c>
      <c r="C4479" s="3">
        <v>30</v>
      </c>
      <c r="E4479" t="s">
        <v>9204</v>
      </c>
    </row>
    <row r="4480" spans="1:5" x14ac:dyDescent="0.25">
      <c r="A4480" s="1" t="s">
        <v>4479</v>
      </c>
      <c r="C4480" s="3">
        <v>30</v>
      </c>
      <c r="E4480" t="s">
        <v>591</v>
      </c>
    </row>
    <row r="4481" spans="1:5" x14ac:dyDescent="0.25">
      <c r="A4481" s="1" t="s">
        <v>4480</v>
      </c>
      <c r="C4481" s="3">
        <v>30</v>
      </c>
      <c r="E4481" t="s">
        <v>25495</v>
      </c>
    </row>
    <row r="4482" spans="1:5" x14ac:dyDescent="0.25">
      <c r="A4482" s="1" t="s">
        <v>4481</v>
      </c>
      <c r="C4482" s="3">
        <v>30</v>
      </c>
      <c r="E4482" t="s">
        <v>2414</v>
      </c>
    </row>
    <row r="4483" spans="1:5" x14ac:dyDescent="0.25">
      <c r="A4483" s="1" t="s">
        <v>4482</v>
      </c>
      <c r="C4483" s="3">
        <v>30</v>
      </c>
      <c r="E4483" t="s">
        <v>4508</v>
      </c>
    </row>
    <row r="4484" spans="1:5" x14ac:dyDescent="0.25">
      <c r="A4484" s="1" t="s">
        <v>4483</v>
      </c>
      <c r="C4484" s="3">
        <v>30</v>
      </c>
      <c r="E4484" t="s">
        <v>9071</v>
      </c>
    </row>
    <row r="4485" spans="1:5" x14ac:dyDescent="0.25">
      <c r="A4485" s="1" t="s">
        <v>4484</v>
      </c>
      <c r="C4485" s="3">
        <v>30</v>
      </c>
      <c r="E4485" t="s">
        <v>1001</v>
      </c>
    </row>
    <row r="4486" spans="1:5" x14ac:dyDescent="0.25">
      <c r="A4486" s="1" t="s">
        <v>4485</v>
      </c>
      <c r="C4486" s="3">
        <v>30</v>
      </c>
      <c r="E4486" t="s">
        <v>489</v>
      </c>
    </row>
    <row r="4487" spans="1:5" x14ac:dyDescent="0.25">
      <c r="A4487" s="1" t="s">
        <v>4486</v>
      </c>
      <c r="C4487" s="3">
        <v>30</v>
      </c>
      <c r="E4487" t="s">
        <v>10117</v>
      </c>
    </row>
    <row r="4488" spans="1:5" x14ac:dyDescent="0.25">
      <c r="A4488" s="1" t="s">
        <v>4487</v>
      </c>
      <c r="C4488" s="3">
        <v>30</v>
      </c>
      <c r="E4488" t="s">
        <v>12373</v>
      </c>
    </row>
    <row r="4489" spans="1:5" x14ac:dyDescent="0.25">
      <c r="A4489" s="1" t="s">
        <v>4488</v>
      </c>
      <c r="C4489" s="3">
        <v>30</v>
      </c>
      <c r="E4489" t="s">
        <v>23502</v>
      </c>
    </row>
    <row r="4490" spans="1:5" x14ac:dyDescent="0.25">
      <c r="A4490" s="1" t="s">
        <v>4489</v>
      </c>
      <c r="C4490" s="3">
        <v>30</v>
      </c>
      <c r="E4490" t="s">
        <v>1103</v>
      </c>
    </row>
    <row r="4491" spans="1:5" x14ac:dyDescent="0.25">
      <c r="A4491" s="1" t="s">
        <v>4490</v>
      </c>
      <c r="C4491" s="3">
        <v>30</v>
      </c>
      <c r="E4491" t="s">
        <v>16988</v>
      </c>
    </row>
    <row r="4492" spans="1:5" x14ac:dyDescent="0.25">
      <c r="A4492" s="1" t="s">
        <v>4491</v>
      </c>
      <c r="C4492" s="3">
        <v>30</v>
      </c>
      <c r="E4492" t="s">
        <v>881</v>
      </c>
    </row>
    <row r="4493" spans="1:5" x14ac:dyDescent="0.25">
      <c r="A4493" s="1" t="s">
        <v>4492</v>
      </c>
      <c r="C4493" s="3">
        <v>30</v>
      </c>
      <c r="E4493" t="s">
        <v>12225</v>
      </c>
    </row>
    <row r="4494" spans="1:5" x14ac:dyDescent="0.25">
      <c r="A4494" s="1" t="s">
        <v>4493</v>
      </c>
      <c r="C4494" s="3">
        <v>30</v>
      </c>
      <c r="E4494" t="s">
        <v>19736</v>
      </c>
    </row>
    <row r="4495" spans="1:5" x14ac:dyDescent="0.25">
      <c r="A4495" s="1" t="s">
        <v>4494</v>
      </c>
      <c r="C4495" s="3">
        <v>30</v>
      </c>
      <c r="E4495" t="s">
        <v>8732</v>
      </c>
    </row>
    <row r="4496" spans="1:5" x14ac:dyDescent="0.25">
      <c r="A4496" s="1" t="s">
        <v>4495</v>
      </c>
      <c r="C4496" s="3">
        <v>30</v>
      </c>
      <c r="E4496" t="s">
        <v>18783</v>
      </c>
    </row>
    <row r="4497" spans="1:5" x14ac:dyDescent="0.25">
      <c r="A4497" s="1" t="s">
        <v>4496</v>
      </c>
      <c r="C4497" s="3">
        <v>30</v>
      </c>
      <c r="E4497" t="s">
        <v>2338</v>
      </c>
    </row>
    <row r="4498" spans="1:5" x14ac:dyDescent="0.25">
      <c r="A4498" s="1" t="s">
        <v>4497</v>
      </c>
      <c r="C4498" s="3">
        <v>30</v>
      </c>
      <c r="E4498" t="s">
        <v>13721</v>
      </c>
    </row>
    <row r="4499" spans="1:5" x14ac:dyDescent="0.25">
      <c r="A4499" s="1" t="s">
        <v>4498</v>
      </c>
      <c r="C4499" s="3">
        <v>30</v>
      </c>
      <c r="E4499" t="s">
        <v>11335</v>
      </c>
    </row>
    <row r="4500" spans="1:5" x14ac:dyDescent="0.25">
      <c r="A4500" s="1" t="s">
        <v>4499</v>
      </c>
      <c r="C4500" s="3">
        <v>30</v>
      </c>
      <c r="E4500" t="s">
        <v>63</v>
      </c>
    </row>
    <row r="4501" spans="1:5" x14ac:dyDescent="0.25">
      <c r="A4501" s="1" t="s">
        <v>4500</v>
      </c>
      <c r="C4501" s="3">
        <v>30</v>
      </c>
      <c r="E4501" t="s">
        <v>390</v>
      </c>
    </row>
    <row r="4502" spans="1:5" x14ac:dyDescent="0.25">
      <c r="A4502" s="1" t="s">
        <v>4501</v>
      </c>
      <c r="C4502" s="3">
        <v>30</v>
      </c>
      <c r="E4502" t="s">
        <v>4454</v>
      </c>
    </row>
    <row r="4503" spans="1:5" x14ac:dyDescent="0.25">
      <c r="A4503" s="1" t="s">
        <v>4502</v>
      </c>
      <c r="C4503" s="3">
        <v>30</v>
      </c>
      <c r="E4503" t="s">
        <v>2410</v>
      </c>
    </row>
    <row r="4504" spans="1:5" x14ac:dyDescent="0.25">
      <c r="A4504" s="1" t="s">
        <v>4503</v>
      </c>
      <c r="C4504" s="3">
        <v>30</v>
      </c>
      <c r="E4504" t="s">
        <v>1800</v>
      </c>
    </row>
    <row r="4505" spans="1:5" x14ac:dyDescent="0.25">
      <c r="A4505" s="1" t="s">
        <v>4504</v>
      </c>
      <c r="C4505" s="3">
        <v>30</v>
      </c>
      <c r="E4505" t="s">
        <v>2012</v>
      </c>
    </row>
    <row r="4506" spans="1:5" x14ac:dyDescent="0.25">
      <c r="A4506" s="1" t="s">
        <v>4505</v>
      </c>
      <c r="C4506" s="3">
        <v>30</v>
      </c>
      <c r="E4506" t="s">
        <v>3783</v>
      </c>
    </row>
    <row r="4507" spans="1:5" x14ac:dyDescent="0.25">
      <c r="A4507" s="1" t="s">
        <v>4506</v>
      </c>
      <c r="C4507" s="3">
        <v>30</v>
      </c>
      <c r="E4507" t="s">
        <v>1131</v>
      </c>
    </row>
    <row r="4508" spans="1:5" x14ac:dyDescent="0.25">
      <c r="A4508" s="1" t="s">
        <v>4507</v>
      </c>
      <c r="C4508" s="3">
        <v>30</v>
      </c>
      <c r="E4508" t="s">
        <v>14386</v>
      </c>
    </row>
    <row r="4509" spans="1:5" x14ac:dyDescent="0.25">
      <c r="A4509" s="1" t="s">
        <v>4508</v>
      </c>
      <c r="C4509" s="3">
        <v>30</v>
      </c>
      <c r="E4509" t="s">
        <v>11550</v>
      </c>
    </row>
    <row r="4510" spans="1:5" x14ac:dyDescent="0.25">
      <c r="A4510" s="1" t="s">
        <v>4509</v>
      </c>
      <c r="C4510" s="3">
        <v>30</v>
      </c>
      <c r="E4510" t="s">
        <v>2288</v>
      </c>
    </row>
    <row r="4511" spans="1:5" x14ac:dyDescent="0.25">
      <c r="A4511" s="1" t="s">
        <v>4510</v>
      </c>
      <c r="C4511" s="3">
        <v>30</v>
      </c>
      <c r="E4511" t="s">
        <v>3765</v>
      </c>
    </row>
    <row r="4512" spans="1:5" x14ac:dyDescent="0.25">
      <c r="A4512" s="1" t="s">
        <v>4511</v>
      </c>
      <c r="C4512" s="3">
        <v>30</v>
      </c>
      <c r="E4512" t="s">
        <v>5408</v>
      </c>
    </row>
    <row r="4513" spans="1:5" x14ac:dyDescent="0.25">
      <c r="A4513" s="1" t="s">
        <v>4512</v>
      </c>
      <c r="C4513" s="3">
        <v>30</v>
      </c>
      <c r="E4513" t="s">
        <v>2705</v>
      </c>
    </row>
    <row r="4514" spans="1:5" x14ac:dyDescent="0.25">
      <c r="A4514" s="1" t="s">
        <v>4513</v>
      </c>
      <c r="C4514" s="3">
        <v>30</v>
      </c>
      <c r="E4514" t="s">
        <v>12367</v>
      </c>
    </row>
    <row r="4515" spans="1:5" x14ac:dyDescent="0.25">
      <c r="A4515" s="1" t="s">
        <v>4514</v>
      </c>
      <c r="C4515" s="3">
        <v>30</v>
      </c>
      <c r="E4515" t="s">
        <v>10106</v>
      </c>
    </row>
    <row r="4516" spans="1:5" x14ac:dyDescent="0.25">
      <c r="A4516" s="1" t="s">
        <v>4515</v>
      </c>
      <c r="C4516" s="3">
        <v>30</v>
      </c>
      <c r="E4516" t="s">
        <v>18099</v>
      </c>
    </row>
    <row r="4517" spans="1:5" x14ac:dyDescent="0.25">
      <c r="A4517" s="1" t="s">
        <v>4516</v>
      </c>
      <c r="C4517" s="3">
        <v>30</v>
      </c>
      <c r="E4517" t="s">
        <v>3725</v>
      </c>
    </row>
    <row r="4518" spans="1:5" x14ac:dyDescent="0.25">
      <c r="A4518" s="1" t="s">
        <v>4517</v>
      </c>
      <c r="C4518" s="3">
        <v>30</v>
      </c>
      <c r="E4518" t="s">
        <v>9145</v>
      </c>
    </row>
    <row r="4519" spans="1:5" x14ac:dyDescent="0.25">
      <c r="A4519" s="1" t="s">
        <v>4518</v>
      </c>
      <c r="C4519" s="3">
        <v>30</v>
      </c>
      <c r="E4519" t="s">
        <v>1658</v>
      </c>
    </row>
    <row r="4520" spans="1:5" x14ac:dyDescent="0.25">
      <c r="A4520" s="1" t="s">
        <v>4519</v>
      </c>
      <c r="C4520" s="3">
        <v>30</v>
      </c>
      <c r="E4520" t="s">
        <v>6554</v>
      </c>
    </row>
    <row r="4521" spans="1:5" x14ac:dyDescent="0.25">
      <c r="A4521" s="1" t="s">
        <v>4520</v>
      </c>
      <c r="C4521" s="3">
        <v>30</v>
      </c>
      <c r="E4521" t="s">
        <v>4755</v>
      </c>
    </row>
    <row r="4522" spans="1:5" x14ac:dyDescent="0.25">
      <c r="A4522" s="1" t="s">
        <v>4521</v>
      </c>
      <c r="C4522" s="3">
        <v>30</v>
      </c>
      <c r="E4522" t="s">
        <v>10711</v>
      </c>
    </row>
    <row r="4523" spans="1:5" x14ac:dyDescent="0.25">
      <c r="A4523" s="1" t="s">
        <v>4522</v>
      </c>
      <c r="C4523" s="3">
        <v>30</v>
      </c>
      <c r="E4523" t="s">
        <v>5961</v>
      </c>
    </row>
    <row r="4524" spans="1:5" x14ac:dyDescent="0.25">
      <c r="A4524" s="1" t="s">
        <v>4523</v>
      </c>
      <c r="C4524" s="3">
        <v>30</v>
      </c>
      <c r="E4524" t="s">
        <v>23499</v>
      </c>
    </row>
    <row r="4525" spans="1:5" x14ac:dyDescent="0.25">
      <c r="A4525" s="1" t="s">
        <v>4524</v>
      </c>
      <c r="C4525" s="3">
        <v>30</v>
      </c>
      <c r="E4525" t="s">
        <v>1432</v>
      </c>
    </row>
    <row r="4526" spans="1:5" x14ac:dyDescent="0.25">
      <c r="A4526" s="1" t="s">
        <v>4525</v>
      </c>
      <c r="C4526" s="3">
        <v>30</v>
      </c>
      <c r="E4526" t="s">
        <v>14750</v>
      </c>
    </row>
    <row r="4527" spans="1:5" x14ac:dyDescent="0.25">
      <c r="A4527" s="1" t="s">
        <v>4526</v>
      </c>
      <c r="C4527" s="3">
        <v>30</v>
      </c>
      <c r="E4527" t="s">
        <v>1504</v>
      </c>
    </row>
    <row r="4528" spans="1:5" x14ac:dyDescent="0.25">
      <c r="A4528" s="1" t="s">
        <v>4527</v>
      </c>
      <c r="C4528" s="3">
        <v>30</v>
      </c>
      <c r="E4528" t="s">
        <v>6400</v>
      </c>
    </row>
    <row r="4529" spans="1:5" x14ac:dyDescent="0.25">
      <c r="A4529" s="1" t="s">
        <v>4528</v>
      </c>
      <c r="C4529" s="3">
        <v>30</v>
      </c>
      <c r="E4529" t="s">
        <v>18498</v>
      </c>
    </row>
    <row r="4530" spans="1:5" x14ac:dyDescent="0.25">
      <c r="A4530" s="1" t="s">
        <v>4529</v>
      </c>
      <c r="C4530" s="3">
        <v>30</v>
      </c>
      <c r="E4530" t="s">
        <v>9164</v>
      </c>
    </row>
    <row r="4531" spans="1:5" x14ac:dyDescent="0.25">
      <c r="A4531" s="1" t="s">
        <v>4530</v>
      </c>
      <c r="C4531" s="3">
        <v>30</v>
      </c>
      <c r="E4531" t="s">
        <v>5700</v>
      </c>
    </row>
    <row r="4532" spans="1:5" x14ac:dyDescent="0.25">
      <c r="A4532" s="1" t="s">
        <v>4531</v>
      </c>
      <c r="C4532" s="3">
        <v>30</v>
      </c>
      <c r="E4532" t="s">
        <v>10064</v>
      </c>
    </row>
    <row r="4533" spans="1:5" x14ac:dyDescent="0.25">
      <c r="A4533" s="1" t="s">
        <v>4532</v>
      </c>
      <c r="C4533" s="3">
        <v>30</v>
      </c>
      <c r="E4533" t="s">
        <v>11012</v>
      </c>
    </row>
    <row r="4534" spans="1:5" x14ac:dyDescent="0.25">
      <c r="A4534" s="1" t="s">
        <v>4533</v>
      </c>
      <c r="C4534" s="3">
        <v>30</v>
      </c>
      <c r="E4534" t="s">
        <v>14396</v>
      </c>
    </row>
    <row r="4535" spans="1:5" x14ac:dyDescent="0.25">
      <c r="A4535" s="1" t="s">
        <v>4534</v>
      </c>
      <c r="C4535" s="3">
        <v>30</v>
      </c>
      <c r="E4535" t="s">
        <v>557</v>
      </c>
    </row>
    <row r="4536" spans="1:5" x14ac:dyDescent="0.25">
      <c r="A4536" s="1" t="s">
        <v>4535</v>
      </c>
      <c r="C4536" s="3">
        <v>30</v>
      </c>
      <c r="E4536" t="s">
        <v>1458</v>
      </c>
    </row>
    <row r="4537" spans="1:5" x14ac:dyDescent="0.25">
      <c r="A4537" s="1" t="s">
        <v>4536</v>
      </c>
      <c r="C4537" s="3">
        <v>30</v>
      </c>
      <c r="E4537" t="s">
        <v>13413</v>
      </c>
    </row>
    <row r="4538" spans="1:5" x14ac:dyDescent="0.25">
      <c r="A4538" s="1" t="s">
        <v>4537</v>
      </c>
      <c r="C4538" s="3">
        <v>30</v>
      </c>
      <c r="E4538" t="s">
        <v>15114</v>
      </c>
    </row>
    <row r="4539" spans="1:5" x14ac:dyDescent="0.25">
      <c r="A4539" s="1" t="s">
        <v>4538</v>
      </c>
      <c r="C4539" s="3">
        <v>30</v>
      </c>
      <c r="E4539" t="s">
        <v>25496</v>
      </c>
    </row>
    <row r="4540" spans="1:5" x14ac:dyDescent="0.25">
      <c r="A4540" s="1" t="s">
        <v>4539</v>
      </c>
      <c r="C4540" s="3">
        <v>30</v>
      </c>
      <c r="E4540" t="s">
        <v>7920</v>
      </c>
    </row>
    <row r="4541" spans="1:5" x14ac:dyDescent="0.25">
      <c r="A4541" s="1" t="s">
        <v>4540</v>
      </c>
      <c r="C4541" s="3">
        <v>30</v>
      </c>
      <c r="E4541" t="s">
        <v>672</v>
      </c>
    </row>
    <row r="4542" spans="1:5" x14ac:dyDescent="0.25">
      <c r="A4542" s="1" t="s">
        <v>4541</v>
      </c>
      <c r="C4542" s="3">
        <v>30</v>
      </c>
      <c r="E4542" t="s">
        <v>5720</v>
      </c>
    </row>
    <row r="4543" spans="1:5" x14ac:dyDescent="0.25">
      <c r="A4543" s="1" t="s">
        <v>4542</v>
      </c>
      <c r="C4543" s="3">
        <v>30</v>
      </c>
      <c r="E4543" t="s">
        <v>599</v>
      </c>
    </row>
    <row r="4544" spans="1:5" x14ac:dyDescent="0.25">
      <c r="A4544" s="1" t="s">
        <v>4543</v>
      </c>
      <c r="C4544" s="3">
        <v>30</v>
      </c>
      <c r="E4544" t="s">
        <v>22607</v>
      </c>
    </row>
    <row r="4545" spans="1:5" x14ac:dyDescent="0.25">
      <c r="A4545" s="1" t="s">
        <v>4544</v>
      </c>
      <c r="C4545" s="3">
        <v>30</v>
      </c>
      <c r="E4545" t="s">
        <v>3721</v>
      </c>
    </row>
    <row r="4546" spans="1:5" x14ac:dyDescent="0.25">
      <c r="A4546" s="1" t="s">
        <v>4545</v>
      </c>
      <c r="C4546" s="3">
        <v>30</v>
      </c>
      <c r="E4546" t="s">
        <v>4762</v>
      </c>
    </row>
    <row r="4547" spans="1:5" x14ac:dyDescent="0.25">
      <c r="A4547" s="1" t="s">
        <v>4546</v>
      </c>
      <c r="C4547" s="3">
        <v>30</v>
      </c>
      <c r="E4547" t="s">
        <v>3177</v>
      </c>
    </row>
    <row r="4548" spans="1:5" x14ac:dyDescent="0.25">
      <c r="A4548" s="1" t="s">
        <v>4547</v>
      </c>
      <c r="C4548" s="3">
        <v>30</v>
      </c>
      <c r="E4548" t="s">
        <v>2007</v>
      </c>
    </row>
    <row r="4549" spans="1:5" x14ac:dyDescent="0.25">
      <c r="A4549" s="1" t="s">
        <v>4548</v>
      </c>
      <c r="C4549" s="3">
        <v>30</v>
      </c>
      <c r="E4549" t="s">
        <v>10786</v>
      </c>
    </row>
    <row r="4550" spans="1:5" x14ac:dyDescent="0.25">
      <c r="A4550" s="1" t="s">
        <v>4549</v>
      </c>
      <c r="C4550" s="3">
        <v>30</v>
      </c>
      <c r="E4550" t="s">
        <v>2010</v>
      </c>
    </row>
    <row r="4551" spans="1:5" x14ac:dyDescent="0.25">
      <c r="A4551" s="1" t="s">
        <v>4550</v>
      </c>
      <c r="C4551" s="3">
        <v>30</v>
      </c>
      <c r="E4551" t="s">
        <v>11991</v>
      </c>
    </row>
    <row r="4552" spans="1:5" x14ac:dyDescent="0.25">
      <c r="A4552" s="1" t="s">
        <v>4551</v>
      </c>
      <c r="C4552" s="3">
        <v>30</v>
      </c>
      <c r="E4552" t="s">
        <v>7883</v>
      </c>
    </row>
    <row r="4553" spans="1:5" x14ac:dyDescent="0.25">
      <c r="A4553" s="1" t="s">
        <v>4552</v>
      </c>
      <c r="C4553" s="3">
        <v>30</v>
      </c>
      <c r="E4553" t="s">
        <v>3418</v>
      </c>
    </row>
    <row r="4554" spans="1:5" x14ac:dyDescent="0.25">
      <c r="A4554" s="1" t="s">
        <v>4553</v>
      </c>
      <c r="C4554" s="3">
        <v>30</v>
      </c>
      <c r="E4554" t="s">
        <v>904</v>
      </c>
    </row>
    <row r="4555" spans="1:5" x14ac:dyDescent="0.25">
      <c r="A4555" s="1" t="s">
        <v>4554</v>
      </c>
      <c r="C4555" s="3">
        <v>30</v>
      </c>
      <c r="E4555" t="s">
        <v>3811</v>
      </c>
    </row>
    <row r="4556" spans="1:5" x14ac:dyDescent="0.25">
      <c r="A4556" s="1" t="s">
        <v>4555</v>
      </c>
      <c r="C4556" s="3">
        <v>30</v>
      </c>
      <c r="E4556" t="s">
        <v>4105</v>
      </c>
    </row>
    <row r="4557" spans="1:5" x14ac:dyDescent="0.25">
      <c r="A4557" s="1" t="s">
        <v>4556</v>
      </c>
      <c r="C4557" s="3">
        <v>30</v>
      </c>
      <c r="E4557" t="s">
        <v>4029</v>
      </c>
    </row>
    <row r="4558" spans="1:5" x14ac:dyDescent="0.25">
      <c r="A4558" s="1" t="s">
        <v>4557</v>
      </c>
      <c r="C4558" s="3">
        <v>30</v>
      </c>
      <c r="E4558" t="s">
        <v>9953</v>
      </c>
    </row>
    <row r="4559" spans="1:5" x14ac:dyDescent="0.25">
      <c r="A4559" s="1" t="s">
        <v>4558</v>
      </c>
      <c r="C4559" s="3">
        <v>30</v>
      </c>
      <c r="E4559" t="s">
        <v>9962</v>
      </c>
    </row>
    <row r="4560" spans="1:5" x14ac:dyDescent="0.25">
      <c r="A4560" s="1" t="s">
        <v>4559</v>
      </c>
      <c r="C4560" s="3">
        <v>30</v>
      </c>
      <c r="E4560" t="s">
        <v>409</v>
      </c>
    </row>
    <row r="4561" spans="1:5" x14ac:dyDescent="0.25">
      <c r="A4561" s="1" t="s">
        <v>4560</v>
      </c>
      <c r="C4561" s="3">
        <v>30</v>
      </c>
      <c r="E4561" t="s">
        <v>148</v>
      </c>
    </row>
    <row r="4562" spans="1:5" x14ac:dyDescent="0.25">
      <c r="A4562" s="1" t="s">
        <v>4561</v>
      </c>
      <c r="C4562" s="3">
        <v>30</v>
      </c>
      <c r="E4562" t="s">
        <v>7648</v>
      </c>
    </row>
    <row r="4563" spans="1:5" x14ac:dyDescent="0.25">
      <c r="A4563" s="1" t="s">
        <v>4562</v>
      </c>
      <c r="C4563" s="3">
        <v>30</v>
      </c>
      <c r="E4563" t="s">
        <v>3729</v>
      </c>
    </row>
    <row r="4564" spans="1:5" x14ac:dyDescent="0.25">
      <c r="A4564" s="1" t="s">
        <v>4563</v>
      </c>
      <c r="C4564" s="3">
        <v>30</v>
      </c>
      <c r="E4564" t="s">
        <v>1463</v>
      </c>
    </row>
    <row r="4565" spans="1:5" x14ac:dyDescent="0.25">
      <c r="A4565" s="1" t="s">
        <v>4564</v>
      </c>
      <c r="C4565" s="3">
        <v>30</v>
      </c>
      <c r="E4565" t="s">
        <v>16380</v>
      </c>
    </row>
    <row r="4566" spans="1:5" x14ac:dyDescent="0.25">
      <c r="A4566" s="1" t="s">
        <v>4565</v>
      </c>
      <c r="C4566" s="3">
        <v>30</v>
      </c>
      <c r="E4566" t="s">
        <v>1908</v>
      </c>
    </row>
    <row r="4567" spans="1:5" x14ac:dyDescent="0.25">
      <c r="A4567" s="1" t="s">
        <v>4566</v>
      </c>
      <c r="C4567" s="3">
        <v>30</v>
      </c>
      <c r="E4567" t="s">
        <v>2884</v>
      </c>
    </row>
    <row r="4568" spans="1:5" x14ac:dyDescent="0.25">
      <c r="A4568" s="1" t="s">
        <v>4567</v>
      </c>
      <c r="C4568" s="3">
        <v>30</v>
      </c>
      <c r="E4568" t="s">
        <v>2211</v>
      </c>
    </row>
    <row r="4569" spans="1:5" x14ac:dyDescent="0.25">
      <c r="A4569" s="1" t="s">
        <v>4568</v>
      </c>
      <c r="C4569" s="3">
        <v>30</v>
      </c>
      <c r="E4569" t="s">
        <v>4567</v>
      </c>
    </row>
    <row r="4570" spans="1:5" x14ac:dyDescent="0.25">
      <c r="A4570" s="1" t="s">
        <v>4569</v>
      </c>
      <c r="C4570" s="3">
        <v>30</v>
      </c>
      <c r="E4570" t="s">
        <v>5027</v>
      </c>
    </row>
    <row r="4571" spans="1:5" x14ac:dyDescent="0.25">
      <c r="A4571" s="1" t="s">
        <v>4570</v>
      </c>
      <c r="C4571" s="3">
        <v>30</v>
      </c>
      <c r="E4571" t="s">
        <v>16541</v>
      </c>
    </row>
    <row r="4572" spans="1:5" x14ac:dyDescent="0.25">
      <c r="A4572" s="1" t="s">
        <v>4571</v>
      </c>
      <c r="C4572" s="3">
        <v>30</v>
      </c>
      <c r="E4572" t="s">
        <v>23184</v>
      </c>
    </row>
    <row r="4573" spans="1:5" x14ac:dyDescent="0.25">
      <c r="A4573" s="1" t="s">
        <v>4572</v>
      </c>
      <c r="C4573" s="3">
        <v>30</v>
      </c>
      <c r="E4573" t="s">
        <v>3064</v>
      </c>
    </row>
    <row r="4574" spans="1:5" x14ac:dyDescent="0.25">
      <c r="A4574" s="1" t="s">
        <v>4573</v>
      </c>
      <c r="C4574" s="3">
        <v>30</v>
      </c>
      <c r="E4574" t="s">
        <v>4863</v>
      </c>
    </row>
    <row r="4575" spans="1:5" x14ac:dyDescent="0.25">
      <c r="A4575" s="1" t="s">
        <v>4574</v>
      </c>
      <c r="C4575" s="3">
        <v>30</v>
      </c>
      <c r="E4575" t="s">
        <v>2038</v>
      </c>
    </row>
    <row r="4576" spans="1:5" x14ac:dyDescent="0.25">
      <c r="A4576" s="1" t="s">
        <v>4575</v>
      </c>
      <c r="C4576" s="3">
        <v>30</v>
      </c>
      <c r="E4576" t="s">
        <v>3613</v>
      </c>
    </row>
    <row r="4577" spans="1:5" x14ac:dyDescent="0.25">
      <c r="A4577" s="1" t="s">
        <v>4576</v>
      </c>
      <c r="C4577" s="3">
        <v>30</v>
      </c>
      <c r="E4577" t="s">
        <v>734</v>
      </c>
    </row>
    <row r="4578" spans="1:5" x14ac:dyDescent="0.25">
      <c r="A4578" s="1" t="s">
        <v>4577</v>
      </c>
      <c r="C4578" s="3">
        <v>30</v>
      </c>
      <c r="E4578" t="s">
        <v>19525</v>
      </c>
    </row>
    <row r="4579" spans="1:5" x14ac:dyDescent="0.25">
      <c r="A4579" s="1" t="s">
        <v>4578</v>
      </c>
      <c r="C4579" s="3">
        <v>30</v>
      </c>
      <c r="E4579" t="s">
        <v>304</v>
      </c>
    </row>
    <row r="4580" spans="1:5" x14ac:dyDescent="0.25">
      <c r="A4580" s="1" t="s">
        <v>4579</v>
      </c>
      <c r="C4580" s="3">
        <v>30</v>
      </c>
      <c r="E4580" t="s">
        <v>7510</v>
      </c>
    </row>
    <row r="4581" spans="1:5" x14ac:dyDescent="0.25">
      <c r="A4581" s="1" t="s">
        <v>4580</v>
      </c>
      <c r="C4581" s="3">
        <v>30</v>
      </c>
      <c r="E4581" t="s">
        <v>9855</v>
      </c>
    </row>
    <row r="4582" spans="1:5" x14ac:dyDescent="0.25">
      <c r="A4582" s="1" t="s">
        <v>4581</v>
      </c>
      <c r="C4582" s="3">
        <v>30</v>
      </c>
      <c r="E4582" t="s">
        <v>1320</v>
      </c>
    </row>
    <row r="4583" spans="1:5" x14ac:dyDescent="0.25">
      <c r="A4583" s="1" t="s">
        <v>4582</v>
      </c>
      <c r="C4583" s="3">
        <v>30</v>
      </c>
      <c r="E4583" t="s">
        <v>10310</v>
      </c>
    </row>
    <row r="4584" spans="1:5" x14ac:dyDescent="0.25">
      <c r="A4584" s="1" t="s">
        <v>4583</v>
      </c>
      <c r="C4584" s="3">
        <v>30</v>
      </c>
      <c r="E4584" t="s">
        <v>5757</v>
      </c>
    </row>
    <row r="4585" spans="1:5" x14ac:dyDescent="0.25">
      <c r="A4585" s="1" t="s">
        <v>4584</v>
      </c>
      <c r="C4585" s="3">
        <v>30</v>
      </c>
      <c r="E4585" t="s">
        <v>5551</v>
      </c>
    </row>
    <row r="4586" spans="1:5" x14ac:dyDescent="0.25">
      <c r="A4586" s="1" t="s">
        <v>4585</v>
      </c>
      <c r="C4586" s="3">
        <v>30</v>
      </c>
      <c r="E4586" t="s">
        <v>11793</v>
      </c>
    </row>
    <row r="4587" spans="1:5" x14ac:dyDescent="0.25">
      <c r="A4587" s="1" t="s">
        <v>4586</v>
      </c>
      <c r="C4587" s="3">
        <v>30</v>
      </c>
      <c r="E4587" t="s">
        <v>382</v>
      </c>
    </row>
    <row r="4588" spans="1:5" x14ac:dyDescent="0.25">
      <c r="A4588" s="1" t="s">
        <v>4587</v>
      </c>
      <c r="C4588" s="3">
        <v>30</v>
      </c>
      <c r="E4588" t="s">
        <v>25497</v>
      </c>
    </row>
    <row r="4589" spans="1:5" x14ac:dyDescent="0.25">
      <c r="A4589" s="1" t="s">
        <v>4588</v>
      </c>
      <c r="C4589" s="3">
        <v>30</v>
      </c>
      <c r="E4589" t="s">
        <v>743</v>
      </c>
    </row>
    <row r="4590" spans="1:5" x14ac:dyDescent="0.25">
      <c r="A4590" s="1" t="s">
        <v>4589</v>
      </c>
      <c r="C4590" s="3">
        <v>30</v>
      </c>
      <c r="E4590" t="s">
        <v>1862</v>
      </c>
    </row>
    <row r="4591" spans="1:5" x14ac:dyDescent="0.25">
      <c r="A4591" s="1" t="s">
        <v>4590</v>
      </c>
      <c r="C4591" s="3">
        <v>30</v>
      </c>
      <c r="E4591" t="s">
        <v>9471</v>
      </c>
    </row>
    <row r="4592" spans="1:5" x14ac:dyDescent="0.25">
      <c r="A4592" s="1" t="s">
        <v>4591</v>
      </c>
      <c r="C4592" s="3">
        <v>30</v>
      </c>
      <c r="E4592" t="s">
        <v>5510</v>
      </c>
    </row>
    <row r="4593" spans="1:5" x14ac:dyDescent="0.25">
      <c r="A4593" s="1" t="s">
        <v>4592</v>
      </c>
      <c r="C4593" s="3">
        <v>30</v>
      </c>
      <c r="E4593" t="s">
        <v>2070</v>
      </c>
    </row>
    <row r="4594" spans="1:5" x14ac:dyDescent="0.25">
      <c r="A4594" s="1" t="s">
        <v>4593</v>
      </c>
      <c r="C4594" s="3">
        <v>30</v>
      </c>
      <c r="E4594" t="s">
        <v>457</v>
      </c>
    </row>
    <row r="4595" spans="1:5" x14ac:dyDescent="0.25">
      <c r="A4595" s="1" t="s">
        <v>4594</v>
      </c>
      <c r="C4595" s="3">
        <v>30</v>
      </c>
      <c r="E4595" t="s">
        <v>1185</v>
      </c>
    </row>
    <row r="4596" spans="1:5" x14ac:dyDescent="0.25">
      <c r="A4596" s="1" t="s">
        <v>4595</v>
      </c>
      <c r="C4596" s="3">
        <v>30</v>
      </c>
      <c r="E4596" t="s">
        <v>954</v>
      </c>
    </row>
    <row r="4597" spans="1:5" x14ac:dyDescent="0.25">
      <c r="A4597" s="1" t="s">
        <v>4596</v>
      </c>
      <c r="C4597" s="3">
        <v>30</v>
      </c>
      <c r="E4597" t="s">
        <v>3516</v>
      </c>
    </row>
    <row r="4598" spans="1:5" x14ac:dyDescent="0.25">
      <c r="A4598" s="1" t="s">
        <v>4597</v>
      </c>
      <c r="C4598" s="3">
        <v>30</v>
      </c>
      <c r="E4598" t="s">
        <v>2764</v>
      </c>
    </row>
    <row r="4599" spans="1:5" x14ac:dyDescent="0.25">
      <c r="A4599" s="1" t="s">
        <v>4598</v>
      </c>
      <c r="C4599" s="3">
        <v>30</v>
      </c>
      <c r="E4599" t="s">
        <v>19540</v>
      </c>
    </row>
    <row r="4600" spans="1:5" x14ac:dyDescent="0.25">
      <c r="A4600" s="1" t="s">
        <v>4599</v>
      </c>
      <c r="C4600" s="3">
        <v>30</v>
      </c>
      <c r="E4600" t="s">
        <v>6952</v>
      </c>
    </row>
    <row r="4601" spans="1:5" x14ac:dyDescent="0.25">
      <c r="A4601" s="1" t="s">
        <v>4600</v>
      </c>
      <c r="C4601" s="3">
        <v>30</v>
      </c>
      <c r="E4601" t="s">
        <v>12176</v>
      </c>
    </row>
    <row r="4602" spans="1:5" x14ac:dyDescent="0.25">
      <c r="A4602" s="1" t="s">
        <v>4601</v>
      </c>
      <c r="C4602" s="3">
        <v>30</v>
      </c>
      <c r="E4602" t="s">
        <v>6016</v>
      </c>
    </row>
    <row r="4603" spans="1:5" x14ac:dyDescent="0.25">
      <c r="A4603" s="1" t="s">
        <v>4602</v>
      </c>
      <c r="C4603" s="3">
        <v>30</v>
      </c>
      <c r="E4603" t="s">
        <v>6547</v>
      </c>
    </row>
    <row r="4604" spans="1:5" x14ac:dyDescent="0.25">
      <c r="A4604" s="1" t="s">
        <v>4603</v>
      </c>
      <c r="C4604" s="3">
        <v>30</v>
      </c>
      <c r="E4604" t="s">
        <v>10202</v>
      </c>
    </row>
    <row r="4605" spans="1:5" x14ac:dyDescent="0.25">
      <c r="A4605" s="1" t="s">
        <v>4604</v>
      </c>
      <c r="C4605" s="3">
        <v>30</v>
      </c>
      <c r="E4605" t="s">
        <v>3752</v>
      </c>
    </row>
    <row r="4606" spans="1:5" x14ac:dyDescent="0.25">
      <c r="A4606" s="1" t="s">
        <v>4605</v>
      </c>
      <c r="C4606" s="3">
        <v>30</v>
      </c>
      <c r="E4606" t="s">
        <v>9599</v>
      </c>
    </row>
    <row r="4607" spans="1:5" x14ac:dyDescent="0.25">
      <c r="A4607" s="1" t="s">
        <v>4606</v>
      </c>
      <c r="C4607" s="3">
        <v>30</v>
      </c>
      <c r="E4607" t="s">
        <v>1174</v>
      </c>
    </row>
    <row r="4608" spans="1:5" x14ac:dyDescent="0.25">
      <c r="A4608" s="1" t="s">
        <v>4607</v>
      </c>
      <c r="C4608" s="3">
        <v>30</v>
      </c>
      <c r="E4608" t="s">
        <v>13736</v>
      </c>
    </row>
    <row r="4609" spans="1:5" x14ac:dyDescent="0.25">
      <c r="A4609" s="1" t="s">
        <v>4608</v>
      </c>
      <c r="C4609" s="3">
        <v>30</v>
      </c>
      <c r="E4609" t="s">
        <v>1992</v>
      </c>
    </row>
    <row r="4610" spans="1:5" x14ac:dyDescent="0.25">
      <c r="A4610" s="1" t="s">
        <v>4609</v>
      </c>
      <c r="C4610" s="3">
        <v>30</v>
      </c>
      <c r="E4610" t="s">
        <v>4281</v>
      </c>
    </row>
    <row r="4611" spans="1:5" x14ac:dyDescent="0.25">
      <c r="A4611" s="1" t="s">
        <v>4610</v>
      </c>
      <c r="C4611" s="3">
        <v>30</v>
      </c>
      <c r="E4611" t="s">
        <v>11924</v>
      </c>
    </row>
    <row r="4612" spans="1:5" x14ac:dyDescent="0.25">
      <c r="A4612" s="1" t="s">
        <v>4611</v>
      </c>
      <c r="C4612" s="3">
        <v>30</v>
      </c>
      <c r="E4612" t="s">
        <v>1264</v>
      </c>
    </row>
    <row r="4613" spans="1:5" x14ac:dyDescent="0.25">
      <c r="A4613" s="1" t="s">
        <v>4612</v>
      </c>
      <c r="C4613" s="3">
        <v>30</v>
      </c>
      <c r="E4613" t="s">
        <v>898</v>
      </c>
    </row>
    <row r="4614" spans="1:5" x14ac:dyDescent="0.25">
      <c r="A4614" s="1" t="s">
        <v>4613</v>
      </c>
      <c r="C4614" s="3">
        <v>29</v>
      </c>
      <c r="E4614" t="s">
        <v>2761</v>
      </c>
    </row>
    <row r="4615" spans="1:5" x14ac:dyDescent="0.25">
      <c r="A4615" s="1" t="s">
        <v>4614</v>
      </c>
      <c r="C4615" s="3">
        <v>29</v>
      </c>
      <c r="E4615" t="s">
        <v>4829</v>
      </c>
    </row>
    <row r="4616" spans="1:5" x14ac:dyDescent="0.25">
      <c r="A4616" s="1" t="s">
        <v>4615</v>
      </c>
      <c r="C4616" s="3">
        <v>29</v>
      </c>
      <c r="E4616" t="s">
        <v>1210</v>
      </c>
    </row>
    <row r="4617" spans="1:5" x14ac:dyDescent="0.25">
      <c r="A4617" s="1" t="s">
        <v>4616</v>
      </c>
      <c r="C4617" s="3">
        <v>29</v>
      </c>
      <c r="E4617" t="s">
        <v>1979</v>
      </c>
    </row>
    <row r="4618" spans="1:5" x14ac:dyDescent="0.25">
      <c r="A4618" s="1" t="s">
        <v>4617</v>
      </c>
      <c r="C4618" s="3">
        <v>29</v>
      </c>
      <c r="E4618" t="s">
        <v>12468</v>
      </c>
    </row>
    <row r="4619" spans="1:5" x14ac:dyDescent="0.25">
      <c r="A4619" s="1" t="s">
        <v>4618</v>
      </c>
      <c r="C4619" s="3">
        <v>29</v>
      </c>
      <c r="E4619" t="s">
        <v>1847</v>
      </c>
    </row>
    <row r="4620" spans="1:5" x14ac:dyDescent="0.25">
      <c r="A4620" s="1" t="s">
        <v>4619</v>
      </c>
      <c r="C4620" s="3">
        <v>29</v>
      </c>
      <c r="E4620" t="s">
        <v>4989</v>
      </c>
    </row>
    <row r="4621" spans="1:5" x14ac:dyDescent="0.25">
      <c r="A4621" s="1" t="s">
        <v>4620</v>
      </c>
      <c r="C4621" s="3">
        <v>29</v>
      </c>
      <c r="E4621" t="s">
        <v>3818</v>
      </c>
    </row>
    <row r="4622" spans="1:5" x14ac:dyDescent="0.25">
      <c r="A4622" s="1" t="s">
        <v>4621</v>
      </c>
      <c r="C4622" s="3">
        <v>29</v>
      </c>
      <c r="E4622" t="s">
        <v>1189</v>
      </c>
    </row>
    <row r="4623" spans="1:5" x14ac:dyDescent="0.25">
      <c r="A4623" s="1" t="s">
        <v>4622</v>
      </c>
      <c r="C4623" s="3">
        <v>29</v>
      </c>
      <c r="E4623" t="s">
        <v>3982</v>
      </c>
    </row>
    <row r="4624" spans="1:5" x14ac:dyDescent="0.25">
      <c r="A4624" s="1" t="s">
        <v>4623</v>
      </c>
      <c r="C4624" s="3">
        <v>29</v>
      </c>
      <c r="E4624" t="s">
        <v>145</v>
      </c>
    </row>
    <row r="4625" spans="1:5" x14ac:dyDescent="0.25">
      <c r="A4625" s="1" t="s">
        <v>4624</v>
      </c>
      <c r="C4625" s="3">
        <v>29</v>
      </c>
      <c r="E4625" t="s">
        <v>5381</v>
      </c>
    </row>
    <row r="4626" spans="1:5" x14ac:dyDescent="0.25">
      <c r="A4626" s="1" t="s">
        <v>4625</v>
      </c>
      <c r="C4626" s="3">
        <v>29</v>
      </c>
      <c r="E4626" t="s">
        <v>6028</v>
      </c>
    </row>
    <row r="4627" spans="1:5" x14ac:dyDescent="0.25">
      <c r="A4627" s="1" t="s">
        <v>4626</v>
      </c>
      <c r="C4627" s="3">
        <v>29</v>
      </c>
      <c r="E4627" t="s">
        <v>8529</v>
      </c>
    </row>
    <row r="4628" spans="1:5" x14ac:dyDescent="0.25">
      <c r="A4628" s="1" t="s">
        <v>4627</v>
      </c>
      <c r="C4628" s="3">
        <v>29</v>
      </c>
      <c r="E4628" t="s">
        <v>14534</v>
      </c>
    </row>
    <row r="4629" spans="1:5" x14ac:dyDescent="0.25">
      <c r="A4629" s="1" t="s">
        <v>4628</v>
      </c>
      <c r="C4629" s="3">
        <v>29</v>
      </c>
      <c r="E4629" t="s">
        <v>7723</v>
      </c>
    </row>
    <row r="4630" spans="1:5" x14ac:dyDescent="0.25">
      <c r="A4630" s="1" t="s">
        <v>4629</v>
      </c>
      <c r="C4630" s="3">
        <v>29</v>
      </c>
      <c r="E4630" t="s">
        <v>12724</v>
      </c>
    </row>
    <row r="4631" spans="1:5" x14ac:dyDescent="0.25">
      <c r="A4631" s="1" t="s">
        <v>4630</v>
      </c>
      <c r="C4631" s="3">
        <v>29</v>
      </c>
      <c r="E4631" t="s">
        <v>749</v>
      </c>
    </row>
    <row r="4632" spans="1:5" x14ac:dyDescent="0.25">
      <c r="A4632" s="1" t="s">
        <v>4631</v>
      </c>
      <c r="C4632" s="3">
        <v>29</v>
      </c>
      <c r="E4632" t="s">
        <v>4123</v>
      </c>
    </row>
    <row r="4633" spans="1:5" x14ac:dyDescent="0.25">
      <c r="A4633" s="1" t="s">
        <v>4632</v>
      </c>
      <c r="C4633" s="3">
        <v>29</v>
      </c>
      <c r="E4633" t="s">
        <v>3381</v>
      </c>
    </row>
    <row r="4634" spans="1:5" x14ac:dyDescent="0.25">
      <c r="A4634" s="1" t="s">
        <v>4633</v>
      </c>
      <c r="C4634" s="3">
        <v>29</v>
      </c>
      <c r="E4634" t="s">
        <v>5815</v>
      </c>
    </row>
    <row r="4635" spans="1:5" x14ac:dyDescent="0.25">
      <c r="A4635" s="1" t="s">
        <v>4634</v>
      </c>
      <c r="C4635" s="3">
        <v>29</v>
      </c>
      <c r="E4635" t="s">
        <v>15995</v>
      </c>
    </row>
    <row r="4636" spans="1:5" x14ac:dyDescent="0.25">
      <c r="A4636" s="1" t="s">
        <v>4635</v>
      </c>
      <c r="C4636" s="3">
        <v>29</v>
      </c>
      <c r="E4636" t="s">
        <v>24</v>
      </c>
    </row>
    <row r="4637" spans="1:5" x14ac:dyDescent="0.25">
      <c r="A4637" s="1" t="s">
        <v>4636</v>
      </c>
      <c r="C4637" s="3">
        <v>29</v>
      </c>
      <c r="E4637" t="s">
        <v>3549</v>
      </c>
    </row>
    <row r="4638" spans="1:5" x14ac:dyDescent="0.25">
      <c r="A4638" s="1" t="s">
        <v>4637</v>
      </c>
      <c r="C4638" s="3">
        <v>29</v>
      </c>
      <c r="E4638" t="s">
        <v>5862</v>
      </c>
    </row>
    <row r="4639" spans="1:5" x14ac:dyDescent="0.25">
      <c r="A4639" s="1" t="s">
        <v>4638</v>
      </c>
      <c r="C4639" s="3">
        <v>29</v>
      </c>
      <c r="E4639" t="s">
        <v>13185</v>
      </c>
    </row>
    <row r="4640" spans="1:5" x14ac:dyDescent="0.25">
      <c r="A4640" s="1" t="s">
        <v>4639</v>
      </c>
      <c r="C4640" s="3">
        <v>29</v>
      </c>
      <c r="E4640" t="s">
        <v>1230</v>
      </c>
    </row>
    <row r="4641" spans="1:5" x14ac:dyDescent="0.25">
      <c r="A4641" s="1" t="s">
        <v>4640</v>
      </c>
      <c r="C4641" s="3">
        <v>29</v>
      </c>
      <c r="E4641" t="s">
        <v>8582</v>
      </c>
    </row>
    <row r="4642" spans="1:5" x14ac:dyDescent="0.25">
      <c r="A4642" s="1" t="s">
        <v>4641</v>
      </c>
      <c r="C4642" s="3">
        <v>29</v>
      </c>
      <c r="E4642" t="s">
        <v>10165</v>
      </c>
    </row>
    <row r="4643" spans="1:5" x14ac:dyDescent="0.25">
      <c r="A4643" s="1" t="s">
        <v>4642</v>
      </c>
      <c r="C4643" s="3">
        <v>29</v>
      </c>
      <c r="E4643" t="s">
        <v>9738</v>
      </c>
    </row>
    <row r="4644" spans="1:5" x14ac:dyDescent="0.25">
      <c r="A4644" s="1" t="s">
        <v>4643</v>
      </c>
      <c r="C4644" s="3">
        <v>29</v>
      </c>
      <c r="E4644" t="s">
        <v>3981</v>
      </c>
    </row>
    <row r="4645" spans="1:5" x14ac:dyDescent="0.25">
      <c r="A4645" s="1" t="s">
        <v>4644</v>
      </c>
      <c r="C4645" s="3">
        <v>29</v>
      </c>
      <c r="E4645" t="s">
        <v>25498</v>
      </c>
    </row>
    <row r="4646" spans="1:5" x14ac:dyDescent="0.25">
      <c r="A4646" s="1" t="s">
        <v>4645</v>
      </c>
      <c r="C4646" s="3">
        <v>29</v>
      </c>
      <c r="E4646" t="s">
        <v>15300</v>
      </c>
    </row>
    <row r="4647" spans="1:5" x14ac:dyDescent="0.25">
      <c r="A4647" s="1" t="s">
        <v>4646</v>
      </c>
      <c r="C4647" s="3">
        <v>29</v>
      </c>
      <c r="E4647" t="s">
        <v>7518</v>
      </c>
    </row>
    <row r="4648" spans="1:5" x14ac:dyDescent="0.25">
      <c r="A4648" s="1" t="s">
        <v>4647</v>
      </c>
      <c r="C4648" s="3">
        <v>29</v>
      </c>
      <c r="E4648" t="s">
        <v>528</v>
      </c>
    </row>
    <row r="4649" spans="1:5" x14ac:dyDescent="0.25">
      <c r="A4649" s="1" t="s">
        <v>4648</v>
      </c>
      <c r="C4649" s="3">
        <v>29</v>
      </c>
      <c r="E4649" t="s">
        <v>8206</v>
      </c>
    </row>
    <row r="4650" spans="1:5" x14ac:dyDescent="0.25">
      <c r="A4650" s="1" t="s">
        <v>4649</v>
      </c>
      <c r="C4650" s="3">
        <v>29</v>
      </c>
      <c r="E4650" t="s">
        <v>4144</v>
      </c>
    </row>
    <row r="4651" spans="1:5" x14ac:dyDescent="0.25">
      <c r="A4651" s="1" t="s">
        <v>4650</v>
      </c>
      <c r="C4651" s="3">
        <v>29</v>
      </c>
      <c r="E4651" t="s">
        <v>964</v>
      </c>
    </row>
    <row r="4652" spans="1:5" x14ac:dyDescent="0.25">
      <c r="A4652" s="1" t="s">
        <v>4651</v>
      </c>
      <c r="C4652" s="3">
        <v>29</v>
      </c>
      <c r="E4652" t="s">
        <v>531</v>
      </c>
    </row>
    <row r="4653" spans="1:5" x14ac:dyDescent="0.25">
      <c r="A4653" s="1" t="s">
        <v>4652</v>
      </c>
      <c r="C4653" s="3">
        <v>29</v>
      </c>
      <c r="E4653" t="s">
        <v>9509</v>
      </c>
    </row>
    <row r="4654" spans="1:5" x14ac:dyDescent="0.25">
      <c r="A4654" s="1" t="s">
        <v>4653</v>
      </c>
      <c r="C4654" s="3">
        <v>29</v>
      </c>
      <c r="E4654" t="s">
        <v>11491</v>
      </c>
    </row>
    <row r="4655" spans="1:5" x14ac:dyDescent="0.25">
      <c r="A4655" s="1" t="s">
        <v>4654</v>
      </c>
      <c r="C4655" s="3">
        <v>29</v>
      </c>
      <c r="E4655" t="s">
        <v>1644</v>
      </c>
    </row>
    <row r="4656" spans="1:5" x14ac:dyDescent="0.25">
      <c r="A4656" s="1" t="s">
        <v>4655</v>
      </c>
      <c r="C4656" s="3">
        <v>29</v>
      </c>
      <c r="E4656" t="s">
        <v>12683</v>
      </c>
    </row>
    <row r="4657" spans="1:5" x14ac:dyDescent="0.25">
      <c r="A4657" s="1" t="s">
        <v>4656</v>
      </c>
      <c r="C4657" s="3">
        <v>29</v>
      </c>
      <c r="E4657" t="s">
        <v>6806</v>
      </c>
    </row>
    <row r="4658" spans="1:5" x14ac:dyDescent="0.25">
      <c r="A4658" s="1" t="s">
        <v>4657</v>
      </c>
      <c r="C4658" s="3">
        <v>29</v>
      </c>
      <c r="E4658" t="s">
        <v>1654</v>
      </c>
    </row>
    <row r="4659" spans="1:5" x14ac:dyDescent="0.25">
      <c r="A4659" s="1" t="s">
        <v>4658</v>
      </c>
      <c r="C4659" s="3">
        <v>29</v>
      </c>
      <c r="E4659" t="s">
        <v>1235</v>
      </c>
    </row>
    <row r="4660" spans="1:5" x14ac:dyDescent="0.25">
      <c r="A4660" s="1" t="s">
        <v>4659</v>
      </c>
      <c r="C4660" s="3">
        <v>29</v>
      </c>
      <c r="E4660" t="s">
        <v>33</v>
      </c>
    </row>
    <row r="4661" spans="1:5" x14ac:dyDescent="0.25">
      <c r="A4661" s="1" t="s">
        <v>4660</v>
      </c>
      <c r="C4661" s="3">
        <v>29</v>
      </c>
      <c r="E4661" t="s">
        <v>4468</v>
      </c>
    </row>
    <row r="4662" spans="1:5" x14ac:dyDescent="0.25">
      <c r="A4662" s="1" t="s">
        <v>4661</v>
      </c>
      <c r="C4662" s="3">
        <v>29</v>
      </c>
      <c r="E4662" t="s">
        <v>5191</v>
      </c>
    </row>
    <row r="4663" spans="1:5" x14ac:dyDescent="0.25">
      <c r="A4663" s="1" t="s">
        <v>4662</v>
      </c>
      <c r="C4663" s="3">
        <v>29</v>
      </c>
      <c r="E4663" t="s">
        <v>3201</v>
      </c>
    </row>
    <row r="4664" spans="1:5" x14ac:dyDescent="0.25">
      <c r="A4664" s="1" t="s">
        <v>4663</v>
      </c>
      <c r="C4664" s="3">
        <v>29</v>
      </c>
      <c r="E4664" t="s">
        <v>3419</v>
      </c>
    </row>
    <row r="4665" spans="1:5" x14ac:dyDescent="0.25">
      <c r="A4665" s="1" t="s">
        <v>4664</v>
      </c>
      <c r="C4665" s="3">
        <v>29</v>
      </c>
      <c r="E4665" t="s">
        <v>15414</v>
      </c>
    </row>
    <row r="4666" spans="1:5" x14ac:dyDescent="0.25">
      <c r="A4666" s="1" t="s">
        <v>4665</v>
      </c>
      <c r="C4666" s="3">
        <v>29</v>
      </c>
      <c r="E4666" t="s">
        <v>5549</v>
      </c>
    </row>
    <row r="4667" spans="1:5" x14ac:dyDescent="0.25">
      <c r="A4667" s="1" t="s">
        <v>4666</v>
      </c>
      <c r="C4667" s="3">
        <v>29</v>
      </c>
      <c r="E4667" t="s">
        <v>7625</v>
      </c>
    </row>
    <row r="4668" spans="1:5" x14ac:dyDescent="0.25">
      <c r="A4668" s="1" t="s">
        <v>4667</v>
      </c>
      <c r="C4668" s="3">
        <v>29</v>
      </c>
      <c r="E4668" t="s">
        <v>2625</v>
      </c>
    </row>
    <row r="4669" spans="1:5" x14ac:dyDescent="0.25">
      <c r="A4669" s="1" t="s">
        <v>4668</v>
      </c>
      <c r="C4669" s="3">
        <v>29</v>
      </c>
      <c r="E4669" t="s">
        <v>3219</v>
      </c>
    </row>
    <row r="4670" spans="1:5" x14ac:dyDescent="0.25">
      <c r="A4670" s="1" t="s">
        <v>4669</v>
      </c>
      <c r="C4670" s="3">
        <v>29</v>
      </c>
      <c r="E4670" t="s">
        <v>12301</v>
      </c>
    </row>
    <row r="4671" spans="1:5" x14ac:dyDescent="0.25">
      <c r="A4671" s="1" t="s">
        <v>4670</v>
      </c>
      <c r="C4671" s="3">
        <v>29</v>
      </c>
      <c r="E4671" t="s">
        <v>4967</v>
      </c>
    </row>
    <row r="4672" spans="1:5" x14ac:dyDescent="0.25">
      <c r="A4672" s="1" t="s">
        <v>4671</v>
      </c>
      <c r="C4672" s="3">
        <v>29</v>
      </c>
      <c r="E4672" t="s">
        <v>18666</v>
      </c>
    </row>
    <row r="4673" spans="1:5" x14ac:dyDescent="0.25">
      <c r="A4673" s="1" t="s">
        <v>4672</v>
      </c>
      <c r="C4673" s="3">
        <v>29</v>
      </c>
      <c r="E4673" t="s">
        <v>2222</v>
      </c>
    </row>
    <row r="4674" spans="1:5" x14ac:dyDescent="0.25">
      <c r="A4674" s="1" t="s">
        <v>4673</v>
      </c>
      <c r="C4674" s="3">
        <v>29</v>
      </c>
      <c r="E4674" t="s">
        <v>1296</v>
      </c>
    </row>
    <row r="4675" spans="1:5" x14ac:dyDescent="0.25">
      <c r="A4675" s="1" t="s">
        <v>4674</v>
      </c>
      <c r="C4675" s="3">
        <v>29</v>
      </c>
      <c r="E4675" t="s">
        <v>4983</v>
      </c>
    </row>
    <row r="4676" spans="1:5" x14ac:dyDescent="0.25">
      <c r="A4676" s="1" t="s">
        <v>4675</v>
      </c>
      <c r="C4676" s="3">
        <v>29</v>
      </c>
      <c r="E4676" t="s">
        <v>11509</v>
      </c>
    </row>
    <row r="4677" spans="1:5" x14ac:dyDescent="0.25">
      <c r="A4677" s="1" t="s">
        <v>4676</v>
      </c>
      <c r="C4677" s="3">
        <v>29</v>
      </c>
      <c r="E4677" t="s">
        <v>470</v>
      </c>
    </row>
    <row r="4678" spans="1:5" x14ac:dyDescent="0.25">
      <c r="A4678" s="1" t="s">
        <v>4677</v>
      </c>
      <c r="C4678" s="3">
        <v>29</v>
      </c>
      <c r="E4678" t="s">
        <v>1786</v>
      </c>
    </row>
    <row r="4679" spans="1:5" x14ac:dyDescent="0.25">
      <c r="A4679" s="1" t="s">
        <v>4678</v>
      </c>
      <c r="C4679" s="3">
        <v>29</v>
      </c>
      <c r="E4679" t="s">
        <v>5398</v>
      </c>
    </row>
    <row r="4680" spans="1:5" x14ac:dyDescent="0.25">
      <c r="A4680" s="1" t="s">
        <v>4679</v>
      </c>
      <c r="C4680" s="3">
        <v>29</v>
      </c>
      <c r="E4680" t="s">
        <v>2836</v>
      </c>
    </row>
    <row r="4681" spans="1:5" x14ac:dyDescent="0.25">
      <c r="A4681" s="1" t="s">
        <v>4680</v>
      </c>
      <c r="C4681" s="3">
        <v>29</v>
      </c>
      <c r="E4681" t="s">
        <v>2548</v>
      </c>
    </row>
    <row r="4682" spans="1:5" x14ac:dyDescent="0.25">
      <c r="A4682" s="1" t="s">
        <v>4681</v>
      </c>
      <c r="C4682" s="3">
        <v>29</v>
      </c>
      <c r="E4682" t="s">
        <v>224</v>
      </c>
    </row>
    <row r="4683" spans="1:5" x14ac:dyDescent="0.25">
      <c r="A4683" s="1" t="s">
        <v>4682</v>
      </c>
      <c r="C4683" s="3">
        <v>29</v>
      </c>
      <c r="E4683" t="s">
        <v>15613</v>
      </c>
    </row>
    <row r="4684" spans="1:5" x14ac:dyDescent="0.25">
      <c r="A4684" s="1" t="s">
        <v>4683</v>
      </c>
      <c r="C4684" s="3">
        <v>29</v>
      </c>
      <c r="E4684" t="s">
        <v>4931</v>
      </c>
    </row>
    <row r="4685" spans="1:5" x14ac:dyDescent="0.25">
      <c r="A4685" s="1" t="s">
        <v>4684</v>
      </c>
      <c r="C4685" s="3">
        <v>29</v>
      </c>
      <c r="E4685" t="s">
        <v>16</v>
      </c>
    </row>
    <row r="4686" spans="1:5" x14ac:dyDescent="0.25">
      <c r="A4686" s="1" t="s">
        <v>4685</v>
      </c>
      <c r="C4686" s="3">
        <v>29</v>
      </c>
      <c r="E4686" t="s">
        <v>1202</v>
      </c>
    </row>
    <row r="4687" spans="1:5" x14ac:dyDescent="0.25">
      <c r="A4687" s="1" t="s">
        <v>4686</v>
      </c>
      <c r="C4687" s="3">
        <v>29</v>
      </c>
      <c r="E4687" t="s">
        <v>1244</v>
      </c>
    </row>
    <row r="4688" spans="1:5" x14ac:dyDescent="0.25">
      <c r="A4688" s="1" t="s">
        <v>4687</v>
      </c>
      <c r="C4688" s="3">
        <v>29</v>
      </c>
      <c r="E4688" t="s">
        <v>9536</v>
      </c>
    </row>
    <row r="4689" spans="1:5" x14ac:dyDescent="0.25">
      <c r="A4689" s="1" t="s">
        <v>4688</v>
      </c>
      <c r="C4689" s="3">
        <v>29</v>
      </c>
      <c r="E4689" t="s">
        <v>116</v>
      </c>
    </row>
    <row r="4690" spans="1:5" x14ac:dyDescent="0.25">
      <c r="A4690" s="1" t="s">
        <v>4689</v>
      </c>
      <c r="C4690" s="3">
        <v>29</v>
      </c>
      <c r="E4690" t="s">
        <v>11290</v>
      </c>
    </row>
    <row r="4691" spans="1:5" x14ac:dyDescent="0.25">
      <c r="A4691" s="1" t="s">
        <v>4690</v>
      </c>
      <c r="C4691" s="3">
        <v>29</v>
      </c>
      <c r="E4691" t="s">
        <v>630</v>
      </c>
    </row>
    <row r="4692" spans="1:5" x14ac:dyDescent="0.25">
      <c r="A4692" s="1" t="s">
        <v>4691</v>
      </c>
      <c r="C4692" s="3">
        <v>29</v>
      </c>
      <c r="E4692" t="s">
        <v>12</v>
      </c>
    </row>
    <row r="4693" spans="1:5" x14ac:dyDescent="0.25">
      <c r="A4693" s="1" t="s">
        <v>4692</v>
      </c>
      <c r="C4693" s="3">
        <v>29</v>
      </c>
      <c r="E4693" t="s">
        <v>13542</v>
      </c>
    </row>
    <row r="4694" spans="1:5" x14ac:dyDescent="0.25">
      <c r="A4694" s="1" t="s">
        <v>4693</v>
      </c>
      <c r="C4694" s="3">
        <v>29</v>
      </c>
      <c r="E4694" t="s">
        <v>4287</v>
      </c>
    </row>
    <row r="4695" spans="1:5" x14ac:dyDescent="0.25">
      <c r="A4695" s="1" t="s">
        <v>4694</v>
      </c>
      <c r="C4695" s="3">
        <v>29</v>
      </c>
      <c r="E4695" t="s">
        <v>4787</v>
      </c>
    </row>
    <row r="4696" spans="1:5" x14ac:dyDescent="0.25">
      <c r="A4696" s="1" t="s">
        <v>4695</v>
      </c>
      <c r="C4696" s="3">
        <v>29</v>
      </c>
      <c r="E4696" t="s">
        <v>278</v>
      </c>
    </row>
    <row r="4697" spans="1:5" x14ac:dyDescent="0.25">
      <c r="A4697" s="1" t="s">
        <v>4696</v>
      </c>
      <c r="C4697" s="3">
        <v>29</v>
      </c>
      <c r="E4697" t="s">
        <v>4077</v>
      </c>
    </row>
    <row r="4698" spans="1:5" x14ac:dyDescent="0.25">
      <c r="A4698" s="1" t="s">
        <v>4697</v>
      </c>
      <c r="C4698" s="3">
        <v>29</v>
      </c>
      <c r="E4698" t="s">
        <v>7374</v>
      </c>
    </row>
    <row r="4699" spans="1:5" x14ac:dyDescent="0.25">
      <c r="A4699" s="1" t="s">
        <v>4698</v>
      </c>
      <c r="C4699" s="3">
        <v>29</v>
      </c>
      <c r="E4699" t="s">
        <v>378</v>
      </c>
    </row>
    <row r="4700" spans="1:5" x14ac:dyDescent="0.25">
      <c r="A4700" s="1" t="s">
        <v>4699</v>
      </c>
      <c r="C4700" s="3">
        <v>29</v>
      </c>
      <c r="E4700" t="s">
        <v>13883</v>
      </c>
    </row>
    <row r="4701" spans="1:5" x14ac:dyDescent="0.25">
      <c r="A4701" s="1" t="s">
        <v>4700</v>
      </c>
      <c r="C4701" s="3">
        <v>29</v>
      </c>
      <c r="E4701" t="s">
        <v>2466</v>
      </c>
    </row>
    <row r="4702" spans="1:5" x14ac:dyDescent="0.25">
      <c r="A4702" s="1" t="s">
        <v>4701</v>
      </c>
      <c r="C4702" s="3">
        <v>29</v>
      </c>
      <c r="E4702" t="s">
        <v>1620</v>
      </c>
    </row>
    <row r="4703" spans="1:5" x14ac:dyDescent="0.25">
      <c r="A4703" s="1" t="s">
        <v>4702</v>
      </c>
      <c r="C4703" s="3">
        <v>29</v>
      </c>
      <c r="E4703" t="s">
        <v>1144</v>
      </c>
    </row>
    <row r="4704" spans="1:5" x14ac:dyDescent="0.25">
      <c r="A4704" s="1" t="s">
        <v>4703</v>
      </c>
      <c r="C4704" s="3">
        <v>29</v>
      </c>
      <c r="E4704" t="s">
        <v>9101</v>
      </c>
    </row>
    <row r="4705" spans="1:5" x14ac:dyDescent="0.25">
      <c r="A4705" s="1" t="s">
        <v>4704</v>
      </c>
      <c r="C4705" s="3">
        <v>29</v>
      </c>
      <c r="E4705" t="s">
        <v>3703</v>
      </c>
    </row>
    <row r="4706" spans="1:5" x14ac:dyDescent="0.25">
      <c r="A4706" s="1" t="s">
        <v>4705</v>
      </c>
      <c r="C4706" s="3">
        <v>29</v>
      </c>
      <c r="E4706" t="s">
        <v>2607</v>
      </c>
    </row>
    <row r="4707" spans="1:5" x14ac:dyDescent="0.25">
      <c r="A4707" s="1" t="s">
        <v>4706</v>
      </c>
      <c r="C4707" s="3">
        <v>29</v>
      </c>
      <c r="E4707" t="s">
        <v>13725</v>
      </c>
    </row>
    <row r="4708" spans="1:5" x14ac:dyDescent="0.25">
      <c r="A4708" s="1" t="s">
        <v>4707</v>
      </c>
      <c r="C4708" s="3">
        <v>29</v>
      </c>
      <c r="E4708" t="s">
        <v>8954</v>
      </c>
    </row>
    <row r="4709" spans="1:5" x14ac:dyDescent="0.25">
      <c r="A4709" s="1" t="s">
        <v>4708</v>
      </c>
      <c r="C4709" s="3">
        <v>29</v>
      </c>
      <c r="E4709" t="s">
        <v>10116</v>
      </c>
    </row>
    <row r="4710" spans="1:5" x14ac:dyDescent="0.25">
      <c r="A4710" s="1" t="s">
        <v>4709</v>
      </c>
      <c r="C4710" s="3">
        <v>29</v>
      </c>
      <c r="E4710" t="s">
        <v>2530</v>
      </c>
    </row>
    <row r="4711" spans="1:5" x14ac:dyDescent="0.25">
      <c r="A4711" s="1" t="s">
        <v>4710</v>
      </c>
      <c r="C4711" s="3">
        <v>29</v>
      </c>
      <c r="E4711" t="s">
        <v>15487</v>
      </c>
    </row>
    <row r="4712" spans="1:5" x14ac:dyDescent="0.25">
      <c r="A4712" s="1" t="s">
        <v>4711</v>
      </c>
      <c r="C4712" s="3">
        <v>29</v>
      </c>
      <c r="E4712" t="s">
        <v>4435</v>
      </c>
    </row>
    <row r="4713" spans="1:5" x14ac:dyDescent="0.25">
      <c r="A4713" s="1" t="s">
        <v>4712</v>
      </c>
      <c r="C4713" s="3">
        <v>29</v>
      </c>
      <c r="E4713" t="s">
        <v>2033</v>
      </c>
    </row>
    <row r="4714" spans="1:5" x14ac:dyDescent="0.25">
      <c r="A4714" s="1" t="s">
        <v>4713</v>
      </c>
      <c r="C4714" s="3">
        <v>29</v>
      </c>
      <c r="E4714" t="s">
        <v>2835</v>
      </c>
    </row>
    <row r="4715" spans="1:5" x14ac:dyDescent="0.25">
      <c r="A4715" s="1" t="s">
        <v>4714</v>
      </c>
      <c r="C4715" s="3">
        <v>29</v>
      </c>
      <c r="E4715" t="s">
        <v>4267</v>
      </c>
    </row>
    <row r="4716" spans="1:5" x14ac:dyDescent="0.25">
      <c r="A4716" s="1" t="s">
        <v>4715</v>
      </c>
      <c r="C4716" s="3">
        <v>29</v>
      </c>
      <c r="E4716" t="s">
        <v>7999</v>
      </c>
    </row>
    <row r="4717" spans="1:5" x14ac:dyDescent="0.25">
      <c r="A4717" s="1" t="s">
        <v>4716</v>
      </c>
      <c r="C4717" s="3">
        <v>29</v>
      </c>
      <c r="E4717" t="s">
        <v>13930</v>
      </c>
    </row>
    <row r="4718" spans="1:5" x14ac:dyDescent="0.25">
      <c r="A4718" s="1" t="s">
        <v>4717</v>
      </c>
      <c r="C4718" s="3">
        <v>29</v>
      </c>
      <c r="E4718" t="s">
        <v>8066</v>
      </c>
    </row>
    <row r="4719" spans="1:5" x14ac:dyDescent="0.25">
      <c r="A4719" s="1" t="s">
        <v>4718</v>
      </c>
      <c r="C4719" s="3">
        <v>29</v>
      </c>
      <c r="E4719" t="s">
        <v>2654</v>
      </c>
    </row>
    <row r="4720" spans="1:5" x14ac:dyDescent="0.25">
      <c r="A4720" s="1" t="s">
        <v>4719</v>
      </c>
      <c r="C4720" s="3">
        <v>29</v>
      </c>
      <c r="E4720" t="s">
        <v>15290</v>
      </c>
    </row>
    <row r="4721" spans="1:5" x14ac:dyDescent="0.25">
      <c r="A4721" s="1" t="s">
        <v>4720</v>
      </c>
      <c r="C4721" s="3">
        <v>29</v>
      </c>
      <c r="E4721" t="s">
        <v>11131</v>
      </c>
    </row>
    <row r="4722" spans="1:5" x14ac:dyDescent="0.25">
      <c r="A4722" s="1" t="s">
        <v>4721</v>
      </c>
      <c r="C4722" s="3">
        <v>29</v>
      </c>
      <c r="E4722" t="s">
        <v>1299</v>
      </c>
    </row>
    <row r="4723" spans="1:5" x14ac:dyDescent="0.25">
      <c r="A4723" s="1" t="s">
        <v>4722</v>
      </c>
      <c r="C4723" s="3">
        <v>29</v>
      </c>
      <c r="E4723" t="s">
        <v>3666</v>
      </c>
    </row>
    <row r="4724" spans="1:5" x14ac:dyDescent="0.25">
      <c r="A4724" s="1" t="s">
        <v>4723</v>
      </c>
      <c r="C4724" s="3">
        <v>29</v>
      </c>
      <c r="E4724" t="s">
        <v>13968</v>
      </c>
    </row>
    <row r="4725" spans="1:5" x14ac:dyDescent="0.25">
      <c r="A4725" s="1" t="s">
        <v>4724</v>
      </c>
      <c r="C4725" s="3">
        <v>29</v>
      </c>
      <c r="E4725" t="s">
        <v>6005</v>
      </c>
    </row>
    <row r="4726" spans="1:5" x14ac:dyDescent="0.25">
      <c r="A4726" s="1" t="s">
        <v>4725</v>
      </c>
      <c r="C4726" s="3">
        <v>29</v>
      </c>
      <c r="E4726" t="s">
        <v>1135</v>
      </c>
    </row>
    <row r="4727" spans="1:5" x14ac:dyDescent="0.25">
      <c r="A4727" s="1" t="s">
        <v>4726</v>
      </c>
      <c r="C4727" s="3">
        <v>29</v>
      </c>
      <c r="E4727" t="s">
        <v>6373</v>
      </c>
    </row>
    <row r="4728" spans="1:5" x14ac:dyDescent="0.25">
      <c r="A4728" s="1" t="s">
        <v>4727</v>
      </c>
      <c r="C4728" s="3">
        <v>29</v>
      </c>
      <c r="E4728" t="s">
        <v>14473</v>
      </c>
    </row>
    <row r="4729" spans="1:5" x14ac:dyDescent="0.25">
      <c r="A4729" s="1" t="s">
        <v>4728</v>
      </c>
      <c r="C4729" s="3">
        <v>29</v>
      </c>
      <c r="E4729" t="s">
        <v>8160</v>
      </c>
    </row>
    <row r="4730" spans="1:5" x14ac:dyDescent="0.25">
      <c r="A4730" s="1" t="s">
        <v>4729</v>
      </c>
      <c r="C4730" s="3">
        <v>29</v>
      </c>
      <c r="E4730" t="s">
        <v>20483</v>
      </c>
    </row>
    <row r="4731" spans="1:5" x14ac:dyDescent="0.25">
      <c r="A4731" s="1" t="s">
        <v>4730</v>
      </c>
      <c r="C4731" s="3">
        <v>29</v>
      </c>
      <c r="E4731" t="s">
        <v>8804</v>
      </c>
    </row>
    <row r="4732" spans="1:5" x14ac:dyDescent="0.25">
      <c r="A4732" s="1" t="s">
        <v>4731</v>
      </c>
      <c r="C4732" s="3">
        <v>29</v>
      </c>
      <c r="E4732" t="s">
        <v>5224</v>
      </c>
    </row>
    <row r="4733" spans="1:5" x14ac:dyDescent="0.25">
      <c r="A4733" s="1" t="s">
        <v>4732</v>
      </c>
      <c r="C4733" s="3">
        <v>29</v>
      </c>
      <c r="E4733" t="s">
        <v>8801</v>
      </c>
    </row>
    <row r="4734" spans="1:5" x14ac:dyDescent="0.25">
      <c r="A4734" s="1" t="s">
        <v>4733</v>
      </c>
      <c r="C4734" s="3">
        <v>28</v>
      </c>
      <c r="E4734" t="s">
        <v>2467</v>
      </c>
    </row>
    <row r="4735" spans="1:5" x14ac:dyDescent="0.25">
      <c r="A4735" s="1" t="s">
        <v>4734</v>
      </c>
      <c r="C4735" s="3">
        <v>28</v>
      </c>
      <c r="E4735" t="s">
        <v>1403</v>
      </c>
    </row>
    <row r="4736" spans="1:5" x14ac:dyDescent="0.25">
      <c r="A4736" s="1" t="s">
        <v>4735</v>
      </c>
      <c r="C4736" s="3">
        <v>28</v>
      </c>
      <c r="E4736" t="s">
        <v>3249</v>
      </c>
    </row>
    <row r="4737" spans="1:5" x14ac:dyDescent="0.25">
      <c r="A4737" s="1" t="s">
        <v>4736</v>
      </c>
      <c r="C4737" s="3">
        <v>28</v>
      </c>
      <c r="E4737" t="s">
        <v>4981</v>
      </c>
    </row>
    <row r="4738" spans="1:5" x14ac:dyDescent="0.25">
      <c r="A4738" s="1" t="s">
        <v>4737</v>
      </c>
      <c r="C4738" s="3">
        <v>28</v>
      </c>
      <c r="E4738" t="s">
        <v>1004</v>
      </c>
    </row>
    <row r="4739" spans="1:5" x14ac:dyDescent="0.25">
      <c r="A4739" s="1" t="s">
        <v>4738</v>
      </c>
      <c r="C4739" s="3">
        <v>28</v>
      </c>
      <c r="E4739" t="s">
        <v>237</v>
      </c>
    </row>
    <row r="4740" spans="1:5" x14ac:dyDescent="0.25">
      <c r="A4740" s="1" t="s">
        <v>4739</v>
      </c>
      <c r="C4740" s="3">
        <v>28</v>
      </c>
      <c r="E4740" t="s">
        <v>1693</v>
      </c>
    </row>
    <row r="4741" spans="1:5" x14ac:dyDescent="0.25">
      <c r="A4741" s="1" t="s">
        <v>4740</v>
      </c>
      <c r="C4741" s="3">
        <v>28</v>
      </c>
      <c r="E4741" t="s">
        <v>5399</v>
      </c>
    </row>
    <row r="4742" spans="1:5" x14ac:dyDescent="0.25">
      <c r="A4742" s="1" t="s">
        <v>4741</v>
      </c>
      <c r="C4742" s="3">
        <v>28</v>
      </c>
      <c r="E4742" t="s">
        <v>2556</v>
      </c>
    </row>
    <row r="4743" spans="1:5" x14ac:dyDescent="0.25">
      <c r="A4743" s="1" t="s">
        <v>4742</v>
      </c>
      <c r="C4743" s="3">
        <v>28</v>
      </c>
      <c r="E4743" t="s">
        <v>5917</v>
      </c>
    </row>
    <row r="4744" spans="1:5" x14ac:dyDescent="0.25">
      <c r="A4744" s="1" t="s">
        <v>4743</v>
      </c>
      <c r="C4744" s="3">
        <v>28</v>
      </c>
      <c r="E4744" t="s">
        <v>6904</v>
      </c>
    </row>
    <row r="4745" spans="1:5" x14ac:dyDescent="0.25">
      <c r="A4745" s="1" t="s">
        <v>4744</v>
      </c>
      <c r="C4745" s="3">
        <v>28</v>
      </c>
      <c r="E4745" t="s">
        <v>6580</v>
      </c>
    </row>
    <row r="4746" spans="1:5" x14ac:dyDescent="0.25">
      <c r="A4746" s="1" t="s">
        <v>4745</v>
      </c>
      <c r="C4746" s="3">
        <v>28</v>
      </c>
      <c r="E4746" t="s">
        <v>11441</v>
      </c>
    </row>
    <row r="4747" spans="1:5" x14ac:dyDescent="0.25">
      <c r="A4747" s="1" t="s">
        <v>4746</v>
      </c>
      <c r="C4747" s="3">
        <v>28</v>
      </c>
      <c r="E4747" t="s">
        <v>1918</v>
      </c>
    </row>
    <row r="4748" spans="1:5" x14ac:dyDescent="0.25">
      <c r="A4748" s="1" t="s">
        <v>4747</v>
      </c>
      <c r="C4748" s="3">
        <v>28</v>
      </c>
      <c r="E4748" t="s">
        <v>2781</v>
      </c>
    </row>
    <row r="4749" spans="1:5" x14ac:dyDescent="0.25">
      <c r="A4749" s="1" t="s">
        <v>4748</v>
      </c>
      <c r="C4749" s="3">
        <v>28</v>
      </c>
      <c r="E4749" t="s">
        <v>3127</v>
      </c>
    </row>
    <row r="4750" spans="1:5" x14ac:dyDescent="0.25">
      <c r="A4750" s="1" t="s">
        <v>4749</v>
      </c>
      <c r="C4750" s="3">
        <v>28</v>
      </c>
      <c r="E4750" t="s">
        <v>812</v>
      </c>
    </row>
    <row r="4751" spans="1:5" x14ac:dyDescent="0.25">
      <c r="A4751" s="1" t="s">
        <v>4750</v>
      </c>
      <c r="C4751" s="3">
        <v>28</v>
      </c>
      <c r="E4751" t="s">
        <v>6176</v>
      </c>
    </row>
    <row r="4752" spans="1:5" x14ac:dyDescent="0.25">
      <c r="A4752" s="1" t="s">
        <v>4751</v>
      </c>
      <c r="C4752" s="3">
        <v>28</v>
      </c>
      <c r="E4752" t="s">
        <v>6934</v>
      </c>
    </row>
    <row r="4753" spans="1:5" x14ac:dyDescent="0.25">
      <c r="A4753" s="1" t="s">
        <v>4752</v>
      </c>
      <c r="C4753" s="3">
        <v>28</v>
      </c>
      <c r="E4753" t="s">
        <v>5210</v>
      </c>
    </row>
    <row r="4754" spans="1:5" x14ac:dyDescent="0.25">
      <c r="A4754" s="1" t="s">
        <v>4753</v>
      </c>
      <c r="C4754" s="3">
        <v>28</v>
      </c>
      <c r="E4754" t="s">
        <v>2858</v>
      </c>
    </row>
    <row r="4755" spans="1:5" x14ac:dyDescent="0.25">
      <c r="A4755" s="1" t="s">
        <v>4754</v>
      </c>
      <c r="C4755" s="3">
        <v>28</v>
      </c>
      <c r="E4755" t="s">
        <v>62</v>
      </c>
    </row>
    <row r="4756" spans="1:5" x14ac:dyDescent="0.25">
      <c r="A4756" s="1" t="s">
        <v>4755</v>
      </c>
      <c r="C4756" s="3">
        <v>28</v>
      </c>
      <c r="E4756" t="s">
        <v>6240</v>
      </c>
    </row>
    <row r="4757" spans="1:5" x14ac:dyDescent="0.25">
      <c r="A4757" s="1" t="s">
        <v>4756</v>
      </c>
      <c r="C4757" s="3">
        <v>28</v>
      </c>
      <c r="E4757" t="s">
        <v>3466</v>
      </c>
    </row>
    <row r="4758" spans="1:5" x14ac:dyDescent="0.25">
      <c r="A4758" s="1" t="s">
        <v>4757</v>
      </c>
      <c r="C4758" s="3">
        <v>28</v>
      </c>
      <c r="E4758" t="s">
        <v>17170</v>
      </c>
    </row>
    <row r="4759" spans="1:5" x14ac:dyDescent="0.25">
      <c r="A4759" s="1" t="s">
        <v>4758</v>
      </c>
      <c r="C4759" s="3">
        <v>28</v>
      </c>
      <c r="E4759" t="s">
        <v>16517</v>
      </c>
    </row>
    <row r="4760" spans="1:5" x14ac:dyDescent="0.25">
      <c r="A4760" s="1" t="s">
        <v>4759</v>
      </c>
      <c r="C4760" s="3">
        <v>28</v>
      </c>
      <c r="E4760" t="s">
        <v>14463</v>
      </c>
    </row>
    <row r="4761" spans="1:5" x14ac:dyDescent="0.25">
      <c r="A4761" s="1" t="s">
        <v>4760</v>
      </c>
      <c r="C4761" s="3">
        <v>28</v>
      </c>
      <c r="E4761" t="s">
        <v>1996</v>
      </c>
    </row>
    <row r="4762" spans="1:5" x14ac:dyDescent="0.25">
      <c r="A4762" s="1" t="s">
        <v>4761</v>
      </c>
      <c r="C4762" s="3">
        <v>28</v>
      </c>
      <c r="E4762" t="s">
        <v>1913</v>
      </c>
    </row>
    <row r="4763" spans="1:5" x14ac:dyDescent="0.25">
      <c r="A4763" s="1" t="s">
        <v>4762</v>
      </c>
      <c r="C4763" s="3">
        <v>28</v>
      </c>
      <c r="E4763" t="s">
        <v>519</v>
      </c>
    </row>
    <row r="4764" spans="1:5" x14ac:dyDescent="0.25">
      <c r="A4764" s="1" t="s">
        <v>4763</v>
      </c>
      <c r="C4764" s="3">
        <v>28</v>
      </c>
      <c r="E4764" t="s">
        <v>493</v>
      </c>
    </row>
    <row r="4765" spans="1:5" x14ac:dyDescent="0.25">
      <c r="A4765" s="1" t="s">
        <v>4764</v>
      </c>
      <c r="C4765" s="3">
        <v>28</v>
      </c>
      <c r="E4765" t="s">
        <v>3520</v>
      </c>
    </row>
    <row r="4766" spans="1:5" x14ac:dyDescent="0.25">
      <c r="A4766" s="1" t="s">
        <v>4765</v>
      </c>
      <c r="C4766" s="3">
        <v>28</v>
      </c>
      <c r="E4766" t="s">
        <v>4097</v>
      </c>
    </row>
    <row r="4767" spans="1:5" x14ac:dyDescent="0.25">
      <c r="A4767" s="1" t="s">
        <v>4766</v>
      </c>
      <c r="C4767" s="3">
        <v>28</v>
      </c>
      <c r="E4767" t="s">
        <v>3626</v>
      </c>
    </row>
    <row r="4768" spans="1:5" x14ac:dyDescent="0.25">
      <c r="A4768" s="1" t="s">
        <v>4767</v>
      </c>
      <c r="C4768" s="3">
        <v>28</v>
      </c>
      <c r="E4768" t="s">
        <v>11068</v>
      </c>
    </row>
    <row r="4769" spans="1:5" x14ac:dyDescent="0.25">
      <c r="A4769" s="1" t="s">
        <v>4768</v>
      </c>
      <c r="C4769" s="3">
        <v>28</v>
      </c>
      <c r="E4769" t="s">
        <v>6508</v>
      </c>
    </row>
    <row r="4770" spans="1:5" x14ac:dyDescent="0.25">
      <c r="A4770" s="1" t="s">
        <v>4769</v>
      </c>
      <c r="C4770" s="3">
        <v>28</v>
      </c>
      <c r="E4770" t="s">
        <v>4032</v>
      </c>
    </row>
    <row r="4771" spans="1:5" x14ac:dyDescent="0.25">
      <c r="A4771" s="1" t="s">
        <v>4770</v>
      </c>
      <c r="C4771" s="3">
        <v>28</v>
      </c>
      <c r="E4771" t="s">
        <v>5284</v>
      </c>
    </row>
    <row r="4772" spans="1:5" x14ac:dyDescent="0.25">
      <c r="A4772" s="1" t="s">
        <v>4771</v>
      </c>
      <c r="C4772" s="3">
        <v>28</v>
      </c>
      <c r="E4772" t="s">
        <v>5002</v>
      </c>
    </row>
    <row r="4773" spans="1:5" x14ac:dyDescent="0.25">
      <c r="A4773" s="1" t="s">
        <v>4772</v>
      </c>
      <c r="C4773" s="3">
        <v>28</v>
      </c>
      <c r="E4773" t="s">
        <v>5912</v>
      </c>
    </row>
    <row r="4774" spans="1:5" x14ac:dyDescent="0.25">
      <c r="A4774" s="1" t="s">
        <v>4773</v>
      </c>
      <c r="C4774" s="3">
        <v>28</v>
      </c>
      <c r="E4774" t="s">
        <v>7245</v>
      </c>
    </row>
    <row r="4775" spans="1:5" x14ac:dyDescent="0.25">
      <c r="A4775" s="1" t="s">
        <v>4774</v>
      </c>
      <c r="C4775" s="3">
        <v>28</v>
      </c>
      <c r="E4775" t="s">
        <v>6742</v>
      </c>
    </row>
    <row r="4776" spans="1:5" x14ac:dyDescent="0.25">
      <c r="A4776" s="1" t="s">
        <v>4775</v>
      </c>
      <c r="C4776" s="3">
        <v>28</v>
      </c>
      <c r="E4776" t="s">
        <v>3050</v>
      </c>
    </row>
    <row r="4777" spans="1:5" x14ac:dyDescent="0.25">
      <c r="A4777" s="1" t="s">
        <v>4776</v>
      </c>
      <c r="C4777" s="3">
        <v>28</v>
      </c>
      <c r="E4777" t="s">
        <v>168</v>
      </c>
    </row>
    <row r="4778" spans="1:5" x14ac:dyDescent="0.25">
      <c r="A4778" s="1" t="s">
        <v>4777</v>
      </c>
      <c r="C4778" s="3">
        <v>28</v>
      </c>
      <c r="E4778" t="s">
        <v>1715</v>
      </c>
    </row>
    <row r="4779" spans="1:5" x14ac:dyDescent="0.25">
      <c r="A4779" s="1" t="s">
        <v>4778</v>
      </c>
      <c r="C4779" s="3">
        <v>28</v>
      </c>
      <c r="E4779" t="s">
        <v>92</v>
      </c>
    </row>
    <row r="4780" spans="1:5" x14ac:dyDescent="0.25">
      <c r="A4780" s="1" t="s">
        <v>4779</v>
      </c>
      <c r="C4780" s="3">
        <v>28</v>
      </c>
      <c r="E4780" t="s">
        <v>5174</v>
      </c>
    </row>
    <row r="4781" spans="1:5" x14ac:dyDescent="0.25">
      <c r="A4781" s="1" t="s">
        <v>4780</v>
      </c>
      <c r="C4781" s="3">
        <v>28</v>
      </c>
      <c r="E4781" t="s">
        <v>2558</v>
      </c>
    </row>
    <row r="4782" spans="1:5" x14ac:dyDescent="0.25">
      <c r="A4782" s="1" t="s">
        <v>4781</v>
      </c>
      <c r="C4782" s="3">
        <v>28</v>
      </c>
      <c r="E4782" t="s">
        <v>899</v>
      </c>
    </row>
    <row r="4783" spans="1:5" x14ac:dyDescent="0.25">
      <c r="A4783" s="1" t="s">
        <v>4782</v>
      </c>
      <c r="C4783" s="3">
        <v>28</v>
      </c>
      <c r="E4783" t="s">
        <v>4294</v>
      </c>
    </row>
    <row r="4784" spans="1:5" x14ac:dyDescent="0.25">
      <c r="A4784" s="1" t="s">
        <v>4783</v>
      </c>
      <c r="C4784" s="3">
        <v>28</v>
      </c>
      <c r="E4784" t="s">
        <v>880</v>
      </c>
    </row>
    <row r="4785" spans="1:5" x14ac:dyDescent="0.25">
      <c r="A4785" s="1" t="s">
        <v>4784</v>
      </c>
      <c r="C4785" s="3">
        <v>28</v>
      </c>
      <c r="E4785" t="s">
        <v>14636</v>
      </c>
    </row>
    <row r="4786" spans="1:5" x14ac:dyDescent="0.25">
      <c r="A4786" s="1" t="s">
        <v>4785</v>
      </c>
      <c r="C4786" s="3">
        <v>28</v>
      </c>
      <c r="E4786" t="s">
        <v>1893</v>
      </c>
    </row>
    <row r="4787" spans="1:5" x14ac:dyDescent="0.25">
      <c r="A4787" s="1" t="s">
        <v>4786</v>
      </c>
      <c r="C4787" s="3">
        <v>28</v>
      </c>
      <c r="E4787" t="s">
        <v>3015</v>
      </c>
    </row>
    <row r="4788" spans="1:5" x14ac:dyDescent="0.25">
      <c r="A4788" s="1" t="s">
        <v>4787</v>
      </c>
      <c r="C4788" s="3">
        <v>28</v>
      </c>
      <c r="E4788" t="s">
        <v>5906</v>
      </c>
    </row>
    <row r="4789" spans="1:5" x14ac:dyDescent="0.25">
      <c r="A4789" s="1" t="s">
        <v>4788</v>
      </c>
      <c r="C4789" s="3">
        <v>28</v>
      </c>
      <c r="E4789" t="s">
        <v>3123</v>
      </c>
    </row>
    <row r="4790" spans="1:5" x14ac:dyDescent="0.25">
      <c r="A4790" s="1" t="s">
        <v>4789</v>
      </c>
      <c r="C4790" s="3">
        <v>28</v>
      </c>
      <c r="E4790" t="s">
        <v>24095</v>
      </c>
    </row>
    <row r="4791" spans="1:5" x14ac:dyDescent="0.25">
      <c r="A4791" s="1" t="s">
        <v>4790</v>
      </c>
      <c r="C4791" s="3">
        <v>28</v>
      </c>
      <c r="E4791" t="s">
        <v>5611</v>
      </c>
    </row>
    <row r="4792" spans="1:5" x14ac:dyDescent="0.25">
      <c r="A4792" s="1" t="s">
        <v>4791</v>
      </c>
      <c r="C4792" s="3">
        <v>28</v>
      </c>
      <c r="E4792" t="s">
        <v>25499</v>
      </c>
    </row>
    <row r="4793" spans="1:5" x14ac:dyDescent="0.25">
      <c r="A4793" s="1" t="s">
        <v>4792</v>
      </c>
      <c r="C4793" s="3">
        <v>28</v>
      </c>
      <c r="E4793" t="s">
        <v>2054</v>
      </c>
    </row>
    <row r="4794" spans="1:5" x14ac:dyDescent="0.25">
      <c r="A4794" s="1" t="s">
        <v>4793</v>
      </c>
      <c r="C4794" s="3">
        <v>28</v>
      </c>
      <c r="E4794" t="s">
        <v>28</v>
      </c>
    </row>
    <row r="4795" spans="1:5" x14ac:dyDescent="0.25">
      <c r="A4795" s="1" t="s">
        <v>4794</v>
      </c>
      <c r="C4795" s="3">
        <v>28</v>
      </c>
      <c r="E4795" t="s">
        <v>562</v>
      </c>
    </row>
    <row r="4796" spans="1:5" x14ac:dyDescent="0.25">
      <c r="A4796" s="1" t="s">
        <v>4795</v>
      </c>
      <c r="C4796" s="3">
        <v>28</v>
      </c>
      <c r="E4796" t="s">
        <v>1444</v>
      </c>
    </row>
    <row r="4797" spans="1:5" x14ac:dyDescent="0.25">
      <c r="A4797" s="1" t="s">
        <v>4796</v>
      </c>
      <c r="C4797" s="3">
        <v>28</v>
      </c>
      <c r="E4797" t="s">
        <v>2427</v>
      </c>
    </row>
    <row r="4798" spans="1:5" x14ac:dyDescent="0.25">
      <c r="A4798" s="1" t="s">
        <v>4797</v>
      </c>
      <c r="C4798" s="3">
        <v>28</v>
      </c>
      <c r="E4798" t="s">
        <v>14166</v>
      </c>
    </row>
    <row r="4799" spans="1:5" x14ac:dyDescent="0.25">
      <c r="A4799" s="1" t="s">
        <v>4798</v>
      </c>
      <c r="C4799" s="3">
        <v>28</v>
      </c>
      <c r="E4799" t="s">
        <v>2374</v>
      </c>
    </row>
    <row r="4800" spans="1:5" x14ac:dyDescent="0.25">
      <c r="A4800" s="1" t="s">
        <v>4799</v>
      </c>
      <c r="C4800" s="3">
        <v>28</v>
      </c>
      <c r="E4800" t="s">
        <v>3651</v>
      </c>
    </row>
    <row r="4801" spans="1:5" x14ac:dyDescent="0.25">
      <c r="A4801" s="1" t="s">
        <v>4800</v>
      </c>
      <c r="C4801" s="3">
        <v>28</v>
      </c>
      <c r="E4801" t="s">
        <v>6523</v>
      </c>
    </row>
    <row r="4802" spans="1:5" x14ac:dyDescent="0.25">
      <c r="A4802" s="1" t="s">
        <v>4801</v>
      </c>
      <c r="C4802" s="3">
        <v>28</v>
      </c>
      <c r="E4802" t="s">
        <v>807</v>
      </c>
    </row>
    <row r="4803" spans="1:5" x14ac:dyDescent="0.25">
      <c r="A4803" s="1" t="s">
        <v>4802</v>
      </c>
      <c r="C4803" s="3">
        <v>28</v>
      </c>
      <c r="E4803" t="s">
        <v>1623</v>
      </c>
    </row>
    <row r="4804" spans="1:5" x14ac:dyDescent="0.25">
      <c r="A4804" s="1" t="s">
        <v>4803</v>
      </c>
      <c r="C4804" s="3">
        <v>28</v>
      </c>
      <c r="E4804" t="s">
        <v>6406</v>
      </c>
    </row>
    <row r="4805" spans="1:5" x14ac:dyDescent="0.25">
      <c r="A4805" s="1" t="s">
        <v>4804</v>
      </c>
      <c r="C4805" s="3">
        <v>28</v>
      </c>
      <c r="E4805" t="s">
        <v>4065</v>
      </c>
    </row>
    <row r="4806" spans="1:5" x14ac:dyDescent="0.25">
      <c r="A4806" s="1" t="s">
        <v>4805</v>
      </c>
      <c r="C4806" s="3">
        <v>28</v>
      </c>
      <c r="E4806" t="s">
        <v>385</v>
      </c>
    </row>
    <row r="4807" spans="1:5" x14ac:dyDescent="0.25">
      <c r="A4807" s="1" t="s">
        <v>4806</v>
      </c>
      <c r="C4807" s="3">
        <v>28</v>
      </c>
      <c r="E4807" t="s">
        <v>485</v>
      </c>
    </row>
    <row r="4808" spans="1:5" x14ac:dyDescent="0.25">
      <c r="A4808" s="1" t="s">
        <v>4807</v>
      </c>
      <c r="C4808" s="3">
        <v>28</v>
      </c>
      <c r="E4808" t="s">
        <v>2800</v>
      </c>
    </row>
    <row r="4809" spans="1:5" x14ac:dyDescent="0.25">
      <c r="A4809" s="1" t="s">
        <v>4808</v>
      </c>
      <c r="C4809" s="3">
        <v>28</v>
      </c>
      <c r="E4809" t="s">
        <v>4098</v>
      </c>
    </row>
    <row r="4810" spans="1:5" x14ac:dyDescent="0.25">
      <c r="A4810" s="1" t="s">
        <v>4809</v>
      </c>
      <c r="C4810" s="3">
        <v>28</v>
      </c>
      <c r="E4810" t="s">
        <v>1474</v>
      </c>
    </row>
    <row r="4811" spans="1:5" x14ac:dyDescent="0.25">
      <c r="A4811" s="1" t="s">
        <v>4810</v>
      </c>
      <c r="C4811" s="3">
        <v>28</v>
      </c>
      <c r="E4811" t="s">
        <v>1989</v>
      </c>
    </row>
    <row r="4812" spans="1:5" x14ac:dyDescent="0.25">
      <c r="A4812" s="1" t="s">
        <v>4811</v>
      </c>
      <c r="C4812" s="3">
        <v>28</v>
      </c>
      <c r="E4812" t="s">
        <v>9010</v>
      </c>
    </row>
    <row r="4813" spans="1:5" x14ac:dyDescent="0.25">
      <c r="A4813" s="1" t="s">
        <v>4812</v>
      </c>
      <c r="C4813" s="3">
        <v>28</v>
      </c>
      <c r="E4813" t="s">
        <v>5468</v>
      </c>
    </row>
    <row r="4814" spans="1:5" x14ac:dyDescent="0.25">
      <c r="A4814" s="1" t="s">
        <v>4813</v>
      </c>
      <c r="C4814" s="3">
        <v>28</v>
      </c>
      <c r="E4814" t="s">
        <v>7265</v>
      </c>
    </row>
    <row r="4815" spans="1:5" x14ac:dyDescent="0.25">
      <c r="A4815" s="1" t="s">
        <v>4814</v>
      </c>
      <c r="C4815" s="3">
        <v>28</v>
      </c>
      <c r="E4815" t="s">
        <v>4952</v>
      </c>
    </row>
    <row r="4816" spans="1:5" x14ac:dyDescent="0.25">
      <c r="A4816" s="1" t="s">
        <v>4815</v>
      </c>
      <c r="C4816" s="3">
        <v>28</v>
      </c>
      <c r="E4816" t="s">
        <v>3646</v>
      </c>
    </row>
    <row r="4817" spans="1:5" x14ac:dyDescent="0.25">
      <c r="A4817" s="1" t="s">
        <v>4816</v>
      </c>
      <c r="C4817" s="3">
        <v>28</v>
      </c>
      <c r="E4817" t="s">
        <v>5921</v>
      </c>
    </row>
    <row r="4818" spans="1:5" x14ac:dyDescent="0.25">
      <c r="A4818" s="1" t="s">
        <v>4817</v>
      </c>
      <c r="C4818" s="3">
        <v>28</v>
      </c>
      <c r="E4818" t="s">
        <v>5262</v>
      </c>
    </row>
    <row r="4819" spans="1:5" x14ac:dyDescent="0.25">
      <c r="A4819" s="1" t="s">
        <v>4818</v>
      </c>
      <c r="C4819" s="3">
        <v>28</v>
      </c>
      <c r="E4819" t="s">
        <v>2955</v>
      </c>
    </row>
    <row r="4820" spans="1:5" x14ac:dyDescent="0.25">
      <c r="A4820" s="1" t="s">
        <v>4819</v>
      </c>
      <c r="C4820" s="3">
        <v>28</v>
      </c>
      <c r="E4820" t="s">
        <v>9792</v>
      </c>
    </row>
    <row r="4821" spans="1:5" x14ac:dyDescent="0.25">
      <c r="A4821" s="1" t="s">
        <v>4820</v>
      </c>
      <c r="C4821" s="3">
        <v>28</v>
      </c>
      <c r="E4821" t="s">
        <v>1665</v>
      </c>
    </row>
    <row r="4822" spans="1:5" x14ac:dyDescent="0.25">
      <c r="A4822" s="1" t="s">
        <v>4821</v>
      </c>
      <c r="C4822" s="3">
        <v>28</v>
      </c>
      <c r="E4822" t="s">
        <v>2174</v>
      </c>
    </row>
    <row r="4823" spans="1:5" x14ac:dyDescent="0.25">
      <c r="A4823" s="1" t="s">
        <v>4822</v>
      </c>
      <c r="C4823" s="3">
        <v>28</v>
      </c>
      <c r="E4823" t="s">
        <v>3584</v>
      </c>
    </row>
    <row r="4824" spans="1:5" x14ac:dyDescent="0.25">
      <c r="A4824" s="1" t="s">
        <v>4823</v>
      </c>
      <c r="C4824" s="3">
        <v>28</v>
      </c>
      <c r="E4824" t="s">
        <v>12948</v>
      </c>
    </row>
    <row r="4825" spans="1:5" x14ac:dyDescent="0.25">
      <c r="A4825" s="1" t="s">
        <v>4824</v>
      </c>
      <c r="C4825" s="3">
        <v>28</v>
      </c>
      <c r="E4825" t="s">
        <v>13981</v>
      </c>
    </row>
    <row r="4826" spans="1:5" x14ac:dyDescent="0.25">
      <c r="A4826" s="1" t="s">
        <v>4825</v>
      </c>
      <c r="C4826" s="3">
        <v>28</v>
      </c>
      <c r="E4826" t="s">
        <v>2194</v>
      </c>
    </row>
    <row r="4827" spans="1:5" x14ac:dyDescent="0.25">
      <c r="A4827" s="1" t="s">
        <v>4826</v>
      </c>
      <c r="C4827" s="3">
        <v>28</v>
      </c>
      <c r="E4827" t="s">
        <v>6172</v>
      </c>
    </row>
    <row r="4828" spans="1:5" x14ac:dyDescent="0.25">
      <c r="A4828" s="1" t="s">
        <v>4827</v>
      </c>
      <c r="C4828" s="3">
        <v>28</v>
      </c>
      <c r="E4828" t="s">
        <v>2116</v>
      </c>
    </row>
    <row r="4829" spans="1:5" x14ac:dyDescent="0.25">
      <c r="A4829" s="1" t="s">
        <v>4828</v>
      </c>
      <c r="C4829" s="3">
        <v>28</v>
      </c>
      <c r="E4829" t="s">
        <v>3965</v>
      </c>
    </row>
    <row r="4830" spans="1:5" x14ac:dyDescent="0.25">
      <c r="A4830" s="1" t="s">
        <v>4829</v>
      </c>
      <c r="C4830" s="3">
        <v>28</v>
      </c>
      <c r="E4830" t="s">
        <v>12589</v>
      </c>
    </row>
    <row r="4831" spans="1:5" x14ac:dyDescent="0.25">
      <c r="A4831" s="1" t="s">
        <v>4830</v>
      </c>
      <c r="C4831" s="3">
        <v>28</v>
      </c>
      <c r="E4831" t="s">
        <v>21124</v>
      </c>
    </row>
    <row r="4832" spans="1:5" x14ac:dyDescent="0.25">
      <c r="A4832" s="1" t="s">
        <v>4831</v>
      </c>
      <c r="C4832" s="3">
        <v>28</v>
      </c>
      <c r="E4832" t="s">
        <v>3672</v>
      </c>
    </row>
    <row r="4833" spans="1:5" x14ac:dyDescent="0.25">
      <c r="A4833" s="1" t="s">
        <v>4832</v>
      </c>
      <c r="C4833" s="3">
        <v>28</v>
      </c>
      <c r="E4833" t="s">
        <v>534</v>
      </c>
    </row>
    <row r="4834" spans="1:5" x14ac:dyDescent="0.25">
      <c r="A4834" s="1" t="s">
        <v>4833</v>
      </c>
      <c r="C4834" s="3">
        <v>28</v>
      </c>
      <c r="E4834" t="s">
        <v>2552</v>
      </c>
    </row>
    <row r="4835" spans="1:5" x14ac:dyDescent="0.25">
      <c r="A4835" s="1" t="s">
        <v>4834</v>
      </c>
      <c r="C4835" s="3">
        <v>28</v>
      </c>
      <c r="E4835" t="s">
        <v>5811</v>
      </c>
    </row>
    <row r="4836" spans="1:5" x14ac:dyDescent="0.25">
      <c r="A4836" s="1" t="s">
        <v>4835</v>
      </c>
      <c r="C4836" s="3">
        <v>28</v>
      </c>
      <c r="E4836" t="s">
        <v>158</v>
      </c>
    </row>
    <row r="4837" spans="1:5" x14ac:dyDescent="0.25">
      <c r="A4837" s="1" t="s">
        <v>4836</v>
      </c>
      <c r="C4837" s="3">
        <v>28</v>
      </c>
      <c r="E4837" t="s">
        <v>756</v>
      </c>
    </row>
    <row r="4838" spans="1:5" x14ac:dyDescent="0.25">
      <c r="A4838" s="1" t="s">
        <v>4837</v>
      </c>
      <c r="C4838" s="3">
        <v>28</v>
      </c>
      <c r="E4838" t="s">
        <v>5925</v>
      </c>
    </row>
    <row r="4839" spans="1:5" x14ac:dyDescent="0.25">
      <c r="A4839" s="1" t="s">
        <v>4838</v>
      </c>
      <c r="C4839" s="3">
        <v>28</v>
      </c>
      <c r="E4839" t="s">
        <v>3273</v>
      </c>
    </row>
    <row r="4840" spans="1:5" x14ac:dyDescent="0.25">
      <c r="A4840" s="1" t="s">
        <v>4839</v>
      </c>
      <c r="C4840" s="3">
        <v>28</v>
      </c>
      <c r="E4840" t="s">
        <v>1909</v>
      </c>
    </row>
    <row r="4841" spans="1:5" x14ac:dyDescent="0.25">
      <c r="A4841" s="1" t="s">
        <v>4840</v>
      </c>
      <c r="C4841" s="3">
        <v>28</v>
      </c>
      <c r="E4841" t="s">
        <v>2713</v>
      </c>
    </row>
    <row r="4842" spans="1:5" x14ac:dyDescent="0.25">
      <c r="A4842" s="1" t="s">
        <v>4841</v>
      </c>
      <c r="C4842" s="3">
        <v>28</v>
      </c>
      <c r="E4842" t="s">
        <v>2150</v>
      </c>
    </row>
    <row r="4843" spans="1:5" x14ac:dyDescent="0.25">
      <c r="A4843" s="1" t="s">
        <v>4842</v>
      </c>
      <c r="C4843" s="3">
        <v>28</v>
      </c>
      <c r="E4843" t="s">
        <v>3772</v>
      </c>
    </row>
    <row r="4844" spans="1:5" x14ac:dyDescent="0.25">
      <c r="A4844" s="1" t="s">
        <v>4843</v>
      </c>
      <c r="C4844" s="3">
        <v>28</v>
      </c>
      <c r="E4844" t="s">
        <v>19089</v>
      </c>
    </row>
    <row r="4845" spans="1:5" x14ac:dyDescent="0.25">
      <c r="A4845" s="1" t="s">
        <v>4844</v>
      </c>
      <c r="C4845" s="3">
        <v>28</v>
      </c>
      <c r="E4845" t="s">
        <v>5812</v>
      </c>
    </row>
    <row r="4846" spans="1:5" x14ac:dyDescent="0.25">
      <c r="A4846" s="1" t="s">
        <v>4845</v>
      </c>
      <c r="C4846" s="3">
        <v>28</v>
      </c>
      <c r="E4846" t="s">
        <v>1598</v>
      </c>
    </row>
    <row r="4847" spans="1:5" x14ac:dyDescent="0.25">
      <c r="A4847" s="1" t="s">
        <v>4846</v>
      </c>
      <c r="C4847" s="3">
        <v>28</v>
      </c>
      <c r="E4847" t="s">
        <v>3961</v>
      </c>
    </row>
    <row r="4848" spans="1:5" x14ac:dyDescent="0.25">
      <c r="A4848" s="1" t="s">
        <v>4847</v>
      </c>
      <c r="C4848" s="3">
        <v>28</v>
      </c>
      <c r="E4848" t="s">
        <v>5559</v>
      </c>
    </row>
    <row r="4849" spans="1:5" x14ac:dyDescent="0.25">
      <c r="A4849" s="1" t="s">
        <v>4848</v>
      </c>
      <c r="C4849" s="3">
        <v>28</v>
      </c>
      <c r="E4849" t="s">
        <v>4769</v>
      </c>
    </row>
    <row r="4850" spans="1:5" x14ac:dyDescent="0.25">
      <c r="A4850" s="1" t="s">
        <v>4849</v>
      </c>
      <c r="C4850" s="3">
        <v>28</v>
      </c>
      <c r="E4850" t="s">
        <v>8375</v>
      </c>
    </row>
    <row r="4851" spans="1:5" x14ac:dyDescent="0.25">
      <c r="A4851" s="1" t="s">
        <v>4850</v>
      </c>
      <c r="C4851" s="3">
        <v>28</v>
      </c>
      <c r="E4851" t="s">
        <v>2658</v>
      </c>
    </row>
    <row r="4852" spans="1:5" x14ac:dyDescent="0.25">
      <c r="A4852" s="1" t="s">
        <v>4851</v>
      </c>
      <c r="C4852" s="3">
        <v>28</v>
      </c>
      <c r="E4852" t="s">
        <v>11958</v>
      </c>
    </row>
    <row r="4853" spans="1:5" x14ac:dyDescent="0.25">
      <c r="A4853" s="1" t="s">
        <v>4852</v>
      </c>
      <c r="C4853" s="3">
        <v>28</v>
      </c>
      <c r="E4853" t="s">
        <v>413</v>
      </c>
    </row>
    <row r="4854" spans="1:5" x14ac:dyDescent="0.25">
      <c r="A4854" s="1" t="s">
        <v>4853</v>
      </c>
      <c r="C4854" s="3">
        <v>28</v>
      </c>
      <c r="E4854" t="s">
        <v>17</v>
      </c>
    </row>
    <row r="4855" spans="1:5" x14ac:dyDescent="0.25">
      <c r="A4855" s="1" t="s">
        <v>4854</v>
      </c>
      <c r="C4855" s="3">
        <v>28</v>
      </c>
      <c r="E4855" t="s">
        <v>544</v>
      </c>
    </row>
    <row r="4856" spans="1:5" x14ac:dyDescent="0.25">
      <c r="A4856" s="1" t="s">
        <v>4855</v>
      </c>
      <c r="C4856" s="3">
        <v>28</v>
      </c>
      <c r="E4856" t="s">
        <v>12635</v>
      </c>
    </row>
    <row r="4857" spans="1:5" x14ac:dyDescent="0.25">
      <c r="A4857" s="1" t="s">
        <v>4856</v>
      </c>
      <c r="C4857" s="3">
        <v>28</v>
      </c>
      <c r="E4857" t="s">
        <v>17143</v>
      </c>
    </row>
    <row r="4858" spans="1:5" x14ac:dyDescent="0.25">
      <c r="A4858" s="1" t="s">
        <v>4857</v>
      </c>
      <c r="C4858" s="3">
        <v>28</v>
      </c>
      <c r="E4858" t="s">
        <v>585</v>
      </c>
    </row>
    <row r="4859" spans="1:5" x14ac:dyDescent="0.25">
      <c r="A4859" s="1" t="s">
        <v>4858</v>
      </c>
      <c r="C4859" s="3">
        <v>28</v>
      </c>
      <c r="E4859" t="s">
        <v>275</v>
      </c>
    </row>
    <row r="4860" spans="1:5" x14ac:dyDescent="0.25">
      <c r="A4860" s="1" t="s">
        <v>4859</v>
      </c>
      <c r="C4860" s="3">
        <v>28</v>
      </c>
      <c r="E4860" t="s">
        <v>2013</v>
      </c>
    </row>
    <row r="4861" spans="1:5" x14ac:dyDescent="0.25">
      <c r="A4861" s="1" t="s">
        <v>4860</v>
      </c>
      <c r="C4861" s="3">
        <v>28</v>
      </c>
      <c r="E4861" t="s">
        <v>730</v>
      </c>
    </row>
    <row r="4862" spans="1:5" x14ac:dyDescent="0.25">
      <c r="A4862" s="1" t="s">
        <v>4861</v>
      </c>
      <c r="C4862" s="3">
        <v>28</v>
      </c>
      <c r="E4862" t="s">
        <v>19840</v>
      </c>
    </row>
    <row r="4863" spans="1:5" x14ac:dyDescent="0.25">
      <c r="A4863" s="1" t="s">
        <v>4862</v>
      </c>
      <c r="C4863" s="3">
        <v>28</v>
      </c>
      <c r="E4863" t="s">
        <v>1178</v>
      </c>
    </row>
    <row r="4864" spans="1:5" x14ac:dyDescent="0.25">
      <c r="A4864" s="1" t="s">
        <v>4863</v>
      </c>
      <c r="C4864" s="3">
        <v>28</v>
      </c>
      <c r="E4864" t="s">
        <v>3733</v>
      </c>
    </row>
    <row r="4865" spans="1:5" x14ac:dyDescent="0.25">
      <c r="A4865" s="1" t="s">
        <v>4864</v>
      </c>
      <c r="C4865" s="3">
        <v>28</v>
      </c>
      <c r="E4865" t="s">
        <v>2128</v>
      </c>
    </row>
    <row r="4866" spans="1:5" x14ac:dyDescent="0.25">
      <c r="A4866" s="1" t="s">
        <v>4865</v>
      </c>
      <c r="C4866" s="3">
        <v>28</v>
      </c>
      <c r="E4866" t="s">
        <v>679</v>
      </c>
    </row>
    <row r="4867" spans="1:5" x14ac:dyDescent="0.25">
      <c r="A4867" s="1" t="s">
        <v>4866</v>
      </c>
      <c r="C4867" s="3">
        <v>28</v>
      </c>
      <c r="E4867" t="s">
        <v>456</v>
      </c>
    </row>
    <row r="4868" spans="1:5" x14ac:dyDescent="0.25">
      <c r="A4868" s="1" t="s">
        <v>4867</v>
      </c>
      <c r="C4868" s="3">
        <v>28</v>
      </c>
      <c r="E4868" t="s">
        <v>7498</v>
      </c>
    </row>
    <row r="4869" spans="1:5" x14ac:dyDescent="0.25">
      <c r="A4869" s="1" t="s">
        <v>4868</v>
      </c>
      <c r="C4869" s="3">
        <v>28</v>
      </c>
      <c r="E4869" t="s">
        <v>269</v>
      </c>
    </row>
    <row r="4870" spans="1:5" x14ac:dyDescent="0.25">
      <c r="A4870" s="1" t="s">
        <v>4869</v>
      </c>
      <c r="C4870" s="3">
        <v>28</v>
      </c>
      <c r="E4870" t="s">
        <v>15386</v>
      </c>
    </row>
    <row r="4871" spans="1:5" x14ac:dyDescent="0.25">
      <c r="A4871" s="1" t="s">
        <v>4870</v>
      </c>
      <c r="C4871" s="3">
        <v>28</v>
      </c>
      <c r="E4871" t="s">
        <v>4897</v>
      </c>
    </row>
    <row r="4872" spans="1:5" x14ac:dyDescent="0.25">
      <c r="A4872" s="1" t="s">
        <v>4871</v>
      </c>
      <c r="C4872" s="3">
        <v>28</v>
      </c>
      <c r="E4872" t="s">
        <v>12399</v>
      </c>
    </row>
    <row r="4873" spans="1:5" x14ac:dyDescent="0.25">
      <c r="A4873" s="1" t="s">
        <v>4872</v>
      </c>
      <c r="C4873" s="3">
        <v>28</v>
      </c>
      <c r="E4873" t="s">
        <v>11582</v>
      </c>
    </row>
    <row r="4874" spans="1:5" x14ac:dyDescent="0.25">
      <c r="A4874" s="1" t="s">
        <v>4873</v>
      </c>
      <c r="C4874" s="3">
        <v>28</v>
      </c>
      <c r="E4874" t="s">
        <v>38</v>
      </c>
    </row>
    <row r="4875" spans="1:5" x14ac:dyDescent="0.25">
      <c r="A4875" s="1" t="s">
        <v>4874</v>
      </c>
      <c r="C4875" s="3">
        <v>28</v>
      </c>
      <c r="E4875" t="s">
        <v>8638</v>
      </c>
    </row>
    <row r="4876" spans="1:5" x14ac:dyDescent="0.25">
      <c r="A4876" s="1" t="s">
        <v>4875</v>
      </c>
      <c r="C4876" s="3">
        <v>28</v>
      </c>
      <c r="E4876" t="s">
        <v>147</v>
      </c>
    </row>
    <row r="4877" spans="1:5" x14ac:dyDescent="0.25">
      <c r="A4877" s="1" t="s">
        <v>4876</v>
      </c>
      <c r="C4877" s="3">
        <v>28</v>
      </c>
      <c r="E4877" t="s">
        <v>8070</v>
      </c>
    </row>
    <row r="4878" spans="1:5" x14ac:dyDescent="0.25">
      <c r="A4878" s="1" t="s">
        <v>4877</v>
      </c>
      <c r="C4878" s="3">
        <v>27</v>
      </c>
      <c r="E4878" t="s">
        <v>10450</v>
      </c>
    </row>
    <row r="4879" spans="1:5" x14ac:dyDescent="0.25">
      <c r="A4879" s="1" t="s">
        <v>4878</v>
      </c>
      <c r="C4879" s="3">
        <v>27</v>
      </c>
      <c r="E4879" t="s">
        <v>8999</v>
      </c>
    </row>
    <row r="4880" spans="1:5" x14ac:dyDescent="0.25">
      <c r="A4880" s="1" t="s">
        <v>4879</v>
      </c>
      <c r="C4880" s="3">
        <v>27</v>
      </c>
      <c r="E4880" t="s">
        <v>180</v>
      </c>
    </row>
    <row r="4881" spans="1:5" x14ac:dyDescent="0.25">
      <c r="A4881" s="1" t="s">
        <v>4880</v>
      </c>
      <c r="C4881" s="3">
        <v>27</v>
      </c>
      <c r="E4881" t="s">
        <v>1317</v>
      </c>
    </row>
    <row r="4882" spans="1:5" x14ac:dyDescent="0.25">
      <c r="A4882" s="1" t="s">
        <v>4881</v>
      </c>
      <c r="C4882" s="3">
        <v>27</v>
      </c>
      <c r="E4882" t="s">
        <v>501</v>
      </c>
    </row>
    <row r="4883" spans="1:5" x14ac:dyDescent="0.25">
      <c r="A4883" s="1" t="s">
        <v>4882</v>
      </c>
      <c r="C4883" s="3">
        <v>27</v>
      </c>
      <c r="E4883" t="s">
        <v>2702</v>
      </c>
    </row>
    <row r="4884" spans="1:5" x14ac:dyDescent="0.25">
      <c r="A4884" s="1" t="s">
        <v>4883</v>
      </c>
      <c r="C4884" s="3">
        <v>27</v>
      </c>
      <c r="E4884" t="s">
        <v>7031</v>
      </c>
    </row>
    <row r="4885" spans="1:5" x14ac:dyDescent="0.25">
      <c r="A4885" s="1" t="s">
        <v>4884</v>
      </c>
      <c r="C4885" s="3">
        <v>27</v>
      </c>
      <c r="E4885" t="s">
        <v>12641</v>
      </c>
    </row>
    <row r="4886" spans="1:5" x14ac:dyDescent="0.25">
      <c r="A4886" s="1" t="s">
        <v>4885</v>
      </c>
      <c r="C4886" s="3">
        <v>27</v>
      </c>
      <c r="E4886" t="s">
        <v>25500</v>
      </c>
    </row>
    <row r="4887" spans="1:5" x14ac:dyDescent="0.25">
      <c r="A4887" s="1" t="s">
        <v>4886</v>
      </c>
      <c r="C4887" s="3">
        <v>27</v>
      </c>
      <c r="E4887" t="s">
        <v>4035</v>
      </c>
    </row>
    <row r="4888" spans="1:5" x14ac:dyDescent="0.25">
      <c r="A4888" s="1" t="s">
        <v>4887</v>
      </c>
      <c r="C4888" s="3">
        <v>27</v>
      </c>
      <c r="E4888" t="s">
        <v>10291</v>
      </c>
    </row>
    <row r="4889" spans="1:5" x14ac:dyDescent="0.25">
      <c r="A4889" s="1" t="s">
        <v>4888</v>
      </c>
      <c r="C4889" s="3">
        <v>27</v>
      </c>
      <c r="E4889" t="s">
        <v>5911</v>
      </c>
    </row>
    <row r="4890" spans="1:5" x14ac:dyDescent="0.25">
      <c r="A4890" s="1" t="s">
        <v>4889</v>
      </c>
      <c r="C4890" s="3">
        <v>27</v>
      </c>
      <c r="E4890" t="s">
        <v>1569</v>
      </c>
    </row>
    <row r="4891" spans="1:5" x14ac:dyDescent="0.25">
      <c r="A4891" s="1" t="s">
        <v>4890</v>
      </c>
      <c r="C4891" s="3">
        <v>27</v>
      </c>
      <c r="E4891" t="s">
        <v>20313</v>
      </c>
    </row>
    <row r="4892" spans="1:5" x14ac:dyDescent="0.25">
      <c r="A4892" s="1" t="s">
        <v>4891</v>
      </c>
      <c r="C4892" s="3">
        <v>27</v>
      </c>
      <c r="E4892" t="s">
        <v>1605</v>
      </c>
    </row>
    <row r="4893" spans="1:5" x14ac:dyDescent="0.25">
      <c r="A4893" s="1" t="s">
        <v>4892</v>
      </c>
      <c r="C4893" s="3">
        <v>27</v>
      </c>
      <c r="E4893" t="s">
        <v>350</v>
      </c>
    </row>
    <row r="4894" spans="1:5" x14ac:dyDescent="0.25">
      <c r="A4894" s="1" t="s">
        <v>4893</v>
      </c>
      <c r="C4894" s="3">
        <v>27</v>
      </c>
      <c r="E4894" t="s">
        <v>5330</v>
      </c>
    </row>
    <row r="4895" spans="1:5" x14ac:dyDescent="0.25">
      <c r="A4895" s="1" t="s">
        <v>4894</v>
      </c>
      <c r="C4895" s="3">
        <v>27</v>
      </c>
      <c r="E4895" t="s">
        <v>14673</v>
      </c>
    </row>
    <row r="4896" spans="1:5" x14ac:dyDescent="0.25">
      <c r="A4896" s="1" t="s">
        <v>4895</v>
      </c>
      <c r="C4896" s="3">
        <v>27</v>
      </c>
      <c r="E4896" t="s">
        <v>3845</v>
      </c>
    </row>
    <row r="4897" spans="1:5" x14ac:dyDescent="0.25">
      <c r="A4897" s="1" t="s">
        <v>4896</v>
      </c>
      <c r="C4897" s="3">
        <v>27</v>
      </c>
      <c r="E4897" t="s">
        <v>3682</v>
      </c>
    </row>
    <row r="4898" spans="1:5" x14ac:dyDescent="0.25">
      <c r="A4898" s="1" t="s">
        <v>4897</v>
      </c>
      <c r="C4898" s="3">
        <v>27</v>
      </c>
      <c r="E4898" t="s">
        <v>227</v>
      </c>
    </row>
    <row r="4899" spans="1:5" x14ac:dyDescent="0.25">
      <c r="A4899" s="1" t="s">
        <v>4898</v>
      </c>
      <c r="C4899" s="3">
        <v>27</v>
      </c>
      <c r="E4899" t="s">
        <v>7194</v>
      </c>
    </row>
    <row r="4900" spans="1:5" x14ac:dyDescent="0.25">
      <c r="A4900" s="1" t="s">
        <v>4899</v>
      </c>
      <c r="C4900" s="3">
        <v>27</v>
      </c>
      <c r="E4900" t="s">
        <v>16325</v>
      </c>
    </row>
    <row r="4901" spans="1:5" x14ac:dyDescent="0.25">
      <c r="A4901" s="1" t="s">
        <v>4900</v>
      </c>
      <c r="C4901" s="3">
        <v>27</v>
      </c>
      <c r="E4901" t="s">
        <v>3709</v>
      </c>
    </row>
    <row r="4902" spans="1:5" x14ac:dyDescent="0.25">
      <c r="A4902" s="1" t="s">
        <v>4901</v>
      </c>
      <c r="C4902" s="3">
        <v>27</v>
      </c>
      <c r="E4902" t="s">
        <v>2847</v>
      </c>
    </row>
    <row r="4903" spans="1:5" x14ac:dyDescent="0.25">
      <c r="A4903" s="1" t="s">
        <v>4902</v>
      </c>
      <c r="C4903" s="3">
        <v>27</v>
      </c>
      <c r="E4903" t="s">
        <v>5189</v>
      </c>
    </row>
    <row r="4904" spans="1:5" x14ac:dyDescent="0.25">
      <c r="A4904" s="1" t="s">
        <v>4903</v>
      </c>
      <c r="C4904" s="3">
        <v>27</v>
      </c>
      <c r="E4904" t="s">
        <v>4529</v>
      </c>
    </row>
    <row r="4905" spans="1:5" x14ac:dyDescent="0.25">
      <c r="A4905" s="1" t="s">
        <v>4904</v>
      </c>
      <c r="C4905" s="3">
        <v>27</v>
      </c>
      <c r="E4905" t="s">
        <v>3156</v>
      </c>
    </row>
    <row r="4906" spans="1:5" x14ac:dyDescent="0.25">
      <c r="A4906" s="1" t="s">
        <v>4905</v>
      </c>
      <c r="C4906" s="3">
        <v>27</v>
      </c>
      <c r="E4906" t="s">
        <v>833</v>
      </c>
    </row>
    <row r="4907" spans="1:5" x14ac:dyDescent="0.25">
      <c r="A4907" s="1" t="s">
        <v>4906</v>
      </c>
      <c r="C4907" s="3">
        <v>27</v>
      </c>
      <c r="E4907" t="s">
        <v>4964</v>
      </c>
    </row>
    <row r="4908" spans="1:5" x14ac:dyDescent="0.25">
      <c r="A4908" s="1" t="s">
        <v>4907</v>
      </c>
      <c r="C4908" s="3">
        <v>27</v>
      </c>
      <c r="E4908" t="s">
        <v>2590</v>
      </c>
    </row>
    <row r="4909" spans="1:5" x14ac:dyDescent="0.25">
      <c r="A4909" s="1" t="s">
        <v>4908</v>
      </c>
      <c r="C4909" s="3">
        <v>27</v>
      </c>
      <c r="E4909" t="s">
        <v>2060</v>
      </c>
    </row>
    <row r="4910" spans="1:5" x14ac:dyDescent="0.25">
      <c r="A4910" s="1" t="s">
        <v>4909</v>
      </c>
      <c r="C4910" s="3">
        <v>27</v>
      </c>
      <c r="E4910" t="s">
        <v>11579</v>
      </c>
    </row>
    <row r="4911" spans="1:5" x14ac:dyDescent="0.25">
      <c r="A4911" s="1" t="s">
        <v>4910</v>
      </c>
      <c r="C4911" s="3">
        <v>27</v>
      </c>
      <c r="E4911" t="s">
        <v>2668</v>
      </c>
    </row>
    <row r="4912" spans="1:5" x14ac:dyDescent="0.25">
      <c r="A4912" s="1" t="s">
        <v>4911</v>
      </c>
      <c r="C4912" s="3">
        <v>27</v>
      </c>
      <c r="E4912" t="s">
        <v>6204</v>
      </c>
    </row>
    <row r="4913" spans="1:5" x14ac:dyDescent="0.25">
      <c r="A4913" s="1" t="s">
        <v>4912</v>
      </c>
      <c r="C4913" s="3">
        <v>27</v>
      </c>
      <c r="E4913" t="s">
        <v>9992</v>
      </c>
    </row>
    <row r="4914" spans="1:5" x14ac:dyDescent="0.25">
      <c r="A4914" s="1" t="s">
        <v>4913</v>
      </c>
      <c r="C4914" s="3">
        <v>27</v>
      </c>
      <c r="E4914" t="s">
        <v>2210</v>
      </c>
    </row>
    <row r="4915" spans="1:5" x14ac:dyDescent="0.25">
      <c r="A4915" s="1" t="s">
        <v>4914</v>
      </c>
      <c r="C4915" s="3">
        <v>27</v>
      </c>
      <c r="E4915" t="s">
        <v>497</v>
      </c>
    </row>
    <row r="4916" spans="1:5" x14ac:dyDescent="0.25">
      <c r="A4916" s="1" t="s">
        <v>4915</v>
      </c>
      <c r="C4916" s="3">
        <v>27</v>
      </c>
      <c r="E4916" t="s">
        <v>10413</v>
      </c>
    </row>
    <row r="4917" spans="1:5" x14ac:dyDescent="0.25">
      <c r="A4917" s="1" t="s">
        <v>4916</v>
      </c>
      <c r="C4917" s="3">
        <v>27</v>
      </c>
      <c r="E4917" t="s">
        <v>7859</v>
      </c>
    </row>
    <row r="4918" spans="1:5" x14ac:dyDescent="0.25">
      <c r="A4918" s="1" t="s">
        <v>4917</v>
      </c>
      <c r="C4918" s="3">
        <v>27</v>
      </c>
      <c r="E4918" t="s">
        <v>5673</v>
      </c>
    </row>
    <row r="4919" spans="1:5" x14ac:dyDescent="0.25">
      <c r="A4919" s="1" t="s">
        <v>4918</v>
      </c>
      <c r="C4919" s="3">
        <v>27</v>
      </c>
      <c r="E4919" t="s">
        <v>1110</v>
      </c>
    </row>
    <row r="4920" spans="1:5" x14ac:dyDescent="0.25">
      <c r="A4920" s="1" t="s">
        <v>4919</v>
      </c>
      <c r="C4920" s="3">
        <v>27</v>
      </c>
      <c r="E4920" t="s">
        <v>6435</v>
      </c>
    </row>
    <row r="4921" spans="1:5" x14ac:dyDescent="0.25">
      <c r="A4921" s="1" t="s">
        <v>4920</v>
      </c>
      <c r="C4921" s="3">
        <v>27</v>
      </c>
      <c r="E4921" t="s">
        <v>11587</v>
      </c>
    </row>
    <row r="4922" spans="1:5" x14ac:dyDescent="0.25">
      <c r="A4922" s="1" t="s">
        <v>4921</v>
      </c>
      <c r="C4922" s="3">
        <v>27</v>
      </c>
      <c r="E4922" t="s">
        <v>4236</v>
      </c>
    </row>
    <row r="4923" spans="1:5" x14ac:dyDescent="0.25">
      <c r="A4923" s="1" t="s">
        <v>4922</v>
      </c>
      <c r="C4923" s="3">
        <v>27</v>
      </c>
      <c r="E4923" t="s">
        <v>2091</v>
      </c>
    </row>
    <row r="4924" spans="1:5" x14ac:dyDescent="0.25">
      <c r="A4924" s="1" t="s">
        <v>4923</v>
      </c>
      <c r="C4924" s="3">
        <v>27</v>
      </c>
      <c r="E4924" t="s">
        <v>1106</v>
      </c>
    </row>
    <row r="4925" spans="1:5" x14ac:dyDescent="0.25">
      <c r="A4925" s="1" t="s">
        <v>4924</v>
      </c>
      <c r="C4925" s="3">
        <v>27</v>
      </c>
      <c r="E4925" t="s">
        <v>5312</v>
      </c>
    </row>
    <row r="4926" spans="1:5" x14ac:dyDescent="0.25">
      <c r="A4926" s="1" t="s">
        <v>4925</v>
      </c>
      <c r="C4926" s="3">
        <v>27</v>
      </c>
      <c r="E4926" t="s">
        <v>2481</v>
      </c>
    </row>
    <row r="4927" spans="1:5" x14ac:dyDescent="0.25">
      <c r="A4927" s="1" t="s">
        <v>4926</v>
      </c>
      <c r="C4927" s="3">
        <v>27</v>
      </c>
      <c r="E4927" t="s">
        <v>3300</v>
      </c>
    </row>
    <row r="4928" spans="1:5" x14ac:dyDescent="0.25">
      <c r="A4928" s="1" t="s">
        <v>4927</v>
      </c>
      <c r="C4928" s="3">
        <v>27</v>
      </c>
      <c r="E4928" t="s">
        <v>1482</v>
      </c>
    </row>
    <row r="4929" spans="1:5" x14ac:dyDescent="0.25">
      <c r="A4929" s="1" t="s">
        <v>4928</v>
      </c>
      <c r="C4929" s="3">
        <v>27</v>
      </c>
      <c r="E4929" t="s">
        <v>13086</v>
      </c>
    </row>
    <row r="4930" spans="1:5" x14ac:dyDescent="0.25">
      <c r="A4930" s="1" t="s">
        <v>4929</v>
      </c>
      <c r="C4930" s="3">
        <v>27</v>
      </c>
      <c r="E4930" t="s">
        <v>2930</v>
      </c>
    </row>
    <row r="4931" spans="1:5" x14ac:dyDescent="0.25">
      <c r="A4931" s="1" t="s">
        <v>4930</v>
      </c>
      <c r="C4931" s="3">
        <v>27</v>
      </c>
      <c r="E4931" t="s">
        <v>290</v>
      </c>
    </row>
    <row r="4932" spans="1:5" x14ac:dyDescent="0.25">
      <c r="A4932" s="1" t="s">
        <v>4931</v>
      </c>
      <c r="C4932" s="3">
        <v>27</v>
      </c>
      <c r="E4932" t="s">
        <v>1220</v>
      </c>
    </row>
    <row r="4933" spans="1:5" x14ac:dyDescent="0.25">
      <c r="A4933" s="1" t="s">
        <v>4932</v>
      </c>
      <c r="C4933" s="3">
        <v>27</v>
      </c>
      <c r="E4933" t="s">
        <v>2244</v>
      </c>
    </row>
    <row r="4934" spans="1:5" x14ac:dyDescent="0.25">
      <c r="A4934" s="1" t="s">
        <v>4933</v>
      </c>
      <c r="C4934" s="3">
        <v>27</v>
      </c>
      <c r="E4934" t="s">
        <v>563</v>
      </c>
    </row>
    <row r="4935" spans="1:5" x14ac:dyDescent="0.25">
      <c r="A4935" s="1" t="s">
        <v>4934</v>
      </c>
      <c r="C4935" s="3">
        <v>27</v>
      </c>
      <c r="E4935" t="s">
        <v>430</v>
      </c>
    </row>
    <row r="4936" spans="1:5" x14ac:dyDescent="0.25">
      <c r="A4936" s="1" t="s">
        <v>4935</v>
      </c>
      <c r="C4936" s="3">
        <v>27</v>
      </c>
      <c r="E4936" t="s">
        <v>747</v>
      </c>
    </row>
    <row r="4937" spans="1:5" x14ac:dyDescent="0.25">
      <c r="A4937" s="1" t="s">
        <v>4936</v>
      </c>
      <c r="C4937" s="3">
        <v>27</v>
      </c>
      <c r="E4937" t="s">
        <v>1973</v>
      </c>
    </row>
    <row r="4938" spans="1:5" x14ac:dyDescent="0.25">
      <c r="A4938" s="1" t="s">
        <v>4937</v>
      </c>
      <c r="C4938" s="3">
        <v>27</v>
      </c>
      <c r="E4938" t="s">
        <v>1067</v>
      </c>
    </row>
    <row r="4939" spans="1:5" x14ac:dyDescent="0.25">
      <c r="A4939" s="1" t="s">
        <v>4938</v>
      </c>
      <c r="C4939" s="3">
        <v>27</v>
      </c>
      <c r="E4939" t="s">
        <v>8774</v>
      </c>
    </row>
    <row r="4940" spans="1:5" x14ac:dyDescent="0.25">
      <c r="A4940" s="1" t="s">
        <v>4939</v>
      </c>
      <c r="C4940" s="3">
        <v>27</v>
      </c>
      <c r="E4940" t="s">
        <v>9055</v>
      </c>
    </row>
    <row r="4941" spans="1:5" x14ac:dyDescent="0.25">
      <c r="A4941" s="1" t="s">
        <v>4940</v>
      </c>
      <c r="C4941" s="3">
        <v>27</v>
      </c>
      <c r="E4941" t="s">
        <v>6157</v>
      </c>
    </row>
    <row r="4942" spans="1:5" x14ac:dyDescent="0.25">
      <c r="A4942" s="1" t="s">
        <v>4941</v>
      </c>
      <c r="C4942" s="3">
        <v>27</v>
      </c>
      <c r="E4942" t="s">
        <v>13423</v>
      </c>
    </row>
    <row r="4943" spans="1:5" x14ac:dyDescent="0.25">
      <c r="A4943" s="1" t="s">
        <v>4942</v>
      </c>
      <c r="C4943" s="3">
        <v>27</v>
      </c>
      <c r="E4943" t="s">
        <v>15107</v>
      </c>
    </row>
    <row r="4944" spans="1:5" x14ac:dyDescent="0.25">
      <c r="A4944" s="1" t="s">
        <v>4943</v>
      </c>
      <c r="C4944" s="3">
        <v>27</v>
      </c>
      <c r="E4944" t="s">
        <v>12287</v>
      </c>
    </row>
    <row r="4945" spans="1:5" x14ac:dyDescent="0.25">
      <c r="A4945" s="1" t="s">
        <v>4944</v>
      </c>
      <c r="C4945" s="3">
        <v>27</v>
      </c>
      <c r="E4945" t="s">
        <v>3322</v>
      </c>
    </row>
    <row r="4946" spans="1:5" x14ac:dyDescent="0.25">
      <c r="A4946" s="1" t="s">
        <v>4945</v>
      </c>
      <c r="C4946" s="3">
        <v>27</v>
      </c>
      <c r="E4946" t="s">
        <v>6256</v>
      </c>
    </row>
    <row r="4947" spans="1:5" x14ac:dyDescent="0.25">
      <c r="A4947" s="1" t="s">
        <v>4946</v>
      </c>
      <c r="C4947" s="3">
        <v>27</v>
      </c>
      <c r="E4947" t="s">
        <v>9542</v>
      </c>
    </row>
    <row r="4948" spans="1:5" x14ac:dyDescent="0.25">
      <c r="A4948" s="1" t="s">
        <v>4947</v>
      </c>
      <c r="C4948" s="3">
        <v>27</v>
      </c>
      <c r="E4948" t="s">
        <v>8145</v>
      </c>
    </row>
    <row r="4949" spans="1:5" x14ac:dyDescent="0.25">
      <c r="A4949" s="1" t="s">
        <v>4948</v>
      </c>
      <c r="C4949" s="3">
        <v>27</v>
      </c>
      <c r="E4949" t="s">
        <v>12906</v>
      </c>
    </row>
    <row r="4950" spans="1:5" x14ac:dyDescent="0.25">
      <c r="A4950" s="1" t="s">
        <v>4949</v>
      </c>
      <c r="C4950" s="3">
        <v>27</v>
      </c>
      <c r="E4950" t="s">
        <v>3224</v>
      </c>
    </row>
    <row r="4951" spans="1:5" x14ac:dyDescent="0.25">
      <c r="A4951" s="1" t="s">
        <v>4950</v>
      </c>
      <c r="C4951" s="3">
        <v>27</v>
      </c>
      <c r="E4951" t="s">
        <v>9099</v>
      </c>
    </row>
    <row r="4952" spans="1:5" x14ac:dyDescent="0.25">
      <c r="A4952" s="1" t="s">
        <v>4951</v>
      </c>
      <c r="C4952" s="3">
        <v>27</v>
      </c>
      <c r="E4952" t="s">
        <v>2790</v>
      </c>
    </row>
    <row r="4953" spans="1:5" x14ac:dyDescent="0.25">
      <c r="A4953" s="1" t="s">
        <v>4952</v>
      </c>
      <c r="C4953" s="3">
        <v>27</v>
      </c>
      <c r="E4953" t="s">
        <v>3079</v>
      </c>
    </row>
    <row r="4954" spans="1:5" x14ac:dyDescent="0.25">
      <c r="A4954" s="1" t="s">
        <v>4953</v>
      </c>
      <c r="C4954" s="3">
        <v>27</v>
      </c>
      <c r="E4954" t="s">
        <v>2542</v>
      </c>
    </row>
    <row r="4955" spans="1:5" x14ac:dyDescent="0.25">
      <c r="A4955" s="1" t="s">
        <v>4954</v>
      </c>
      <c r="C4955" s="3">
        <v>27</v>
      </c>
      <c r="E4955" t="s">
        <v>2391</v>
      </c>
    </row>
    <row r="4956" spans="1:5" x14ac:dyDescent="0.25">
      <c r="A4956" s="1" t="s">
        <v>4955</v>
      </c>
      <c r="C4956" s="3">
        <v>27</v>
      </c>
      <c r="E4956" t="s">
        <v>1338</v>
      </c>
    </row>
    <row r="4957" spans="1:5" x14ac:dyDescent="0.25">
      <c r="A4957" s="1" t="s">
        <v>4956</v>
      </c>
      <c r="C4957" s="3">
        <v>27</v>
      </c>
      <c r="E4957" t="s">
        <v>3043</v>
      </c>
    </row>
    <row r="4958" spans="1:5" x14ac:dyDescent="0.25">
      <c r="A4958" s="1" t="s">
        <v>4957</v>
      </c>
      <c r="C4958" s="3">
        <v>27</v>
      </c>
      <c r="E4958" t="s">
        <v>12017</v>
      </c>
    </row>
    <row r="4959" spans="1:5" x14ac:dyDescent="0.25">
      <c r="A4959" s="1" t="s">
        <v>4958</v>
      </c>
      <c r="C4959" s="3">
        <v>27</v>
      </c>
      <c r="E4959" t="s">
        <v>3561</v>
      </c>
    </row>
    <row r="4960" spans="1:5" x14ac:dyDescent="0.25">
      <c r="A4960" s="1" t="s">
        <v>4959</v>
      </c>
      <c r="C4960" s="3">
        <v>27</v>
      </c>
      <c r="E4960" t="s">
        <v>1350</v>
      </c>
    </row>
    <row r="4961" spans="1:5" x14ac:dyDescent="0.25">
      <c r="A4961" s="1" t="s">
        <v>4960</v>
      </c>
      <c r="C4961" s="3">
        <v>27</v>
      </c>
      <c r="E4961" t="s">
        <v>25304</v>
      </c>
    </row>
    <row r="4962" spans="1:5" x14ac:dyDescent="0.25">
      <c r="A4962" s="1" t="s">
        <v>4961</v>
      </c>
      <c r="C4962" s="3">
        <v>27</v>
      </c>
      <c r="E4962" t="s">
        <v>1340</v>
      </c>
    </row>
    <row r="4963" spans="1:5" x14ac:dyDescent="0.25">
      <c r="A4963" s="1" t="s">
        <v>4962</v>
      </c>
      <c r="C4963" s="3">
        <v>27</v>
      </c>
      <c r="E4963" t="s">
        <v>2385</v>
      </c>
    </row>
    <row r="4964" spans="1:5" x14ac:dyDescent="0.25">
      <c r="A4964" s="1" t="s">
        <v>4963</v>
      </c>
      <c r="C4964" s="3">
        <v>27</v>
      </c>
      <c r="E4964" t="s">
        <v>10658</v>
      </c>
    </row>
    <row r="4965" spans="1:5" x14ac:dyDescent="0.25">
      <c r="A4965" s="1" t="s">
        <v>4964</v>
      </c>
      <c r="C4965" s="3">
        <v>27</v>
      </c>
      <c r="E4965" t="s">
        <v>10003</v>
      </c>
    </row>
    <row r="4966" spans="1:5" x14ac:dyDescent="0.25">
      <c r="A4966" s="1" t="s">
        <v>4965</v>
      </c>
      <c r="C4966" s="3">
        <v>27</v>
      </c>
      <c r="E4966" t="s">
        <v>23589</v>
      </c>
    </row>
    <row r="4967" spans="1:5" x14ac:dyDescent="0.25">
      <c r="A4967" s="1" t="s">
        <v>4966</v>
      </c>
      <c r="C4967" s="3">
        <v>27</v>
      </c>
      <c r="E4967" t="s">
        <v>9472</v>
      </c>
    </row>
    <row r="4968" spans="1:5" x14ac:dyDescent="0.25">
      <c r="A4968" s="1" t="s">
        <v>4967</v>
      </c>
      <c r="C4968" s="3">
        <v>27</v>
      </c>
      <c r="E4968" t="s">
        <v>18414</v>
      </c>
    </row>
    <row r="4969" spans="1:5" x14ac:dyDescent="0.25">
      <c r="A4969" s="1" t="s">
        <v>4968</v>
      </c>
      <c r="C4969" s="3">
        <v>27</v>
      </c>
      <c r="E4969" t="s">
        <v>14797</v>
      </c>
    </row>
    <row r="4970" spans="1:5" x14ac:dyDescent="0.25">
      <c r="A4970" s="1" t="s">
        <v>4969</v>
      </c>
      <c r="C4970" s="3">
        <v>27</v>
      </c>
      <c r="E4970" t="s">
        <v>149</v>
      </c>
    </row>
    <row r="4971" spans="1:5" x14ac:dyDescent="0.25">
      <c r="A4971" s="1" t="s">
        <v>4970</v>
      </c>
      <c r="C4971" s="3">
        <v>27</v>
      </c>
      <c r="E4971" t="s">
        <v>3530</v>
      </c>
    </row>
    <row r="4972" spans="1:5" x14ac:dyDescent="0.25">
      <c r="A4972" s="1" t="s">
        <v>4971</v>
      </c>
      <c r="C4972" s="3">
        <v>27</v>
      </c>
      <c r="E4972" t="s">
        <v>20028</v>
      </c>
    </row>
    <row r="4973" spans="1:5" x14ac:dyDescent="0.25">
      <c r="A4973" s="1" t="s">
        <v>4972</v>
      </c>
      <c r="C4973" s="3">
        <v>27</v>
      </c>
      <c r="E4973" t="s">
        <v>5675</v>
      </c>
    </row>
    <row r="4974" spans="1:5" x14ac:dyDescent="0.25">
      <c r="A4974" s="1" t="s">
        <v>4973</v>
      </c>
      <c r="C4974" s="3">
        <v>27</v>
      </c>
      <c r="E4974" t="s">
        <v>4309</v>
      </c>
    </row>
    <row r="4975" spans="1:5" x14ac:dyDescent="0.25">
      <c r="A4975" s="1" t="s">
        <v>4974</v>
      </c>
      <c r="C4975" s="3">
        <v>27</v>
      </c>
      <c r="E4975" t="s">
        <v>9151</v>
      </c>
    </row>
    <row r="4976" spans="1:5" x14ac:dyDescent="0.25">
      <c r="A4976" s="1" t="s">
        <v>4975</v>
      </c>
      <c r="C4976" s="3">
        <v>27</v>
      </c>
      <c r="E4976" t="s">
        <v>920</v>
      </c>
    </row>
    <row r="4977" spans="1:5" x14ac:dyDescent="0.25">
      <c r="A4977" s="1" t="s">
        <v>4976</v>
      </c>
      <c r="C4977" s="3">
        <v>27</v>
      </c>
      <c r="E4977" t="s">
        <v>3489</v>
      </c>
    </row>
    <row r="4978" spans="1:5" x14ac:dyDescent="0.25">
      <c r="A4978" s="1" t="s">
        <v>4977</v>
      </c>
      <c r="C4978" s="3">
        <v>27</v>
      </c>
      <c r="E4978" t="s">
        <v>450</v>
      </c>
    </row>
    <row r="4979" spans="1:5" x14ac:dyDescent="0.25">
      <c r="A4979" s="1" t="s">
        <v>4978</v>
      </c>
      <c r="C4979" s="3">
        <v>27</v>
      </c>
      <c r="E4979" t="s">
        <v>1519</v>
      </c>
    </row>
    <row r="4980" spans="1:5" x14ac:dyDescent="0.25">
      <c r="A4980" s="1" t="s">
        <v>4979</v>
      </c>
      <c r="C4980" s="3">
        <v>27</v>
      </c>
      <c r="E4980" t="s">
        <v>3627</v>
      </c>
    </row>
    <row r="4981" spans="1:5" x14ac:dyDescent="0.25">
      <c r="A4981" s="1" t="s">
        <v>4980</v>
      </c>
      <c r="C4981" s="3">
        <v>27</v>
      </c>
      <c r="E4981" t="s">
        <v>370</v>
      </c>
    </row>
    <row r="4982" spans="1:5" x14ac:dyDescent="0.25">
      <c r="A4982" s="1" t="s">
        <v>4981</v>
      </c>
      <c r="C4982" s="3">
        <v>27</v>
      </c>
      <c r="E4982" t="s">
        <v>1886</v>
      </c>
    </row>
    <row r="4983" spans="1:5" x14ac:dyDescent="0.25">
      <c r="A4983" s="1" t="s">
        <v>4982</v>
      </c>
      <c r="C4983" s="3">
        <v>27</v>
      </c>
      <c r="E4983" t="s">
        <v>2631</v>
      </c>
    </row>
    <row r="4984" spans="1:5" x14ac:dyDescent="0.25">
      <c r="A4984" s="1" t="s">
        <v>4983</v>
      </c>
      <c r="C4984" s="3">
        <v>27</v>
      </c>
      <c r="E4984" t="s">
        <v>7221</v>
      </c>
    </row>
    <row r="4985" spans="1:5" x14ac:dyDescent="0.25">
      <c r="A4985" s="1" t="s">
        <v>4984</v>
      </c>
      <c r="C4985" s="3">
        <v>27</v>
      </c>
      <c r="E4985" t="s">
        <v>3876</v>
      </c>
    </row>
    <row r="4986" spans="1:5" x14ac:dyDescent="0.25">
      <c r="A4986" s="1" t="s">
        <v>4985</v>
      </c>
      <c r="C4986" s="3">
        <v>27</v>
      </c>
      <c r="E4986" t="s">
        <v>248</v>
      </c>
    </row>
    <row r="4987" spans="1:5" x14ac:dyDescent="0.25">
      <c r="A4987" s="1" t="s">
        <v>4986</v>
      </c>
      <c r="C4987" s="3">
        <v>27</v>
      </c>
      <c r="E4987" t="s">
        <v>9212</v>
      </c>
    </row>
    <row r="4988" spans="1:5" x14ac:dyDescent="0.25">
      <c r="A4988" s="1" t="s">
        <v>4987</v>
      </c>
      <c r="C4988" s="3">
        <v>27</v>
      </c>
      <c r="E4988" t="s">
        <v>17870</v>
      </c>
    </row>
    <row r="4989" spans="1:5" x14ac:dyDescent="0.25">
      <c r="A4989" s="1" t="s">
        <v>4988</v>
      </c>
      <c r="C4989" s="3">
        <v>27</v>
      </c>
      <c r="E4989" t="s">
        <v>2747</v>
      </c>
    </row>
    <row r="4990" spans="1:5" x14ac:dyDescent="0.25">
      <c r="A4990" s="1" t="s">
        <v>4989</v>
      </c>
      <c r="C4990" s="3">
        <v>27</v>
      </c>
      <c r="E4990" t="s">
        <v>3244</v>
      </c>
    </row>
    <row r="4991" spans="1:5" x14ac:dyDescent="0.25">
      <c r="A4991" s="1" t="s">
        <v>4990</v>
      </c>
      <c r="C4991" s="3">
        <v>27</v>
      </c>
      <c r="E4991" t="s">
        <v>1877</v>
      </c>
    </row>
    <row r="4992" spans="1:5" x14ac:dyDescent="0.25">
      <c r="A4992" s="1" t="s">
        <v>4991</v>
      </c>
      <c r="C4992" s="3">
        <v>27</v>
      </c>
      <c r="E4992" t="s">
        <v>4430</v>
      </c>
    </row>
    <row r="4993" spans="1:5" x14ac:dyDescent="0.25">
      <c r="A4993" s="1" t="s">
        <v>4992</v>
      </c>
      <c r="C4993" s="3">
        <v>27</v>
      </c>
      <c r="E4993" t="s">
        <v>2863</v>
      </c>
    </row>
    <row r="4994" spans="1:5" x14ac:dyDescent="0.25">
      <c r="A4994" s="1" t="s">
        <v>4993</v>
      </c>
      <c r="C4994" s="3">
        <v>27</v>
      </c>
      <c r="E4994" t="s">
        <v>9531</v>
      </c>
    </row>
    <row r="4995" spans="1:5" x14ac:dyDescent="0.25">
      <c r="A4995" s="1" t="s">
        <v>4994</v>
      </c>
      <c r="C4995" s="3">
        <v>27</v>
      </c>
      <c r="E4995" t="s">
        <v>3449</v>
      </c>
    </row>
    <row r="4996" spans="1:5" x14ac:dyDescent="0.25">
      <c r="A4996" s="1" t="s">
        <v>4995</v>
      </c>
      <c r="C4996" s="3">
        <v>27</v>
      </c>
      <c r="E4996" t="s">
        <v>9782</v>
      </c>
    </row>
    <row r="4997" spans="1:5" x14ac:dyDescent="0.25">
      <c r="A4997" s="1" t="s">
        <v>4996</v>
      </c>
      <c r="C4997" s="3">
        <v>27</v>
      </c>
      <c r="E4997" t="s">
        <v>3454</v>
      </c>
    </row>
    <row r="4998" spans="1:5" x14ac:dyDescent="0.25">
      <c r="A4998" s="1" t="s">
        <v>4997</v>
      </c>
      <c r="C4998" s="3">
        <v>27</v>
      </c>
      <c r="E4998" t="s">
        <v>10395</v>
      </c>
    </row>
    <row r="4999" spans="1:5" x14ac:dyDescent="0.25">
      <c r="A4999" s="1" t="s">
        <v>4998</v>
      </c>
      <c r="C4999" s="3">
        <v>27</v>
      </c>
      <c r="E4999" t="s">
        <v>637</v>
      </c>
    </row>
    <row r="5000" spans="1:5" x14ac:dyDescent="0.25">
      <c r="A5000" s="1" t="s">
        <v>4999</v>
      </c>
      <c r="C5000" s="3">
        <v>27</v>
      </c>
      <c r="E5000" t="s">
        <v>4802</v>
      </c>
    </row>
    <row r="5001" spans="1:5" x14ac:dyDescent="0.25">
      <c r="A5001" s="1" t="s">
        <v>5000</v>
      </c>
      <c r="C5001" s="3">
        <v>27</v>
      </c>
      <c r="E5001" t="s">
        <v>2953</v>
      </c>
    </row>
    <row r="5002" spans="1:5" x14ac:dyDescent="0.25">
      <c r="A5002" s="1" t="s">
        <v>5001</v>
      </c>
      <c r="C5002" s="3">
        <v>27</v>
      </c>
      <c r="E5002" t="s">
        <v>5043</v>
      </c>
    </row>
    <row r="5003" spans="1:5" x14ac:dyDescent="0.25">
      <c r="A5003" s="1" t="s">
        <v>5002</v>
      </c>
      <c r="C5003" s="3">
        <v>27</v>
      </c>
      <c r="E5003" t="s">
        <v>3467</v>
      </c>
    </row>
    <row r="5004" spans="1:5" x14ac:dyDescent="0.25">
      <c r="A5004" s="1" t="s">
        <v>5003</v>
      </c>
      <c r="C5004" s="3">
        <v>27</v>
      </c>
      <c r="E5004" t="s">
        <v>2762</v>
      </c>
    </row>
    <row r="5005" spans="1:5" x14ac:dyDescent="0.25">
      <c r="A5005" s="1" t="s">
        <v>5004</v>
      </c>
      <c r="C5005" s="3">
        <v>27</v>
      </c>
      <c r="E5005" t="s">
        <v>18822</v>
      </c>
    </row>
    <row r="5006" spans="1:5" x14ac:dyDescent="0.25">
      <c r="A5006" s="1" t="s">
        <v>5005</v>
      </c>
      <c r="C5006" s="3">
        <v>27</v>
      </c>
      <c r="E5006" t="s">
        <v>2904</v>
      </c>
    </row>
    <row r="5007" spans="1:5" x14ac:dyDescent="0.25">
      <c r="A5007" s="1" t="s">
        <v>5006</v>
      </c>
      <c r="C5007" s="3">
        <v>27</v>
      </c>
      <c r="E5007" t="s">
        <v>2441</v>
      </c>
    </row>
    <row r="5008" spans="1:5" x14ac:dyDescent="0.25">
      <c r="A5008" s="1" t="s">
        <v>5007</v>
      </c>
      <c r="C5008" s="3">
        <v>27</v>
      </c>
      <c r="E5008" t="s">
        <v>2613</v>
      </c>
    </row>
    <row r="5009" spans="1:5" x14ac:dyDescent="0.25">
      <c r="A5009" s="1" t="s">
        <v>5008</v>
      </c>
      <c r="C5009" s="3">
        <v>27</v>
      </c>
      <c r="E5009" t="s">
        <v>10949</v>
      </c>
    </row>
    <row r="5010" spans="1:5" x14ac:dyDescent="0.25">
      <c r="A5010" s="1" t="s">
        <v>5009</v>
      </c>
      <c r="C5010" s="3">
        <v>27</v>
      </c>
      <c r="E5010" t="s">
        <v>3175</v>
      </c>
    </row>
    <row r="5011" spans="1:5" x14ac:dyDescent="0.25">
      <c r="A5011" s="1" t="s">
        <v>5010</v>
      </c>
      <c r="C5011" s="3">
        <v>27</v>
      </c>
      <c r="E5011" t="s">
        <v>5280</v>
      </c>
    </row>
    <row r="5012" spans="1:5" x14ac:dyDescent="0.25">
      <c r="A5012" s="1" t="s">
        <v>5011</v>
      </c>
      <c r="C5012" s="3">
        <v>27</v>
      </c>
      <c r="E5012" t="s">
        <v>14660</v>
      </c>
    </row>
    <row r="5013" spans="1:5" x14ac:dyDescent="0.25">
      <c r="A5013" s="1" t="s">
        <v>5012</v>
      </c>
      <c r="C5013" s="3">
        <v>27</v>
      </c>
      <c r="E5013" t="s">
        <v>2003</v>
      </c>
    </row>
    <row r="5014" spans="1:5" x14ac:dyDescent="0.25">
      <c r="A5014" s="1" t="s">
        <v>5013</v>
      </c>
      <c r="C5014" s="3">
        <v>27</v>
      </c>
      <c r="E5014" t="s">
        <v>6349</v>
      </c>
    </row>
    <row r="5015" spans="1:5" x14ac:dyDescent="0.25">
      <c r="A5015" s="1" t="s">
        <v>5014</v>
      </c>
      <c r="C5015" s="3">
        <v>27</v>
      </c>
      <c r="E5015" t="s">
        <v>1344</v>
      </c>
    </row>
    <row r="5016" spans="1:5" x14ac:dyDescent="0.25">
      <c r="A5016" s="1" t="s">
        <v>5015</v>
      </c>
      <c r="C5016" s="3">
        <v>27</v>
      </c>
      <c r="E5016" t="s">
        <v>20757</v>
      </c>
    </row>
    <row r="5017" spans="1:5" x14ac:dyDescent="0.25">
      <c r="A5017" s="1" t="s">
        <v>5016</v>
      </c>
      <c r="C5017" s="3">
        <v>27</v>
      </c>
      <c r="E5017" t="s">
        <v>17817</v>
      </c>
    </row>
    <row r="5018" spans="1:5" x14ac:dyDescent="0.25">
      <c r="A5018" s="1" t="s">
        <v>5017</v>
      </c>
      <c r="C5018" s="3">
        <v>27</v>
      </c>
      <c r="E5018" t="s">
        <v>2478</v>
      </c>
    </row>
    <row r="5019" spans="1:5" x14ac:dyDescent="0.25">
      <c r="A5019" s="1" t="s">
        <v>5018</v>
      </c>
      <c r="C5019" s="3">
        <v>27</v>
      </c>
      <c r="E5019" t="s">
        <v>10276</v>
      </c>
    </row>
    <row r="5020" spans="1:5" x14ac:dyDescent="0.25">
      <c r="A5020" s="1" t="s">
        <v>5019</v>
      </c>
      <c r="C5020" s="3">
        <v>27</v>
      </c>
      <c r="E5020" t="s">
        <v>6096</v>
      </c>
    </row>
    <row r="5021" spans="1:5" x14ac:dyDescent="0.25">
      <c r="A5021" s="1" t="s">
        <v>5020</v>
      </c>
      <c r="C5021" s="3">
        <v>27</v>
      </c>
      <c r="E5021" t="s">
        <v>2743</v>
      </c>
    </row>
    <row r="5022" spans="1:5" x14ac:dyDescent="0.25">
      <c r="A5022" s="1" t="s">
        <v>5021</v>
      </c>
      <c r="C5022" s="3">
        <v>27</v>
      </c>
      <c r="E5022" t="s">
        <v>2856</v>
      </c>
    </row>
    <row r="5023" spans="1:5" x14ac:dyDescent="0.25">
      <c r="A5023" s="1" t="s">
        <v>5022</v>
      </c>
      <c r="C5023" s="3">
        <v>27</v>
      </c>
      <c r="E5023" t="s">
        <v>4611</v>
      </c>
    </row>
    <row r="5024" spans="1:5" x14ac:dyDescent="0.25">
      <c r="A5024" s="1" t="s">
        <v>5023</v>
      </c>
      <c r="C5024" s="3">
        <v>27</v>
      </c>
      <c r="E5024" t="s">
        <v>22896</v>
      </c>
    </row>
    <row r="5025" spans="1:5" x14ac:dyDescent="0.25">
      <c r="A5025" s="1" t="s">
        <v>5024</v>
      </c>
      <c r="C5025" s="3">
        <v>27</v>
      </c>
      <c r="E5025" t="s">
        <v>858</v>
      </c>
    </row>
    <row r="5026" spans="1:5" x14ac:dyDescent="0.25">
      <c r="A5026" s="1" t="s">
        <v>5025</v>
      </c>
      <c r="C5026" s="3">
        <v>27</v>
      </c>
      <c r="E5026" t="s">
        <v>7225</v>
      </c>
    </row>
    <row r="5027" spans="1:5" x14ac:dyDescent="0.25">
      <c r="A5027" s="1" t="s">
        <v>5026</v>
      </c>
      <c r="C5027" s="3">
        <v>27</v>
      </c>
      <c r="E5027" t="s">
        <v>1182</v>
      </c>
    </row>
    <row r="5028" spans="1:5" x14ac:dyDescent="0.25">
      <c r="A5028" s="1" t="s">
        <v>5027</v>
      </c>
      <c r="C5028" s="3">
        <v>27</v>
      </c>
      <c r="E5028" t="s">
        <v>634</v>
      </c>
    </row>
    <row r="5029" spans="1:5" x14ac:dyDescent="0.25">
      <c r="A5029" s="1" t="s">
        <v>5028</v>
      </c>
      <c r="C5029" s="3">
        <v>27</v>
      </c>
      <c r="E5029" t="s">
        <v>8570</v>
      </c>
    </row>
    <row r="5030" spans="1:5" x14ac:dyDescent="0.25">
      <c r="A5030" s="1" t="s">
        <v>5029</v>
      </c>
      <c r="C5030" s="3">
        <v>27</v>
      </c>
      <c r="E5030" t="s">
        <v>1381</v>
      </c>
    </row>
    <row r="5031" spans="1:5" x14ac:dyDescent="0.25">
      <c r="A5031" s="1" t="s">
        <v>5030</v>
      </c>
      <c r="C5031" s="3">
        <v>27</v>
      </c>
      <c r="E5031" t="s">
        <v>4462</v>
      </c>
    </row>
    <row r="5032" spans="1:5" x14ac:dyDescent="0.25">
      <c r="A5032" s="1" t="s">
        <v>5031</v>
      </c>
      <c r="C5032" s="3">
        <v>27</v>
      </c>
      <c r="E5032" t="s">
        <v>4265</v>
      </c>
    </row>
    <row r="5033" spans="1:5" x14ac:dyDescent="0.25">
      <c r="A5033" s="1" t="s">
        <v>5032</v>
      </c>
      <c r="C5033" s="3">
        <v>27</v>
      </c>
      <c r="E5033" t="s">
        <v>625</v>
      </c>
    </row>
    <row r="5034" spans="1:5" x14ac:dyDescent="0.25">
      <c r="A5034" s="1" t="s">
        <v>5033</v>
      </c>
      <c r="C5034" s="3">
        <v>27</v>
      </c>
      <c r="E5034" t="s">
        <v>5258</v>
      </c>
    </row>
    <row r="5035" spans="1:5" x14ac:dyDescent="0.25">
      <c r="A5035" s="1" t="s">
        <v>5034</v>
      </c>
      <c r="C5035" s="3">
        <v>27</v>
      </c>
      <c r="E5035" t="s">
        <v>2430</v>
      </c>
    </row>
    <row r="5036" spans="1:5" x14ac:dyDescent="0.25">
      <c r="A5036" s="1" t="s">
        <v>5035</v>
      </c>
      <c r="C5036" s="3">
        <v>27</v>
      </c>
      <c r="E5036" t="s">
        <v>539</v>
      </c>
    </row>
    <row r="5037" spans="1:5" x14ac:dyDescent="0.25">
      <c r="A5037" s="1" t="s">
        <v>5036</v>
      </c>
      <c r="C5037" s="3">
        <v>27</v>
      </c>
      <c r="E5037" t="s">
        <v>19063</v>
      </c>
    </row>
    <row r="5038" spans="1:5" x14ac:dyDescent="0.25">
      <c r="A5038" s="1" t="s">
        <v>5037</v>
      </c>
      <c r="C5038" s="3">
        <v>27</v>
      </c>
      <c r="E5038" t="s">
        <v>6377</v>
      </c>
    </row>
    <row r="5039" spans="1:5" x14ac:dyDescent="0.25">
      <c r="A5039" s="1" t="s">
        <v>5038</v>
      </c>
      <c r="C5039" s="3">
        <v>27</v>
      </c>
      <c r="E5039" t="s">
        <v>2268</v>
      </c>
    </row>
    <row r="5040" spans="1:5" x14ac:dyDescent="0.25">
      <c r="A5040" s="1" t="s">
        <v>5039</v>
      </c>
      <c r="C5040" s="3">
        <v>27</v>
      </c>
      <c r="E5040" t="s">
        <v>2694</v>
      </c>
    </row>
    <row r="5041" spans="1:5" x14ac:dyDescent="0.25">
      <c r="A5041" s="1" t="s">
        <v>5040</v>
      </c>
      <c r="C5041" s="3">
        <v>27</v>
      </c>
      <c r="E5041" t="s">
        <v>2937</v>
      </c>
    </row>
    <row r="5042" spans="1:5" x14ac:dyDescent="0.25">
      <c r="A5042" s="1" t="s">
        <v>5041</v>
      </c>
      <c r="C5042" s="3">
        <v>27</v>
      </c>
      <c r="E5042" t="s">
        <v>25501</v>
      </c>
    </row>
    <row r="5043" spans="1:5" x14ac:dyDescent="0.25">
      <c r="A5043" s="1" t="s">
        <v>5042</v>
      </c>
      <c r="C5043" s="3">
        <v>27</v>
      </c>
      <c r="E5043" t="s">
        <v>1028</v>
      </c>
    </row>
    <row r="5044" spans="1:5" x14ac:dyDescent="0.25">
      <c r="A5044" s="1" t="s">
        <v>5043</v>
      </c>
      <c r="C5044" s="3">
        <v>27</v>
      </c>
      <c r="E5044" t="s">
        <v>3080</v>
      </c>
    </row>
    <row r="5045" spans="1:5" x14ac:dyDescent="0.25">
      <c r="A5045" s="1" t="s">
        <v>5044</v>
      </c>
      <c r="C5045" s="3">
        <v>27</v>
      </c>
      <c r="E5045" t="s">
        <v>11313</v>
      </c>
    </row>
    <row r="5046" spans="1:5" x14ac:dyDescent="0.25">
      <c r="A5046" s="1" t="s">
        <v>5045</v>
      </c>
      <c r="C5046" s="3">
        <v>27</v>
      </c>
      <c r="E5046" t="s">
        <v>18194</v>
      </c>
    </row>
    <row r="5047" spans="1:5" x14ac:dyDescent="0.25">
      <c r="A5047" s="1" t="s">
        <v>5046</v>
      </c>
      <c r="C5047" s="3">
        <v>27</v>
      </c>
      <c r="E5047" t="s">
        <v>1312</v>
      </c>
    </row>
    <row r="5048" spans="1:5" x14ac:dyDescent="0.25">
      <c r="A5048" s="1" t="s">
        <v>5047</v>
      </c>
      <c r="C5048" s="3">
        <v>27</v>
      </c>
      <c r="E5048" t="s">
        <v>2416</v>
      </c>
    </row>
    <row r="5049" spans="1:5" x14ac:dyDescent="0.25">
      <c r="A5049" s="1" t="s">
        <v>5048</v>
      </c>
      <c r="C5049" s="3">
        <v>27</v>
      </c>
      <c r="E5049" t="s">
        <v>265</v>
      </c>
    </row>
    <row r="5050" spans="1:5" x14ac:dyDescent="0.25">
      <c r="A5050" s="1" t="s">
        <v>5049</v>
      </c>
      <c r="C5050" s="3">
        <v>27</v>
      </c>
      <c r="E5050" t="s">
        <v>397</v>
      </c>
    </row>
    <row r="5051" spans="1:5" x14ac:dyDescent="0.25">
      <c r="A5051" s="1" t="s">
        <v>5050</v>
      </c>
      <c r="C5051" s="3">
        <v>26</v>
      </c>
      <c r="E5051" t="s">
        <v>9833</v>
      </c>
    </row>
    <row r="5052" spans="1:5" x14ac:dyDescent="0.25">
      <c r="A5052" s="1" t="s">
        <v>5051</v>
      </c>
      <c r="C5052" s="3">
        <v>26</v>
      </c>
      <c r="E5052" t="s">
        <v>402</v>
      </c>
    </row>
    <row r="5053" spans="1:5" x14ac:dyDescent="0.25">
      <c r="A5053" s="1" t="s">
        <v>5052</v>
      </c>
      <c r="C5053" s="3">
        <v>26</v>
      </c>
      <c r="E5053" t="s">
        <v>1108</v>
      </c>
    </row>
    <row r="5054" spans="1:5" x14ac:dyDescent="0.25">
      <c r="A5054" s="1" t="s">
        <v>5053</v>
      </c>
      <c r="C5054" s="3">
        <v>26</v>
      </c>
      <c r="E5054" t="s">
        <v>1080</v>
      </c>
    </row>
    <row r="5055" spans="1:5" x14ac:dyDescent="0.25">
      <c r="A5055" s="1" t="s">
        <v>5054</v>
      </c>
      <c r="C5055" s="3">
        <v>26</v>
      </c>
      <c r="E5055" t="s">
        <v>6348</v>
      </c>
    </row>
    <row r="5056" spans="1:5" x14ac:dyDescent="0.25">
      <c r="A5056" s="1" t="s">
        <v>5055</v>
      </c>
      <c r="C5056" s="3">
        <v>26</v>
      </c>
      <c r="E5056" t="s">
        <v>3523</v>
      </c>
    </row>
    <row r="5057" spans="1:5" x14ac:dyDescent="0.25">
      <c r="A5057" s="1" t="s">
        <v>5056</v>
      </c>
      <c r="C5057" s="3">
        <v>26</v>
      </c>
      <c r="E5057" t="s">
        <v>5208</v>
      </c>
    </row>
    <row r="5058" spans="1:5" x14ac:dyDescent="0.25">
      <c r="A5058" s="1" t="s">
        <v>5057</v>
      </c>
      <c r="C5058" s="3">
        <v>26</v>
      </c>
      <c r="E5058" t="s">
        <v>4680</v>
      </c>
    </row>
    <row r="5059" spans="1:5" x14ac:dyDescent="0.25">
      <c r="A5059" s="1" t="s">
        <v>5058</v>
      </c>
      <c r="C5059" s="3">
        <v>26</v>
      </c>
      <c r="E5059" t="s">
        <v>8725</v>
      </c>
    </row>
    <row r="5060" spans="1:5" x14ac:dyDescent="0.25">
      <c r="A5060" s="1" t="s">
        <v>5059</v>
      </c>
      <c r="C5060" s="3">
        <v>26</v>
      </c>
      <c r="E5060" t="s">
        <v>228</v>
      </c>
    </row>
    <row r="5061" spans="1:5" x14ac:dyDescent="0.25">
      <c r="A5061" s="1" t="s">
        <v>5060</v>
      </c>
      <c r="C5061" s="3">
        <v>26</v>
      </c>
      <c r="E5061" t="s">
        <v>4280</v>
      </c>
    </row>
    <row r="5062" spans="1:5" x14ac:dyDescent="0.25">
      <c r="A5062" s="1" t="s">
        <v>5061</v>
      </c>
      <c r="C5062" s="3">
        <v>26</v>
      </c>
      <c r="E5062" t="s">
        <v>2570</v>
      </c>
    </row>
    <row r="5063" spans="1:5" x14ac:dyDescent="0.25">
      <c r="A5063" s="1" t="s">
        <v>5062</v>
      </c>
      <c r="C5063" s="3">
        <v>26</v>
      </c>
      <c r="E5063" t="s">
        <v>1242</v>
      </c>
    </row>
    <row r="5064" spans="1:5" x14ac:dyDescent="0.25">
      <c r="A5064" s="1" t="s">
        <v>5063</v>
      </c>
      <c r="C5064" s="3">
        <v>26</v>
      </c>
      <c r="E5064" t="s">
        <v>1531</v>
      </c>
    </row>
    <row r="5065" spans="1:5" x14ac:dyDescent="0.25">
      <c r="A5065" s="1" t="s">
        <v>5064</v>
      </c>
      <c r="C5065" s="3">
        <v>26</v>
      </c>
      <c r="E5065" t="s">
        <v>13531</v>
      </c>
    </row>
    <row r="5066" spans="1:5" x14ac:dyDescent="0.25">
      <c r="A5066" s="1" t="s">
        <v>5065</v>
      </c>
      <c r="C5066" s="3">
        <v>26</v>
      </c>
      <c r="E5066" t="s">
        <v>4410</v>
      </c>
    </row>
    <row r="5067" spans="1:5" x14ac:dyDescent="0.25">
      <c r="A5067" s="1" t="s">
        <v>5066</v>
      </c>
      <c r="C5067" s="3">
        <v>26</v>
      </c>
      <c r="E5067" t="s">
        <v>1404</v>
      </c>
    </row>
    <row r="5068" spans="1:5" x14ac:dyDescent="0.25">
      <c r="A5068" s="1" t="s">
        <v>5067</v>
      </c>
      <c r="C5068" s="3">
        <v>26</v>
      </c>
      <c r="E5068" t="s">
        <v>8224</v>
      </c>
    </row>
    <row r="5069" spans="1:5" x14ac:dyDescent="0.25">
      <c r="A5069" s="1" t="s">
        <v>5068</v>
      </c>
      <c r="C5069" s="3">
        <v>26</v>
      </c>
      <c r="E5069" t="s">
        <v>17394</v>
      </c>
    </row>
    <row r="5070" spans="1:5" x14ac:dyDescent="0.25">
      <c r="A5070" s="1" t="s">
        <v>5069</v>
      </c>
      <c r="C5070" s="3">
        <v>26</v>
      </c>
      <c r="E5070" t="s">
        <v>3930</v>
      </c>
    </row>
    <row r="5071" spans="1:5" x14ac:dyDescent="0.25">
      <c r="A5071" s="1" t="s">
        <v>5070</v>
      </c>
      <c r="C5071" s="3">
        <v>26</v>
      </c>
      <c r="E5071" t="s">
        <v>7190</v>
      </c>
    </row>
    <row r="5072" spans="1:5" x14ac:dyDescent="0.25">
      <c r="A5072" s="1" t="s">
        <v>5071</v>
      </c>
      <c r="C5072" s="3">
        <v>26</v>
      </c>
      <c r="E5072" t="s">
        <v>184</v>
      </c>
    </row>
    <row r="5073" spans="1:5" x14ac:dyDescent="0.25">
      <c r="A5073" s="1" t="s">
        <v>5072</v>
      </c>
      <c r="C5073" s="3">
        <v>26</v>
      </c>
      <c r="E5073" t="s">
        <v>1835</v>
      </c>
    </row>
    <row r="5074" spans="1:5" x14ac:dyDescent="0.25">
      <c r="A5074" s="1" t="s">
        <v>5073</v>
      </c>
      <c r="C5074" s="3">
        <v>26</v>
      </c>
      <c r="E5074" t="s">
        <v>901</v>
      </c>
    </row>
    <row r="5075" spans="1:5" x14ac:dyDescent="0.25">
      <c r="A5075" s="1" t="s">
        <v>5074</v>
      </c>
      <c r="C5075" s="3">
        <v>26</v>
      </c>
      <c r="E5075" t="s">
        <v>1139</v>
      </c>
    </row>
    <row r="5076" spans="1:5" x14ac:dyDescent="0.25">
      <c r="A5076" s="1" t="s">
        <v>5075</v>
      </c>
      <c r="C5076" s="3">
        <v>26</v>
      </c>
      <c r="E5076" t="s">
        <v>2469</v>
      </c>
    </row>
    <row r="5077" spans="1:5" x14ac:dyDescent="0.25">
      <c r="A5077" s="1" t="s">
        <v>5076</v>
      </c>
      <c r="C5077" s="3">
        <v>26</v>
      </c>
      <c r="E5077" t="s">
        <v>11033</v>
      </c>
    </row>
    <row r="5078" spans="1:5" x14ac:dyDescent="0.25">
      <c r="A5078" s="1" t="s">
        <v>5077</v>
      </c>
      <c r="C5078" s="3">
        <v>26</v>
      </c>
      <c r="E5078" t="s">
        <v>20423</v>
      </c>
    </row>
    <row r="5079" spans="1:5" x14ac:dyDescent="0.25">
      <c r="A5079" s="1" t="s">
        <v>5078</v>
      </c>
      <c r="C5079" s="3">
        <v>26</v>
      </c>
      <c r="E5079" t="s">
        <v>6459</v>
      </c>
    </row>
    <row r="5080" spans="1:5" x14ac:dyDescent="0.25">
      <c r="A5080" s="1" t="s">
        <v>5079</v>
      </c>
      <c r="C5080" s="3">
        <v>26</v>
      </c>
      <c r="E5080" t="s">
        <v>5640</v>
      </c>
    </row>
    <row r="5081" spans="1:5" x14ac:dyDescent="0.25">
      <c r="A5081" s="1" t="s">
        <v>5080</v>
      </c>
      <c r="C5081" s="3">
        <v>26</v>
      </c>
      <c r="E5081" t="s">
        <v>25502</v>
      </c>
    </row>
    <row r="5082" spans="1:5" x14ac:dyDescent="0.25">
      <c r="A5082" s="1" t="s">
        <v>5081</v>
      </c>
      <c r="C5082" s="3">
        <v>26</v>
      </c>
      <c r="E5082" t="s">
        <v>15015</v>
      </c>
    </row>
    <row r="5083" spans="1:5" x14ac:dyDescent="0.25">
      <c r="A5083" s="1" t="s">
        <v>5082</v>
      </c>
      <c r="C5083" s="3">
        <v>26</v>
      </c>
      <c r="E5083" t="s">
        <v>6646</v>
      </c>
    </row>
    <row r="5084" spans="1:5" x14ac:dyDescent="0.25">
      <c r="A5084" s="1" t="s">
        <v>5083</v>
      </c>
      <c r="C5084" s="3">
        <v>26</v>
      </c>
      <c r="E5084" t="s">
        <v>4849</v>
      </c>
    </row>
    <row r="5085" spans="1:5" x14ac:dyDescent="0.25">
      <c r="A5085" s="1" t="s">
        <v>5084</v>
      </c>
      <c r="C5085" s="3">
        <v>26</v>
      </c>
      <c r="E5085" t="s">
        <v>16943</v>
      </c>
    </row>
    <row r="5086" spans="1:5" x14ac:dyDescent="0.25">
      <c r="A5086" s="1" t="s">
        <v>5085</v>
      </c>
      <c r="C5086" s="3">
        <v>26</v>
      </c>
      <c r="E5086" t="s">
        <v>1208</v>
      </c>
    </row>
    <row r="5087" spans="1:5" x14ac:dyDescent="0.25">
      <c r="A5087" s="1" t="s">
        <v>5086</v>
      </c>
      <c r="C5087" s="3">
        <v>26</v>
      </c>
      <c r="E5087" t="s">
        <v>25503</v>
      </c>
    </row>
    <row r="5088" spans="1:5" x14ac:dyDescent="0.25">
      <c r="A5088" s="1" t="s">
        <v>5087</v>
      </c>
      <c r="C5088" s="3">
        <v>26</v>
      </c>
      <c r="E5088" t="s">
        <v>5422</v>
      </c>
    </row>
    <row r="5089" spans="1:5" x14ac:dyDescent="0.25">
      <c r="A5089" s="1" t="s">
        <v>5088</v>
      </c>
      <c r="C5089" s="3">
        <v>26</v>
      </c>
      <c r="E5089" t="s">
        <v>1360</v>
      </c>
    </row>
    <row r="5090" spans="1:5" x14ac:dyDescent="0.25">
      <c r="A5090" s="1" t="s">
        <v>5089</v>
      </c>
      <c r="C5090" s="3">
        <v>26</v>
      </c>
      <c r="E5090" t="s">
        <v>1046</v>
      </c>
    </row>
    <row r="5091" spans="1:5" x14ac:dyDescent="0.25">
      <c r="A5091" s="1" t="s">
        <v>5090</v>
      </c>
      <c r="C5091" s="3">
        <v>26</v>
      </c>
      <c r="E5091" t="s">
        <v>12506</v>
      </c>
    </row>
    <row r="5092" spans="1:5" x14ac:dyDescent="0.25">
      <c r="A5092" s="1" t="s">
        <v>5091</v>
      </c>
      <c r="C5092" s="3">
        <v>26</v>
      </c>
      <c r="E5092" t="s">
        <v>11232</v>
      </c>
    </row>
    <row r="5093" spans="1:5" x14ac:dyDescent="0.25">
      <c r="A5093" s="1" t="s">
        <v>5092</v>
      </c>
      <c r="C5093" s="3">
        <v>26</v>
      </c>
      <c r="E5093" t="s">
        <v>691</v>
      </c>
    </row>
    <row r="5094" spans="1:5" x14ac:dyDescent="0.25">
      <c r="A5094" s="1" t="s">
        <v>5093</v>
      </c>
      <c r="C5094" s="3">
        <v>26</v>
      </c>
      <c r="E5094" t="s">
        <v>8172</v>
      </c>
    </row>
    <row r="5095" spans="1:5" x14ac:dyDescent="0.25">
      <c r="A5095" s="1" t="s">
        <v>5094</v>
      </c>
      <c r="C5095" s="3">
        <v>26</v>
      </c>
      <c r="E5095" t="s">
        <v>18983</v>
      </c>
    </row>
    <row r="5096" spans="1:5" x14ac:dyDescent="0.25">
      <c r="A5096" s="1" t="s">
        <v>5095</v>
      </c>
      <c r="C5096" s="3">
        <v>26</v>
      </c>
      <c r="E5096" t="s">
        <v>5441</v>
      </c>
    </row>
    <row r="5097" spans="1:5" x14ac:dyDescent="0.25">
      <c r="A5097" s="1" t="s">
        <v>5096</v>
      </c>
      <c r="C5097" s="3">
        <v>26</v>
      </c>
      <c r="E5097" t="s">
        <v>12955</v>
      </c>
    </row>
    <row r="5098" spans="1:5" x14ac:dyDescent="0.25">
      <c r="A5098" s="1" t="s">
        <v>5097</v>
      </c>
      <c r="C5098" s="3">
        <v>26</v>
      </c>
      <c r="E5098" t="s">
        <v>1799</v>
      </c>
    </row>
    <row r="5099" spans="1:5" x14ac:dyDescent="0.25">
      <c r="A5099" s="1" t="s">
        <v>5098</v>
      </c>
      <c r="C5099" s="3">
        <v>26</v>
      </c>
      <c r="E5099" t="s">
        <v>4702</v>
      </c>
    </row>
    <row r="5100" spans="1:5" x14ac:dyDescent="0.25">
      <c r="A5100" s="1" t="s">
        <v>5099</v>
      </c>
      <c r="C5100" s="3">
        <v>26</v>
      </c>
      <c r="E5100" t="s">
        <v>1304</v>
      </c>
    </row>
    <row r="5101" spans="1:5" x14ac:dyDescent="0.25">
      <c r="A5101" s="1" t="s">
        <v>5100</v>
      </c>
      <c r="C5101" s="3">
        <v>26</v>
      </c>
      <c r="E5101" t="s">
        <v>25504</v>
      </c>
    </row>
    <row r="5102" spans="1:5" x14ac:dyDescent="0.25">
      <c r="A5102" s="1" t="s">
        <v>5101</v>
      </c>
      <c r="C5102" s="3">
        <v>26</v>
      </c>
      <c r="E5102" t="s">
        <v>2619</v>
      </c>
    </row>
    <row r="5103" spans="1:5" x14ac:dyDescent="0.25">
      <c r="A5103" s="1" t="s">
        <v>5102</v>
      </c>
      <c r="C5103" s="3">
        <v>26</v>
      </c>
      <c r="E5103" t="s">
        <v>1072</v>
      </c>
    </row>
    <row r="5104" spans="1:5" x14ac:dyDescent="0.25">
      <c r="A5104" s="1" t="s">
        <v>5103</v>
      </c>
      <c r="C5104" s="3">
        <v>26</v>
      </c>
      <c r="E5104" t="s">
        <v>1678</v>
      </c>
    </row>
    <row r="5105" spans="1:5" x14ac:dyDescent="0.25">
      <c r="A5105" s="1" t="s">
        <v>5104</v>
      </c>
      <c r="C5105" s="3">
        <v>26</v>
      </c>
      <c r="E5105" t="s">
        <v>3975</v>
      </c>
    </row>
    <row r="5106" spans="1:5" x14ac:dyDescent="0.25">
      <c r="A5106" s="1" t="s">
        <v>5105</v>
      </c>
      <c r="C5106" s="3">
        <v>26</v>
      </c>
      <c r="E5106" t="s">
        <v>2526</v>
      </c>
    </row>
    <row r="5107" spans="1:5" x14ac:dyDescent="0.25">
      <c r="A5107" s="1" t="s">
        <v>5106</v>
      </c>
      <c r="C5107" s="3">
        <v>26</v>
      </c>
      <c r="E5107" t="s">
        <v>11584</v>
      </c>
    </row>
    <row r="5108" spans="1:5" x14ac:dyDescent="0.25">
      <c r="A5108" s="1" t="s">
        <v>5107</v>
      </c>
      <c r="C5108" s="3">
        <v>26</v>
      </c>
      <c r="E5108" t="s">
        <v>10626</v>
      </c>
    </row>
    <row r="5109" spans="1:5" x14ac:dyDescent="0.25">
      <c r="A5109" s="1" t="s">
        <v>5108</v>
      </c>
      <c r="C5109" s="3">
        <v>26</v>
      </c>
      <c r="E5109" t="s">
        <v>6828</v>
      </c>
    </row>
    <row r="5110" spans="1:5" x14ac:dyDescent="0.25">
      <c r="A5110" s="1" t="s">
        <v>5109</v>
      </c>
      <c r="C5110" s="3">
        <v>26</v>
      </c>
      <c r="E5110" t="s">
        <v>1741</v>
      </c>
    </row>
    <row r="5111" spans="1:5" x14ac:dyDescent="0.25">
      <c r="A5111" s="1" t="s">
        <v>5110</v>
      </c>
      <c r="C5111" s="3">
        <v>26</v>
      </c>
      <c r="E5111" t="s">
        <v>3697</v>
      </c>
    </row>
    <row r="5112" spans="1:5" x14ac:dyDescent="0.25">
      <c r="A5112" s="1" t="s">
        <v>5111</v>
      </c>
      <c r="C5112" s="3">
        <v>26</v>
      </c>
      <c r="E5112" t="s">
        <v>8560</v>
      </c>
    </row>
    <row r="5113" spans="1:5" x14ac:dyDescent="0.25">
      <c r="A5113" s="1" t="s">
        <v>5112</v>
      </c>
      <c r="C5113" s="3">
        <v>26</v>
      </c>
      <c r="E5113" t="s">
        <v>6289</v>
      </c>
    </row>
    <row r="5114" spans="1:5" x14ac:dyDescent="0.25">
      <c r="A5114" s="1" t="s">
        <v>5113</v>
      </c>
      <c r="C5114" s="3">
        <v>26</v>
      </c>
      <c r="E5114" t="s">
        <v>4799</v>
      </c>
    </row>
    <row r="5115" spans="1:5" x14ac:dyDescent="0.25">
      <c r="A5115" s="1" t="s">
        <v>5114</v>
      </c>
      <c r="C5115" s="3">
        <v>26</v>
      </c>
      <c r="E5115" t="s">
        <v>2840</v>
      </c>
    </row>
    <row r="5116" spans="1:5" x14ac:dyDescent="0.25">
      <c r="A5116" s="1" t="s">
        <v>5115</v>
      </c>
      <c r="C5116" s="3">
        <v>26</v>
      </c>
      <c r="E5116" t="s">
        <v>16608</v>
      </c>
    </row>
    <row r="5117" spans="1:5" x14ac:dyDescent="0.25">
      <c r="A5117" s="1" t="s">
        <v>5116</v>
      </c>
      <c r="C5117" s="3">
        <v>26</v>
      </c>
      <c r="E5117" t="s">
        <v>4021</v>
      </c>
    </row>
    <row r="5118" spans="1:5" x14ac:dyDescent="0.25">
      <c r="A5118" s="1" t="s">
        <v>5117</v>
      </c>
      <c r="C5118" s="3">
        <v>26</v>
      </c>
      <c r="E5118" t="s">
        <v>4825</v>
      </c>
    </row>
    <row r="5119" spans="1:5" x14ac:dyDescent="0.25">
      <c r="A5119" s="1" t="s">
        <v>5118</v>
      </c>
      <c r="C5119" s="3">
        <v>26</v>
      </c>
      <c r="E5119" t="s">
        <v>10339</v>
      </c>
    </row>
    <row r="5120" spans="1:5" x14ac:dyDescent="0.25">
      <c r="A5120" s="1" t="s">
        <v>5119</v>
      </c>
      <c r="C5120" s="3">
        <v>26</v>
      </c>
      <c r="E5120" t="s">
        <v>188</v>
      </c>
    </row>
    <row r="5121" spans="1:5" x14ac:dyDescent="0.25">
      <c r="A5121" s="1" t="s">
        <v>5120</v>
      </c>
      <c r="C5121" s="3">
        <v>26</v>
      </c>
      <c r="E5121" t="s">
        <v>1871</v>
      </c>
    </row>
    <row r="5122" spans="1:5" x14ac:dyDescent="0.25">
      <c r="A5122" s="1" t="s">
        <v>5121</v>
      </c>
      <c r="C5122" s="3">
        <v>26</v>
      </c>
      <c r="E5122" t="s">
        <v>925</v>
      </c>
    </row>
    <row r="5123" spans="1:5" x14ac:dyDescent="0.25">
      <c r="A5123" s="1" t="s">
        <v>5122</v>
      </c>
      <c r="C5123" s="3">
        <v>26</v>
      </c>
      <c r="E5123" t="s">
        <v>2480</v>
      </c>
    </row>
    <row r="5124" spans="1:5" x14ac:dyDescent="0.25">
      <c r="A5124" s="1" t="s">
        <v>5123</v>
      </c>
      <c r="C5124" s="3">
        <v>26</v>
      </c>
      <c r="E5124" t="s">
        <v>4631</v>
      </c>
    </row>
    <row r="5125" spans="1:5" x14ac:dyDescent="0.25">
      <c r="A5125" s="1" t="s">
        <v>5124</v>
      </c>
      <c r="C5125" s="3">
        <v>26</v>
      </c>
      <c r="E5125" t="s">
        <v>1424</v>
      </c>
    </row>
    <row r="5126" spans="1:5" x14ac:dyDescent="0.25">
      <c r="A5126" s="1" t="s">
        <v>5125</v>
      </c>
      <c r="C5126" s="3">
        <v>26</v>
      </c>
      <c r="E5126" t="s">
        <v>9313</v>
      </c>
    </row>
    <row r="5127" spans="1:5" x14ac:dyDescent="0.25">
      <c r="A5127" s="1" t="s">
        <v>5126</v>
      </c>
      <c r="C5127" s="3">
        <v>26</v>
      </c>
      <c r="E5127" t="s">
        <v>8254</v>
      </c>
    </row>
    <row r="5128" spans="1:5" x14ac:dyDescent="0.25">
      <c r="A5128" s="1" t="s">
        <v>5127</v>
      </c>
      <c r="C5128" s="3">
        <v>26</v>
      </c>
      <c r="E5128" t="s">
        <v>1854</v>
      </c>
    </row>
    <row r="5129" spans="1:5" x14ac:dyDescent="0.25">
      <c r="A5129" s="1" t="s">
        <v>5128</v>
      </c>
      <c r="C5129" s="3">
        <v>26</v>
      </c>
      <c r="E5129" t="s">
        <v>3595</v>
      </c>
    </row>
    <row r="5130" spans="1:5" x14ac:dyDescent="0.25">
      <c r="A5130" s="1" t="s">
        <v>5129</v>
      </c>
      <c r="C5130" s="3">
        <v>26</v>
      </c>
      <c r="E5130" t="s">
        <v>990</v>
      </c>
    </row>
    <row r="5131" spans="1:5" x14ac:dyDescent="0.25">
      <c r="A5131" s="1" t="s">
        <v>5130</v>
      </c>
      <c r="C5131" s="3">
        <v>26</v>
      </c>
      <c r="E5131" t="s">
        <v>644</v>
      </c>
    </row>
    <row r="5132" spans="1:5" x14ac:dyDescent="0.25">
      <c r="A5132" s="1" t="s">
        <v>5131</v>
      </c>
      <c r="C5132" s="3">
        <v>26</v>
      </c>
      <c r="E5132" t="s">
        <v>3111</v>
      </c>
    </row>
    <row r="5133" spans="1:5" x14ac:dyDescent="0.25">
      <c r="A5133" s="1" t="s">
        <v>5132</v>
      </c>
      <c r="C5133" s="3">
        <v>26</v>
      </c>
      <c r="E5133" t="s">
        <v>12933</v>
      </c>
    </row>
    <row r="5134" spans="1:5" x14ac:dyDescent="0.25">
      <c r="A5134" s="1" t="s">
        <v>5133</v>
      </c>
      <c r="C5134" s="3">
        <v>26</v>
      </c>
      <c r="E5134" t="s">
        <v>20165</v>
      </c>
    </row>
    <row r="5135" spans="1:5" x14ac:dyDescent="0.25">
      <c r="A5135" s="1" t="s">
        <v>5134</v>
      </c>
      <c r="C5135" s="3">
        <v>26</v>
      </c>
      <c r="E5135" t="s">
        <v>2967</v>
      </c>
    </row>
    <row r="5136" spans="1:5" x14ac:dyDescent="0.25">
      <c r="A5136" s="1" t="s">
        <v>5135</v>
      </c>
      <c r="C5136" s="3">
        <v>26</v>
      </c>
      <c r="E5136" t="s">
        <v>1481</v>
      </c>
    </row>
    <row r="5137" spans="1:5" x14ac:dyDescent="0.25">
      <c r="A5137" s="1" t="s">
        <v>5136</v>
      </c>
      <c r="C5137" s="3">
        <v>26</v>
      </c>
      <c r="E5137" t="s">
        <v>25505</v>
      </c>
    </row>
    <row r="5138" spans="1:5" x14ac:dyDescent="0.25">
      <c r="A5138" s="1" t="s">
        <v>5137</v>
      </c>
      <c r="C5138" s="3">
        <v>26</v>
      </c>
      <c r="E5138" t="s">
        <v>546</v>
      </c>
    </row>
    <row r="5139" spans="1:5" x14ac:dyDescent="0.25">
      <c r="A5139" s="1" t="s">
        <v>5138</v>
      </c>
      <c r="C5139" s="3">
        <v>26</v>
      </c>
      <c r="E5139" t="s">
        <v>22527</v>
      </c>
    </row>
    <row r="5140" spans="1:5" x14ac:dyDescent="0.25">
      <c r="A5140" s="1" t="s">
        <v>5139</v>
      </c>
      <c r="C5140" s="3">
        <v>26</v>
      </c>
      <c r="E5140" t="s">
        <v>2516</v>
      </c>
    </row>
    <row r="5141" spans="1:5" x14ac:dyDescent="0.25">
      <c r="A5141" s="1" t="s">
        <v>5140</v>
      </c>
      <c r="C5141" s="3">
        <v>26</v>
      </c>
      <c r="E5141" t="s">
        <v>4239</v>
      </c>
    </row>
    <row r="5142" spans="1:5" x14ac:dyDescent="0.25">
      <c r="A5142" s="1" t="s">
        <v>5141</v>
      </c>
      <c r="C5142" s="3">
        <v>26</v>
      </c>
      <c r="E5142" t="s">
        <v>25506</v>
      </c>
    </row>
    <row r="5143" spans="1:5" x14ac:dyDescent="0.25">
      <c r="A5143" s="1" t="s">
        <v>5142</v>
      </c>
      <c r="C5143" s="3">
        <v>26</v>
      </c>
      <c r="E5143" t="s">
        <v>8217</v>
      </c>
    </row>
    <row r="5144" spans="1:5" x14ac:dyDescent="0.25">
      <c r="A5144" s="1" t="s">
        <v>5143</v>
      </c>
      <c r="C5144" s="3">
        <v>26</v>
      </c>
      <c r="E5144" t="s">
        <v>1929</v>
      </c>
    </row>
    <row r="5145" spans="1:5" x14ac:dyDescent="0.25">
      <c r="A5145" s="1" t="s">
        <v>5144</v>
      </c>
      <c r="C5145" s="3">
        <v>26</v>
      </c>
      <c r="E5145" t="s">
        <v>7599</v>
      </c>
    </row>
    <row r="5146" spans="1:5" x14ac:dyDescent="0.25">
      <c r="A5146" s="1" t="s">
        <v>5145</v>
      </c>
      <c r="C5146" s="3">
        <v>26</v>
      </c>
      <c r="E5146" t="s">
        <v>4509</v>
      </c>
    </row>
    <row r="5147" spans="1:5" x14ac:dyDescent="0.25">
      <c r="A5147" s="1" t="s">
        <v>5146</v>
      </c>
      <c r="C5147" s="3">
        <v>26</v>
      </c>
      <c r="E5147" t="s">
        <v>2745</v>
      </c>
    </row>
    <row r="5148" spans="1:5" x14ac:dyDescent="0.25">
      <c r="A5148" s="1" t="s">
        <v>5147</v>
      </c>
      <c r="C5148" s="3">
        <v>26</v>
      </c>
      <c r="E5148" t="s">
        <v>11760</v>
      </c>
    </row>
    <row r="5149" spans="1:5" x14ac:dyDescent="0.25">
      <c r="A5149" s="1" t="s">
        <v>5148</v>
      </c>
      <c r="C5149" s="3">
        <v>26</v>
      </c>
      <c r="E5149" t="s">
        <v>13530</v>
      </c>
    </row>
    <row r="5150" spans="1:5" x14ac:dyDescent="0.25">
      <c r="A5150" s="1" t="s">
        <v>5149</v>
      </c>
      <c r="C5150" s="3">
        <v>26</v>
      </c>
      <c r="E5150" t="s">
        <v>6315</v>
      </c>
    </row>
    <row r="5151" spans="1:5" x14ac:dyDescent="0.25">
      <c r="A5151" s="1" t="s">
        <v>5150</v>
      </c>
      <c r="C5151" s="3">
        <v>26</v>
      </c>
      <c r="E5151" t="s">
        <v>64</v>
      </c>
    </row>
    <row r="5152" spans="1:5" x14ac:dyDescent="0.25">
      <c r="A5152" s="1" t="s">
        <v>5151</v>
      </c>
      <c r="C5152" s="3">
        <v>26</v>
      </c>
      <c r="E5152" t="s">
        <v>839</v>
      </c>
    </row>
    <row r="5153" spans="1:5" x14ac:dyDescent="0.25">
      <c r="A5153" s="1" t="s">
        <v>5152</v>
      </c>
      <c r="C5153" s="3">
        <v>26</v>
      </c>
      <c r="E5153" t="s">
        <v>3869</v>
      </c>
    </row>
    <row r="5154" spans="1:5" x14ac:dyDescent="0.25">
      <c r="A5154" s="1" t="s">
        <v>5153</v>
      </c>
      <c r="C5154" s="3">
        <v>26</v>
      </c>
      <c r="E5154" t="s">
        <v>20941</v>
      </c>
    </row>
    <row r="5155" spans="1:5" x14ac:dyDescent="0.25">
      <c r="A5155" s="1" t="s">
        <v>5154</v>
      </c>
      <c r="C5155" s="3">
        <v>26</v>
      </c>
      <c r="E5155" t="s">
        <v>3288</v>
      </c>
    </row>
    <row r="5156" spans="1:5" x14ac:dyDescent="0.25">
      <c r="A5156" s="1" t="s">
        <v>5155</v>
      </c>
      <c r="C5156" s="3">
        <v>26</v>
      </c>
      <c r="E5156" t="s">
        <v>994</v>
      </c>
    </row>
    <row r="5157" spans="1:5" x14ac:dyDescent="0.25">
      <c r="A5157" s="1" t="s">
        <v>5156</v>
      </c>
      <c r="C5157" s="3">
        <v>26</v>
      </c>
      <c r="E5157" t="s">
        <v>1969</v>
      </c>
    </row>
    <row r="5158" spans="1:5" x14ac:dyDescent="0.25">
      <c r="A5158" s="1" t="s">
        <v>5157</v>
      </c>
      <c r="C5158" s="3">
        <v>26</v>
      </c>
      <c r="E5158" t="s">
        <v>773</v>
      </c>
    </row>
    <row r="5159" spans="1:5" x14ac:dyDescent="0.25">
      <c r="A5159" s="1" t="s">
        <v>5158</v>
      </c>
      <c r="C5159" s="3">
        <v>26</v>
      </c>
      <c r="E5159" t="s">
        <v>3986</v>
      </c>
    </row>
    <row r="5160" spans="1:5" x14ac:dyDescent="0.25">
      <c r="A5160" s="1" t="s">
        <v>5159</v>
      </c>
      <c r="C5160" s="3">
        <v>26</v>
      </c>
      <c r="E5160" t="s">
        <v>4729</v>
      </c>
    </row>
    <row r="5161" spans="1:5" x14ac:dyDescent="0.25">
      <c r="A5161" s="1" t="s">
        <v>5160</v>
      </c>
      <c r="C5161" s="3">
        <v>26</v>
      </c>
      <c r="E5161" t="s">
        <v>25218</v>
      </c>
    </row>
    <row r="5162" spans="1:5" x14ac:dyDescent="0.25">
      <c r="A5162" s="1" t="s">
        <v>5161</v>
      </c>
      <c r="C5162" s="3">
        <v>26</v>
      </c>
      <c r="E5162" t="s">
        <v>9162</v>
      </c>
    </row>
    <row r="5163" spans="1:5" x14ac:dyDescent="0.25">
      <c r="A5163" s="1" t="s">
        <v>5162</v>
      </c>
      <c r="C5163" s="3">
        <v>26</v>
      </c>
      <c r="E5163" t="s">
        <v>25507</v>
      </c>
    </row>
    <row r="5164" spans="1:5" x14ac:dyDescent="0.25">
      <c r="A5164" s="1" t="s">
        <v>5163</v>
      </c>
      <c r="C5164" s="3">
        <v>26</v>
      </c>
      <c r="E5164" t="s">
        <v>12625</v>
      </c>
    </row>
    <row r="5165" spans="1:5" x14ac:dyDescent="0.25">
      <c r="A5165" s="1" t="s">
        <v>5164</v>
      </c>
      <c r="C5165" s="3">
        <v>26</v>
      </c>
      <c r="E5165" t="s">
        <v>1946</v>
      </c>
    </row>
    <row r="5166" spans="1:5" x14ac:dyDescent="0.25">
      <c r="A5166" s="1" t="s">
        <v>5165</v>
      </c>
      <c r="C5166" s="3">
        <v>26</v>
      </c>
      <c r="E5166" t="s">
        <v>2837</v>
      </c>
    </row>
    <row r="5167" spans="1:5" x14ac:dyDescent="0.25">
      <c r="A5167" s="1" t="s">
        <v>5166</v>
      </c>
      <c r="C5167" s="3">
        <v>26</v>
      </c>
      <c r="E5167" t="s">
        <v>401</v>
      </c>
    </row>
    <row r="5168" spans="1:5" x14ac:dyDescent="0.25">
      <c r="A5168" s="1" t="s">
        <v>5167</v>
      </c>
      <c r="C5168" s="3">
        <v>26</v>
      </c>
      <c r="E5168" t="s">
        <v>6064</v>
      </c>
    </row>
    <row r="5169" spans="1:5" x14ac:dyDescent="0.25">
      <c r="A5169" s="1" t="s">
        <v>5168</v>
      </c>
      <c r="C5169" s="3">
        <v>26</v>
      </c>
      <c r="E5169" t="s">
        <v>2324</v>
      </c>
    </row>
    <row r="5170" spans="1:5" x14ac:dyDescent="0.25">
      <c r="A5170" s="1" t="s">
        <v>5169</v>
      </c>
      <c r="C5170" s="3">
        <v>26</v>
      </c>
      <c r="E5170" t="s">
        <v>4460</v>
      </c>
    </row>
    <row r="5171" spans="1:5" x14ac:dyDescent="0.25">
      <c r="A5171" s="1" t="s">
        <v>5170</v>
      </c>
      <c r="C5171" s="3">
        <v>26</v>
      </c>
      <c r="E5171" t="s">
        <v>3546</v>
      </c>
    </row>
    <row r="5172" spans="1:5" x14ac:dyDescent="0.25">
      <c r="A5172" s="1" t="s">
        <v>5171</v>
      </c>
      <c r="C5172" s="3">
        <v>26</v>
      </c>
      <c r="E5172" t="s">
        <v>8147</v>
      </c>
    </row>
    <row r="5173" spans="1:5" x14ac:dyDescent="0.25">
      <c r="A5173" s="1" t="s">
        <v>5172</v>
      </c>
      <c r="C5173" s="3">
        <v>26</v>
      </c>
      <c r="E5173" t="s">
        <v>9155</v>
      </c>
    </row>
    <row r="5174" spans="1:5" x14ac:dyDescent="0.25">
      <c r="A5174" s="1" t="s">
        <v>5173</v>
      </c>
      <c r="C5174" s="3">
        <v>26</v>
      </c>
      <c r="E5174" t="s">
        <v>5035</v>
      </c>
    </row>
    <row r="5175" spans="1:5" x14ac:dyDescent="0.25">
      <c r="A5175" s="1" t="s">
        <v>5174</v>
      </c>
      <c r="C5175" s="3">
        <v>26</v>
      </c>
      <c r="E5175" t="s">
        <v>6268</v>
      </c>
    </row>
    <row r="5176" spans="1:5" x14ac:dyDescent="0.25">
      <c r="A5176" s="1" t="s">
        <v>5175</v>
      </c>
      <c r="C5176" s="3">
        <v>26</v>
      </c>
      <c r="E5176" t="s">
        <v>355</v>
      </c>
    </row>
    <row r="5177" spans="1:5" x14ac:dyDescent="0.25">
      <c r="A5177" s="1" t="s">
        <v>5176</v>
      </c>
      <c r="C5177" s="3">
        <v>26</v>
      </c>
      <c r="E5177" t="s">
        <v>2759</v>
      </c>
    </row>
    <row r="5178" spans="1:5" x14ac:dyDescent="0.25">
      <c r="A5178" s="1" t="s">
        <v>5177</v>
      </c>
      <c r="C5178" s="3">
        <v>26</v>
      </c>
      <c r="E5178" t="s">
        <v>806</v>
      </c>
    </row>
    <row r="5179" spans="1:5" x14ac:dyDescent="0.25">
      <c r="A5179" s="1" t="s">
        <v>5178</v>
      </c>
      <c r="C5179" s="3">
        <v>26</v>
      </c>
      <c r="E5179" t="s">
        <v>8136</v>
      </c>
    </row>
    <row r="5180" spans="1:5" x14ac:dyDescent="0.25">
      <c r="A5180" s="1" t="s">
        <v>5179</v>
      </c>
      <c r="C5180" s="3">
        <v>26</v>
      </c>
      <c r="E5180" t="s">
        <v>1405</v>
      </c>
    </row>
    <row r="5181" spans="1:5" x14ac:dyDescent="0.25">
      <c r="A5181" s="1" t="s">
        <v>5180</v>
      </c>
      <c r="C5181" s="3">
        <v>26</v>
      </c>
      <c r="E5181" t="s">
        <v>11116</v>
      </c>
    </row>
    <row r="5182" spans="1:5" x14ac:dyDescent="0.25">
      <c r="A5182" s="1" t="s">
        <v>5181</v>
      </c>
      <c r="C5182" s="3">
        <v>26</v>
      </c>
      <c r="E5182" t="s">
        <v>723</v>
      </c>
    </row>
    <row r="5183" spans="1:5" x14ac:dyDescent="0.25">
      <c r="A5183" s="1" t="s">
        <v>5182</v>
      </c>
      <c r="C5183" s="3">
        <v>26</v>
      </c>
      <c r="E5183" t="s">
        <v>4301</v>
      </c>
    </row>
    <row r="5184" spans="1:5" x14ac:dyDescent="0.25">
      <c r="A5184" s="1" t="s">
        <v>5183</v>
      </c>
      <c r="C5184" s="3">
        <v>26</v>
      </c>
      <c r="E5184" t="s">
        <v>14135</v>
      </c>
    </row>
    <row r="5185" spans="1:5" x14ac:dyDescent="0.25">
      <c r="A5185" s="1" t="s">
        <v>5184</v>
      </c>
      <c r="C5185" s="3">
        <v>26</v>
      </c>
      <c r="E5185" t="s">
        <v>17301</v>
      </c>
    </row>
    <row r="5186" spans="1:5" x14ac:dyDescent="0.25">
      <c r="A5186" s="1" t="s">
        <v>5185</v>
      </c>
      <c r="C5186" s="3">
        <v>26</v>
      </c>
      <c r="E5186" t="s">
        <v>7481</v>
      </c>
    </row>
    <row r="5187" spans="1:5" x14ac:dyDescent="0.25">
      <c r="A5187" s="1" t="s">
        <v>5186</v>
      </c>
      <c r="C5187" s="3">
        <v>26</v>
      </c>
      <c r="E5187" t="s">
        <v>2075</v>
      </c>
    </row>
    <row r="5188" spans="1:5" x14ac:dyDescent="0.25">
      <c r="A5188" s="1" t="s">
        <v>5187</v>
      </c>
      <c r="C5188" s="3">
        <v>26</v>
      </c>
      <c r="E5188" t="s">
        <v>10006</v>
      </c>
    </row>
    <row r="5189" spans="1:5" x14ac:dyDescent="0.25">
      <c r="A5189" s="1" t="s">
        <v>5188</v>
      </c>
      <c r="C5189" s="3">
        <v>26</v>
      </c>
      <c r="E5189" t="s">
        <v>5542</v>
      </c>
    </row>
    <row r="5190" spans="1:5" x14ac:dyDescent="0.25">
      <c r="A5190" s="1" t="s">
        <v>5189</v>
      </c>
      <c r="C5190" s="3">
        <v>26</v>
      </c>
      <c r="E5190" t="s">
        <v>7909</v>
      </c>
    </row>
    <row r="5191" spans="1:5" x14ac:dyDescent="0.25">
      <c r="A5191" s="1" t="s">
        <v>5190</v>
      </c>
      <c r="C5191" s="3">
        <v>26</v>
      </c>
      <c r="E5191" t="s">
        <v>437</v>
      </c>
    </row>
    <row r="5192" spans="1:5" x14ac:dyDescent="0.25">
      <c r="A5192" s="1" t="s">
        <v>5191</v>
      </c>
      <c r="C5192" s="3">
        <v>26</v>
      </c>
      <c r="E5192" t="s">
        <v>9697</v>
      </c>
    </row>
    <row r="5193" spans="1:5" x14ac:dyDescent="0.25">
      <c r="A5193" s="1" t="s">
        <v>5192</v>
      </c>
      <c r="C5193" s="3">
        <v>26</v>
      </c>
      <c r="E5193" t="s">
        <v>10961</v>
      </c>
    </row>
    <row r="5194" spans="1:5" x14ac:dyDescent="0.25">
      <c r="A5194" s="1" t="s">
        <v>5193</v>
      </c>
      <c r="C5194" s="3">
        <v>26</v>
      </c>
      <c r="E5194" t="s">
        <v>195</v>
      </c>
    </row>
    <row r="5195" spans="1:5" x14ac:dyDescent="0.25">
      <c r="A5195" s="1" t="s">
        <v>5194</v>
      </c>
      <c r="C5195" s="3">
        <v>26</v>
      </c>
      <c r="E5195" t="s">
        <v>8285</v>
      </c>
    </row>
    <row r="5196" spans="1:5" x14ac:dyDescent="0.25">
      <c r="A5196" s="1" t="s">
        <v>5195</v>
      </c>
      <c r="C5196" s="3">
        <v>26</v>
      </c>
      <c r="E5196" t="s">
        <v>7835</v>
      </c>
    </row>
    <row r="5197" spans="1:5" x14ac:dyDescent="0.25">
      <c r="A5197" s="1" t="s">
        <v>5196</v>
      </c>
      <c r="C5197" s="3">
        <v>26</v>
      </c>
      <c r="E5197" t="s">
        <v>13163</v>
      </c>
    </row>
    <row r="5198" spans="1:5" x14ac:dyDescent="0.25">
      <c r="A5198" s="1" t="s">
        <v>5197</v>
      </c>
      <c r="C5198" s="3">
        <v>26</v>
      </c>
      <c r="E5198" t="s">
        <v>19404</v>
      </c>
    </row>
    <row r="5199" spans="1:5" x14ac:dyDescent="0.25">
      <c r="A5199" s="1" t="s">
        <v>5198</v>
      </c>
      <c r="C5199" s="3">
        <v>26</v>
      </c>
      <c r="E5199" t="s">
        <v>4605</v>
      </c>
    </row>
    <row r="5200" spans="1:5" x14ac:dyDescent="0.25">
      <c r="A5200" s="1" t="s">
        <v>5199</v>
      </c>
      <c r="C5200" s="3">
        <v>26</v>
      </c>
      <c r="E5200" t="s">
        <v>6691</v>
      </c>
    </row>
    <row r="5201" spans="1:5" x14ac:dyDescent="0.25">
      <c r="A5201" s="1" t="s">
        <v>5200</v>
      </c>
      <c r="C5201" s="3">
        <v>26</v>
      </c>
      <c r="E5201" t="s">
        <v>6503</v>
      </c>
    </row>
    <row r="5202" spans="1:5" x14ac:dyDescent="0.25">
      <c r="A5202" s="1" t="s">
        <v>5201</v>
      </c>
      <c r="C5202" s="3">
        <v>26</v>
      </c>
      <c r="E5202" t="s">
        <v>5750</v>
      </c>
    </row>
    <row r="5203" spans="1:5" x14ac:dyDescent="0.25">
      <c r="A5203" s="1" t="s">
        <v>5202</v>
      </c>
      <c r="C5203" s="3">
        <v>26</v>
      </c>
      <c r="E5203" t="s">
        <v>711</v>
      </c>
    </row>
    <row r="5204" spans="1:5" x14ac:dyDescent="0.25">
      <c r="A5204" s="1" t="s">
        <v>5203</v>
      </c>
      <c r="C5204" s="3">
        <v>26</v>
      </c>
      <c r="E5204" t="s">
        <v>11493</v>
      </c>
    </row>
    <row r="5205" spans="1:5" x14ac:dyDescent="0.25">
      <c r="A5205" s="1" t="s">
        <v>5204</v>
      </c>
      <c r="C5205" s="3">
        <v>26</v>
      </c>
      <c r="E5205" t="s">
        <v>416</v>
      </c>
    </row>
    <row r="5206" spans="1:5" x14ac:dyDescent="0.25">
      <c r="A5206" s="1" t="s">
        <v>5205</v>
      </c>
      <c r="C5206" s="3">
        <v>26</v>
      </c>
      <c r="E5206" t="s">
        <v>5698</v>
      </c>
    </row>
    <row r="5207" spans="1:5" x14ac:dyDescent="0.25">
      <c r="A5207" s="1" t="s">
        <v>5206</v>
      </c>
      <c r="C5207" s="3">
        <v>26</v>
      </c>
      <c r="E5207" t="s">
        <v>1727</v>
      </c>
    </row>
    <row r="5208" spans="1:5" x14ac:dyDescent="0.25">
      <c r="A5208" s="1" t="s">
        <v>5207</v>
      </c>
      <c r="C5208" s="3">
        <v>26</v>
      </c>
      <c r="E5208" t="s">
        <v>3916</v>
      </c>
    </row>
    <row r="5209" spans="1:5" x14ac:dyDescent="0.25">
      <c r="A5209" s="1" t="s">
        <v>5208</v>
      </c>
      <c r="C5209" s="3">
        <v>26</v>
      </c>
      <c r="E5209" t="s">
        <v>8943</v>
      </c>
    </row>
    <row r="5210" spans="1:5" x14ac:dyDescent="0.25">
      <c r="A5210" s="1" t="s">
        <v>5209</v>
      </c>
      <c r="C5210" s="3">
        <v>26</v>
      </c>
      <c r="E5210" t="s">
        <v>5239</v>
      </c>
    </row>
    <row r="5211" spans="1:5" x14ac:dyDescent="0.25">
      <c r="A5211" s="1" t="s">
        <v>5210</v>
      </c>
      <c r="C5211" s="3">
        <v>26</v>
      </c>
      <c r="E5211" t="s">
        <v>633</v>
      </c>
    </row>
    <row r="5212" spans="1:5" x14ac:dyDescent="0.25">
      <c r="A5212" s="1" t="s">
        <v>5211</v>
      </c>
      <c r="C5212" s="3">
        <v>26</v>
      </c>
      <c r="E5212" t="s">
        <v>1219</v>
      </c>
    </row>
    <row r="5213" spans="1:5" x14ac:dyDescent="0.25">
      <c r="A5213" s="1" t="s">
        <v>5212</v>
      </c>
      <c r="C5213" s="3">
        <v>26</v>
      </c>
      <c r="E5213" t="s">
        <v>8310</v>
      </c>
    </row>
    <row r="5214" spans="1:5" x14ac:dyDescent="0.25">
      <c r="A5214" s="1" t="s">
        <v>5213</v>
      </c>
      <c r="C5214" s="3">
        <v>26</v>
      </c>
      <c r="E5214" t="s">
        <v>18670</v>
      </c>
    </row>
    <row r="5215" spans="1:5" x14ac:dyDescent="0.25">
      <c r="A5215" s="1" t="s">
        <v>5214</v>
      </c>
      <c r="C5215" s="3">
        <v>25</v>
      </c>
      <c r="E5215" t="s">
        <v>8505</v>
      </c>
    </row>
    <row r="5216" spans="1:5" x14ac:dyDescent="0.25">
      <c r="A5216" s="1" t="s">
        <v>5215</v>
      </c>
      <c r="C5216" s="3">
        <v>25</v>
      </c>
      <c r="E5216" t="s">
        <v>1652</v>
      </c>
    </row>
    <row r="5217" spans="1:5" x14ac:dyDescent="0.25">
      <c r="A5217" s="1" t="s">
        <v>5216</v>
      </c>
      <c r="C5217" s="3">
        <v>25</v>
      </c>
      <c r="E5217" t="s">
        <v>5135</v>
      </c>
    </row>
    <row r="5218" spans="1:5" x14ac:dyDescent="0.25">
      <c r="A5218" s="1" t="s">
        <v>5217</v>
      </c>
      <c r="C5218" s="3">
        <v>25</v>
      </c>
      <c r="E5218" t="s">
        <v>71</v>
      </c>
    </row>
    <row r="5219" spans="1:5" x14ac:dyDescent="0.25">
      <c r="A5219" s="1" t="s">
        <v>5218</v>
      </c>
      <c r="C5219" s="3">
        <v>25</v>
      </c>
      <c r="E5219" t="s">
        <v>7019</v>
      </c>
    </row>
    <row r="5220" spans="1:5" x14ac:dyDescent="0.25">
      <c r="A5220" s="1" t="s">
        <v>5219</v>
      </c>
      <c r="C5220" s="3">
        <v>25</v>
      </c>
      <c r="E5220" t="s">
        <v>5283</v>
      </c>
    </row>
    <row r="5221" spans="1:5" x14ac:dyDescent="0.25">
      <c r="A5221" s="1" t="s">
        <v>5220</v>
      </c>
      <c r="C5221" s="3">
        <v>25</v>
      </c>
      <c r="E5221" t="s">
        <v>1451</v>
      </c>
    </row>
    <row r="5222" spans="1:5" x14ac:dyDescent="0.25">
      <c r="A5222" s="1" t="s">
        <v>5221</v>
      </c>
      <c r="C5222" s="3">
        <v>25</v>
      </c>
      <c r="E5222" t="s">
        <v>1168</v>
      </c>
    </row>
    <row r="5223" spans="1:5" x14ac:dyDescent="0.25">
      <c r="A5223" s="1" t="s">
        <v>5222</v>
      </c>
      <c r="C5223" s="3">
        <v>25</v>
      </c>
      <c r="E5223" t="s">
        <v>1438</v>
      </c>
    </row>
    <row r="5224" spans="1:5" x14ac:dyDescent="0.25">
      <c r="A5224" s="1" t="s">
        <v>5223</v>
      </c>
      <c r="C5224" s="3">
        <v>25</v>
      </c>
      <c r="E5224" t="s">
        <v>831</v>
      </c>
    </row>
    <row r="5225" spans="1:5" x14ac:dyDescent="0.25">
      <c r="A5225" s="1" t="s">
        <v>5224</v>
      </c>
      <c r="C5225" s="3">
        <v>25</v>
      </c>
      <c r="E5225" t="s">
        <v>2086</v>
      </c>
    </row>
    <row r="5226" spans="1:5" x14ac:dyDescent="0.25">
      <c r="A5226" s="1" t="s">
        <v>5225</v>
      </c>
      <c r="C5226" s="3">
        <v>25</v>
      </c>
      <c r="E5226" t="s">
        <v>15058</v>
      </c>
    </row>
    <row r="5227" spans="1:5" x14ac:dyDescent="0.25">
      <c r="A5227" s="1" t="s">
        <v>5226</v>
      </c>
      <c r="C5227" s="3">
        <v>25</v>
      </c>
      <c r="E5227" t="s">
        <v>1573</v>
      </c>
    </row>
    <row r="5228" spans="1:5" x14ac:dyDescent="0.25">
      <c r="A5228" s="1" t="s">
        <v>5227</v>
      </c>
      <c r="C5228" s="3">
        <v>25</v>
      </c>
      <c r="E5228" t="s">
        <v>1548</v>
      </c>
    </row>
    <row r="5229" spans="1:5" x14ac:dyDescent="0.25">
      <c r="A5229" s="1" t="s">
        <v>5228</v>
      </c>
      <c r="C5229" s="3">
        <v>25</v>
      </c>
      <c r="E5229" t="s">
        <v>678</v>
      </c>
    </row>
    <row r="5230" spans="1:5" x14ac:dyDescent="0.25">
      <c r="A5230" s="1" t="s">
        <v>5229</v>
      </c>
      <c r="C5230" s="3">
        <v>25</v>
      </c>
      <c r="E5230" t="s">
        <v>3951</v>
      </c>
    </row>
    <row r="5231" spans="1:5" x14ac:dyDescent="0.25">
      <c r="A5231" s="1" t="s">
        <v>5230</v>
      </c>
      <c r="C5231" s="3">
        <v>25</v>
      </c>
      <c r="E5231" t="s">
        <v>4201</v>
      </c>
    </row>
    <row r="5232" spans="1:5" x14ac:dyDescent="0.25">
      <c r="A5232" s="1" t="s">
        <v>5231</v>
      </c>
      <c r="C5232" s="3">
        <v>25</v>
      </c>
      <c r="E5232" t="s">
        <v>876</v>
      </c>
    </row>
    <row r="5233" spans="1:5" x14ac:dyDescent="0.25">
      <c r="A5233" s="1" t="s">
        <v>5232</v>
      </c>
      <c r="C5233" s="3">
        <v>25</v>
      </c>
      <c r="E5233" t="s">
        <v>4244</v>
      </c>
    </row>
    <row r="5234" spans="1:5" x14ac:dyDescent="0.25">
      <c r="A5234" s="1" t="s">
        <v>5233</v>
      </c>
      <c r="C5234" s="3">
        <v>25</v>
      </c>
      <c r="E5234" t="s">
        <v>2186</v>
      </c>
    </row>
    <row r="5235" spans="1:5" x14ac:dyDescent="0.25">
      <c r="A5235" s="1" t="s">
        <v>5234</v>
      </c>
      <c r="C5235" s="3">
        <v>25</v>
      </c>
      <c r="E5235" t="s">
        <v>9113</v>
      </c>
    </row>
    <row r="5236" spans="1:5" x14ac:dyDescent="0.25">
      <c r="A5236" s="1" t="s">
        <v>5235</v>
      </c>
      <c r="C5236" s="3">
        <v>25</v>
      </c>
      <c r="E5236" t="s">
        <v>3090</v>
      </c>
    </row>
    <row r="5237" spans="1:5" x14ac:dyDescent="0.25">
      <c r="A5237" s="1" t="s">
        <v>5236</v>
      </c>
      <c r="C5237" s="3">
        <v>25</v>
      </c>
      <c r="E5237" t="s">
        <v>6558</v>
      </c>
    </row>
    <row r="5238" spans="1:5" x14ac:dyDescent="0.25">
      <c r="A5238" s="1" t="s">
        <v>5237</v>
      </c>
      <c r="C5238" s="3">
        <v>25</v>
      </c>
      <c r="E5238" t="s">
        <v>6368</v>
      </c>
    </row>
    <row r="5239" spans="1:5" x14ac:dyDescent="0.25">
      <c r="A5239" s="1" t="s">
        <v>5238</v>
      </c>
      <c r="C5239" s="3">
        <v>25</v>
      </c>
      <c r="E5239" t="s">
        <v>4104</v>
      </c>
    </row>
    <row r="5240" spans="1:5" x14ac:dyDescent="0.25">
      <c r="A5240" s="1" t="s">
        <v>5239</v>
      </c>
      <c r="C5240" s="3">
        <v>25</v>
      </c>
      <c r="E5240" t="s">
        <v>6325</v>
      </c>
    </row>
    <row r="5241" spans="1:5" x14ac:dyDescent="0.25">
      <c r="A5241" s="1" t="s">
        <v>5240</v>
      </c>
      <c r="C5241" s="3">
        <v>25</v>
      </c>
      <c r="E5241" t="s">
        <v>4677</v>
      </c>
    </row>
    <row r="5242" spans="1:5" x14ac:dyDescent="0.25">
      <c r="A5242" s="1" t="s">
        <v>5241</v>
      </c>
      <c r="C5242" s="3">
        <v>25</v>
      </c>
      <c r="E5242" t="s">
        <v>9197</v>
      </c>
    </row>
    <row r="5243" spans="1:5" x14ac:dyDescent="0.25">
      <c r="A5243" s="1" t="s">
        <v>5242</v>
      </c>
      <c r="C5243" s="3">
        <v>25</v>
      </c>
      <c r="E5243" t="s">
        <v>455</v>
      </c>
    </row>
    <row r="5244" spans="1:5" x14ac:dyDescent="0.25">
      <c r="A5244" s="1" t="s">
        <v>5243</v>
      </c>
      <c r="C5244" s="3">
        <v>25</v>
      </c>
      <c r="E5244" t="s">
        <v>3190</v>
      </c>
    </row>
    <row r="5245" spans="1:5" x14ac:dyDescent="0.25">
      <c r="A5245" s="1" t="s">
        <v>5244</v>
      </c>
      <c r="C5245" s="3">
        <v>25</v>
      </c>
      <c r="E5245" t="s">
        <v>13943</v>
      </c>
    </row>
    <row r="5246" spans="1:5" x14ac:dyDescent="0.25">
      <c r="A5246" s="1" t="s">
        <v>5245</v>
      </c>
      <c r="C5246" s="3">
        <v>25</v>
      </c>
      <c r="E5246" t="s">
        <v>4760</v>
      </c>
    </row>
    <row r="5247" spans="1:5" x14ac:dyDescent="0.25">
      <c r="A5247" s="1" t="s">
        <v>5246</v>
      </c>
      <c r="C5247" s="3">
        <v>25</v>
      </c>
      <c r="E5247" t="s">
        <v>835</v>
      </c>
    </row>
    <row r="5248" spans="1:5" x14ac:dyDescent="0.25">
      <c r="A5248" s="1" t="s">
        <v>5247</v>
      </c>
      <c r="C5248" s="3">
        <v>25</v>
      </c>
      <c r="E5248" t="s">
        <v>78</v>
      </c>
    </row>
    <row r="5249" spans="1:5" x14ac:dyDescent="0.25">
      <c r="A5249" s="1" t="s">
        <v>5248</v>
      </c>
      <c r="C5249" s="3">
        <v>25</v>
      </c>
      <c r="E5249" t="s">
        <v>14124</v>
      </c>
    </row>
    <row r="5250" spans="1:5" x14ac:dyDescent="0.25">
      <c r="A5250" s="1" t="s">
        <v>5249</v>
      </c>
      <c r="C5250" s="3">
        <v>25</v>
      </c>
      <c r="E5250" t="s">
        <v>1414</v>
      </c>
    </row>
    <row r="5251" spans="1:5" x14ac:dyDescent="0.25">
      <c r="A5251" s="1" t="s">
        <v>5250</v>
      </c>
      <c r="C5251" s="3">
        <v>25</v>
      </c>
      <c r="E5251" t="s">
        <v>2792</v>
      </c>
    </row>
    <row r="5252" spans="1:5" x14ac:dyDescent="0.25">
      <c r="A5252" s="1" t="s">
        <v>5251</v>
      </c>
      <c r="C5252" s="3">
        <v>25</v>
      </c>
      <c r="E5252" t="s">
        <v>15208</v>
      </c>
    </row>
    <row r="5253" spans="1:5" x14ac:dyDescent="0.25">
      <c r="A5253" s="1" t="s">
        <v>5252</v>
      </c>
      <c r="C5253" s="3">
        <v>25</v>
      </c>
      <c r="E5253" t="s">
        <v>17886</v>
      </c>
    </row>
    <row r="5254" spans="1:5" x14ac:dyDescent="0.25">
      <c r="A5254" s="1" t="s">
        <v>5253</v>
      </c>
      <c r="C5254" s="3">
        <v>25</v>
      </c>
      <c r="E5254" t="s">
        <v>6567</v>
      </c>
    </row>
    <row r="5255" spans="1:5" x14ac:dyDescent="0.25">
      <c r="A5255" s="1" t="s">
        <v>5254</v>
      </c>
      <c r="C5255" s="3">
        <v>25</v>
      </c>
      <c r="E5255" t="s">
        <v>3853</v>
      </c>
    </row>
    <row r="5256" spans="1:5" x14ac:dyDescent="0.25">
      <c r="A5256" s="1" t="s">
        <v>5255</v>
      </c>
      <c r="C5256" s="3">
        <v>25</v>
      </c>
      <c r="E5256" t="s">
        <v>286</v>
      </c>
    </row>
    <row r="5257" spans="1:5" x14ac:dyDescent="0.25">
      <c r="A5257" s="1" t="s">
        <v>5256</v>
      </c>
      <c r="C5257" s="3">
        <v>25</v>
      </c>
      <c r="E5257" t="s">
        <v>932</v>
      </c>
    </row>
    <row r="5258" spans="1:5" x14ac:dyDescent="0.25">
      <c r="A5258" s="1" t="s">
        <v>5257</v>
      </c>
      <c r="C5258" s="3">
        <v>25</v>
      </c>
      <c r="E5258" t="s">
        <v>15749</v>
      </c>
    </row>
    <row r="5259" spans="1:5" x14ac:dyDescent="0.25">
      <c r="A5259" s="1" t="s">
        <v>5258</v>
      </c>
      <c r="C5259" s="3">
        <v>25</v>
      </c>
      <c r="E5259" t="s">
        <v>231</v>
      </c>
    </row>
    <row r="5260" spans="1:5" x14ac:dyDescent="0.25">
      <c r="A5260" s="1" t="s">
        <v>5259</v>
      </c>
      <c r="C5260" s="3">
        <v>25</v>
      </c>
      <c r="E5260" t="s">
        <v>605</v>
      </c>
    </row>
    <row r="5261" spans="1:5" x14ac:dyDescent="0.25">
      <c r="A5261" s="1" t="s">
        <v>5260</v>
      </c>
      <c r="C5261" s="3">
        <v>25</v>
      </c>
      <c r="E5261" t="s">
        <v>4957</v>
      </c>
    </row>
    <row r="5262" spans="1:5" x14ac:dyDescent="0.25">
      <c r="A5262" s="1" t="s">
        <v>5261</v>
      </c>
      <c r="C5262" s="3">
        <v>25</v>
      </c>
      <c r="E5262" t="s">
        <v>24740</v>
      </c>
    </row>
    <row r="5263" spans="1:5" x14ac:dyDescent="0.25">
      <c r="A5263" s="1" t="s">
        <v>5262</v>
      </c>
      <c r="C5263" s="3">
        <v>25</v>
      </c>
      <c r="E5263" t="s">
        <v>7138</v>
      </c>
    </row>
    <row r="5264" spans="1:5" x14ac:dyDescent="0.25">
      <c r="A5264" s="1" t="s">
        <v>5263</v>
      </c>
      <c r="C5264" s="3">
        <v>25</v>
      </c>
      <c r="E5264" t="s">
        <v>11149</v>
      </c>
    </row>
    <row r="5265" spans="1:5" x14ac:dyDescent="0.25">
      <c r="A5265" s="1" t="s">
        <v>5264</v>
      </c>
      <c r="C5265" s="3">
        <v>25</v>
      </c>
      <c r="E5265" t="s">
        <v>8964</v>
      </c>
    </row>
    <row r="5266" spans="1:5" x14ac:dyDescent="0.25">
      <c r="A5266" s="1" t="s">
        <v>5265</v>
      </c>
      <c r="C5266" s="3">
        <v>25</v>
      </c>
      <c r="E5266" t="s">
        <v>7008</v>
      </c>
    </row>
    <row r="5267" spans="1:5" x14ac:dyDescent="0.25">
      <c r="A5267" s="1" t="s">
        <v>5266</v>
      </c>
      <c r="C5267" s="3">
        <v>25</v>
      </c>
      <c r="E5267" t="s">
        <v>1785</v>
      </c>
    </row>
    <row r="5268" spans="1:5" x14ac:dyDescent="0.25">
      <c r="A5268" s="1" t="s">
        <v>5267</v>
      </c>
      <c r="C5268" s="3">
        <v>25</v>
      </c>
      <c r="E5268" t="s">
        <v>23448</v>
      </c>
    </row>
    <row r="5269" spans="1:5" x14ac:dyDescent="0.25">
      <c r="A5269" s="1" t="s">
        <v>5268</v>
      </c>
      <c r="C5269" s="3">
        <v>25</v>
      </c>
      <c r="E5269" t="s">
        <v>14064</v>
      </c>
    </row>
    <row r="5270" spans="1:5" x14ac:dyDescent="0.25">
      <c r="A5270" s="1" t="s">
        <v>5269</v>
      </c>
      <c r="C5270" s="3">
        <v>25</v>
      </c>
      <c r="E5270" t="s">
        <v>14574</v>
      </c>
    </row>
    <row r="5271" spans="1:5" x14ac:dyDescent="0.25">
      <c r="A5271" s="1" t="s">
        <v>5270</v>
      </c>
      <c r="C5271" s="3">
        <v>25</v>
      </c>
      <c r="E5271" t="s">
        <v>10485</v>
      </c>
    </row>
    <row r="5272" spans="1:5" x14ac:dyDescent="0.25">
      <c r="A5272" s="1" t="s">
        <v>5271</v>
      </c>
      <c r="C5272" s="3">
        <v>25</v>
      </c>
      <c r="E5272" t="s">
        <v>2447</v>
      </c>
    </row>
    <row r="5273" spans="1:5" x14ac:dyDescent="0.25">
      <c r="A5273" s="1" t="s">
        <v>5272</v>
      </c>
      <c r="C5273" s="3">
        <v>25</v>
      </c>
      <c r="E5273" t="s">
        <v>389</v>
      </c>
    </row>
    <row r="5274" spans="1:5" x14ac:dyDescent="0.25">
      <c r="A5274" s="1" t="s">
        <v>5273</v>
      </c>
      <c r="C5274" s="3">
        <v>25</v>
      </c>
      <c r="E5274" t="s">
        <v>22247</v>
      </c>
    </row>
    <row r="5275" spans="1:5" x14ac:dyDescent="0.25">
      <c r="A5275" s="1" t="s">
        <v>5274</v>
      </c>
      <c r="C5275" s="3">
        <v>25</v>
      </c>
      <c r="E5275" t="s">
        <v>2563</v>
      </c>
    </row>
    <row r="5276" spans="1:5" x14ac:dyDescent="0.25">
      <c r="A5276" s="1" t="s">
        <v>5275</v>
      </c>
      <c r="C5276" s="3">
        <v>25</v>
      </c>
      <c r="E5276" t="s">
        <v>6850</v>
      </c>
    </row>
    <row r="5277" spans="1:5" x14ac:dyDescent="0.25">
      <c r="A5277" s="1" t="s">
        <v>5276</v>
      </c>
      <c r="C5277" s="3">
        <v>25</v>
      </c>
      <c r="E5277" t="s">
        <v>5589</v>
      </c>
    </row>
    <row r="5278" spans="1:5" x14ac:dyDescent="0.25">
      <c r="A5278" s="1" t="s">
        <v>5277</v>
      </c>
      <c r="C5278" s="3">
        <v>25</v>
      </c>
      <c r="E5278" t="s">
        <v>267</v>
      </c>
    </row>
    <row r="5279" spans="1:5" x14ac:dyDescent="0.25">
      <c r="A5279" s="1" t="s">
        <v>5278</v>
      </c>
      <c r="C5279" s="3">
        <v>25</v>
      </c>
      <c r="E5279" t="s">
        <v>3622</v>
      </c>
    </row>
    <row r="5280" spans="1:5" x14ac:dyDescent="0.25">
      <c r="A5280" s="1" t="s">
        <v>5279</v>
      </c>
      <c r="C5280" s="3">
        <v>25</v>
      </c>
      <c r="E5280" t="s">
        <v>25508</v>
      </c>
    </row>
    <row r="5281" spans="1:5" x14ac:dyDescent="0.25">
      <c r="A5281" s="1" t="s">
        <v>5280</v>
      </c>
      <c r="C5281" s="3">
        <v>25</v>
      </c>
      <c r="E5281" t="s">
        <v>3236</v>
      </c>
    </row>
    <row r="5282" spans="1:5" x14ac:dyDescent="0.25">
      <c r="A5282" s="1" t="s">
        <v>5281</v>
      </c>
      <c r="C5282" s="3">
        <v>25</v>
      </c>
      <c r="E5282" t="s">
        <v>14334</v>
      </c>
    </row>
    <row r="5283" spans="1:5" x14ac:dyDescent="0.25">
      <c r="A5283" s="1" t="s">
        <v>5282</v>
      </c>
      <c r="C5283" s="3">
        <v>25</v>
      </c>
      <c r="E5283" t="s">
        <v>2197</v>
      </c>
    </row>
    <row r="5284" spans="1:5" x14ac:dyDescent="0.25">
      <c r="A5284" s="1" t="s">
        <v>5283</v>
      </c>
      <c r="C5284" s="3">
        <v>25</v>
      </c>
      <c r="E5284" t="s">
        <v>7205</v>
      </c>
    </row>
    <row r="5285" spans="1:5" x14ac:dyDescent="0.25">
      <c r="A5285" s="1" t="s">
        <v>5284</v>
      </c>
      <c r="C5285" s="3">
        <v>25</v>
      </c>
      <c r="E5285" t="s">
        <v>14061</v>
      </c>
    </row>
    <row r="5286" spans="1:5" x14ac:dyDescent="0.25">
      <c r="A5286" s="1" t="s">
        <v>5285</v>
      </c>
      <c r="C5286" s="3">
        <v>25</v>
      </c>
      <c r="E5286" t="s">
        <v>422</v>
      </c>
    </row>
    <row r="5287" spans="1:5" x14ac:dyDescent="0.25">
      <c r="A5287" s="1" t="s">
        <v>5286</v>
      </c>
      <c r="C5287" s="3">
        <v>25</v>
      </c>
      <c r="E5287" t="s">
        <v>183</v>
      </c>
    </row>
    <row r="5288" spans="1:5" x14ac:dyDescent="0.25">
      <c r="A5288" s="1" t="s">
        <v>5287</v>
      </c>
      <c r="C5288" s="3">
        <v>25</v>
      </c>
      <c r="E5288" t="s">
        <v>1464</v>
      </c>
    </row>
    <row r="5289" spans="1:5" x14ac:dyDescent="0.25">
      <c r="A5289" s="1" t="s">
        <v>5288</v>
      </c>
      <c r="C5289" s="3">
        <v>25</v>
      </c>
      <c r="E5289" t="s">
        <v>9215</v>
      </c>
    </row>
    <row r="5290" spans="1:5" x14ac:dyDescent="0.25">
      <c r="A5290" s="1" t="s">
        <v>5289</v>
      </c>
      <c r="C5290" s="3">
        <v>25</v>
      </c>
      <c r="E5290" t="s">
        <v>11728</v>
      </c>
    </row>
    <row r="5291" spans="1:5" x14ac:dyDescent="0.25">
      <c r="A5291" s="1" t="s">
        <v>5290</v>
      </c>
      <c r="C5291" s="3">
        <v>25</v>
      </c>
      <c r="E5291" t="s">
        <v>7440</v>
      </c>
    </row>
    <row r="5292" spans="1:5" x14ac:dyDescent="0.25">
      <c r="A5292" s="1" t="s">
        <v>5291</v>
      </c>
      <c r="C5292" s="3">
        <v>25</v>
      </c>
      <c r="E5292" t="s">
        <v>2857</v>
      </c>
    </row>
    <row r="5293" spans="1:5" x14ac:dyDescent="0.25">
      <c r="A5293" s="1" t="s">
        <v>5292</v>
      </c>
      <c r="C5293" s="3">
        <v>25</v>
      </c>
      <c r="E5293" t="s">
        <v>3410</v>
      </c>
    </row>
    <row r="5294" spans="1:5" x14ac:dyDescent="0.25">
      <c r="A5294" s="1" t="s">
        <v>5293</v>
      </c>
      <c r="C5294" s="3">
        <v>25</v>
      </c>
      <c r="E5294" t="s">
        <v>3770</v>
      </c>
    </row>
    <row r="5295" spans="1:5" x14ac:dyDescent="0.25">
      <c r="A5295" s="1" t="s">
        <v>5294</v>
      </c>
      <c r="C5295" s="3">
        <v>25</v>
      </c>
      <c r="E5295" t="s">
        <v>7551</v>
      </c>
    </row>
    <row r="5296" spans="1:5" x14ac:dyDescent="0.25">
      <c r="A5296" s="1" t="s">
        <v>5295</v>
      </c>
      <c r="C5296" s="3">
        <v>25</v>
      </c>
      <c r="E5296" t="s">
        <v>7868</v>
      </c>
    </row>
    <row r="5297" spans="1:5" x14ac:dyDescent="0.25">
      <c r="A5297" s="1" t="s">
        <v>5296</v>
      </c>
      <c r="C5297" s="3">
        <v>25</v>
      </c>
      <c r="E5297" t="s">
        <v>3349</v>
      </c>
    </row>
    <row r="5298" spans="1:5" x14ac:dyDescent="0.25">
      <c r="A5298" s="1" t="s">
        <v>5297</v>
      </c>
      <c r="C5298" s="3">
        <v>25</v>
      </c>
      <c r="E5298" t="s">
        <v>4431</v>
      </c>
    </row>
    <row r="5299" spans="1:5" x14ac:dyDescent="0.25">
      <c r="A5299" s="1" t="s">
        <v>5298</v>
      </c>
      <c r="C5299" s="3">
        <v>25</v>
      </c>
      <c r="E5299" t="s">
        <v>3785</v>
      </c>
    </row>
    <row r="5300" spans="1:5" x14ac:dyDescent="0.25">
      <c r="A5300" s="1" t="s">
        <v>5299</v>
      </c>
      <c r="C5300" s="3">
        <v>25</v>
      </c>
      <c r="E5300" t="s">
        <v>2866</v>
      </c>
    </row>
    <row r="5301" spans="1:5" x14ac:dyDescent="0.25">
      <c r="A5301" s="1" t="s">
        <v>5300</v>
      </c>
      <c r="C5301" s="3">
        <v>25</v>
      </c>
      <c r="E5301" t="s">
        <v>364</v>
      </c>
    </row>
    <row r="5302" spans="1:5" x14ac:dyDescent="0.25">
      <c r="A5302" s="1" t="s">
        <v>5301</v>
      </c>
      <c r="C5302" s="3">
        <v>25</v>
      </c>
      <c r="E5302" t="s">
        <v>7292</v>
      </c>
    </row>
    <row r="5303" spans="1:5" x14ac:dyDescent="0.25">
      <c r="A5303" s="1" t="s">
        <v>5302</v>
      </c>
      <c r="C5303" s="3">
        <v>25</v>
      </c>
      <c r="E5303" t="s">
        <v>3402</v>
      </c>
    </row>
    <row r="5304" spans="1:5" x14ac:dyDescent="0.25">
      <c r="A5304" s="1" t="s">
        <v>5303</v>
      </c>
      <c r="C5304" s="3">
        <v>25</v>
      </c>
      <c r="E5304" t="s">
        <v>6212</v>
      </c>
    </row>
    <row r="5305" spans="1:5" x14ac:dyDescent="0.25">
      <c r="A5305" s="1" t="s">
        <v>5304</v>
      </c>
      <c r="C5305" s="3">
        <v>25</v>
      </c>
      <c r="E5305" t="s">
        <v>2135</v>
      </c>
    </row>
    <row r="5306" spans="1:5" x14ac:dyDescent="0.25">
      <c r="A5306" s="1" t="s">
        <v>5305</v>
      </c>
      <c r="C5306" s="3">
        <v>25</v>
      </c>
      <c r="E5306" t="s">
        <v>11615</v>
      </c>
    </row>
    <row r="5307" spans="1:5" x14ac:dyDescent="0.25">
      <c r="A5307" s="1" t="s">
        <v>5306</v>
      </c>
      <c r="C5307" s="3">
        <v>25</v>
      </c>
      <c r="E5307" t="s">
        <v>7293</v>
      </c>
    </row>
    <row r="5308" spans="1:5" x14ac:dyDescent="0.25">
      <c r="A5308" s="1" t="s">
        <v>5307</v>
      </c>
      <c r="C5308" s="3">
        <v>25</v>
      </c>
      <c r="E5308" t="s">
        <v>1986</v>
      </c>
    </row>
    <row r="5309" spans="1:5" x14ac:dyDescent="0.25">
      <c r="A5309" s="1" t="s">
        <v>5308</v>
      </c>
      <c r="C5309" s="3">
        <v>25</v>
      </c>
      <c r="E5309" t="s">
        <v>5853</v>
      </c>
    </row>
    <row r="5310" spans="1:5" x14ac:dyDescent="0.25">
      <c r="A5310" s="1" t="s">
        <v>5309</v>
      </c>
      <c r="C5310" s="3">
        <v>25</v>
      </c>
      <c r="E5310" t="s">
        <v>1709</v>
      </c>
    </row>
    <row r="5311" spans="1:5" x14ac:dyDescent="0.25">
      <c r="A5311" s="1" t="s">
        <v>5310</v>
      </c>
      <c r="C5311" s="3">
        <v>25</v>
      </c>
      <c r="E5311" t="s">
        <v>3268</v>
      </c>
    </row>
    <row r="5312" spans="1:5" x14ac:dyDescent="0.25">
      <c r="A5312" s="1" t="s">
        <v>5311</v>
      </c>
      <c r="C5312" s="3">
        <v>25</v>
      </c>
      <c r="E5312" t="s">
        <v>7213</v>
      </c>
    </row>
    <row r="5313" spans="1:5" x14ac:dyDescent="0.25">
      <c r="A5313" s="1" t="s">
        <v>5312</v>
      </c>
      <c r="C5313" s="3">
        <v>25</v>
      </c>
      <c r="E5313" t="s">
        <v>2565</v>
      </c>
    </row>
    <row r="5314" spans="1:5" x14ac:dyDescent="0.25">
      <c r="A5314" s="1" t="s">
        <v>5313</v>
      </c>
      <c r="C5314" s="3">
        <v>25</v>
      </c>
      <c r="E5314" t="s">
        <v>8710</v>
      </c>
    </row>
    <row r="5315" spans="1:5" x14ac:dyDescent="0.25">
      <c r="A5315" s="1" t="s">
        <v>5314</v>
      </c>
      <c r="C5315" s="3">
        <v>25</v>
      </c>
      <c r="E5315" t="s">
        <v>14876</v>
      </c>
    </row>
    <row r="5316" spans="1:5" x14ac:dyDescent="0.25">
      <c r="A5316" s="1" t="s">
        <v>5315</v>
      </c>
      <c r="C5316" s="3">
        <v>25</v>
      </c>
      <c r="E5316" t="s">
        <v>14518</v>
      </c>
    </row>
    <row r="5317" spans="1:5" x14ac:dyDescent="0.25">
      <c r="A5317" s="1" t="s">
        <v>5316</v>
      </c>
      <c r="C5317" s="3">
        <v>25</v>
      </c>
      <c r="E5317" t="s">
        <v>5334</v>
      </c>
    </row>
    <row r="5318" spans="1:5" x14ac:dyDescent="0.25">
      <c r="A5318" s="1" t="s">
        <v>5317</v>
      </c>
      <c r="C5318" s="3">
        <v>25</v>
      </c>
      <c r="E5318" t="s">
        <v>8827</v>
      </c>
    </row>
    <row r="5319" spans="1:5" x14ac:dyDescent="0.25">
      <c r="A5319" s="1" t="s">
        <v>5318</v>
      </c>
      <c r="C5319" s="3">
        <v>25</v>
      </c>
      <c r="E5319" t="s">
        <v>7542</v>
      </c>
    </row>
    <row r="5320" spans="1:5" x14ac:dyDescent="0.25">
      <c r="A5320" s="1" t="s">
        <v>5319</v>
      </c>
      <c r="C5320" s="3">
        <v>25</v>
      </c>
      <c r="E5320" t="s">
        <v>13840</v>
      </c>
    </row>
    <row r="5321" spans="1:5" x14ac:dyDescent="0.25">
      <c r="A5321" s="1" t="s">
        <v>5320</v>
      </c>
      <c r="C5321" s="3">
        <v>25</v>
      </c>
      <c r="E5321" t="s">
        <v>18275</v>
      </c>
    </row>
    <row r="5322" spans="1:5" x14ac:dyDescent="0.25">
      <c r="A5322" s="1" t="s">
        <v>5321</v>
      </c>
      <c r="C5322" s="3">
        <v>25</v>
      </c>
      <c r="E5322" t="s">
        <v>4478</v>
      </c>
    </row>
    <row r="5323" spans="1:5" x14ac:dyDescent="0.25">
      <c r="A5323" s="1" t="s">
        <v>5322</v>
      </c>
      <c r="C5323" s="3">
        <v>25</v>
      </c>
      <c r="E5323" t="s">
        <v>4139</v>
      </c>
    </row>
    <row r="5324" spans="1:5" x14ac:dyDescent="0.25">
      <c r="A5324" s="1" t="s">
        <v>5323</v>
      </c>
      <c r="C5324" s="3">
        <v>25</v>
      </c>
      <c r="E5324" t="s">
        <v>7994</v>
      </c>
    </row>
    <row r="5325" spans="1:5" x14ac:dyDescent="0.25">
      <c r="A5325" s="1" t="s">
        <v>5324</v>
      </c>
      <c r="C5325" s="3">
        <v>25</v>
      </c>
      <c r="E5325" t="s">
        <v>14289</v>
      </c>
    </row>
    <row r="5326" spans="1:5" x14ac:dyDescent="0.25">
      <c r="A5326" s="1" t="s">
        <v>5325</v>
      </c>
      <c r="C5326" s="3">
        <v>25</v>
      </c>
      <c r="E5326" t="s">
        <v>5076</v>
      </c>
    </row>
    <row r="5327" spans="1:5" x14ac:dyDescent="0.25">
      <c r="A5327" s="1" t="s">
        <v>5326</v>
      </c>
      <c r="C5327" s="3">
        <v>25</v>
      </c>
      <c r="E5327" t="s">
        <v>3323</v>
      </c>
    </row>
    <row r="5328" spans="1:5" x14ac:dyDescent="0.25">
      <c r="A5328" s="1" t="s">
        <v>5327</v>
      </c>
      <c r="C5328" s="3">
        <v>25</v>
      </c>
      <c r="E5328" t="s">
        <v>890</v>
      </c>
    </row>
    <row r="5329" spans="1:5" x14ac:dyDescent="0.25">
      <c r="A5329" s="1" t="s">
        <v>5328</v>
      </c>
      <c r="C5329" s="3">
        <v>25</v>
      </c>
      <c r="E5329" t="s">
        <v>18280</v>
      </c>
    </row>
    <row r="5330" spans="1:5" x14ac:dyDescent="0.25">
      <c r="A5330" s="1" t="s">
        <v>5329</v>
      </c>
      <c r="C5330" s="3">
        <v>25</v>
      </c>
      <c r="E5330" t="s">
        <v>1494</v>
      </c>
    </row>
    <row r="5331" spans="1:5" x14ac:dyDescent="0.25">
      <c r="A5331" s="1" t="s">
        <v>5330</v>
      </c>
      <c r="C5331" s="3">
        <v>25</v>
      </c>
      <c r="E5331" t="s">
        <v>18467</v>
      </c>
    </row>
    <row r="5332" spans="1:5" x14ac:dyDescent="0.25">
      <c r="A5332" s="1" t="s">
        <v>5331</v>
      </c>
      <c r="C5332" s="3">
        <v>25</v>
      </c>
      <c r="E5332" t="s">
        <v>7288</v>
      </c>
    </row>
    <row r="5333" spans="1:5" x14ac:dyDescent="0.25">
      <c r="A5333" s="1" t="s">
        <v>5332</v>
      </c>
      <c r="C5333" s="3">
        <v>25</v>
      </c>
      <c r="E5333" t="s">
        <v>2766</v>
      </c>
    </row>
    <row r="5334" spans="1:5" x14ac:dyDescent="0.25">
      <c r="A5334" s="1" t="s">
        <v>5333</v>
      </c>
      <c r="C5334" s="3">
        <v>25</v>
      </c>
      <c r="E5334" t="s">
        <v>11729</v>
      </c>
    </row>
    <row r="5335" spans="1:5" x14ac:dyDescent="0.25">
      <c r="A5335" s="1" t="s">
        <v>5334</v>
      </c>
      <c r="C5335" s="3">
        <v>25</v>
      </c>
      <c r="E5335" t="s">
        <v>23132</v>
      </c>
    </row>
    <row r="5336" spans="1:5" x14ac:dyDescent="0.25">
      <c r="A5336" s="1" t="s">
        <v>5335</v>
      </c>
      <c r="C5336" s="3">
        <v>25</v>
      </c>
      <c r="E5336" t="s">
        <v>9776</v>
      </c>
    </row>
    <row r="5337" spans="1:5" x14ac:dyDescent="0.25">
      <c r="A5337" s="1" t="s">
        <v>5336</v>
      </c>
      <c r="C5337" s="3">
        <v>25</v>
      </c>
      <c r="E5337" t="s">
        <v>321</v>
      </c>
    </row>
    <row r="5338" spans="1:5" x14ac:dyDescent="0.25">
      <c r="A5338" s="1" t="s">
        <v>5337</v>
      </c>
      <c r="C5338" s="3">
        <v>25</v>
      </c>
      <c r="E5338" t="s">
        <v>3764</v>
      </c>
    </row>
    <row r="5339" spans="1:5" x14ac:dyDescent="0.25">
      <c r="A5339" s="1" t="s">
        <v>5338</v>
      </c>
      <c r="C5339" s="3">
        <v>25</v>
      </c>
      <c r="E5339" t="s">
        <v>2123</v>
      </c>
    </row>
    <row r="5340" spans="1:5" x14ac:dyDescent="0.25">
      <c r="A5340" s="1" t="s">
        <v>5339</v>
      </c>
      <c r="C5340" s="3">
        <v>25</v>
      </c>
      <c r="E5340" t="s">
        <v>739</v>
      </c>
    </row>
    <row r="5341" spans="1:5" x14ac:dyDescent="0.25">
      <c r="A5341" s="1" t="s">
        <v>5340</v>
      </c>
      <c r="C5341" s="3">
        <v>25</v>
      </c>
      <c r="E5341" t="s">
        <v>3648</v>
      </c>
    </row>
    <row r="5342" spans="1:5" x14ac:dyDescent="0.25">
      <c r="A5342" s="1" t="s">
        <v>5341</v>
      </c>
      <c r="C5342" s="3">
        <v>25</v>
      </c>
      <c r="E5342" t="s">
        <v>15258</v>
      </c>
    </row>
    <row r="5343" spans="1:5" x14ac:dyDescent="0.25">
      <c r="A5343" s="1" t="s">
        <v>5342</v>
      </c>
      <c r="C5343" s="3">
        <v>25</v>
      </c>
      <c r="E5343" t="s">
        <v>648</v>
      </c>
    </row>
    <row r="5344" spans="1:5" x14ac:dyDescent="0.25">
      <c r="A5344" s="1" t="s">
        <v>5343</v>
      </c>
      <c r="C5344" s="3">
        <v>25</v>
      </c>
      <c r="E5344" t="s">
        <v>5500</v>
      </c>
    </row>
    <row r="5345" spans="1:5" x14ac:dyDescent="0.25">
      <c r="A5345" s="1" t="s">
        <v>5344</v>
      </c>
      <c r="C5345" s="3">
        <v>25</v>
      </c>
      <c r="E5345" t="s">
        <v>4958</v>
      </c>
    </row>
    <row r="5346" spans="1:5" x14ac:dyDescent="0.25">
      <c r="A5346" s="1" t="s">
        <v>5345</v>
      </c>
      <c r="C5346" s="3">
        <v>25</v>
      </c>
      <c r="E5346" t="s">
        <v>9196</v>
      </c>
    </row>
    <row r="5347" spans="1:5" x14ac:dyDescent="0.25">
      <c r="A5347" s="1" t="s">
        <v>5346</v>
      </c>
      <c r="C5347" s="3">
        <v>25</v>
      </c>
      <c r="E5347" t="s">
        <v>540</v>
      </c>
    </row>
    <row r="5348" spans="1:5" x14ac:dyDescent="0.25">
      <c r="A5348" s="1" t="s">
        <v>5347</v>
      </c>
      <c r="C5348" s="3">
        <v>25</v>
      </c>
      <c r="E5348" t="s">
        <v>9497</v>
      </c>
    </row>
    <row r="5349" spans="1:5" x14ac:dyDescent="0.25">
      <c r="A5349" s="1" t="s">
        <v>5348</v>
      </c>
      <c r="C5349" s="3">
        <v>25</v>
      </c>
      <c r="E5349" t="s">
        <v>119</v>
      </c>
    </row>
    <row r="5350" spans="1:5" x14ac:dyDescent="0.25">
      <c r="A5350" s="1" t="s">
        <v>5349</v>
      </c>
      <c r="C5350" s="3">
        <v>25</v>
      </c>
      <c r="E5350" t="s">
        <v>2434</v>
      </c>
    </row>
    <row r="5351" spans="1:5" x14ac:dyDescent="0.25">
      <c r="A5351" s="1" t="s">
        <v>5350</v>
      </c>
      <c r="C5351" s="3">
        <v>25</v>
      </c>
      <c r="E5351" t="s">
        <v>2336</v>
      </c>
    </row>
    <row r="5352" spans="1:5" x14ac:dyDescent="0.25">
      <c r="A5352" s="1" t="s">
        <v>5351</v>
      </c>
      <c r="C5352" s="3">
        <v>25</v>
      </c>
      <c r="E5352" t="s">
        <v>795</v>
      </c>
    </row>
    <row r="5353" spans="1:5" x14ac:dyDescent="0.25">
      <c r="A5353" s="1" t="s">
        <v>5352</v>
      </c>
      <c r="C5353" s="3">
        <v>25</v>
      </c>
      <c r="E5353" t="s">
        <v>2843</v>
      </c>
    </row>
    <row r="5354" spans="1:5" x14ac:dyDescent="0.25">
      <c r="A5354" s="1" t="s">
        <v>5353</v>
      </c>
      <c r="C5354" s="3">
        <v>25</v>
      </c>
      <c r="E5354" t="s">
        <v>765</v>
      </c>
    </row>
    <row r="5355" spans="1:5" x14ac:dyDescent="0.25">
      <c r="A5355" s="1" t="s">
        <v>5354</v>
      </c>
      <c r="C5355" s="3">
        <v>25</v>
      </c>
      <c r="E5355" t="s">
        <v>2987</v>
      </c>
    </row>
    <row r="5356" spans="1:5" x14ac:dyDescent="0.25">
      <c r="A5356" s="1" t="s">
        <v>5355</v>
      </c>
      <c r="C5356" s="3">
        <v>25</v>
      </c>
      <c r="E5356" t="s">
        <v>9379</v>
      </c>
    </row>
    <row r="5357" spans="1:5" x14ac:dyDescent="0.25">
      <c r="A5357" s="1" t="s">
        <v>5356</v>
      </c>
      <c r="C5357" s="3">
        <v>25</v>
      </c>
      <c r="E5357" t="s">
        <v>4595</v>
      </c>
    </row>
    <row r="5358" spans="1:5" x14ac:dyDescent="0.25">
      <c r="A5358" s="1" t="s">
        <v>5357</v>
      </c>
      <c r="C5358" s="3">
        <v>25</v>
      </c>
      <c r="E5358" t="s">
        <v>18818</v>
      </c>
    </row>
    <row r="5359" spans="1:5" x14ac:dyDescent="0.25">
      <c r="A5359" s="1" t="s">
        <v>5358</v>
      </c>
      <c r="C5359" s="3">
        <v>25</v>
      </c>
      <c r="E5359" t="s">
        <v>4026</v>
      </c>
    </row>
    <row r="5360" spans="1:5" x14ac:dyDescent="0.25">
      <c r="A5360" s="1" t="s">
        <v>5359</v>
      </c>
      <c r="C5360" s="3">
        <v>25</v>
      </c>
      <c r="E5360" t="s">
        <v>8839</v>
      </c>
    </row>
    <row r="5361" spans="1:5" x14ac:dyDescent="0.25">
      <c r="A5361" s="1" t="s">
        <v>5360</v>
      </c>
      <c r="C5361" s="3">
        <v>25</v>
      </c>
      <c r="E5361" t="s">
        <v>15428</v>
      </c>
    </row>
    <row r="5362" spans="1:5" x14ac:dyDescent="0.25">
      <c r="A5362" s="1" t="s">
        <v>5361</v>
      </c>
      <c r="C5362" s="3">
        <v>25</v>
      </c>
      <c r="E5362" t="s">
        <v>1939</v>
      </c>
    </row>
    <row r="5363" spans="1:5" x14ac:dyDescent="0.25">
      <c r="A5363" s="1" t="s">
        <v>5362</v>
      </c>
      <c r="C5363" s="3">
        <v>25</v>
      </c>
      <c r="E5363" t="s">
        <v>8747</v>
      </c>
    </row>
    <row r="5364" spans="1:5" x14ac:dyDescent="0.25">
      <c r="A5364" s="1" t="s">
        <v>5363</v>
      </c>
      <c r="C5364" s="3">
        <v>25</v>
      </c>
      <c r="E5364" t="s">
        <v>9381</v>
      </c>
    </row>
    <row r="5365" spans="1:5" x14ac:dyDescent="0.25">
      <c r="A5365" s="1" t="s">
        <v>5364</v>
      </c>
      <c r="C5365" s="3">
        <v>25</v>
      </c>
      <c r="E5365" t="s">
        <v>9323</v>
      </c>
    </row>
    <row r="5366" spans="1:5" x14ac:dyDescent="0.25">
      <c r="A5366" s="1" t="s">
        <v>5365</v>
      </c>
      <c r="C5366" s="3">
        <v>25</v>
      </c>
      <c r="E5366" t="s">
        <v>781</v>
      </c>
    </row>
    <row r="5367" spans="1:5" x14ac:dyDescent="0.25">
      <c r="A5367" s="1" t="s">
        <v>5366</v>
      </c>
      <c r="C5367" s="3">
        <v>25</v>
      </c>
      <c r="E5367" t="s">
        <v>3701</v>
      </c>
    </row>
    <row r="5368" spans="1:5" x14ac:dyDescent="0.25">
      <c r="A5368" s="1" t="s">
        <v>5367</v>
      </c>
      <c r="C5368" s="3">
        <v>25</v>
      </c>
      <c r="E5368" t="s">
        <v>6067</v>
      </c>
    </row>
    <row r="5369" spans="1:5" x14ac:dyDescent="0.25">
      <c r="A5369" s="1" t="s">
        <v>5368</v>
      </c>
      <c r="C5369" s="3">
        <v>25</v>
      </c>
      <c r="E5369" t="s">
        <v>1521</v>
      </c>
    </row>
    <row r="5370" spans="1:5" x14ac:dyDescent="0.25">
      <c r="A5370" s="1" t="s">
        <v>5369</v>
      </c>
      <c r="C5370" s="3">
        <v>25</v>
      </c>
      <c r="E5370" t="s">
        <v>4837</v>
      </c>
    </row>
    <row r="5371" spans="1:5" x14ac:dyDescent="0.25">
      <c r="A5371" s="1" t="s">
        <v>5370</v>
      </c>
      <c r="C5371" s="3">
        <v>25</v>
      </c>
      <c r="E5371" t="s">
        <v>7193</v>
      </c>
    </row>
    <row r="5372" spans="1:5" x14ac:dyDescent="0.25">
      <c r="A5372" s="1" t="s">
        <v>5371</v>
      </c>
      <c r="C5372" s="3">
        <v>25</v>
      </c>
      <c r="E5372" t="s">
        <v>3518</v>
      </c>
    </row>
    <row r="5373" spans="1:5" x14ac:dyDescent="0.25">
      <c r="A5373" s="1" t="s">
        <v>5372</v>
      </c>
      <c r="C5373" s="3">
        <v>25</v>
      </c>
      <c r="E5373" t="s">
        <v>9819</v>
      </c>
    </row>
    <row r="5374" spans="1:5" x14ac:dyDescent="0.25">
      <c r="A5374" s="1" t="s">
        <v>5373</v>
      </c>
      <c r="C5374" s="3">
        <v>25</v>
      </c>
      <c r="E5374" t="s">
        <v>718</v>
      </c>
    </row>
    <row r="5375" spans="1:5" x14ac:dyDescent="0.25">
      <c r="A5375" s="1" t="s">
        <v>5374</v>
      </c>
      <c r="C5375" s="3">
        <v>25</v>
      </c>
      <c r="E5375" t="s">
        <v>14314</v>
      </c>
    </row>
    <row r="5376" spans="1:5" x14ac:dyDescent="0.25">
      <c r="A5376" s="1" t="s">
        <v>5375</v>
      </c>
      <c r="C5376" s="3">
        <v>25</v>
      </c>
      <c r="E5376" t="s">
        <v>1587</v>
      </c>
    </row>
    <row r="5377" spans="1:5" x14ac:dyDescent="0.25">
      <c r="A5377" s="1" t="s">
        <v>5376</v>
      </c>
      <c r="C5377" s="3">
        <v>25</v>
      </c>
      <c r="E5377" t="s">
        <v>16572</v>
      </c>
    </row>
    <row r="5378" spans="1:5" x14ac:dyDescent="0.25">
      <c r="A5378" s="1" t="s">
        <v>5377</v>
      </c>
      <c r="C5378" s="3">
        <v>25</v>
      </c>
      <c r="E5378" t="s">
        <v>5775</v>
      </c>
    </row>
    <row r="5379" spans="1:5" x14ac:dyDescent="0.25">
      <c r="A5379" s="1" t="s">
        <v>5378</v>
      </c>
      <c r="C5379" s="3">
        <v>25</v>
      </c>
      <c r="E5379" t="s">
        <v>6371</v>
      </c>
    </row>
    <row r="5380" spans="1:5" x14ac:dyDescent="0.25">
      <c r="A5380" s="1" t="s">
        <v>5379</v>
      </c>
      <c r="C5380" s="3">
        <v>25</v>
      </c>
      <c r="E5380" t="s">
        <v>910</v>
      </c>
    </row>
    <row r="5381" spans="1:5" x14ac:dyDescent="0.25">
      <c r="A5381" s="1" t="s">
        <v>5380</v>
      </c>
      <c r="C5381" s="3">
        <v>25</v>
      </c>
      <c r="E5381" t="s">
        <v>15663</v>
      </c>
    </row>
    <row r="5382" spans="1:5" x14ac:dyDescent="0.25">
      <c r="A5382" s="1" t="s">
        <v>5381</v>
      </c>
      <c r="C5382" s="3">
        <v>25</v>
      </c>
      <c r="E5382" t="s">
        <v>8568</v>
      </c>
    </row>
    <row r="5383" spans="1:5" x14ac:dyDescent="0.25">
      <c r="A5383" s="1" t="s">
        <v>5382</v>
      </c>
      <c r="C5383" s="3">
        <v>25</v>
      </c>
      <c r="E5383" t="s">
        <v>6892</v>
      </c>
    </row>
    <row r="5384" spans="1:5" x14ac:dyDescent="0.25">
      <c r="A5384" s="1" t="s">
        <v>5383</v>
      </c>
      <c r="C5384" s="3">
        <v>25</v>
      </c>
      <c r="E5384" t="s">
        <v>2566</v>
      </c>
    </row>
    <row r="5385" spans="1:5" x14ac:dyDescent="0.25">
      <c r="A5385" s="1" t="s">
        <v>5384</v>
      </c>
      <c r="C5385" s="3">
        <v>25</v>
      </c>
      <c r="E5385" t="s">
        <v>10220</v>
      </c>
    </row>
    <row r="5386" spans="1:5" x14ac:dyDescent="0.25">
      <c r="A5386" s="1" t="s">
        <v>5385</v>
      </c>
      <c r="C5386" s="3">
        <v>25</v>
      </c>
      <c r="E5386" t="s">
        <v>8372</v>
      </c>
    </row>
    <row r="5387" spans="1:5" x14ac:dyDescent="0.25">
      <c r="A5387" s="1" t="s">
        <v>5386</v>
      </c>
      <c r="C5387" s="3">
        <v>25</v>
      </c>
      <c r="E5387" t="s">
        <v>329</v>
      </c>
    </row>
    <row r="5388" spans="1:5" x14ac:dyDescent="0.25">
      <c r="A5388" s="1" t="s">
        <v>5387</v>
      </c>
      <c r="C5388" s="3">
        <v>25</v>
      </c>
      <c r="E5388" t="s">
        <v>14945</v>
      </c>
    </row>
    <row r="5389" spans="1:5" x14ac:dyDescent="0.25">
      <c r="A5389" s="1" t="s">
        <v>5388</v>
      </c>
      <c r="C5389" s="3">
        <v>24</v>
      </c>
      <c r="E5389" t="s">
        <v>1789</v>
      </c>
    </row>
    <row r="5390" spans="1:5" x14ac:dyDescent="0.25">
      <c r="A5390" s="1" t="s">
        <v>5389</v>
      </c>
      <c r="C5390" s="3">
        <v>24</v>
      </c>
      <c r="E5390" t="s">
        <v>4319</v>
      </c>
    </row>
    <row r="5391" spans="1:5" x14ac:dyDescent="0.25">
      <c r="A5391" s="1" t="s">
        <v>5390</v>
      </c>
      <c r="C5391" s="3">
        <v>24</v>
      </c>
      <c r="E5391" t="s">
        <v>1596</v>
      </c>
    </row>
    <row r="5392" spans="1:5" x14ac:dyDescent="0.25">
      <c r="A5392" s="1" t="s">
        <v>5391</v>
      </c>
      <c r="C5392" s="3">
        <v>24</v>
      </c>
      <c r="E5392" t="s">
        <v>9428</v>
      </c>
    </row>
    <row r="5393" spans="1:5" x14ac:dyDescent="0.25">
      <c r="A5393" s="1" t="s">
        <v>5392</v>
      </c>
      <c r="C5393" s="3">
        <v>24</v>
      </c>
      <c r="E5393" t="s">
        <v>965</v>
      </c>
    </row>
    <row r="5394" spans="1:5" x14ac:dyDescent="0.25">
      <c r="A5394" s="1" t="s">
        <v>5393</v>
      </c>
      <c r="C5394" s="3">
        <v>24</v>
      </c>
      <c r="E5394" t="s">
        <v>1379</v>
      </c>
    </row>
    <row r="5395" spans="1:5" x14ac:dyDescent="0.25">
      <c r="A5395" s="1" t="s">
        <v>5394</v>
      </c>
      <c r="C5395" s="3">
        <v>24</v>
      </c>
      <c r="E5395" t="s">
        <v>16748</v>
      </c>
    </row>
    <row r="5396" spans="1:5" x14ac:dyDescent="0.25">
      <c r="A5396" s="1" t="s">
        <v>5395</v>
      </c>
      <c r="C5396" s="3">
        <v>24</v>
      </c>
      <c r="E5396" t="s">
        <v>51</v>
      </c>
    </row>
    <row r="5397" spans="1:5" x14ac:dyDescent="0.25">
      <c r="A5397" s="1" t="s">
        <v>5396</v>
      </c>
      <c r="C5397" s="3">
        <v>24</v>
      </c>
      <c r="E5397" t="s">
        <v>565</v>
      </c>
    </row>
    <row r="5398" spans="1:5" x14ac:dyDescent="0.25">
      <c r="A5398" s="1" t="s">
        <v>5397</v>
      </c>
      <c r="C5398" s="3">
        <v>24</v>
      </c>
      <c r="E5398" t="s">
        <v>5274</v>
      </c>
    </row>
    <row r="5399" spans="1:5" x14ac:dyDescent="0.25">
      <c r="A5399" s="1" t="s">
        <v>5398</v>
      </c>
      <c r="C5399" s="3">
        <v>24</v>
      </c>
      <c r="E5399" t="s">
        <v>1036</v>
      </c>
    </row>
    <row r="5400" spans="1:5" x14ac:dyDescent="0.25">
      <c r="A5400" s="1" t="s">
        <v>5399</v>
      </c>
      <c r="C5400" s="3">
        <v>24</v>
      </c>
      <c r="E5400" t="s">
        <v>3912</v>
      </c>
    </row>
    <row r="5401" spans="1:5" x14ac:dyDescent="0.25">
      <c r="A5401" s="1" t="s">
        <v>5400</v>
      </c>
      <c r="C5401" s="3">
        <v>24</v>
      </c>
      <c r="E5401" t="s">
        <v>9836</v>
      </c>
    </row>
    <row r="5402" spans="1:5" x14ac:dyDescent="0.25">
      <c r="A5402" s="1" t="s">
        <v>5401</v>
      </c>
      <c r="C5402" s="3">
        <v>24</v>
      </c>
      <c r="E5402" t="s">
        <v>296</v>
      </c>
    </row>
    <row r="5403" spans="1:5" x14ac:dyDescent="0.25">
      <c r="A5403" s="1" t="s">
        <v>5402</v>
      </c>
      <c r="C5403" s="3">
        <v>24</v>
      </c>
      <c r="E5403" t="s">
        <v>18234</v>
      </c>
    </row>
    <row r="5404" spans="1:5" x14ac:dyDescent="0.25">
      <c r="A5404" s="1" t="s">
        <v>5403</v>
      </c>
      <c r="C5404" s="3">
        <v>24</v>
      </c>
      <c r="E5404" t="s">
        <v>2468</v>
      </c>
    </row>
    <row r="5405" spans="1:5" x14ac:dyDescent="0.25">
      <c r="A5405" s="1" t="s">
        <v>5404</v>
      </c>
      <c r="C5405" s="3">
        <v>24</v>
      </c>
      <c r="E5405" t="s">
        <v>11001</v>
      </c>
    </row>
    <row r="5406" spans="1:5" x14ac:dyDescent="0.25">
      <c r="A5406" s="1" t="s">
        <v>5405</v>
      </c>
      <c r="C5406" s="3">
        <v>24</v>
      </c>
      <c r="E5406" t="s">
        <v>10085</v>
      </c>
    </row>
    <row r="5407" spans="1:5" x14ac:dyDescent="0.25">
      <c r="A5407" s="1" t="s">
        <v>5406</v>
      </c>
      <c r="C5407" s="3">
        <v>24</v>
      </c>
      <c r="E5407" t="s">
        <v>4300</v>
      </c>
    </row>
    <row r="5408" spans="1:5" x14ac:dyDescent="0.25">
      <c r="A5408" s="1" t="s">
        <v>5407</v>
      </c>
      <c r="C5408" s="3">
        <v>24</v>
      </c>
      <c r="E5408" t="s">
        <v>498</v>
      </c>
    </row>
    <row r="5409" spans="1:5" x14ac:dyDescent="0.25">
      <c r="A5409" s="1" t="s">
        <v>5408</v>
      </c>
      <c r="C5409" s="3">
        <v>24</v>
      </c>
      <c r="E5409" t="s">
        <v>4887</v>
      </c>
    </row>
    <row r="5410" spans="1:5" x14ac:dyDescent="0.25">
      <c r="A5410" s="1" t="s">
        <v>5409</v>
      </c>
      <c r="C5410" s="3">
        <v>24</v>
      </c>
      <c r="E5410" t="s">
        <v>1140</v>
      </c>
    </row>
    <row r="5411" spans="1:5" x14ac:dyDescent="0.25">
      <c r="A5411" s="1" t="s">
        <v>5410</v>
      </c>
      <c r="C5411" s="3">
        <v>24</v>
      </c>
      <c r="E5411" t="s">
        <v>4773</v>
      </c>
    </row>
    <row r="5412" spans="1:5" x14ac:dyDescent="0.25">
      <c r="A5412" s="1" t="s">
        <v>5411</v>
      </c>
      <c r="C5412" s="3">
        <v>24</v>
      </c>
      <c r="E5412" t="s">
        <v>2640</v>
      </c>
    </row>
    <row r="5413" spans="1:5" x14ac:dyDescent="0.25">
      <c r="A5413" s="1" t="s">
        <v>5412</v>
      </c>
      <c r="C5413" s="3">
        <v>24</v>
      </c>
      <c r="E5413" t="s">
        <v>2922</v>
      </c>
    </row>
    <row r="5414" spans="1:5" x14ac:dyDescent="0.25">
      <c r="A5414" s="1" t="s">
        <v>5413</v>
      </c>
      <c r="C5414" s="3">
        <v>24</v>
      </c>
      <c r="E5414" t="s">
        <v>862</v>
      </c>
    </row>
    <row r="5415" spans="1:5" x14ac:dyDescent="0.25">
      <c r="A5415" s="1" t="s">
        <v>5414</v>
      </c>
      <c r="C5415" s="3">
        <v>24</v>
      </c>
      <c r="E5415" t="s">
        <v>236</v>
      </c>
    </row>
    <row r="5416" spans="1:5" x14ac:dyDescent="0.25">
      <c r="A5416" s="1" t="s">
        <v>5415</v>
      </c>
      <c r="C5416" s="3">
        <v>24</v>
      </c>
      <c r="E5416" t="s">
        <v>1954</v>
      </c>
    </row>
    <row r="5417" spans="1:5" x14ac:dyDescent="0.25">
      <c r="A5417" s="1" t="s">
        <v>5416</v>
      </c>
      <c r="C5417" s="3">
        <v>24</v>
      </c>
      <c r="E5417" t="s">
        <v>506</v>
      </c>
    </row>
    <row r="5418" spans="1:5" x14ac:dyDescent="0.25">
      <c r="A5418" s="1" t="s">
        <v>5417</v>
      </c>
      <c r="C5418" s="3">
        <v>24</v>
      </c>
      <c r="E5418" t="s">
        <v>1164</v>
      </c>
    </row>
    <row r="5419" spans="1:5" x14ac:dyDescent="0.25">
      <c r="A5419" s="1" t="s">
        <v>5418</v>
      </c>
      <c r="C5419" s="3">
        <v>24</v>
      </c>
      <c r="E5419" t="s">
        <v>9114</v>
      </c>
    </row>
    <row r="5420" spans="1:5" x14ac:dyDescent="0.25">
      <c r="A5420" s="1" t="s">
        <v>5419</v>
      </c>
      <c r="C5420" s="3">
        <v>24</v>
      </c>
      <c r="E5420" t="s">
        <v>21327</v>
      </c>
    </row>
    <row r="5421" spans="1:5" x14ac:dyDescent="0.25">
      <c r="A5421" s="1" t="s">
        <v>5420</v>
      </c>
      <c r="C5421" s="3">
        <v>24</v>
      </c>
      <c r="E5421" t="s">
        <v>3311</v>
      </c>
    </row>
    <row r="5422" spans="1:5" x14ac:dyDescent="0.25">
      <c r="A5422" s="1" t="s">
        <v>5421</v>
      </c>
      <c r="C5422" s="3">
        <v>24</v>
      </c>
      <c r="E5422" t="s">
        <v>1203</v>
      </c>
    </row>
    <row r="5423" spans="1:5" x14ac:dyDescent="0.25">
      <c r="A5423" s="1" t="s">
        <v>5422</v>
      </c>
      <c r="C5423" s="3">
        <v>24</v>
      </c>
      <c r="E5423" t="s">
        <v>1045</v>
      </c>
    </row>
    <row r="5424" spans="1:5" x14ac:dyDescent="0.25">
      <c r="A5424" s="1" t="s">
        <v>5423</v>
      </c>
      <c r="C5424" s="3">
        <v>24</v>
      </c>
      <c r="E5424" t="s">
        <v>20605</v>
      </c>
    </row>
    <row r="5425" spans="1:5" x14ac:dyDescent="0.25">
      <c r="A5425" s="1" t="s">
        <v>5424</v>
      </c>
      <c r="C5425" s="3">
        <v>24</v>
      </c>
      <c r="E5425" t="s">
        <v>9105</v>
      </c>
    </row>
    <row r="5426" spans="1:5" x14ac:dyDescent="0.25">
      <c r="A5426" s="1" t="s">
        <v>5425</v>
      </c>
      <c r="C5426" s="3">
        <v>24</v>
      </c>
      <c r="E5426" t="s">
        <v>956</v>
      </c>
    </row>
    <row r="5427" spans="1:5" x14ac:dyDescent="0.25">
      <c r="A5427" s="1" t="s">
        <v>5426</v>
      </c>
      <c r="C5427" s="3">
        <v>24</v>
      </c>
      <c r="E5427" t="s">
        <v>10649</v>
      </c>
    </row>
    <row r="5428" spans="1:5" x14ac:dyDescent="0.25">
      <c r="A5428" s="1" t="s">
        <v>5427</v>
      </c>
      <c r="C5428" s="3">
        <v>24</v>
      </c>
      <c r="E5428" t="s">
        <v>5011</v>
      </c>
    </row>
    <row r="5429" spans="1:5" x14ac:dyDescent="0.25">
      <c r="A5429" s="1" t="s">
        <v>5428</v>
      </c>
      <c r="C5429" s="3">
        <v>24</v>
      </c>
      <c r="E5429" t="s">
        <v>1971</v>
      </c>
    </row>
    <row r="5430" spans="1:5" x14ac:dyDescent="0.25">
      <c r="A5430" s="1" t="s">
        <v>5429</v>
      </c>
      <c r="C5430" s="3">
        <v>24</v>
      </c>
      <c r="E5430" t="s">
        <v>641</v>
      </c>
    </row>
    <row r="5431" spans="1:5" x14ac:dyDescent="0.25">
      <c r="A5431" s="1" t="s">
        <v>5430</v>
      </c>
      <c r="C5431" s="3">
        <v>24</v>
      </c>
      <c r="E5431" t="s">
        <v>3972</v>
      </c>
    </row>
    <row r="5432" spans="1:5" x14ac:dyDescent="0.25">
      <c r="A5432" s="1" t="s">
        <v>5431</v>
      </c>
      <c r="C5432" s="3">
        <v>24</v>
      </c>
      <c r="E5432" t="s">
        <v>707</v>
      </c>
    </row>
    <row r="5433" spans="1:5" x14ac:dyDescent="0.25">
      <c r="A5433" s="1" t="s">
        <v>5432</v>
      </c>
      <c r="C5433" s="3">
        <v>24</v>
      </c>
      <c r="E5433" t="s">
        <v>1967</v>
      </c>
    </row>
    <row r="5434" spans="1:5" x14ac:dyDescent="0.25">
      <c r="A5434" s="1" t="s">
        <v>5433</v>
      </c>
      <c r="C5434" s="3">
        <v>24</v>
      </c>
      <c r="E5434" t="s">
        <v>3114</v>
      </c>
    </row>
    <row r="5435" spans="1:5" x14ac:dyDescent="0.25">
      <c r="A5435" s="1" t="s">
        <v>5434</v>
      </c>
      <c r="C5435" s="3">
        <v>24</v>
      </c>
      <c r="E5435" t="s">
        <v>4070</v>
      </c>
    </row>
    <row r="5436" spans="1:5" x14ac:dyDescent="0.25">
      <c r="A5436" s="1" t="s">
        <v>5435</v>
      </c>
      <c r="C5436" s="3">
        <v>24</v>
      </c>
      <c r="E5436" t="s">
        <v>8125</v>
      </c>
    </row>
    <row r="5437" spans="1:5" x14ac:dyDescent="0.25">
      <c r="A5437" s="1" t="s">
        <v>5436</v>
      </c>
      <c r="C5437" s="3">
        <v>24</v>
      </c>
      <c r="E5437" t="s">
        <v>6517</v>
      </c>
    </row>
    <row r="5438" spans="1:5" x14ac:dyDescent="0.25">
      <c r="A5438" s="1" t="s">
        <v>5437</v>
      </c>
      <c r="C5438" s="3">
        <v>24</v>
      </c>
      <c r="E5438" t="s">
        <v>500</v>
      </c>
    </row>
    <row r="5439" spans="1:5" x14ac:dyDescent="0.25">
      <c r="A5439" s="1" t="s">
        <v>5438</v>
      </c>
      <c r="C5439" s="3">
        <v>24</v>
      </c>
      <c r="E5439" t="s">
        <v>713</v>
      </c>
    </row>
    <row r="5440" spans="1:5" x14ac:dyDescent="0.25">
      <c r="A5440" s="1" t="s">
        <v>5439</v>
      </c>
      <c r="C5440" s="3">
        <v>24</v>
      </c>
      <c r="E5440" t="s">
        <v>9478</v>
      </c>
    </row>
    <row r="5441" spans="1:5" x14ac:dyDescent="0.25">
      <c r="A5441" s="1" t="s">
        <v>5440</v>
      </c>
      <c r="C5441" s="3">
        <v>24</v>
      </c>
      <c r="E5441" t="s">
        <v>8562</v>
      </c>
    </row>
    <row r="5442" spans="1:5" x14ac:dyDescent="0.25">
      <c r="A5442" s="1" t="s">
        <v>5441</v>
      </c>
      <c r="C5442" s="3">
        <v>24</v>
      </c>
      <c r="E5442" t="s">
        <v>1721</v>
      </c>
    </row>
    <row r="5443" spans="1:5" x14ac:dyDescent="0.25">
      <c r="A5443" s="1" t="s">
        <v>5442</v>
      </c>
      <c r="C5443" s="3">
        <v>24</v>
      </c>
      <c r="E5443" t="s">
        <v>4053</v>
      </c>
    </row>
    <row r="5444" spans="1:5" x14ac:dyDescent="0.25">
      <c r="A5444" s="1" t="s">
        <v>5443</v>
      </c>
      <c r="C5444" s="3">
        <v>24</v>
      </c>
      <c r="E5444" t="s">
        <v>16771</v>
      </c>
    </row>
    <row r="5445" spans="1:5" x14ac:dyDescent="0.25">
      <c r="A5445" s="1" t="s">
        <v>5444</v>
      </c>
      <c r="C5445" s="3">
        <v>24</v>
      </c>
      <c r="E5445" t="s">
        <v>3502</v>
      </c>
    </row>
    <row r="5446" spans="1:5" x14ac:dyDescent="0.25">
      <c r="A5446" s="1" t="s">
        <v>5445</v>
      </c>
      <c r="C5446" s="3">
        <v>24</v>
      </c>
      <c r="E5446" t="s">
        <v>3908</v>
      </c>
    </row>
    <row r="5447" spans="1:5" x14ac:dyDescent="0.25">
      <c r="A5447" s="1" t="s">
        <v>5446</v>
      </c>
      <c r="C5447" s="3">
        <v>24</v>
      </c>
      <c r="E5447" t="s">
        <v>1101</v>
      </c>
    </row>
    <row r="5448" spans="1:5" x14ac:dyDescent="0.25">
      <c r="A5448" s="1" t="s">
        <v>5447</v>
      </c>
      <c r="C5448" s="3">
        <v>24</v>
      </c>
      <c r="E5448" t="s">
        <v>258</v>
      </c>
    </row>
    <row r="5449" spans="1:5" x14ac:dyDescent="0.25">
      <c r="A5449" s="1" t="s">
        <v>5448</v>
      </c>
      <c r="C5449" s="3">
        <v>24</v>
      </c>
      <c r="E5449" t="s">
        <v>4412</v>
      </c>
    </row>
    <row r="5450" spans="1:5" x14ac:dyDescent="0.25">
      <c r="A5450" s="1" t="s">
        <v>5449</v>
      </c>
      <c r="C5450" s="3">
        <v>24</v>
      </c>
      <c r="E5450" t="s">
        <v>3577</v>
      </c>
    </row>
    <row r="5451" spans="1:5" x14ac:dyDescent="0.25">
      <c r="A5451" s="1" t="s">
        <v>5450</v>
      </c>
      <c r="C5451" s="3">
        <v>24</v>
      </c>
      <c r="E5451" t="s">
        <v>14561</v>
      </c>
    </row>
    <row r="5452" spans="1:5" x14ac:dyDescent="0.25">
      <c r="A5452" s="1" t="s">
        <v>5451</v>
      </c>
      <c r="C5452" s="3">
        <v>24</v>
      </c>
      <c r="E5452" t="s">
        <v>9685</v>
      </c>
    </row>
    <row r="5453" spans="1:5" x14ac:dyDescent="0.25">
      <c r="A5453" s="1" t="s">
        <v>5452</v>
      </c>
      <c r="C5453" s="3">
        <v>24</v>
      </c>
      <c r="E5453" t="s">
        <v>1385</v>
      </c>
    </row>
    <row r="5454" spans="1:5" x14ac:dyDescent="0.25">
      <c r="A5454" s="1" t="s">
        <v>5453</v>
      </c>
      <c r="C5454" s="3">
        <v>24</v>
      </c>
      <c r="E5454" t="s">
        <v>9660</v>
      </c>
    </row>
    <row r="5455" spans="1:5" x14ac:dyDescent="0.25">
      <c r="A5455" s="1" t="s">
        <v>5454</v>
      </c>
      <c r="C5455" s="3">
        <v>24</v>
      </c>
      <c r="E5455" t="s">
        <v>3203</v>
      </c>
    </row>
    <row r="5456" spans="1:5" x14ac:dyDescent="0.25">
      <c r="A5456" s="1" t="s">
        <v>5455</v>
      </c>
      <c r="C5456" s="3">
        <v>24</v>
      </c>
      <c r="E5456" t="s">
        <v>1630</v>
      </c>
    </row>
    <row r="5457" spans="1:5" x14ac:dyDescent="0.25">
      <c r="A5457" s="1" t="s">
        <v>5456</v>
      </c>
      <c r="C5457" s="3">
        <v>24</v>
      </c>
      <c r="E5457" t="s">
        <v>3652</v>
      </c>
    </row>
    <row r="5458" spans="1:5" x14ac:dyDescent="0.25">
      <c r="A5458" s="1" t="s">
        <v>5457</v>
      </c>
      <c r="C5458" s="3">
        <v>24</v>
      </c>
      <c r="E5458" t="s">
        <v>7085</v>
      </c>
    </row>
    <row r="5459" spans="1:5" x14ac:dyDescent="0.25">
      <c r="A5459" s="1" t="s">
        <v>5458</v>
      </c>
      <c r="C5459" s="3">
        <v>24</v>
      </c>
      <c r="E5459" t="s">
        <v>3847</v>
      </c>
    </row>
    <row r="5460" spans="1:5" x14ac:dyDescent="0.25">
      <c r="A5460" s="1" t="s">
        <v>5459</v>
      </c>
      <c r="C5460" s="3">
        <v>24</v>
      </c>
      <c r="E5460" t="s">
        <v>1043</v>
      </c>
    </row>
    <row r="5461" spans="1:5" x14ac:dyDescent="0.25">
      <c r="A5461" s="1" t="s">
        <v>5460</v>
      </c>
      <c r="C5461" s="3">
        <v>24</v>
      </c>
      <c r="E5461" t="s">
        <v>4109</v>
      </c>
    </row>
    <row r="5462" spans="1:5" x14ac:dyDescent="0.25">
      <c r="A5462" s="1" t="s">
        <v>5461</v>
      </c>
      <c r="C5462" s="3">
        <v>24</v>
      </c>
      <c r="E5462" t="s">
        <v>18497</v>
      </c>
    </row>
    <row r="5463" spans="1:5" x14ac:dyDescent="0.25">
      <c r="A5463" s="1" t="s">
        <v>5462</v>
      </c>
      <c r="C5463" s="3">
        <v>24</v>
      </c>
      <c r="E5463" t="s">
        <v>10712</v>
      </c>
    </row>
    <row r="5464" spans="1:5" x14ac:dyDescent="0.25">
      <c r="A5464" s="1" t="s">
        <v>5463</v>
      </c>
      <c r="C5464" s="3">
        <v>24</v>
      </c>
      <c r="E5464" t="s">
        <v>1669</v>
      </c>
    </row>
    <row r="5465" spans="1:5" x14ac:dyDescent="0.25">
      <c r="A5465" s="1" t="s">
        <v>5464</v>
      </c>
      <c r="C5465" s="3">
        <v>24</v>
      </c>
      <c r="E5465" t="s">
        <v>259</v>
      </c>
    </row>
    <row r="5466" spans="1:5" x14ac:dyDescent="0.25">
      <c r="A5466" s="1" t="s">
        <v>5465</v>
      </c>
      <c r="C5466" s="3">
        <v>24</v>
      </c>
      <c r="E5466" t="s">
        <v>4377</v>
      </c>
    </row>
    <row r="5467" spans="1:5" x14ac:dyDescent="0.25">
      <c r="A5467" s="1" t="s">
        <v>5466</v>
      </c>
      <c r="C5467" s="3">
        <v>24</v>
      </c>
      <c r="E5467" t="s">
        <v>110</v>
      </c>
    </row>
    <row r="5468" spans="1:5" x14ac:dyDescent="0.25">
      <c r="A5468" s="1" t="s">
        <v>5467</v>
      </c>
      <c r="C5468" s="3">
        <v>24</v>
      </c>
      <c r="E5468" t="s">
        <v>9978</v>
      </c>
    </row>
    <row r="5469" spans="1:5" x14ac:dyDescent="0.25">
      <c r="A5469" s="1" t="s">
        <v>5468</v>
      </c>
      <c r="C5469" s="3">
        <v>24</v>
      </c>
      <c r="E5469" t="s">
        <v>337</v>
      </c>
    </row>
    <row r="5470" spans="1:5" x14ac:dyDescent="0.25">
      <c r="A5470" s="1" t="s">
        <v>5469</v>
      </c>
      <c r="C5470" s="3">
        <v>24</v>
      </c>
      <c r="E5470" t="s">
        <v>7217</v>
      </c>
    </row>
    <row r="5471" spans="1:5" x14ac:dyDescent="0.25">
      <c r="A5471" s="1" t="s">
        <v>5470</v>
      </c>
      <c r="C5471" s="3">
        <v>24</v>
      </c>
      <c r="E5471" t="s">
        <v>1891</v>
      </c>
    </row>
    <row r="5472" spans="1:5" x14ac:dyDescent="0.25">
      <c r="A5472" s="1" t="s">
        <v>5471</v>
      </c>
      <c r="C5472" s="3">
        <v>24</v>
      </c>
      <c r="E5472" t="s">
        <v>6044</v>
      </c>
    </row>
    <row r="5473" spans="1:5" x14ac:dyDescent="0.25">
      <c r="A5473" s="1" t="s">
        <v>5472</v>
      </c>
      <c r="C5473" s="3">
        <v>24</v>
      </c>
      <c r="E5473" t="s">
        <v>4066</v>
      </c>
    </row>
    <row r="5474" spans="1:5" x14ac:dyDescent="0.25">
      <c r="A5474" s="1" t="s">
        <v>5473</v>
      </c>
      <c r="C5474" s="3">
        <v>24</v>
      </c>
      <c r="E5474" t="s">
        <v>3868</v>
      </c>
    </row>
    <row r="5475" spans="1:5" x14ac:dyDescent="0.25">
      <c r="A5475" s="1" t="s">
        <v>5474</v>
      </c>
      <c r="C5475" s="3">
        <v>24</v>
      </c>
      <c r="E5475" t="s">
        <v>132</v>
      </c>
    </row>
    <row r="5476" spans="1:5" x14ac:dyDescent="0.25">
      <c r="A5476" s="1" t="s">
        <v>5475</v>
      </c>
      <c r="C5476" s="3">
        <v>24</v>
      </c>
      <c r="E5476" t="s">
        <v>494</v>
      </c>
    </row>
    <row r="5477" spans="1:5" x14ac:dyDescent="0.25">
      <c r="A5477" s="1" t="s">
        <v>5476</v>
      </c>
      <c r="C5477" s="3">
        <v>24</v>
      </c>
      <c r="E5477" t="s">
        <v>18520</v>
      </c>
    </row>
    <row r="5478" spans="1:5" x14ac:dyDescent="0.25">
      <c r="A5478" s="1" t="s">
        <v>5477</v>
      </c>
      <c r="C5478" s="3">
        <v>24</v>
      </c>
      <c r="E5478" t="s">
        <v>2270</v>
      </c>
    </row>
    <row r="5479" spans="1:5" x14ac:dyDescent="0.25">
      <c r="A5479" s="1" t="s">
        <v>5478</v>
      </c>
      <c r="C5479" s="3">
        <v>24</v>
      </c>
      <c r="E5479" t="s">
        <v>1011</v>
      </c>
    </row>
    <row r="5480" spans="1:5" x14ac:dyDescent="0.25">
      <c r="A5480" s="1" t="s">
        <v>5479</v>
      </c>
      <c r="C5480" s="3">
        <v>24</v>
      </c>
      <c r="E5480" t="s">
        <v>737</v>
      </c>
    </row>
    <row r="5481" spans="1:5" x14ac:dyDescent="0.25">
      <c r="A5481" s="1" t="s">
        <v>5480</v>
      </c>
      <c r="C5481" s="3">
        <v>24</v>
      </c>
      <c r="E5481" t="s">
        <v>578</v>
      </c>
    </row>
    <row r="5482" spans="1:5" x14ac:dyDescent="0.25">
      <c r="A5482" s="1" t="s">
        <v>5481</v>
      </c>
      <c r="C5482" s="3">
        <v>24</v>
      </c>
      <c r="E5482" t="s">
        <v>3558</v>
      </c>
    </row>
    <row r="5483" spans="1:5" x14ac:dyDescent="0.25">
      <c r="A5483" s="1" t="s">
        <v>5482</v>
      </c>
      <c r="C5483" s="3">
        <v>24</v>
      </c>
      <c r="E5483" t="s">
        <v>11308</v>
      </c>
    </row>
    <row r="5484" spans="1:5" x14ac:dyDescent="0.25">
      <c r="A5484" s="1" t="s">
        <v>5483</v>
      </c>
      <c r="C5484" s="3">
        <v>24</v>
      </c>
      <c r="E5484" t="s">
        <v>1680</v>
      </c>
    </row>
    <row r="5485" spans="1:5" x14ac:dyDescent="0.25">
      <c r="A5485" s="1" t="s">
        <v>5484</v>
      </c>
      <c r="C5485" s="3">
        <v>24</v>
      </c>
      <c r="E5485" t="s">
        <v>4880</v>
      </c>
    </row>
    <row r="5486" spans="1:5" x14ac:dyDescent="0.25">
      <c r="A5486" s="1" t="s">
        <v>5485</v>
      </c>
      <c r="C5486" s="3">
        <v>24</v>
      </c>
      <c r="E5486" t="s">
        <v>3440</v>
      </c>
    </row>
    <row r="5487" spans="1:5" x14ac:dyDescent="0.25">
      <c r="A5487" s="1" t="s">
        <v>5486</v>
      </c>
      <c r="C5487" s="3">
        <v>24</v>
      </c>
      <c r="E5487" t="s">
        <v>3308</v>
      </c>
    </row>
    <row r="5488" spans="1:5" x14ac:dyDescent="0.25">
      <c r="A5488" s="1" t="s">
        <v>5487</v>
      </c>
      <c r="C5488" s="3">
        <v>24</v>
      </c>
      <c r="E5488" t="s">
        <v>2661</v>
      </c>
    </row>
    <row r="5489" spans="1:5" x14ac:dyDescent="0.25">
      <c r="A5489" s="1" t="s">
        <v>5488</v>
      </c>
      <c r="C5489" s="3">
        <v>24</v>
      </c>
      <c r="E5489" t="s">
        <v>1031</v>
      </c>
    </row>
    <row r="5490" spans="1:5" x14ac:dyDescent="0.25">
      <c r="A5490" s="1" t="s">
        <v>5489</v>
      </c>
      <c r="C5490" s="3">
        <v>24</v>
      </c>
      <c r="E5490" t="s">
        <v>6526</v>
      </c>
    </row>
    <row r="5491" spans="1:5" x14ac:dyDescent="0.25">
      <c r="A5491" s="1" t="s">
        <v>5490</v>
      </c>
      <c r="C5491" s="3">
        <v>24</v>
      </c>
      <c r="E5491" t="s">
        <v>1480</v>
      </c>
    </row>
    <row r="5492" spans="1:5" x14ac:dyDescent="0.25">
      <c r="A5492" s="1" t="s">
        <v>5491</v>
      </c>
      <c r="C5492" s="3">
        <v>24</v>
      </c>
      <c r="E5492" t="s">
        <v>1668</v>
      </c>
    </row>
    <row r="5493" spans="1:5" x14ac:dyDescent="0.25">
      <c r="A5493" s="1" t="s">
        <v>5492</v>
      </c>
      <c r="C5493" s="3">
        <v>24</v>
      </c>
      <c r="E5493" t="s">
        <v>778</v>
      </c>
    </row>
    <row r="5494" spans="1:5" x14ac:dyDescent="0.25">
      <c r="A5494" s="1" t="s">
        <v>5493</v>
      </c>
      <c r="C5494" s="3">
        <v>24</v>
      </c>
      <c r="E5494" t="s">
        <v>1540</v>
      </c>
    </row>
    <row r="5495" spans="1:5" x14ac:dyDescent="0.25">
      <c r="A5495" s="1" t="s">
        <v>5494</v>
      </c>
      <c r="C5495" s="3">
        <v>24</v>
      </c>
      <c r="E5495" t="s">
        <v>2644</v>
      </c>
    </row>
    <row r="5496" spans="1:5" x14ac:dyDescent="0.25">
      <c r="A5496" s="1" t="s">
        <v>5495</v>
      </c>
      <c r="C5496" s="3">
        <v>24</v>
      </c>
      <c r="E5496" t="s">
        <v>25509</v>
      </c>
    </row>
    <row r="5497" spans="1:5" x14ac:dyDescent="0.25">
      <c r="A5497" s="1" t="s">
        <v>5496</v>
      </c>
      <c r="C5497" s="3">
        <v>24</v>
      </c>
      <c r="E5497" t="s">
        <v>12885</v>
      </c>
    </row>
    <row r="5498" spans="1:5" x14ac:dyDescent="0.25">
      <c r="A5498" s="1" t="s">
        <v>5497</v>
      </c>
      <c r="C5498" s="3">
        <v>24</v>
      </c>
      <c r="E5498" t="s">
        <v>2785</v>
      </c>
    </row>
    <row r="5499" spans="1:5" x14ac:dyDescent="0.25">
      <c r="A5499" s="1" t="s">
        <v>5498</v>
      </c>
      <c r="C5499" s="3">
        <v>24</v>
      </c>
      <c r="E5499" t="s">
        <v>14207</v>
      </c>
    </row>
    <row r="5500" spans="1:5" x14ac:dyDescent="0.25">
      <c r="A5500" s="1" t="s">
        <v>5499</v>
      </c>
      <c r="C5500" s="3">
        <v>24</v>
      </c>
      <c r="E5500" t="s">
        <v>7328</v>
      </c>
    </row>
    <row r="5501" spans="1:5" x14ac:dyDescent="0.25">
      <c r="A5501" s="1" t="s">
        <v>5500</v>
      </c>
      <c r="C5501" s="3">
        <v>24</v>
      </c>
      <c r="E5501" t="s">
        <v>8490</v>
      </c>
    </row>
    <row r="5502" spans="1:5" x14ac:dyDescent="0.25">
      <c r="A5502" s="1" t="s">
        <v>5501</v>
      </c>
      <c r="C5502" s="3">
        <v>24</v>
      </c>
      <c r="E5502" t="s">
        <v>5060</v>
      </c>
    </row>
    <row r="5503" spans="1:5" x14ac:dyDescent="0.25">
      <c r="A5503" s="1" t="s">
        <v>5502</v>
      </c>
      <c r="C5503" s="3">
        <v>24</v>
      </c>
      <c r="E5503" t="s">
        <v>1058</v>
      </c>
    </row>
    <row r="5504" spans="1:5" x14ac:dyDescent="0.25">
      <c r="A5504" s="1" t="s">
        <v>5503</v>
      </c>
      <c r="C5504" s="3">
        <v>24</v>
      </c>
      <c r="E5504" t="s">
        <v>1828</v>
      </c>
    </row>
    <row r="5505" spans="1:5" x14ac:dyDescent="0.25">
      <c r="A5505" s="1" t="s">
        <v>5504</v>
      </c>
      <c r="C5505" s="3">
        <v>24</v>
      </c>
      <c r="E5505" t="s">
        <v>4987</v>
      </c>
    </row>
    <row r="5506" spans="1:5" x14ac:dyDescent="0.25">
      <c r="A5506" s="1" t="s">
        <v>5505</v>
      </c>
      <c r="C5506" s="3">
        <v>24</v>
      </c>
      <c r="E5506" t="s">
        <v>1397</v>
      </c>
    </row>
    <row r="5507" spans="1:5" x14ac:dyDescent="0.25">
      <c r="A5507" s="1" t="s">
        <v>5506</v>
      </c>
      <c r="C5507" s="3">
        <v>24</v>
      </c>
      <c r="E5507" t="s">
        <v>212</v>
      </c>
    </row>
    <row r="5508" spans="1:5" x14ac:dyDescent="0.25">
      <c r="A5508" s="1" t="s">
        <v>5507</v>
      </c>
      <c r="C5508" s="3">
        <v>24</v>
      </c>
      <c r="E5508" t="s">
        <v>19753</v>
      </c>
    </row>
    <row r="5509" spans="1:5" x14ac:dyDescent="0.25">
      <c r="A5509" s="1" t="s">
        <v>5508</v>
      </c>
      <c r="C5509" s="3">
        <v>24</v>
      </c>
      <c r="E5509" t="s">
        <v>610</v>
      </c>
    </row>
    <row r="5510" spans="1:5" x14ac:dyDescent="0.25">
      <c r="A5510" s="1" t="s">
        <v>5509</v>
      </c>
      <c r="C5510" s="3">
        <v>24</v>
      </c>
      <c r="E5510" t="s">
        <v>326</v>
      </c>
    </row>
    <row r="5511" spans="1:5" x14ac:dyDescent="0.25">
      <c r="A5511" s="1" t="s">
        <v>5510</v>
      </c>
      <c r="C5511" s="3">
        <v>24</v>
      </c>
      <c r="E5511" t="s">
        <v>7111</v>
      </c>
    </row>
    <row r="5512" spans="1:5" x14ac:dyDescent="0.25">
      <c r="A5512" s="1" t="s">
        <v>5511</v>
      </c>
      <c r="C5512" s="3">
        <v>24</v>
      </c>
      <c r="E5512" t="s">
        <v>11523</v>
      </c>
    </row>
    <row r="5513" spans="1:5" x14ac:dyDescent="0.25">
      <c r="A5513" s="1" t="s">
        <v>5512</v>
      </c>
      <c r="C5513" s="3">
        <v>24</v>
      </c>
      <c r="E5513" t="s">
        <v>1733</v>
      </c>
    </row>
    <row r="5514" spans="1:5" x14ac:dyDescent="0.25">
      <c r="A5514" s="1" t="s">
        <v>5513</v>
      </c>
      <c r="C5514" s="3">
        <v>24</v>
      </c>
      <c r="E5514" t="s">
        <v>13508</v>
      </c>
    </row>
    <row r="5515" spans="1:5" x14ac:dyDescent="0.25">
      <c r="A5515" s="1" t="s">
        <v>5514</v>
      </c>
      <c r="C5515" s="3">
        <v>24</v>
      </c>
      <c r="E5515" t="s">
        <v>12972</v>
      </c>
    </row>
    <row r="5516" spans="1:5" x14ac:dyDescent="0.25">
      <c r="A5516" s="1" t="s">
        <v>5515</v>
      </c>
      <c r="C5516" s="3">
        <v>24</v>
      </c>
      <c r="E5516" t="s">
        <v>13656</v>
      </c>
    </row>
    <row r="5517" spans="1:5" x14ac:dyDescent="0.25">
      <c r="A5517" s="1" t="s">
        <v>5516</v>
      </c>
      <c r="C5517" s="3">
        <v>24</v>
      </c>
      <c r="E5517" t="s">
        <v>587</v>
      </c>
    </row>
    <row r="5518" spans="1:5" x14ac:dyDescent="0.25">
      <c r="A5518" s="1" t="s">
        <v>5517</v>
      </c>
      <c r="C5518" s="3">
        <v>24</v>
      </c>
      <c r="E5518" t="s">
        <v>4141</v>
      </c>
    </row>
    <row r="5519" spans="1:5" x14ac:dyDescent="0.25">
      <c r="A5519" s="1" t="s">
        <v>5518</v>
      </c>
      <c r="C5519" s="3">
        <v>24</v>
      </c>
      <c r="E5519" t="s">
        <v>886</v>
      </c>
    </row>
    <row r="5520" spans="1:5" x14ac:dyDescent="0.25">
      <c r="A5520" s="1" t="s">
        <v>5519</v>
      </c>
      <c r="C5520" s="3">
        <v>24</v>
      </c>
      <c r="E5520" t="s">
        <v>13240</v>
      </c>
    </row>
    <row r="5521" spans="1:5" x14ac:dyDescent="0.25">
      <c r="A5521" s="1" t="s">
        <v>5520</v>
      </c>
      <c r="C5521" s="3">
        <v>24</v>
      </c>
      <c r="E5521" t="s">
        <v>101</v>
      </c>
    </row>
    <row r="5522" spans="1:5" x14ac:dyDescent="0.25">
      <c r="A5522" s="1" t="s">
        <v>5521</v>
      </c>
      <c r="C5522" s="3">
        <v>24</v>
      </c>
      <c r="E5522" t="s">
        <v>249</v>
      </c>
    </row>
    <row r="5523" spans="1:5" x14ac:dyDescent="0.25">
      <c r="A5523" s="1" t="s">
        <v>5522</v>
      </c>
      <c r="C5523" s="3">
        <v>24</v>
      </c>
      <c r="E5523" t="s">
        <v>5385</v>
      </c>
    </row>
    <row r="5524" spans="1:5" x14ac:dyDescent="0.25">
      <c r="A5524" s="1" t="s">
        <v>5523</v>
      </c>
      <c r="C5524" s="3">
        <v>24</v>
      </c>
      <c r="E5524" t="s">
        <v>6528</v>
      </c>
    </row>
    <row r="5525" spans="1:5" x14ac:dyDescent="0.25">
      <c r="A5525" s="1" t="s">
        <v>5524</v>
      </c>
      <c r="C5525" s="3">
        <v>24</v>
      </c>
      <c r="E5525" t="s">
        <v>467</v>
      </c>
    </row>
    <row r="5526" spans="1:5" x14ac:dyDescent="0.25">
      <c r="A5526" s="1" t="s">
        <v>5525</v>
      </c>
      <c r="C5526" s="3">
        <v>24</v>
      </c>
      <c r="E5526" t="s">
        <v>7109</v>
      </c>
    </row>
    <row r="5527" spans="1:5" x14ac:dyDescent="0.25">
      <c r="A5527" s="1" t="s">
        <v>5526</v>
      </c>
      <c r="C5527" s="3">
        <v>24</v>
      </c>
      <c r="E5527" t="s">
        <v>17163</v>
      </c>
    </row>
    <row r="5528" spans="1:5" x14ac:dyDescent="0.25">
      <c r="A5528" s="1" t="s">
        <v>5527</v>
      </c>
      <c r="C5528" s="3">
        <v>24</v>
      </c>
      <c r="E5528" t="s">
        <v>25510</v>
      </c>
    </row>
    <row r="5529" spans="1:5" x14ac:dyDescent="0.25">
      <c r="A5529" s="1" t="s">
        <v>5528</v>
      </c>
      <c r="C5529" s="3">
        <v>24</v>
      </c>
      <c r="E5529" t="s">
        <v>4990</v>
      </c>
    </row>
    <row r="5530" spans="1:5" x14ac:dyDescent="0.25">
      <c r="A5530" s="1" t="s">
        <v>5529</v>
      </c>
      <c r="C5530" s="3">
        <v>24</v>
      </c>
      <c r="E5530" t="s">
        <v>3580</v>
      </c>
    </row>
    <row r="5531" spans="1:5" x14ac:dyDescent="0.25">
      <c r="A5531" s="1" t="s">
        <v>5530</v>
      </c>
      <c r="C5531" s="3">
        <v>24</v>
      </c>
      <c r="E5531" t="s">
        <v>892</v>
      </c>
    </row>
    <row r="5532" spans="1:5" x14ac:dyDescent="0.25">
      <c r="A5532" s="1" t="s">
        <v>5531</v>
      </c>
      <c r="C5532" s="3">
        <v>24</v>
      </c>
      <c r="E5532" t="s">
        <v>12790</v>
      </c>
    </row>
    <row r="5533" spans="1:5" x14ac:dyDescent="0.25">
      <c r="A5533" s="1" t="s">
        <v>5532</v>
      </c>
      <c r="C5533" s="3">
        <v>24</v>
      </c>
      <c r="E5533" t="s">
        <v>1448</v>
      </c>
    </row>
    <row r="5534" spans="1:5" x14ac:dyDescent="0.25">
      <c r="A5534" s="1" t="s">
        <v>5533</v>
      </c>
      <c r="C5534" s="3">
        <v>24</v>
      </c>
      <c r="E5534" t="s">
        <v>10641</v>
      </c>
    </row>
    <row r="5535" spans="1:5" x14ac:dyDescent="0.25">
      <c r="A5535" s="1" t="s">
        <v>5534</v>
      </c>
      <c r="C5535" s="3">
        <v>24</v>
      </c>
      <c r="E5535" t="s">
        <v>801</v>
      </c>
    </row>
    <row r="5536" spans="1:5" x14ac:dyDescent="0.25">
      <c r="A5536" s="1" t="s">
        <v>5535</v>
      </c>
      <c r="C5536" s="3">
        <v>24</v>
      </c>
      <c r="E5536" t="s">
        <v>16744</v>
      </c>
    </row>
    <row r="5537" spans="1:5" x14ac:dyDescent="0.25">
      <c r="A5537" s="1" t="s">
        <v>5536</v>
      </c>
      <c r="C5537" s="3">
        <v>24</v>
      </c>
      <c r="E5537" t="s">
        <v>16758</v>
      </c>
    </row>
    <row r="5538" spans="1:5" x14ac:dyDescent="0.25">
      <c r="A5538" s="1" t="s">
        <v>5537</v>
      </c>
      <c r="C5538" s="3">
        <v>24</v>
      </c>
      <c r="E5538" t="s">
        <v>5380</v>
      </c>
    </row>
    <row r="5539" spans="1:5" x14ac:dyDescent="0.25">
      <c r="A5539" s="1" t="s">
        <v>5538</v>
      </c>
      <c r="C5539" s="3">
        <v>24</v>
      </c>
      <c r="E5539" t="s">
        <v>10250</v>
      </c>
    </row>
    <row r="5540" spans="1:5" x14ac:dyDescent="0.25">
      <c r="A5540" s="1" t="s">
        <v>5539</v>
      </c>
      <c r="C5540" s="3">
        <v>24</v>
      </c>
      <c r="E5540" t="s">
        <v>25511</v>
      </c>
    </row>
    <row r="5541" spans="1:5" x14ac:dyDescent="0.25">
      <c r="A5541" s="1" t="s">
        <v>5540</v>
      </c>
      <c r="C5541" s="3">
        <v>24</v>
      </c>
      <c r="E5541" t="s">
        <v>650</v>
      </c>
    </row>
    <row r="5542" spans="1:5" x14ac:dyDescent="0.25">
      <c r="A5542" s="1" t="s">
        <v>5541</v>
      </c>
      <c r="C5542" s="3">
        <v>24</v>
      </c>
      <c r="E5542" t="s">
        <v>9988</v>
      </c>
    </row>
    <row r="5543" spans="1:5" x14ac:dyDescent="0.25">
      <c r="A5543" s="1" t="s">
        <v>5542</v>
      </c>
      <c r="C5543" s="3">
        <v>24</v>
      </c>
      <c r="E5543" t="s">
        <v>16836</v>
      </c>
    </row>
    <row r="5544" spans="1:5" x14ac:dyDescent="0.25">
      <c r="A5544" s="1" t="s">
        <v>5543</v>
      </c>
      <c r="C5544" s="3">
        <v>24</v>
      </c>
      <c r="E5544" t="s">
        <v>10489</v>
      </c>
    </row>
    <row r="5545" spans="1:5" x14ac:dyDescent="0.25">
      <c r="A5545" s="1" t="s">
        <v>5544</v>
      </c>
      <c r="C5545" s="3">
        <v>24</v>
      </c>
      <c r="E5545" t="s">
        <v>3475</v>
      </c>
    </row>
    <row r="5546" spans="1:5" x14ac:dyDescent="0.25">
      <c r="A5546" s="1" t="s">
        <v>5545</v>
      </c>
      <c r="C5546" s="3">
        <v>24</v>
      </c>
      <c r="E5546" t="s">
        <v>18904</v>
      </c>
    </row>
    <row r="5547" spans="1:5" x14ac:dyDescent="0.25">
      <c r="A5547" s="1" t="s">
        <v>5546</v>
      </c>
      <c r="C5547" s="3">
        <v>24</v>
      </c>
      <c r="E5547" t="s">
        <v>704</v>
      </c>
    </row>
    <row r="5548" spans="1:5" x14ac:dyDescent="0.25">
      <c r="A5548" s="1" t="s">
        <v>5547</v>
      </c>
      <c r="C5548" s="3">
        <v>24</v>
      </c>
      <c r="E5548" t="s">
        <v>5863</v>
      </c>
    </row>
    <row r="5549" spans="1:5" x14ac:dyDescent="0.25">
      <c r="A5549" s="1" t="s">
        <v>5548</v>
      </c>
      <c r="C5549" s="3">
        <v>24</v>
      </c>
      <c r="E5549" t="s">
        <v>3146</v>
      </c>
    </row>
    <row r="5550" spans="1:5" x14ac:dyDescent="0.25">
      <c r="A5550" s="1" t="s">
        <v>5549</v>
      </c>
      <c r="C5550" s="3">
        <v>24</v>
      </c>
      <c r="E5550" t="s">
        <v>1240</v>
      </c>
    </row>
    <row r="5551" spans="1:5" x14ac:dyDescent="0.25">
      <c r="A5551" s="1" t="s">
        <v>5550</v>
      </c>
      <c r="C5551" s="3">
        <v>24</v>
      </c>
      <c r="E5551" t="s">
        <v>2438</v>
      </c>
    </row>
    <row r="5552" spans="1:5" x14ac:dyDescent="0.25">
      <c r="A5552" s="1" t="s">
        <v>5551</v>
      </c>
      <c r="C5552" s="3">
        <v>24</v>
      </c>
      <c r="E5552" t="s">
        <v>1343</v>
      </c>
    </row>
    <row r="5553" spans="1:5" x14ac:dyDescent="0.25">
      <c r="A5553" s="1" t="s">
        <v>5552</v>
      </c>
      <c r="C5553" s="3">
        <v>24</v>
      </c>
      <c r="E5553" t="s">
        <v>24805</v>
      </c>
    </row>
    <row r="5554" spans="1:5" x14ac:dyDescent="0.25">
      <c r="A5554" s="1" t="s">
        <v>5553</v>
      </c>
      <c r="C5554" s="3">
        <v>24</v>
      </c>
      <c r="E5554" t="s">
        <v>751</v>
      </c>
    </row>
    <row r="5555" spans="1:5" x14ac:dyDescent="0.25">
      <c r="A5555" s="1" t="s">
        <v>5554</v>
      </c>
      <c r="C5555" s="3">
        <v>24</v>
      </c>
      <c r="E5555" t="s">
        <v>4705</v>
      </c>
    </row>
    <row r="5556" spans="1:5" x14ac:dyDescent="0.25">
      <c r="A5556" s="1" t="s">
        <v>5555</v>
      </c>
      <c r="C5556" s="3">
        <v>24</v>
      </c>
      <c r="E5556" t="s">
        <v>816</v>
      </c>
    </row>
    <row r="5557" spans="1:5" x14ac:dyDescent="0.25">
      <c r="A5557" s="1" t="s">
        <v>5556</v>
      </c>
      <c r="C5557" s="3">
        <v>24</v>
      </c>
      <c r="E5557" t="s">
        <v>25512</v>
      </c>
    </row>
    <row r="5558" spans="1:5" x14ac:dyDescent="0.25">
      <c r="A5558" s="1" t="s">
        <v>5557</v>
      </c>
      <c r="C5558" s="3">
        <v>24</v>
      </c>
      <c r="E5558" t="s">
        <v>11916</v>
      </c>
    </row>
    <row r="5559" spans="1:5" x14ac:dyDescent="0.25">
      <c r="A5559" s="1" t="s">
        <v>5558</v>
      </c>
      <c r="C5559" s="3">
        <v>24</v>
      </c>
      <c r="E5559" t="s">
        <v>7041</v>
      </c>
    </row>
    <row r="5560" spans="1:5" x14ac:dyDescent="0.25">
      <c r="A5560" s="1" t="s">
        <v>5559</v>
      </c>
      <c r="C5560" s="3">
        <v>24</v>
      </c>
      <c r="E5560" t="s">
        <v>301</v>
      </c>
    </row>
    <row r="5561" spans="1:5" x14ac:dyDescent="0.25">
      <c r="A5561" s="1" t="s">
        <v>5560</v>
      </c>
      <c r="C5561" s="3">
        <v>24</v>
      </c>
      <c r="E5561" t="s">
        <v>25513</v>
      </c>
    </row>
    <row r="5562" spans="1:5" x14ac:dyDescent="0.25">
      <c r="A5562" s="1" t="s">
        <v>5561</v>
      </c>
      <c r="C5562" s="3">
        <v>24</v>
      </c>
      <c r="E5562" t="s">
        <v>7325</v>
      </c>
    </row>
    <row r="5563" spans="1:5" x14ac:dyDescent="0.25">
      <c r="A5563" s="1" t="s">
        <v>5562</v>
      </c>
      <c r="C5563" s="3">
        <v>24</v>
      </c>
      <c r="E5563" t="s">
        <v>24251</v>
      </c>
    </row>
    <row r="5564" spans="1:5" x14ac:dyDescent="0.25">
      <c r="A5564" s="1" t="s">
        <v>5563</v>
      </c>
      <c r="C5564" s="3">
        <v>24</v>
      </c>
      <c r="E5564" t="s">
        <v>1374</v>
      </c>
    </row>
    <row r="5565" spans="1:5" x14ac:dyDescent="0.25">
      <c r="A5565" s="1" t="s">
        <v>5564</v>
      </c>
      <c r="C5565" s="3">
        <v>24</v>
      </c>
      <c r="E5565" t="s">
        <v>3033</v>
      </c>
    </row>
    <row r="5566" spans="1:5" x14ac:dyDescent="0.25">
      <c r="A5566" s="1" t="s">
        <v>5565</v>
      </c>
      <c r="C5566" s="3">
        <v>24</v>
      </c>
      <c r="E5566" t="s">
        <v>21895</v>
      </c>
    </row>
    <row r="5567" spans="1:5" x14ac:dyDescent="0.25">
      <c r="A5567" s="1" t="s">
        <v>5566</v>
      </c>
      <c r="C5567" s="3">
        <v>24</v>
      </c>
      <c r="E5567" t="s">
        <v>13135</v>
      </c>
    </row>
    <row r="5568" spans="1:5" x14ac:dyDescent="0.25">
      <c r="A5568" s="1" t="s">
        <v>5567</v>
      </c>
      <c r="C5568" s="3">
        <v>24</v>
      </c>
      <c r="E5568" t="s">
        <v>1839</v>
      </c>
    </row>
    <row r="5569" spans="1:5" x14ac:dyDescent="0.25">
      <c r="A5569" s="1" t="s">
        <v>5568</v>
      </c>
      <c r="C5569" s="3">
        <v>24</v>
      </c>
      <c r="E5569" t="s">
        <v>6922</v>
      </c>
    </row>
    <row r="5570" spans="1:5" x14ac:dyDescent="0.25">
      <c r="A5570" s="1" t="s">
        <v>5569</v>
      </c>
      <c r="C5570" s="3">
        <v>24</v>
      </c>
      <c r="E5570" t="s">
        <v>124</v>
      </c>
    </row>
    <row r="5571" spans="1:5" x14ac:dyDescent="0.25">
      <c r="A5571" s="1" t="s">
        <v>5570</v>
      </c>
      <c r="C5571" s="3">
        <v>24</v>
      </c>
      <c r="E5571" t="s">
        <v>940</v>
      </c>
    </row>
    <row r="5572" spans="1:5" x14ac:dyDescent="0.25">
      <c r="A5572" s="1" t="s">
        <v>5571</v>
      </c>
      <c r="C5572" s="3">
        <v>23</v>
      </c>
      <c r="E5572" t="s">
        <v>4602</v>
      </c>
    </row>
    <row r="5573" spans="1:5" x14ac:dyDescent="0.25">
      <c r="A5573" s="1" t="s">
        <v>5572</v>
      </c>
      <c r="C5573" s="3">
        <v>23</v>
      </c>
      <c r="E5573" t="s">
        <v>3481</v>
      </c>
    </row>
    <row r="5574" spans="1:5" x14ac:dyDescent="0.25">
      <c r="A5574" s="1" t="s">
        <v>5573</v>
      </c>
      <c r="C5574" s="3">
        <v>23</v>
      </c>
      <c r="E5574" t="s">
        <v>5504</v>
      </c>
    </row>
    <row r="5575" spans="1:5" x14ac:dyDescent="0.25">
      <c r="A5575" s="1" t="s">
        <v>5574</v>
      </c>
      <c r="C5575" s="3">
        <v>23</v>
      </c>
      <c r="E5575" t="s">
        <v>2949</v>
      </c>
    </row>
    <row r="5576" spans="1:5" x14ac:dyDescent="0.25">
      <c r="A5576" s="1" t="s">
        <v>5575</v>
      </c>
      <c r="C5576" s="3">
        <v>23</v>
      </c>
      <c r="E5576" t="s">
        <v>1767</v>
      </c>
    </row>
    <row r="5577" spans="1:5" x14ac:dyDescent="0.25">
      <c r="A5577" s="1" t="s">
        <v>5576</v>
      </c>
      <c r="C5577" s="3">
        <v>23</v>
      </c>
      <c r="E5577" t="s">
        <v>2497</v>
      </c>
    </row>
    <row r="5578" spans="1:5" x14ac:dyDescent="0.25">
      <c r="A5578" s="1" t="s">
        <v>5577</v>
      </c>
      <c r="C5578" s="3">
        <v>23</v>
      </c>
      <c r="E5578" t="s">
        <v>360</v>
      </c>
    </row>
    <row r="5579" spans="1:5" x14ac:dyDescent="0.25">
      <c r="A5579" s="1" t="s">
        <v>5578</v>
      </c>
      <c r="C5579" s="3">
        <v>23</v>
      </c>
      <c r="E5579" t="s">
        <v>13632</v>
      </c>
    </row>
    <row r="5580" spans="1:5" x14ac:dyDescent="0.25">
      <c r="A5580" s="1" t="s">
        <v>5579</v>
      </c>
      <c r="C5580" s="3">
        <v>23</v>
      </c>
      <c r="E5580" t="s">
        <v>10174</v>
      </c>
    </row>
    <row r="5581" spans="1:5" x14ac:dyDescent="0.25">
      <c r="A5581" s="1" t="s">
        <v>5580</v>
      </c>
      <c r="C5581" s="3">
        <v>23</v>
      </c>
      <c r="E5581" t="s">
        <v>6251</v>
      </c>
    </row>
    <row r="5582" spans="1:5" x14ac:dyDescent="0.25">
      <c r="A5582" s="1" t="s">
        <v>5581</v>
      </c>
      <c r="C5582" s="3">
        <v>23</v>
      </c>
      <c r="E5582" t="s">
        <v>1420</v>
      </c>
    </row>
    <row r="5583" spans="1:5" x14ac:dyDescent="0.25">
      <c r="A5583" s="1" t="s">
        <v>5582</v>
      </c>
      <c r="C5583" s="3">
        <v>23</v>
      </c>
      <c r="E5583" t="s">
        <v>12992</v>
      </c>
    </row>
    <row r="5584" spans="1:5" x14ac:dyDescent="0.25">
      <c r="A5584" s="1" t="s">
        <v>5583</v>
      </c>
      <c r="C5584" s="3">
        <v>23</v>
      </c>
      <c r="E5584" t="s">
        <v>9823</v>
      </c>
    </row>
    <row r="5585" spans="1:5" x14ac:dyDescent="0.25">
      <c r="A5585" s="1" t="s">
        <v>5584</v>
      </c>
      <c r="C5585" s="3">
        <v>23</v>
      </c>
      <c r="E5585" t="s">
        <v>3525</v>
      </c>
    </row>
    <row r="5586" spans="1:5" x14ac:dyDescent="0.25">
      <c r="A5586" s="1" t="s">
        <v>5585</v>
      </c>
      <c r="C5586" s="3">
        <v>23</v>
      </c>
      <c r="E5586" t="s">
        <v>6269</v>
      </c>
    </row>
    <row r="5587" spans="1:5" x14ac:dyDescent="0.25">
      <c r="A5587" s="1" t="s">
        <v>5586</v>
      </c>
      <c r="C5587" s="3">
        <v>23</v>
      </c>
      <c r="E5587" t="s">
        <v>3537</v>
      </c>
    </row>
    <row r="5588" spans="1:5" x14ac:dyDescent="0.25">
      <c r="A5588" s="1" t="s">
        <v>5587</v>
      </c>
      <c r="C5588" s="3">
        <v>23</v>
      </c>
      <c r="E5588" t="s">
        <v>97</v>
      </c>
    </row>
    <row r="5589" spans="1:5" x14ac:dyDescent="0.25">
      <c r="A5589" s="1" t="s">
        <v>5588</v>
      </c>
      <c r="C5589" s="3">
        <v>23</v>
      </c>
      <c r="E5589" t="s">
        <v>555</v>
      </c>
    </row>
    <row r="5590" spans="1:5" x14ac:dyDescent="0.25">
      <c r="A5590" s="1" t="s">
        <v>5589</v>
      </c>
      <c r="C5590" s="3">
        <v>23</v>
      </c>
      <c r="E5590" t="s">
        <v>1099</v>
      </c>
    </row>
    <row r="5591" spans="1:5" x14ac:dyDescent="0.25">
      <c r="A5591" s="1" t="s">
        <v>5590</v>
      </c>
      <c r="C5591" s="3">
        <v>23</v>
      </c>
      <c r="E5591" t="s">
        <v>4500</v>
      </c>
    </row>
    <row r="5592" spans="1:5" x14ac:dyDescent="0.25">
      <c r="A5592" s="1" t="s">
        <v>5591</v>
      </c>
      <c r="C5592" s="3">
        <v>23</v>
      </c>
      <c r="E5592" t="s">
        <v>20427</v>
      </c>
    </row>
    <row r="5593" spans="1:5" x14ac:dyDescent="0.25">
      <c r="A5593" s="1" t="s">
        <v>5592</v>
      </c>
      <c r="C5593" s="3">
        <v>23</v>
      </c>
      <c r="E5593" t="s">
        <v>2502</v>
      </c>
    </row>
    <row r="5594" spans="1:5" x14ac:dyDescent="0.25">
      <c r="A5594" s="1" t="s">
        <v>5593</v>
      </c>
      <c r="C5594" s="3">
        <v>23</v>
      </c>
      <c r="E5594" t="s">
        <v>12043</v>
      </c>
    </row>
    <row r="5595" spans="1:5" x14ac:dyDescent="0.25">
      <c r="A5595" s="1" t="s">
        <v>5594</v>
      </c>
      <c r="C5595" s="3">
        <v>23</v>
      </c>
      <c r="E5595" t="s">
        <v>502</v>
      </c>
    </row>
    <row r="5596" spans="1:5" x14ac:dyDescent="0.25">
      <c r="A5596" s="1" t="s">
        <v>5595</v>
      </c>
      <c r="C5596" s="3">
        <v>23</v>
      </c>
      <c r="E5596" t="s">
        <v>3364</v>
      </c>
    </row>
    <row r="5597" spans="1:5" x14ac:dyDescent="0.25">
      <c r="A5597" s="1" t="s">
        <v>5596</v>
      </c>
      <c r="C5597" s="3">
        <v>23</v>
      </c>
      <c r="E5597" t="s">
        <v>4540</v>
      </c>
    </row>
    <row r="5598" spans="1:5" x14ac:dyDescent="0.25">
      <c r="A5598" s="1" t="s">
        <v>5597</v>
      </c>
      <c r="C5598" s="3">
        <v>23</v>
      </c>
      <c r="E5598" t="s">
        <v>13386</v>
      </c>
    </row>
    <row r="5599" spans="1:5" x14ac:dyDescent="0.25">
      <c r="A5599" s="1" t="s">
        <v>5598</v>
      </c>
      <c r="C5599" s="3">
        <v>23</v>
      </c>
      <c r="E5599" t="s">
        <v>1118</v>
      </c>
    </row>
    <row r="5600" spans="1:5" x14ac:dyDescent="0.25">
      <c r="A5600" s="1" t="s">
        <v>5599</v>
      </c>
      <c r="C5600" s="3">
        <v>23</v>
      </c>
      <c r="E5600" t="s">
        <v>373</v>
      </c>
    </row>
    <row r="5601" spans="1:5" x14ac:dyDescent="0.25">
      <c r="A5601" s="1" t="s">
        <v>5600</v>
      </c>
      <c r="C5601" s="3">
        <v>23</v>
      </c>
      <c r="E5601" t="s">
        <v>276</v>
      </c>
    </row>
    <row r="5602" spans="1:5" x14ac:dyDescent="0.25">
      <c r="A5602" s="1" t="s">
        <v>5601</v>
      </c>
      <c r="C5602" s="3">
        <v>23</v>
      </c>
      <c r="E5602" t="s">
        <v>3424</v>
      </c>
    </row>
    <row r="5603" spans="1:5" x14ac:dyDescent="0.25">
      <c r="A5603" s="1" t="s">
        <v>5602</v>
      </c>
      <c r="C5603" s="3">
        <v>23</v>
      </c>
      <c r="E5603" t="s">
        <v>3715</v>
      </c>
    </row>
    <row r="5604" spans="1:5" x14ac:dyDescent="0.25">
      <c r="A5604" s="1" t="s">
        <v>5603</v>
      </c>
      <c r="C5604" s="3">
        <v>23</v>
      </c>
      <c r="E5604" t="s">
        <v>9002</v>
      </c>
    </row>
    <row r="5605" spans="1:5" x14ac:dyDescent="0.25">
      <c r="A5605" s="1" t="s">
        <v>5604</v>
      </c>
      <c r="C5605" s="3">
        <v>23</v>
      </c>
      <c r="E5605" t="s">
        <v>9607</v>
      </c>
    </row>
    <row r="5606" spans="1:5" x14ac:dyDescent="0.25">
      <c r="A5606" s="1" t="s">
        <v>5605</v>
      </c>
      <c r="C5606" s="3">
        <v>23</v>
      </c>
      <c r="E5606" t="s">
        <v>2775</v>
      </c>
    </row>
    <row r="5607" spans="1:5" x14ac:dyDescent="0.25">
      <c r="A5607" s="1" t="s">
        <v>5606</v>
      </c>
      <c r="C5607" s="3">
        <v>23</v>
      </c>
      <c r="E5607" t="s">
        <v>349</v>
      </c>
    </row>
    <row r="5608" spans="1:5" x14ac:dyDescent="0.25">
      <c r="A5608" s="1" t="s">
        <v>5607</v>
      </c>
      <c r="C5608" s="3">
        <v>23</v>
      </c>
      <c r="E5608" t="s">
        <v>9082</v>
      </c>
    </row>
    <row r="5609" spans="1:5" x14ac:dyDescent="0.25">
      <c r="A5609" s="1" t="s">
        <v>5608</v>
      </c>
      <c r="C5609" s="3">
        <v>23</v>
      </c>
      <c r="E5609" t="s">
        <v>2900</v>
      </c>
    </row>
    <row r="5610" spans="1:5" x14ac:dyDescent="0.25">
      <c r="A5610" s="1" t="s">
        <v>5609</v>
      </c>
      <c r="C5610" s="3">
        <v>23</v>
      </c>
      <c r="E5610" t="s">
        <v>2370</v>
      </c>
    </row>
    <row r="5611" spans="1:5" x14ac:dyDescent="0.25">
      <c r="A5611" s="1" t="s">
        <v>5610</v>
      </c>
      <c r="C5611" s="3">
        <v>23</v>
      </c>
      <c r="E5611" t="s">
        <v>4397</v>
      </c>
    </row>
    <row r="5612" spans="1:5" x14ac:dyDescent="0.25">
      <c r="A5612" s="1" t="s">
        <v>5611</v>
      </c>
      <c r="C5612" s="3">
        <v>23</v>
      </c>
      <c r="E5612" t="s">
        <v>11576</v>
      </c>
    </row>
    <row r="5613" spans="1:5" x14ac:dyDescent="0.25">
      <c r="A5613" s="1" t="s">
        <v>5612</v>
      </c>
      <c r="C5613" s="3">
        <v>23</v>
      </c>
      <c r="E5613" t="s">
        <v>9651</v>
      </c>
    </row>
    <row r="5614" spans="1:5" x14ac:dyDescent="0.25">
      <c r="A5614" s="1" t="s">
        <v>5613</v>
      </c>
      <c r="C5614" s="3">
        <v>23</v>
      </c>
      <c r="E5614" t="s">
        <v>4365</v>
      </c>
    </row>
    <row r="5615" spans="1:5" x14ac:dyDescent="0.25">
      <c r="A5615" s="1" t="s">
        <v>5614</v>
      </c>
      <c r="C5615" s="3">
        <v>23</v>
      </c>
      <c r="E5615" t="s">
        <v>7959</v>
      </c>
    </row>
    <row r="5616" spans="1:5" x14ac:dyDescent="0.25">
      <c r="A5616" s="1" t="s">
        <v>5615</v>
      </c>
      <c r="C5616" s="3">
        <v>23</v>
      </c>
      <c r="E5616" t="s">
        <v>2827</v>
      </c>
    </row>
    <row r="5617" spans="1:5" x14ac:dyDescent="0.25">
      <c r="A5617" s="1" t="s">
        <v>5616</v>
      </c>
      <c r="C5617" s="3">
        <v>23</v>
      </c>
      <c r="E5617" t="s">
        <v>10043</v>
      </c>
    </row>
    <row r="5618" spans="1:5" x14ac:dyDescent="0.25">
      <c r="A5618" s="1" t="s">
        <v>5617</v>
      </c>
      <c r="C5618" s="3">
        <v>23</v>
      </c>
      <c r="E5618" t="s">
        <v>10266</v>
      </c>
    </row>
    <row r="5619" spans="1:5" x14ac:dyDescent="0.25">
      <c r="A5619" s="1" t="s">
        <v>5618</v>
      </c>
      <c r="C5619" s="3">
        <v>23</v>
      </c>
      <c r="E5619" t="s">
        <v>1447</v>
      </c>
    </row>
    <row r="5620" spans="1:5" x14ac:dyDescent="0.25">
      <c r="A5620" s="1" t="s">
        <v>5619</v>
      </c>
      <c r="C5620" s="3">
        <v>23</v>
      </c>
      <c r="E5620" t="s">
        <v>474</v>
      </c>
    </row>
    <row r="5621" spans="1:5" x14ac:dyDescent="0.25">
      <c r="A5621" s="1" t="s">
        <v>5620</v>
      </c>
      <c r="C5621" s="3">
        <v>23</v>
      </c>
      <c r="E5621" t="s">
        <v>15147</v>
      </c>
    </row>
    <row r="5622" spans="1:5" x14ac:dyDescent="0.25">
      <c r="A5622" s="1" t="s">
        <v>5621</v>
      </c>
      <c r="C5622" s="3">
        <v>23</v>
      </c>
      <c r="E5622" t="s">
        <v>18889</v>
      </c>
    </row>
    <row r="5623" spans="1:5" x14ac:dyDescent="0.25">
      <c r="A5623" s="1" t="s">
        <v>5622</v>
      </c>
      <c r="C5623" s="3">
        <v>23</v>
      </c>
      <c r="E5623" t="s">
        <v>1371</v>
      </c>
    </row>
    <row r="5624" spans="1:5" x14ac:dyDescent="0.25">
      <c r="A5624" s="1" t="s">
        <v>5623</v>
      </c>
      <c r="C5624" s="3">
        <v>23</v>
      </c>
      <c r="E5624" t="s">
        <v>13859</v>
      </c>
    </row>
    <row r="5625" spans="1:5" x14ac:dyDescent="0.25">
      <c r="A5625" s="1" t="s">
        <v>5624</v>
      </c>
      <c r="C5625" s="3">
        <v>23</v>
      </c>
      <c r="E5625" t="s">
        <v>2131</v>
      </c>
    </row>
    <row r="5626" spans="1:5" x14ac:dyDescent="0.25">
      <c r="A5626" s="1" t="s">
        <v>5625</v>
      </c>
      <c r="C5626" s="3">
        <v>23</v>
      </c>
      <c r="E5626" t="s">
        <v>2026</v>
      </c>
    </row>
    <row r="5627" spans="1:5" x14ac:dyDescent="0.25">
      <c r="A5627" s="1" t="s">
        <v>5626</v>
      </c>
      <c r="C5627" s="3">
        <v>23</v>
      </c>
      <c r="E5627" t="s">
        <v>3822</v>
      </c>
    </row>
    <row r="5628" spans="1:5" x14ac:dyDescent="0.25">
      <c r="A5628" s="1" t="s">
        <v>5627</v>
      </c>
      <c r="C5628" s="3">
        <v>23</v>
      </c>
      <c r="E5628" t="s">
        <v>3269</v>
      </c>
    </row>
    <row r="5629" spans="1:5" x14ac:dyDescent="0.25">
      <c r="A5629" s="1" t="s">
        <v>5628</v>
      </c>
      <c r="C5629" s="3">
        <v>23</v>
      </c>
      <c r="E5629" t="s">
        <v>3826</v>
      </c>
    </row>
    <row r="5630" spans="1:5" x14ac:dyDescent="0.25">
      <c r="A5630" s="1" t="s">
        <v>5629</v>
      </c>
      <c r="C5630" s="3">
        <v>23</v>
      </c>
      <c r="E5630" t="s">
        <v>7298</v>
      </c>
    </row>
    <row r="5631" spans="1:5" x14ac:dyDescent="0.25">
      <c r="A5631" s="1" t="s">
        <v>5630</v>
      </c>
      <c r="C5631" s="3">
        <v>23</v>
      </c>
      <c r="E5631" t="s">
        <v>84</v>
      </c>
    </row>
    <row r="5632" spans="1:5" x14ac:dyDescent="0.25">
      <c r="A5632" s="1" t="s">
        <v>5631</v>
      </c>
      <c r="C5632" s="3">
        <v>23</v>
      </c>
      <c r="E5632" t="s">
        <v>11082</v>
      </c>
    </row>
    <row r="5633" spans="1:5" x14ac:dyDescent="0.25">
      <c r="A5633" s="1" t="s">
        <v>5632</v>
      </c>
      <c r="C5633" s="3">
        <v>23</v>
      </c>
      <c r="E5633" t="s">
        <v>8405</v>
      </c>
    </row>
    <row r="5634" spans="1:5" x14ac:dyDescent="0.25">
      <c r="A5634" s="1" t="s">
        <v>5633</v>
      </c>
      <c r="C5634" s="3">
        <v>23</v>
      </c>
      <c r="E5634" t="s">
        <v>4461</v>
      </c>
    </row>
    <row r="5635" spans="1:5" x14ac:dyDescent="0.25">
      <c r="A5635" s="1" t="s">
        <v>5634</v>
      </c>
      <c r="C5635" s="3">
        <v>23</v>
      </c>
      <c r="E5635" t="s">
        <v>8048</v>
      </c>
    </row>
    <row r="5636" spans="1:5" x14ac:dyDescent="0.25">
      <c r="A5636" s="1" t="s">
        <v>5635</v>
      </c>
      <c r="C5636" s="3">
        <v>23</v>
      </c>
      <c r="E5636" t="s">
        <v>3352</v>
      </c>
    </row>
    <row r="5637" spans="1:5" x14ac:dyDescent="0.25">
      <c r="A5637" s="1" t="s">
        <v>5636</v>
      </c>
      <c r="C5637" s="3">
        <v>23</v>
      </c>
      <c r="E5637" t="s">
        <v>3320</v>
      </c>
    </row>
    <row r="5638" spans="1:5" x14ac:dyDescent="0.25">
      <c r="A5638" s="1" t="s">
        <v>5637</v>
      </c>
      <c r="C5638" s="3">
        <v>23</v>
      </c>
      <c r="E5638" t="s">
        <v>22085</v>
      </c>
    </row>
    <row r="5639" spans="1:5" x14ac:dyDescent="0.25">
      <c r="A5639" s="1" t="s">
        <v>5638</v>
      </c>
      <c r="C5639" s="3">
        <v>23</v>
      </c>
      <c r="E5639" t="s">
        <v>1211</v>
      </c>
    </row>
    <row r="5640" spans="1:5" x14ac:dyDescent="0.25">
      <c r="A5640" s="1" t="s">
        <v>5639</v>
      </c>
      <c r="C5640" s="3">
        <v>23</v>
      </c>
      <c r="E5640" t="s">
        <v>17241</v>
      </c>
    </row>
    <row r="5641" spans="1:5" x14ac:dyDescent="0.25">
      <c r="A5641" s="1" t="s">
        <v>5640</v>
      </c>
      <c r="C5641" s="3">
        <v>23</v>
      </c>
      <c r="E5641" t="s">
        <v>11737</v>
      </c>
    </row>
    <row r="5642" spans="1:5" x14ac:dyDescent="0.25">
      <c r="A5642" s="1" t="s">
        <v>5641</v>
      </c>
      <c r="C5642" s="3">
        <v>23</v>
      </c>
      <c r="E5642" t="s">
        <v>1558</v>
      </c>
    </row>
    <row r="5643" spans="1:5" x14ac:dyDescent="0.25">
      <c r="A5643" s="1" t="s">
        <v>5642</v>
      </c>
      <c r="C5643" s="3">
        <v>23</v>
      </c>
      <c r="E5643" t="s">
        <v>18405</v>
      </c>
    </row>
    <row r="5644" spans="1:5" x14ac:dyDescent="0.25">
      <c r="A5644" s="1" t="s">
        <v>5643</v>
      </c>
      <c r="C5644" s="3">
        <v>23</v>
      </c>
      <c r="E5644" t="s">
        <v>8249</v>
      </c>
    </row>
    <row r="5645" spans="1:5" x14ac:dyDescent="0.25">
      <c r="A5645" s="1" t="s">
        <v>5644</v>
      </c>
      <c r="C5645" s="3">
        <v>23</v>
      </c>
      <c r="E5645" t="s">
        <v>25008</v>
      </c>
    </row>
    <row r="5646" spans="1:5" x14ac:dyDescent="0.25">
      <c r="A5646" s="1" t="s">
        <v>5645</v>
      </c>
      <c r="C5646" s="3">
        <v>23</v>
      </c>
      <c r="E5646" t="s">
        <v>2710</v>
      </c>
    </row>
    <row r="5647" spans="1:5" x14ac:dyDescent="0.25">
      <c r="A5647" s="1" t="s">
        <v>5646</v>
      </c>
      <c r="C5647" s="3">
        <v>23</v>
      </c>
      <c r="E5647" t="s">
        <v>4481</v>
      </c>
    </row>
    <row r="5648" spans="1:5" x14ac:dyDescent="0.25">
      <c r="A5648" s="1" t="s">
        <v>5647</v>
      </c>
      <c r="C5648" s="3">
        <v>23</v>
      </c>
      <c r="E5648" t="s">
        <v>10194</v>
      </c>
    </row>
    <row r="5649" spans="1:5" x14ac:dyDescent="0.25">
      <c r="A5649" s="1" t="s">
        <v>5648</v>
      </c>
      <c r="C5649" s="3">
        <v>23</v>
      </c>
      <c r="E5649" t="s">
        <v>5454</v>
      </c>
    </row>
    <row r="5650" spans="1:5" x14ac:dyDescent="0.25">
      <c r="A5650" s="1" t="s">
        <v>5649</v>
      </c>
      <c r="C5650" s="3">
        <v>23</v>
      </c>
      <c r="E5650" t="s">
        <v>4444</v>
      </c>
    </row>
    <row r="5651" spans="1:5" x14ac:dyDescent="0.25">
      <c r="A5651" s="1" t="s">
        <v>5650</v>
      </c>
      <c r="C5651" s="3">
        <v>23</v>
      </c>
      <c r="E5651" t="s">
        <v>1794</v>
      </c>
    </row>
    <row r="5652" spans="1:5" x14ac:dyDescent="0.25">
      <c r="A5652" s="1" t="s">
        <v>5651</v>
      </c>
      <c r="C5652" s="3">
        <v>23</v>
      </c>
      <c r="E5652" t="s">
        <v>4091</v>
      </c>
    </row>
    <row r="5653" spans="1:5" x14ac:dyDescent="0.25">
      <c r="A5653" s="1" t="s">
        <v>5652</v>
      </c>
      <c r="C5653" s="3">
        <v>23</v>
      </c>
      <c r="E5653" t="s">
        <v>2945</v>
      </c>
    </row>
    <row r="5654" spans="1:5" x14ac:dyDescent="0.25">
      <c r="A5654" s="1" t="s">
        <v>5653</v>
      </c>
      <c r="C5654" s="3">
        <v>23</v>
      </c>
      <c r="E5654" t="s">
        <v>3959</v>
      </c>
    </row>
    <row r="5655" spans="1:5" x14ac:dyDescent="0.25">
      <c r="A5655" s="1" t="s">
        <v>5654</v>
      </c>
      <c r="C5655" s="3">
        <v>23</v>
      </c>
      <c r="E5655" t="s">
        <v>18181</v>
      </c>
    </row>
    <row r="5656" spans="1:5" x14ac:dyDescent="0.25">
      <c r="A5656" s="1" t="s">
        <v>5655</v>
      </c>
      <c r="C5656" s="3">
        <v>23</v>
      </c>
      <c r="E5656" t="s">
        <v>17397</v>
      </c>
    </row>
    <row r="5657" spans="1:5" x14ac:dyDescent="0.25">
      <c r="A5657" s="1" t="s">
        <v>5656</v>
      </c>
      <c r="C5657" s="3">
        <v>23</v>
      </c>
      <c r="E5657" t="s">
        <v>2114</v>
      </c>
    </row>
    <row r="5658" spans="1:5" x14ac:dyDescent="0.25">
      <c r="A5658" s="1" t="s">
        <v>5657</v>
      </c>
      <c r="C5658" s="3">
        <v>23</v>
      </c>
      <c r="E5658" t="s">
        <v>14234</v>
      </c>
    </row>
    <row r="5659" spans="1:5" x14ac:dyDescent="0.25">
      <c r="A5659" s="1" t="s">
        <v>5658</v>
      </c>
      <c r="C5659" s="3">
        <v>23</v>
      </c>
      <c r="E5659" t="s">
        <v>4810</v>
      </c>
    </row>
    <row r="5660" spans="1:5" x14ac:dyDescent="0.25">
      <c r="A5660" s="1" t="s">
        <v>5659</v>
      </c>
      <c r="C5660" s="3">
        <v>23</v>
      </c>
      <c r="E5660" t="s">
        <v>2995</v>
      </c>
    </row>
    <row r="5661" spans="1:5" x14ac:dyDescent="0.25">
      <c r="A5661" s="1" t="s">
        <v>5660</v>
      </c>
      <c r="C5661" s="3">
        <v>23</v>
      </c>
      <c r="E5661" t="s">
        <v>1995</v>
      </c>
    </row>
    <row r="5662" spans="1:5" x14ac:dyDescent="0.25">
      <c r="A5662" s="1" t="s">
        <v>5661</v>
      </c>
      <c r="C5662" s="3">
        <v>23</v>
      </c>
      <c r="E5662" t="s">
        <v>735</v>
      </c>
    </row>
    <row r="5663" spans="1:5" x14ac:dyDescent="0.25">
      <c r="A5663" s="1" t="s">
        <v>5662</v>
      </c>
      <c r="C5663" s="3">
        <v>23</v>
      </c>
      <c r="E5663" t="s">
        <v>5062</v>
      </c>
    </row>
    <row r="5664" spans="1:5" x14ac:dyDescent="0.25">
      <c r="A5664" s="1" t="s">
        <v>5663</v>
      </c>
      <c r="C5664" s="3">
        <v>23</v>
      </c>
      <c r="E5664" t="s">
        <v>1030</v>
      </c>
    </row>
    <row r="5665" spans="1:5" x14ac:dyDescent="0.25">
      <c r="A5665" s="1" t="s">
        <v>5664</v>
      </c>
      <c r="C5665" s="3">
        <v>23</v>
      </c>
      <c r="E5665" t="s">
        <v>2067</v>
      </c>
    </row>
    <row r="5666" spans="1:5" x14ac:dyDescent="0.25">
      <c r="A5666" s="1" t="s">
        <v>5665</v>
      </c>
      <c r="C5666" s="3">
        <v>23</v>
      </c>
      <c r="E5666" t="s">
        <v>253</v>
      </c>
    </row>
    <row r="5667" spans="1:5" x14ac:dyDescent="0.25">
      <c r="A5667" s="1" t="s">
        <v>5666</v>
      </c>
      <c r="C5667" s="3">
        <v>23</v>
      </c>
      <c r="E5667" t="s">
        <v>12799</v>
      </c>
    </row>
    <row r="5668" spans="1:5" x14ac:dyDescent="0.25">
      <c r="A5668" s="1" t="s">
        <v>5667</v>
      </c>
      <c r="C5668" s="3">
        <v>23</v>
      </c>
      <c r="E5668" t="s">
        <v>10171</v>
      </c>
    </row>
    <row r="5669" spans="1:5" x14ac:dyDescent="0.25">
      <c r="A5669" s="1" t="s">
        <v>5668</v>
      </c>
      <c r="C5669" s="3">
        <v>23</v>
      </c>
      <c r="E5669" t="s">
        <v>3625</v>
      </c>
    </row>
    <row r="5670" spans="1:5" x14ac:dyDescent="0.25">
      <c r="A5670" s="1" t="s">
        <v>5669</v>
      </c>
      <c r="C5670" s="3">
        <v>23</v>
      </c>
      <c r="E5670" t="s">
        <v>6326</v>
      </c>
    </row>
    <row r="5671" spans="1:5" x14ac:dyDescent="0.25">
      <c r="A5671" s="1" t="s">
        <v>5670</v>
      </c>
      <c r="C5671" s="3">
        <v>23</v>
      </c>
      <c r="E5671" t="s">
        <v>3976</v>
      </c>
    </row>
    <row r="5672" spans="1:5" x14ac:dyDescent="0.25">
      <c r="A5672" s="1" t="s">
        <v>5671</v>
      </c>
      <c r="C5672" s="3">
        <v>23</v>
      </c>
      <c r="E5672" t="s">
        <v>4197</v>
      </c>
    </row>
    <row r="5673" spans="1:5" x14ac:dyDescent="0.25">
      <c r="A5673" s="1" t="s">
        <v>5672</v>
      </c>
      <c r="C5673" s="3">
        <v>23</v>
      </c>
      <c r="E5673" t="s">
        <v>2056</v>
      </c>
    </row>
    <row r="5674" spans="1:5" x14ac:dyDescent="0.25">
      <c r="A5674" s="1" t="s">
        <v>5673</v>
      </c>
      <c r="C5674" s="3">
        <v>23</v>
      </c>
      <c r="E5674" t="s">
        <v>2793</v>
      </c>
    </row>
    <row r="5675" spans="1:5" x14ac:dyDescent="0.25">
      <c r="A5675" s="1" t="s">
        <v>5674</v>
      </c>
      <c r="C5675" s="3">
        <v>23</v>
      </c>
      <c r="E5675" t="s">
        <v>2347</v>
      </c>
    </row>
    <row r="5676" spans="1:5" x14ac:dyDescent="0.25">
      <c r="A5676" s="1" t="s">
        <v>5675</v>
      </c>
      <c r="C5676" s="3">
        <v>23</v>
      </c>
      <c r="E5676" t="s">
        <v>1416</v>
      </c>
    </row>
    <row r="5677" spans="1:5" x14ac:dyDescent="0.25">
      <c r="A5677" s="1" t="s">
        <v>5676</v>
      </c>
      <c r="C5677" s="3">
        <v>23</v>
      </c>
      <c r="E5677" t="s">
        <v>1097</v>
      </c>
    </row>
    <row r="5678" spans="1:5" x14ac:dyDescent="0.25">
      <c r="A5678" s="1" t="s">
        <v>5677</v>
      </c>
      <c r="C5678" s="3">
        <v>23</v>
      </c>
      <c r="E5678" t="s">
        <v>677</v>
      </c>
    </row>
    <row r="5679" spans="1:5" x14ac:dyDescent="0.25">
      <c r="A5679" s="1" t="s">
        <v>5678</v>
      </c>
      <c r="C5679" s="3">
        <v>23</v>
      </c>
      <c r="E5679" t="s">
        <v>4317</v>
      </c>
    </row>
    <row r="5680" spans="1:5" x14ac:dyDescent="0.25">
      <c r="A5680" s="1" t="s">
        <v>5679</v>
      </c>
      <c r="C5680" s="3">
        <v>23</v>
      </c>
      <c r="E5680" t="s">
        <v>6177</v>
      </c>
    </row>
    <row r="5681" spans="1:5" x14ac:dyDescent="0.25">
      <c r="A5681" s="1" t="s">
        <v>5680</v>
      </c>
      <c r="C5681" s="3">
        <v>23</v>
      </c>
      <c r="E5681" t="s">
        <v>8008</v>
      </c>
    </row>
    <row r="5682" spans="1:5" x14ac:dyDescent="0.25">
      <c r="A5682" s="1" t="s">
        <v>5681</v>
      </c>
      <c r="C5682" s="3">
        <v>23</v>
      </c>
      <c r="E5682" t="s">
        <v>529</v>
      </c>
    </row>
    <row r="5683" spans="1:5" x14ac:dyDescent="0.25">
      <c r="A5683" s="1" t="s">
        <v>5682</v>
      </c>
      <c r="C5683" s="3">
        <v>23</v>
      </c>
      <c r="E5683" t="s">
        <v>18556</v>
      </c>
    </row>
    <row r="5684" spans="1:5" x14ac:dyDescent="0.25">
      <c r="A5684" s="1" t="s">
        <v>5683</v>
      </c>
      <c r="C5684" s="3">
        <v>23</v>
      </c>
      <c r="E5684" t="s">
        <v>5739</v>
      </c>
    </row>
    <row r="5685" spans="1:5" x14ac:dyDescent="0.25">
      <c r="A5685" s="1" t="s">
        <v>5684</v>
      </c>
      <c r="C5685" s="3">
        <v>23</v>
      </c>
      <c r="E5685" t="s">
        <v>3444</v>
      </c>
    </row>
    <row r="5686" spans="1:5" x14ac:dyDescent="0.25">
      <c r="A5686" s="1" t="s">
        <v>5685</v>
      </c>
      <c r="C5686" s="3">
        <v>23</v>
      </c>
      <c r="E5686" t="s">
        <v>11083</v>
      </c>
    </row>
    <row r="5687" spans="1:5" x14ac:dyDescent="0.25">
      <c r="A5687" s="1" t="s">
        <v>5686</v>
      </c>
      <c r="C5687" s="3">
        <v>23</v>
      </c>
      <c r="E5687" t="s">
        <v>17793</v>
      </c>
    </row>
    <row r="5688" spans="1:5" x14ac:dyDescent="0.25">
      <c r="A5688" s="1" t="s">
        <v>5687</v>
      </c>
      <c r="C5688" s="3">
        <v>23</v>
      </c>
      <c r="E5688" t="s">
        <v>4061</v>
      </c>
    </row>
    <row r="5689" spans="1:5" x14ac:dyDescent="0.25">
      <c r="A5689" s="1" t="s">
        <v>5688</v>
      </c>
      <c r="C5689" s="3">
        <v>23</v>
      </c>
      <c r="E5689" t="s">
        <v>206</v>
      </c>
    </row>
    <row r="5690" spans="1:5" x14ac:dyDescent="0.25">
      <c r="A5690" s="1" t="s">
        <v>5689</v>
      </c>
      <c r="C5690" s="3">
        <v>23</v>
      </c>
      <c r="E5690" t="s">
        <v>9772</v>
      </c>
    </row>
    <row r="5691" spans="1:5" x14ac:dyDescent="0.25">
      <c r="A5691" s="1" t="s">
        <v>5690</v>
      </c>
      <c r="C5691" s="3">
        <v>23</v>
      </c>
      <c r="E5691" t="s">
        <v>4315</v>
      </c>
    </row>
    <row r="5692" spans="1:5" x14ac:dyDescent="0.25">
      <c r="A5692" s="1" t="s">
        <v>5691</v>
      </c>
      <c r="C5692" s="3">
        <v>23</v>
      </c>
      <c r="E5692" t="s">
        <v>2300</v>
      </c>
    </row>
    <row r="5693" spans="1:5" x14ac:dyDescent="0.25">
      <c r="A5693" s="1" t="s">
        <v>5692</v>
      </c>
      <c r="C5693" s="3">
        <v>23</v>
      </c>
      <c r="E5693" t="s">
        <v>1735</v>
      </c>
    </row>
    <row r="5694" spans="1:5" x14ac:dyDescent="0.25">
      <c r="A5694" s="1" t="s">
        <v>5693</v>
      </c>
      <c r="C5694" s="3">
        <v>23</v>
      </c>
      <c r="E5694" t="s">
        <v>255</v>
      </c>
    </row>
    <row r="5695" spans="1:5" x14ac:dyDescent="0.25">
      <c r="A5695" s="1" t="s">
        <v>5694</v>
      </c>
      <c r="C5695" s="3">
        <v>23</v>
      </c>
      <c r="E5695" t="s">
        <v>2023</v>
      </c>
    </row>
    <row r="5696" spans="1:5" x14ac:dyDescent="0.25">
      <c r="A5696" s="1" t="s">
        <v>5695</v>
      </c>
      <c r="C5696" s="3">
        <v>23</v>
      </c>
      <c r="E5696" t="s">
        <v>7105</v>
      </c>
    </row>
    <row r="5697" spans="1:5" x14ac:dyDescent="0.25">
      <c r="A5697" s="1" t="s">
        <v>5696</v>
      </c>
      <c r="C5697" s="3">
        <v>23</v>
      </c>
      <c r="E5697" t="s">
        <v>9706</v>
      </c>
    </row>
    <row r="5698" spans="1:5" x14ac:dyDescent="0.25">
      <c r="A5698" s="1" t="s">
        <v>5697</v>
      </c>
      <c r="C5698" s="3">
        <v>23</v>
      </c>
      <c r="E5698" t="s">
        <v>152</v>
      </c>
    </row>
    <row r="5699" spans="1:5" x14ac:dyDescent="0.25">
      <c r="A5699" s="1" t="s">
        <v>5698</v>
      </c>
      <c r="C5699" s="3">
        <v>23</v>
      </c>
      <c r="E5699" t="s">
        <v>2309</v>
      </c>
    </row>
    <row r="5700" spans="1:5" x14ac:dyDescent="0.25">
      <c r="A5700" s="1" t="s">
        <v>5699</v>
      </c>
      <c r="C5700" s="3">
        <v>23</v>
      </c>
      <c r="E5700" t="s">
        <v>12981</v>
      </c>
    </row>
    <row r="5701" spans="1:5" x14ac:dyDescent="0.25">
      <c r="A5701" s="1" t="s">
        <v>5700</v>
      </c>
      <c r="C5701" s="3">
        <v>23</v>
      </c>
      <c r="E5701" t="s">
        <v>19843</v>
      </c>
    </row>
    <row r="5702" spans="1:5" x14ac:dyDescent="0.25">
      <c r="A5702" s="1" t="s">
        <v>5701</v>
      </c>
      <c r="C5702" s="3">
        <v>23</v>
      </c>
      <c r="E5702" t="s">
        <v>12447</v>
      </c>
    </row>
    <row r="5703" spans="1:5" x14ac:dyDescent="0.25">
      <c r="A5703" s="1" t="s">
        <v>5702</v>
      </c>
      <c r="C5703" s="3">
        <v>23</v>
      </c>
      <c r="E5703" t="s">
        <v>919</v>
      </c>
    </row>
    <row r="5704" spans="1:5" x14ac:dyDescent="0.25">
      <c r="A5704" s="1" t="s">
        <v>5703</v>
      </c>
      <c r="C5704" s="3">
        <v>23</v>
      </c>
      <c r="E5704" t="s">
        <v>194</v>
      </c>
    </row>
    <row r="5705" spans="1:5" x14ac:dyDescent="0.25">
      <c r="A5705" s="1" t="s">
        <v>5704</v>
      </c>
      <c r="C5705" s="3">
        <v>23</v>
      </c>
      <c r="E5705" t="s">
        <v>6565</v>
      </c>
    </row>
    <row r="5706" spans="1:5" x14ac:dyDescent="0.25">
      <c r="A5706" s="1" t="s">
        <v>5705</v>
      </c>
      <c r="C5706" s="3">
        <v>23</v>
      </c>
      <c r="E5706" t="s">
        <v>832</v>
      </c>
    </row>
    <row r="5707" spans="1:5" x14ac:dyDescent="0.25">
      <c r="A5707" s="1" t="s">
        <v>5706</v>
      </c>
      <c r="C5707" s="3">
        <v>23</v>
      </c>
      <c r="E5707" t="s">
        <v>8348</v>
      </c>
    </row>
    <row r="5708" spans="1:5" x14ac:dyDescent="0.25">
      <c r="A5708" s="1" t="s">
        <v>5707</v>
      </c>
      <c r="C5708" s="3">
        <v>23</v>
      </c>
      <c r="E5708" t="s">
        <v>7650</v>
      </c>
    </row>
    <row r="5709" spans="1:5" x14ac:dyDescent="0.25">
      <c r="A5709" s="1" t="s">
        <v>5708</v>
      </c>
      <c r="C5709" s="3">
        <v>23</v>
      </c>
      <c r="E5709" t="s">
        <v>23789</v>
      </c>
    </row>
    <row r="5710" spans="1:5" x14ac:dyDescent="0.25">
      <c r="A5710" s="1" t="s">
        <v>5709</v>
      </c>
      <c r="C5710" s="3">
        <v>23</v>
      </c>
      <c r="E5710" t="s">
        <v>7015</v>
      </c>
    </row>
    <row r="5711" spans="1:5" x14ac:dyDescent="0.25">
      <c r="A5711" s="1" t="s">
        <v>5710</v>
      </c>
      <c r="C5711" s="3">
        <v>23</v>
      </c>
      <c r="E5711" t="s">
        <v>1351</v>
      </c>
    </row>
    <row r="5712" spans="1:5" x14ac:dyDescent="0.25">
      <c r="A5712" s="1" t="s">
        <v>5711</v>
      </c>
      <c r="C5712" s="3">
        <v>23</v>
      </c>
      <c r="E5712" t="s">
        <v>1949</v>
      </c>
    </row>
    <row r="5713" spans="1:5" x14ac:dyDescent="0.25">
      <c r="A5713" s="1" t="s">
        <v>5712</v>
      </c>
      <c r="C5713" s="3">
        <v>23</v>
      </c>
      <c r="E5713" t="s">
        <v>1903</v>
      </c>
    </row>
    <row r="5714" spans="1:5" x14ac:dyDescent="0.25">
      <c r="A5714" s="1" t="s">
        <v>5713</v>
      </c>
      <c r="C5714" s="3">
        <v>23</v>
      </c>
      <c r="E5714" t="s">
        <v>10340</v>
      </c>
    </row>
    <row r="5715" spans="1:5" x14ac:dyDescent="0.25">
      <c r="A5715" s="1" t="s">
        <v>5714</v>
      </c>
      <c r="C5715" s="3">
        <v>23</v>
      </c>
      <c r="E5715" t="s">
        <v>2127</v>
      </c>
    </row>
    <row r="5716" spans="1:5" x14ac:dyDescent="0.25">
      <c r="A5716" s="1" t="s">
        <v>5715</v>
      </c>
      <c r="C5716" s="3">
        <v>23</v>
      </c>
      <c r="E5716" t="s">
        <v>2882</v>
      </c>
    </row>
    <row r="5717" spans="1:5" x14ac:dyDescent="0.25">
      <c r="A5717" s="1" t="s">
        <v>5716</v>
      </c>
      <c r="C5717" s="3">
        <v>23</v>
      </c>
      <c r="E5717" t="s">
        <v>7254</v>
      </c>
    </row>
    <row r="5718" spans="1:5" x14ac:dyDescent="0.25">
      <c r="A5718" s="1" t="s">
        <v>5717</v>
      </c>
      <c r="C5718" s="3">
        <v>23</v>
      </c>
      <c r="E5718" t="s">
        <v>7848</v>
      </c>
    </row>
    <row r="5719" spans="1:5" x14ac:dyDescent="0.25">
      <c r="A5719" s="1" t="s">
        <v>5718</v>
      </c>
      <c r="C5719" s="3">
        <v>23</v>
      </c>
      <c r="E5719" t="s">
        <v>593</v>
      </c>
    </row>
    <row r="5720" spans="1:5" x14ac:dyDescent="0.25">
      <c r="A5720" s="1" t="s">
        <v>5719</v>
      </c>
      <c r="C5720" s="3">
        <v>23</v>
      </c>
      <c r="E5720" t="s">
        <v>9419</v>
      </c>
    </row>
    <row r="5721" spans="1:5" x14ac:dyDescent="0.25">
      <c r="A5721" s="1" t="s">
        <v>5720</v>
      </c>
      <c r="C5721" s="3">
        <v>23</v>
      </c>
      <c r="E5721" t="s">
        <v>2492</v>
      </c>
    </row>
    <row r="5722" spans="1:5" x14ac:dyDescent="0.25">
      <c r="A5722" s="1" t="s">
        <v>5721</v>
      </c>
      <c r="C5722" s="3">
        <v>23</v>
      </c>
      <c r="E5722" t="s">
        <v>5765</v>
      </c>
    </row>
    <row r="5723" spans="1:5" x14ac:dyDescent="0.25">
      <c r="A5723" s="1" t="s">
        <v>5722</v>
      </c>
      <c r="C5723" s="3">
        <v>23</v>
      </c>
      <c r="E5723" t="s">
        <v>5</v>
      </c>
    </row>
    <row r="5724" spans="1:5" x14ac:dyDescent="0.25">
      <c r="A5724" s="1" t="s">
        <v>5723</v>
      </c>
      <c r="C5724" s="3">
        <v>23</v>
      </c>
      <c r="E5724" t="s">
        <v>1064</v>
      </c>
    </row>
    <row r="5725" spans="1:5" x14ac:dyDescent="0.25">
      <c r="A5725" s="1" t="s">
        <v>5724</v>
      </c>
      <c r="C5725" s="3">
        <v>23</v>
      </c>
      <c r="E5725" t="s">
        <v>717</v>
      </c>
    </row>
    <row r="5726" spans="1:5" x14ac:dyDescent="0.25">
      <c r="A5726" s="1" t="s">
        <v>5725</v>
      </c>
      <c r="C5726" s="3">
        <v>23</v>
      </c>
      <c r="E5726" t="s">
        <v>5207</v>
      </c>
    </row>
    <row r="5727" spans="1:5" x14ac:dyDescent="0.25">
      <c r="A5727" s="1" t="s">
        <v>5726</v>
      </c>
      <c r="C5727" s="3">
        <v>23</v>
      </c>
      <c r="E5727" t="s">
        <v>7272</v>
      </c>
    </row>
    <row r="5728" spans="1:5" x14ac:dyDescent="0.25">
      <c r="A5728" s="1" t="s">
        <v>5727</v>
      </c>
      <c r="C5728" s="3">
        <v>23</v>
      </c>
      <c r="E5728" t="s">
        <v>1790</v>
      </c>
    </row>
    <row r="5729" spans="1:5" x14ac:dyDescent="0.25">
      <c r="A5729" s="1" t="s">
        <v>5728</v>
      </c>
      <c r="C5729" s="3">
        <v>23</v>
      </c>
      <c r="E5729" t="s">
        <v>9849</v>
      </c>
    </row>
    <row r="5730" spans="1:5" x14ac:dyDescent="0.25">
      <c r="A5730" s="1" t="s">
        <v>5729</v>
      </c>
      <c r="C5730" s="3">
        <v>23</v>
      </c>
      <c r="E5730" t="s">
        <v>1722</v>
      </c>
    </row>
    <row r="5731" spans="1:5" x14ac:dyDescent="0.25">
      <c r="A5731" s="1" t="s">
        <v>5730</v>
      </c>
      <c r="C5731" s="3">
        <v>23</v>
      </c>
      <c r="E5731" t="s">
        <v>4043</v>
      </c>
    </row>
    <row r="5732" spans="1:5" x14ac:dyDescent="0.25">
      <c r="A5732" s="1" t="s">
        <v>5731</v>
      </c>
      <c r="C5732" s="3">
        <v>23</v>
      </c>
      <c r="E5732" t="s">
        <v>7115</v>
      </c>
    </row>
    <row r="5733" spans="1:5" x14ac:dyDescent="0.25">
      <c r="A5733" s="1" t="s">
        <v>5732</v>
      </c>
      <c r="C5733" s="3">
        <v>23</v>
      </c>
      <c r="E5733" t="s">
        <v>7644</v>
      </c>
    </row>
    <row r="5734" spans="1:5" x14ac:dyDescent="0.25">
      <c r="A5734" s="1" t="s">
        <v>5733</v>
      </c>
      <c r="C5734" s="3">
        <v>23</v>
      </c>
      <c r="E5734" t="s">
        <v>1894</v>
      </c>
    </row>
    <row r="5735" spans="1:5" x14ac:dyDescent="0.25">
      <c r="A5735" s="1" t="s">
        <v>5734</v>
      </c>
      <c r="C5735" s="3">
        <v>23</v>
      </c>
      <c r="E5735" t="s">
        <v>5315</v>
      </c>
    </row>
    <row r="5736" spans="1:5" x14ac:dyDescent="0.25">
      <c r="A5736" s="1" t="s">
        <v>5735</v>
      </c>
      <c r="C5736" s="3">
        <v>23</v>
      </c>
      <c r="E5736" t="s">
        <v>2540</v>
      </c>
    </row>
    <row r="5737" spans="1:5" x14ac:dyDescent="0.25">
      <c r="A5737" s="1" t="s">
        <v>5736</v>
      </c>
      <c r="C5737" s="3">
        <v>23</v>
      </c>
      <c r="E5737" t="s">
        <v>3107</v>
      </c>
    </row>
    <row r="5738" spans="1:5" x14ac:dyDescent="0.25">
      <c r="A5738" s="1" t="s">
        <v>5737</v>
      </c>
      <c r="C5738" s="3">
        <v>23</v>
      </c>
      <c r="E5738" t="s">
        <v>17880</v>
      </c>
    </row>
    <row r="5739" spans="1:5" x14ac:dyDescent="0.25">
      <c r="A5739" s="1" t="s">
        <v>5738</v>
      </c>
      <c r="C5739" s="3">
        <v>23</v>
      </c>
      <c r="E5739" t="s">
        <v>434</v>
      </c>
    </row>
    <row r="5740" spans="1:5" x14ac:dyDescent="0.25">
      <c r="A5740" s="1" t="s">
        <v>5739</v>
      </c>
      <c r="C5740" s="3">
        <v>23</v>
      </c>
      <c r="E5740" t="s">
        <v>2299</v>
      </c>
    </row>
    <row r="5741" spans="1:5" x14ac:dyDescent="0.25">
      <c r="A5741" s="1" t="s">
        <v>5740</v>
      </c>
      <c r="C5741" s="3">
        <v>23</v>
      </c>
      <c r="E5741" t="s">
        <v>5273</v>
      </c>
    </row>
    <row r="5742" spans="1:5" x14ac:dyDescent="0.25">
      <c r="A5742" s="1" t="s">
        <v>5741</v>
      </c>
      <c r="C5742" s="3">
        <v>23</v>
      </c>
      <c r="E5742" t="s">
        <v>3302</v>
      </c>
    </row>
    <row r="5743" spans="1:5" x14ac:dyDescent="0.25">
      <c r="A5743" s="1" t="s">
        <v>5742</v>
      </c>
      <c r="C5743" s="3">
        <v>23</v>
      </c>
      <c r="E5743" t="s">
        <v>2605</v>
      </c>
    </row>
    <row r="5744" spans="1:5" x14ac:dyDescent="0.25">
      <c r="A5744" s="1" t="s">
        <v>5743</v>
      </c>
      <c r="C5744" s="3">
        <v>23</v>
      </c>
      <c r="E5744" t="s">
        <v>6012</v>
      </c>
    </row>
    <row r="5745" spans="1:5" x14ac:dyDescent="0.25">
      <c r="A5745" s="1" t="s">
        <v>5744</v>
      </c>
      <c r="C5745" s="3">
        <v>23</v>
      </c>
      <c r="E5745" t="s">
        <v>8021</v>
      </c>
    </row>
    <row r="5746" spans="1:5" x14ac:dyDescent="0.25">
      <c r="A5746" s="1" t="s">
        <v>5745</v>
      </c>
      <c r="C5746" s="3">
        <v>23</v>
      </c>
      <c r="E5746" t="s">
        <v>1747</v>
      </c>
    </row>
    <row r="5747" spans="1:5" x14ac:dyDescent="0.25">
      <c r="A5747" s="1" t="s">
        <v>5746</v>
      </c>
      <c r="C5747" s="3">
        <v>23</v>
      </c>
      <c r="E5747" t="s">
        <v>3997</v>
      </c>
    </row>
    <row r="5748" spans="1:5" x14ac:dyDescent="0.25">
      <c r="A5748" s="1" t="s">
        <v>5747</v>
      </c>
      <c r="C5748" s="3">
        <v>23</v>
      </c>
      <c r="E5748" t="s">
        <v>14356</v>
      </c>
    </row>
    <row r="5749" spans="1:5" x14ac:dyDescent="0.25">
      <c r="A5749" s="1" t="s">
        <v>5748</v>
      </c>
      <c r="C5749" s="3">
        <v>22</v>
      </c>
      <c r="E5749" t="s">
        <v>4781</v>
      </c>
    </row>
    <row r="5750" spans="1:5" x14ac:dyDescent="0.25">
      <c r="A5750" s="1" t="s">
        <v>5749</v>
      </c>
      <c r="C5750" s="3">
        <v>22</v>
      </c>
      <c r="E5750" t="s">
        <v>2180</v>
      </c>
    </row>
    <row r="5751" spans="1:5" x14ac:dyDescent="0.25">
      <c r="A5751" s="1" t="s">
        <v>5750</v>
      </c>
      <c r="C5751" s="3">
        <v>22</v>
      </c>
      <c r="E5751" t="s">
        <v>86</v>
      </c>
    </row>
    <row r="5752" spans="1:5" x14ac:dyDescent="0.25">
      <c r="A5752" s="1" t="s">
        <v>5751</v>
      </c>
      <c r="C5752" s="3">
        <v>22</v>
      </c>
      <c r="E5752" t="s">
        <v>14635</v>
      </c>
    </row>
    <row r="5753" spans="1:5" x14ac:dyDescent="0.25">
      <c r="A5753" s="1" t="s">
        <v>5752</v>
      </c>
      <c r="C5753" s="3">
        <v>22</v>
      </c>
      <c r="E5753" t="s">
        <v>977</v>
      </c>
    </row>
    <row r="5754" spans="1:5" x14ac:dyDescent="0.25">
      <c r="A5754" s="1" t="s">
        <v>5753</v>
      </c>
      <c r="C5754" s="3">
        <v>22</v>
      </c>
      <c r="E5754" t="s">
        <v>15934</v>
      </c>
    </row>
    <row r="5755" spans="1:5" x14ac:dyDescent="0.25">
      <c r="A5755" s="1" t="s">
        <v>5754</v>
      </c>
      <c r="C5755" s="3">
        <v>22</v>
      </c>
      <c r="E5755" t="s">
        <v>1455</v>
      </c>
    </row>
    <row r="5756" spans="1:5" x14ac:dyDescent="0.25">
      <c r="A5756" s="1" t="s">
        <v>5755</v>
      </c>
      <c r="C5756" s="3">
        <v>22</v>
      </c>
      <c r="E5756" t="s">
        <v>9730</v>
      </c>
    </row>
    <row r="5757" spans="1:5" x14ac:dyDescent="0.25">
      <c r="A5757" s="1" t="s">
        <v>5756</v>
      </c>
      <c r="C5757" s="3">
        <v>22</v>
      </c>
      <c r="E5757" t="s">
        <v>2794</v>
      </c>
    </row>
    <row r="5758" spans="1:5" x14ac:dyDescent="0.25">
      <c r="A5758" s="1" t="s">
        <v>5757</v>
      </c>
      <c r="C5758" s="3">
        <v>22</v>
      </c>
      <c r="E5758" t="s">
        <v>8480</v>
      </c>
    </row>
    <row r="5759" spans="1:5" x14ac:dyDescent="0.25">
      <c r="A5759" s="1" t="s">
        <v>5758</v>
      </c>
      <c r="C5759" s="3">
        <v>22</v>
      </c>
      <c r="E5759" t="s">
        <v>6603</v>
      </c>
    </row>
    <row r="5760" spans="1:5" x14ac:dyDescent="0.25">
      <c r="A5760" s="1" t="s">
        <v>5759</v>
      </c>
      <c r="C5760" s="3">
        <v>22</v>
      </c>
      <c r="E5760" t="s">
        <v>18003</v>
      </c>
    </row>
    <row r="5761" spans="1:5" x14ac:dyDescent="0.25">
      <c r="A5761" s="1" t="s">
        <v>5760</v>
      </c>
      <c r="C5761" s="3">
        <v>22</v>
      </c>
      <c r="E5761" t="s">
        <v>1538</v>
      </c>
    </row>
    <row r="5762" spans="1:5" x14ac:dyDescent="0.25">
      <c r="A5762" s="1" t="s">
        <v>5761</v>
      </c>
      <c r="C5762" s="3">
        <v>22</v>
      </c>
      <c r="E5762" t="s">
        <v>4425</v>
      </c>
    </row>
    <row r="5763" spans="1:5" x14ac:dyDescent="0.25">
      <c r="A5763" s="1" t="s">
        <v>5762</v>
      </c>
      <c r="C5763" s="3">
        <v>22</v>
      </c>
      <c r="E5763" t="s">
        <v>13377</v>
      </c>
    </row>
    <row r="5764" spans="1:5" x14ac:dyDescent="0.25">
      <c r="A5764" s="1" t="s">
        <v>5763</v>
      </c>
      <c r="C5764" s="3">
        <v>22</v>
      </c>
      <c r="E5764" t="s">
        <v>4815</v>
      </c>
    </row>
    <row r="5765" spans="1:5" x14ac:dyDescent="0.25">
      <c r="A5765" s="1" t="s">
        <v>5764</v>
      </c>
      <c r="C5765" s="3">
        <v>22</v>
      </c>
      <c r="E5765" t="s">
        <v>7445</v>
      </c>
    </row>
    <row r="5766" spans="1:5" x14ac:dyDescent="0.25">
      <c r="A5766" s="1" t="s">
        <v>5765</v>
      </c>
      <c r="C5766" s="3">
        <v>22</v>
      </c>
      <c r="E5766" t="s">
        <v>9108</v>
      </c>
    </row>
    <row r="5767" spans="1:5" x14ac:dyDescent="0.25">
      <c r="A5767" s="1" t="s">
        <v>5766</v>
      </c>
      <c r="C5767" s="3">
        <v>22</v>
      </c>
      <c r="E5767" t="s">
        <v>1179</v>
      </c>
    </row>
    <row r="5768" spans="1:5" x14ac:dyDescent="0.25">
      <c r="A5768" s="1" t="s">
        <v>5767</v>
      </c>
      <c r="C5768" s="3">
        <v>22</v>
      </c>
      <c r="E5768" t="s">
        <v>6053</v>
      </c>
    </row>
    <row r="5769" spans="1:5" x14ac:dyDescent="0.25">
      <c r="A5769" s="1" t="s">
        <v>5768</v>
      </c>
      <c r="C5769" s="3">
        <v>22</v>
      </c>
      <c r="E5769" t="s">
        <v>1271</v>
      </c>
    </row>
    <row r="5770" spans="1:5" x14ac:dyDescent="0.25">
      <c r="A5770" s="1" t="s">
        <v>5769</v>
      </c>
      <c r="C5770" s="3">
        <v>22</v>
      </c>
      <c r="E5770" t="s">
        <v>7343</v>
      </c>
    </row>
    <row r="5771" spans="1:5" x14ac:dyDescent="0.25">
      <c r="A5771" s="1" t="s">
        <v>5770</v>
      </c>
      <c r="C5771" s="3">
        <v>22</v>
      </c>
      <c r="E5771" t="s">
        <v>2925</v>
      </c>
    </row>
    <row r="5772" spans="1:5" x14ac:dyDescent="0.25">
      <c r="A5772" s="1" t="s">
        <v>5771</v>
      </c>
      <c r="C5772" s="3">
        <v>22</v>
      </c>
      <c r="E5772" t="s">
        <v>2036</v>
      </c>
    </row>
    <row r="5773" spans="1:5" x14ac:dyDescent="0.25">
      <c r="A5773" s="1" t="s">
        <v>5772</v>
      </c>
      <c r="C5773" s="3">
        <v>22</v>
      </c>
      <c r="E5773" t="s">
        <v>2537</v>
      </c>
    </row>
    <row r="5774" spans="1:5" x14ac:dyDescent="0.25">
      <c r="A5774" s="1" t="s">
        <v>5773</v>
      </c>
      <c r="C5774" s="3">
        <v>22</v>
      </c>
      <c r="E5774" t="s">
        <v>8177</v>
      </c>
    </row>
    <row r="5775" spans="1:5" x14ac:dyDescent="0.25">
      <c r="A5775" s="1" t="s">
        <v>5774</v>
      </c>
      <c r="C5775" s="3">
        <v>22</v>
      </c>
      <c r="E5775" t="s">
        <v>7787</v>
      </c>
    </row>
    <row r="5776" spans="1:5" x14ac:dyDescent="0.25">
      <c r="A5776" s="1" t="s">
        <v>5775</v>
      </c>
      <c r="C5776" s="3">
        <v>22</v>
      </c>
      <c r="E5776" t="s">
        <v>11667</v>
      </c>
    </row>
    <row r="5777" spans="1:5" x14ac:dyDescent="0.25">
      <c r="A5777" s="1" t="s">
        <v>5776</v>
      </c>
      <c r="C5777" s="3">
        <v>22</v>
      </c>
      <c r="E5777" t="s">
        <v>14740</v>
      </c>
    </row>
    <row r="5778" spans="1:5" x14ac:dyDescent="0.25">
      <c r="A5778" s="1" t="s">
        <v>5777</v>
      </c>
      <c r="C5778" s="3">
        <v>22</v>
      </c>
      <c r="E5778" t="s">
        <v>4102</v>
      </c>
    </row>
    <row r="5779" spans="1:5" x14ac:dyDescent="0.25">
      <c r="A5779" s="1" t="s">
        <v>5778</v>
      </c>
      <c r="C5779" s="3">
        <v>22</v>
      </c>
      <c r="E5779" t="s">
        <v>5487</v>
      </c>
    </row>
    <row r="5780" spans="1:5" x14ac:dyDescent="0.25">
      <c r="A5780" s="1" t="s">
        <v>5779</v>
      </c>
      <c r="C5780" s="3">
        <v>22</v>
      </c>
      <c r="E5780" t="s">
        <v>10149</v>
      </c>
    </row>
    <row r="5781" spans="1:5" x14ac:dyDescent="0.25">
      <c r="A5781" s="1" t="s">
        <v>5780</v>
      </c>
      <c r="C5781" s="3">
        <v>22</v>
      </c>
      <c r="E5781" t="s">
        <v>11861</v>
      </c>
    </row>
    <row r="5782" spans="1:5" x14ac:dyDescent="0.25">
      <c r="A5782" s="1" t="s">
        <v>5781</v>
      </c>
      <c r="C5782" s="3">
        <v>22</v>
      </c>
      <c r="E5782" t="s">
        <v>7973</v>
      </c>
    </row>
    <row r="5783" spans="1:5" x14ac:dyDescent="0.25">
      <c r="A5783" s="1" t="s">
        <v>5782</v>
      </c>
      <c r="C5783" s="3">
        <v>22</v>
      </c>
      <c r="E5783" t="s">
        <v>3429</v>
      </c>
    </row>
    <row r="5784" spans="1:5" x14ac:dyDescent="0.25">
      <c r="A5784" s="1" t="s">
        <v>5783</v>
      </c>
      <c r="C5784" s="3">
        <v>22</v>
      </c>
      <c r="E5784" t="s">
        <v>6339</v>
      </c>
    </row>
    <row r="5785" spans="1:5" x14ac:dyDescent="0.25">
      <c r="A5785" s="1" t="s">
        <v>5784</v>
      </c>
      <c r="C5785" s="3">
        <v>22</v>
      </c>
      <c r="E5785" t="s">
        <v>177</v>
      </c>
    </row>
    <row r="5786" spans="1:5" x14ac:dyDescent="0.25">
      <c r="A5786" s="1" t="s">
        <v>5785</v>
      </c>
      <c r="C5786" s="3">
        <v>22</v>
      </c>
      <c r="E5786" t="s">
        <v>7966</v>
      </c>
    </row>
    <row r="5787" spans="1:5" x14ac:dyDescent="0.25">
      <c r="A5787" s="1" t="s">
        <v>5786</v>
      </c>
      <c r="C5787" s="3">
        <v>22</v>
      </c>
      <c r="E5787" t="s">
        <v>12315</v>
      </c>
    </row>
    <row r="5788" spans="1:5" x14ac:dyDescent="0.25">
      <c r="A5788" s="1" t="s">
        <v>5787</v>
      </c>
      <c r="C5788" s="3">
        <v>22</v>
      </c>
      <c r="E5788" t="s">
        <v>8087</v>
      </c>
    </row>
    <row r="5789" spans="1:5" x14ac:dyDescent="0.25">
      <c r="A5789" s="1" t="s">
        <v>5788</v>
      </c>
      <c r="C5789" s="3">
        <v>22</v>
      </c>
      <c r="E5789" t="s">
        <v>10579</v>
      </c>
    </row>
    <row r="5790" spans="1:5" x14ac:dyDescent="0.25">
      <c r="A5790" s="1" t="s">
        <v>5789</v>
      </c>
      <c r="C5790" s="3">
        <v>22</v>
      </c>
      <c r="E5790" t="s">
        <v>4052</v>
      </c>
    </row>
    <row r="5791" spans="1:5" x14ac:dyDescent="0.25">
      <c r="A5791" s="1" t="s">
        <v>5790</v>
      </c>
      <c r="C5791" s="3">
        <v>22</v>
      </c>
      <c r="E5791" t="s">
        <v>9299</v>
      </c>
    </row>
    <row r="5792" spans="1:5" x14ac:dyDescent="0.25">
      <c r="A5792" s="1" t="s">
        <v>5791</v>
      </c>
      <c r="C5792" s="3">
        <v>22</v>
      </c>
      <c r="E5792" t="s">
        <v>1702</v>
      </c>
    </row>
    <row r="5793" spans="1:5" x14ac:dyDescent="0.25">
      <c r="A5793" s="1" t="s">
        <v>5792</v>
      </c>
      <c r="C5793" s="3">
        <v>22</v>
      </c>
      <c r="E5793" t="s">
        <v>7949</v>
      </c>
    </row>
    <row r="5794" spans="1:5" x14ac:dyDescent="0.25">
      <c r="A5794" s="1" t="s">
        <v>5793</v>
      </c>
      <c r="C5794" s="3">
        <v>22</v>
      </c>
      <c r="E5794" t="s">
        <v>7932</v>
      </c>
    </row>
    <row r="5795" spans="1:5" x14ac:dyDescent="0.25">
      <c r="A5795" s="1" t="s">
        <v>5794</v>
      </c>
      <c r="C5795" s="3">
        <v>22</v>
      </c>
      <c r="E5795" t="s">
        <v>2401</v>
      </c>
    </row>
    <row r="5796" spans="1:5" x14ac:dyDescent="0.25">
      <c r="A5796" s="1" t="s">
        <v>5795</v>
      </c>
      <c r="C5796" s="3">
        <v>22</v>
      </c>
      <c r="E5796" t="s">
        <v>18650</v>
      </c>
    </row>
    <row r="5797" spans="1:5" x14ac:dyDescent="0.25">
      <c r="A5797" s="1" t="s">
        <v>5796</v>
      </c>
      <c r="C5797" s="3">
        <v>22</v>
      </c>
      <c r="E5797" t="s">
        <v>14341</v>
      </c>
    </row>
    <row r="5798" spans="1:5" x14ac:dyDescent="0.25">
      <c r="A5798" s="1" t="s">
        <v>5797</v>
      </c>
      <c r="C5798" s="3">
        <v>22</v>
      </c>
      <c r="E5798" t="s">
        <v>11942</v>
      </c>
    </row>
    <row r="5799" spans="1:5" x14ac:dyDescent="0.25">
      <c r="A5799" s="1" t="s">
        <v>5798</v>
      </c>
      <c r="C5799" s="3">
        <v>22</v>
      </c>
      <c r="E5799" t="s">
        <v>25514</v>
      </c>
    </row>
    <row r="5800" spans="1:5" x14ac:dyDescent="0.25">
      <c r="A5800" s="1" t="s">
        <v>5799</v>
      </c>
      <c r="C5800" s="3">
        <v>22</v>
      </c>
      <c r="E5800" t="s">
        <v>4217</v>
      </c>
    </row>
    <row r="5801" spans="1:5" x14ac:dyDescent="0.25">
      <c r="A5801" s="1" t="s">
        <v>5800</v>
      </c>
      <c r="C5801" s="3">
        <v>22</v>
      </c>
      <c r="E5801" t="s">
        <v>69</v>
      </c>
    </row>
    <row r="5802" spans="1:5" x14ac:dyDescent="0.25">
      <c r="A5802" s="1" t="s">
        <v>5801</v>
      </c>
      <c r="C5802" s="3">
        <v>22</v>
      </c>
      <c r="E5802" t="s">
        <v>3606</v>
      </c>
    </row>
    <row r="5803" spans="1:5" x14ac:dyDescent="0.25">
      <c r="A5803" s="1" t="s">
        <v>5802</v>
      </c>
      <c r="C5803" s="3">
        <v>22</v>
      </c>
      <c r="E5803" t="s">
        <v>13295</v>
      </c>
    </row>
    <row r="5804" spans="1:5" x14ac:dyDescent="0.25">
      <c r="A5804" s="1" t="s">
        <v>5803</v>
      </c>
      <c r="C5804" s="3">
        <v>22</v>
      </c>
      <c r="E5804" t="s">
        <v>25379</v>
      </c>
    </row>
    <row r="5805" spans="1:5" x14ac:dyDescent="0.25">
      <c r="A5805" s="1" t="s">
        <v>5804</v>
      </c>
      <c r="C5805" s="3">
        <v>22</v>
      </c>
      <c r="E5805" t="s">
        <v>6163</v>
      </c>
    </row>
    <row r="5806" spans="1:5" x14ac:dyDescent="0.25">
      <c r="A5806" s="1" t="s">
        <v>5805</v>
      </c>
      <c r="C5806" s="3">
        <v>22</v>
      </c>
      <c r="E5806" t="s">
        <v>4008</v>
      </c>
    </row>
    <row r="5807" spans="1:5" x14ac:dyDescent="0.25">
      <c r="A5807" s="1" t="s">
        <v>5806</v>
      </c>
      <c r="C5807" s="3">
        <v>22</v>
      </c>
      <c r="E5807" t="s">
        <v>12009</v>
      </c>
    </row>
    <row r="5808" spans="1:5" x14ac:dyDescent="0.25">
      <c r="A5808" s="1" t="s">
        <v>5807</v>
      </c>
      <c r="C5808" s="3">
        <v>22</v>
      </c>
      <c r="E5808" t="s">
        <v>111</v>
      </c>
    </row>
    <row r="5809" spans="1:5" x14ac:dyDescent="0.25">
      <c r="A5809" s="1" t="s">
        <v>5808</v>
      </c>
      <c r="C5809" s="3">
        <v>22</v>
      </c>
      <c r="E5809" t="s">
        <v>4819</v>
      </c>
    </row>
    <row r="5810" spans="1:5" x14ac:dyDescent="0.25">
      <c r="A5810" s="1" t="s">
        <v>5809</v>
      </c>
      <c r="C5810" s="3">
        <v>22</v>
      </c>
      <c r="E5810" t="s">
        <v>669</v>
      </c>
    </row>
    <row r="5811" spans="1:5" x14ac:dyDescent="0.25">
      <c r="A5811" s="1" t="s">
        <v>5810</v>
      </c>
      <c r="C5811" s="3">
        <v>22</v>
      </c>
      <c r="E5811" t="s">
        <v>5681</v>
      </c>
    </row>
    <row r="5812" spans="1:5" x14ac:dyDescent="0.25">
      <c r="A5812" s="1" t="s">
        <v>5811</v>
      </c>
      <c r="C5812" s="3">
        <v>22</v>
      </c>
      <c r="E5812" t="s">
        <v>879</v>
      </c>
    </row>
    <row r="5813" spans="1:5" x14ac:dyDescent="0.25">
      <c r="A5813" s="1" t="s">
        <v>5812</v>
      </c>
      <c r="C5813" s="3">
        <v>22</v>
      </c>
      <c r="E5813" t="s">
        <v>1275</v>
      </c>
    </row>
    <row r="5814" spans="1:5" x14ac:dyDescent="0.25">
      <c r="A5814" s="1" t="s">
        <v>5813</v>
      </c>
      <c r="C5814" s="3">
        <v>22</v>
      </c>
      <c r="E5814" t="s">
        <v>3065</v>
      </c>
    </row>
    <row r="5815" spans="1:5" x14ac:dyDescent="0.25">
      <c r="A5815" s="1" t="s">
        <v>5814</v>
      </c>
      <c r="C5815" s="3">
        <v>22</v>
      </c>
      <c r="E5815" t="s">
        <v>2343</v>
      </c>
    </row>
    <row r="5816" spans="1:5" x14ac:dyDescent="0.25">
      <c r="A5816" s="1" t="s">
        <v>5815</v>
      </c>
      <c r="C5816" s="3">
        <v>22</v>
      </c>
      <c r="E5816" t="s">
        <v>1897</v>
      </c>
    </row>
    <row r="5817" spans="1:5" x14ac:dyDescent="0.25">
      <c r="A5817" s="1" t="s">
        <v>5816</v>
      </c>
      <c r="C5817" s="3">
        <v>22</v>
      </c>
      <c r="E5817" t="s">
        <v>9514</v>
      </c>
    </row>
    <row r="5818" spans="1:5" x14ac:dyDescent="0.25">
      <c r="A5818" s="1" t="s">
        <v>5817</v>
      </c>
      <c r="C5818" s="3">
        <v>22</v>
      </c>
      <c r="E5818" t="s">
        <v>10415</v>
      </c>
    </row>
    <row r="5819" spans="1:5" x14ac:dyDescent="0.25">
      <c r="A5819" s="1" t="s">
        <v>5818</v>
      </c>
      <c r="C5819" s="3">
        <v>22</v>
      </c>
      <c r="E5819" t="s">
        <v>1126</v>
      </c>
    </row>
    <row r="5820" spans="1:5" x14ac:dyDescent="0.25">
      <c r="A5820" s="1" t="s">
        <v>5819</v>
      </c>
      <c r="C5820" s="3">
        <v>22</v>
      </c>
      <c r="E5820" t="s">
        <v>10966</v>
      </c>
    </row>
    <row r="5821" spans="1:5" x14ac:dyDescent="0.25">
      <c r="A5821" s="1" t="s">
        <v>5820</v>
      </c>
      <c r="C5821" s="3">
        <v>22</v>
      </c>
      <c r="E5821" t="s">
        <v>5248</v>
      </c>
    </row>
    <row r="5822" spans="1:5" x14ac:dyDescent="0.25">
      <c r="A5822" s="1" t="s">
        <v>5821</v>
      </c>
      <c r="C5822" s="3">
        <v>22</v>
      </c>
      <c r="E5822" t="s">
        <v>861</v>
      </c>
    </row>
    <row r="5823" spans="1:5" x14ac:dyDescent="0.25">
      <c r="A5823" s="1" t="s">
        <v>5822</v>
      </c>
      <c r="C5823" s="3">
        <v>22</v>
      </c>
      <c r="E5823" t="s">
        <v>2390</v>
      </c>
    </row>
    <row r="5824" spans="1:5" x14ac:dyDescent="0.25">
      <c r="A5824" s="1" t="s">
        <v>5823</v>
      </c>
      <c r="C5824" s="3">
        <v>22</v>
      </c>
      <c r="E5824" t="s">
        <v>21720</v>
      </c>
    </row>
    <row r="5825" spans="1:5" x14ac:dyDescent="0.25">
      <c r="A5825" s="1" t="s">
        <v>5824</v>
      </c>
      <c r="C5825" s="3">
        <v>22</v>
      </c>
      <c r="E5825" t="s">
        <v>155</v>
      </c>
    </row>
    <row r="5826" spans="1:5" x14ac:dyDescent="0.25">
      <c r="A5826" s="1" t="s">
        <v>5825</v>
      </c>
      <c r="C5826" s="3">
        <v>22</v>
      </c>
      <c r="E5826" t="s">
        <v>556</v>
      </c>
    </row>
    <row r="5827" spans="1:5" x14ac:dyDescent="0.25">
      <c r="A5827" s="1" t="s">
        <v>5826</v>
      </c>
      <c r="C5827" s="3">
        <v>22</v>
      </c>
      <c r="E5827" t="s">
        <v>12291</v>
      </c>
    </row>
    <row r="5828" spans="1:5" x14ac:dyDescent="0.25">
      <c r="A5828" s="1" t="s">
        <v>5827</v>
      </c>
      <c r="C5828" s="3">
        <v>22</v>
      </c>
      <c r="E5828" t="s">
        <v>1</v>
      </c>
    </row>
    <row r="5829" spans="1:5" x14ac:dyDescent="0.25">
      <c r="A5829" s="1" t="s">
        <v>5828</v>
      </c>
      <c r="C5829" s="3">
        <v>22</v>
      </c>
      <c r="E5829" t="s">
        <v>2439</v>
      </c>
    </row>
    <row r="5830" spans="1:5" x14ac:dyDescent="0.25">
      <c r="A5830" s="1" t="s">
        <v>5829</v>
      </c>
      <c r="C5830" s="3">
        <v>22</v>
      </c>
      <c r="E5830" t="s">
        <v>340</v>
      </c>
    </row>
    <row r="5831" spans="1:5" x14ac:dyDescent="0.25">
      <c r="A5831" s="1" t="s">
        <v>5830</v>
      </c>
      <c r="C5831" s="3">
        <v>22</v>
      </c>
      <c r="E5831" t="s">
        <v>374</v>
      </c>
    </row>
    <row r="5832" spans="1:5" x14ac:dyDescent="0.25">
      <c r="A5832" s="1" t="s">
        <v>5831</v>
      </c>
      <c r="C5832" s="3">
        <v>22</v>
      </c>
      <c r="E5832" t="s">
        <v>1743</v>
      </c>
    </row>
    <row r="5833" spans="1:5" x14ac:dyDescent="0.25">
      <c r="A5833" s="1" t="s">
        <v>5832</v>
      </c>
      <c r="C5833" s="3">
        <v>22</v>
      </c>
      <c r="E5833" t="s">
        <v>10074</v>
      </c>
    </row>
    <row r="5834" spans="1:5" x14ac:dyDescent="0.25">
      <c r="A5834" s="1" t="s">
        <v>5833</v>
      </c>
      <c r="C5834" s="3">
        <v>22</v>
      </c>
      <c r="E5834" t="s">
        <v>1817</v>
      </c>
    </row>
    <row r="5835" spans="1:5" x14ac:dyDescent="0.25">
      <c r="A5835" s="1" t="s">
        <v>5834</v>
      </c>
      <c r="C5835" s="3">
        <v>22</v>
      </c>
      <c r="E5835" t="s">
        <v>689</v>
      </c>
    </row>
    <row r="5836" spans="1:5" x14ac:dyDescent="0.25">
      <c r="A5836" s="1" t="s">
        <v>5835</v>
      </c>
      <c r="C5836" s="3">
        <v>22</v>
      </c>
      <c r="E5836" t="s">
        <v>3250</v>
      </c>
    </row>
    <row r="5837" spans="1:5" x14ac:dyDescent="0.25">
      <c r="A5837" s="1" t="s">
        <v>5836</v>
      </c>
      <c r="C5837" s="3">
        <v>22</v>
      </c>
      <c r="E5837" t="s">
        <v>771</v>
      </c>
    </row>
    <row r="5838" spans="1:5" x14ac:dyDescent="0.25">
      <c r="A5838" s="1" t="s">
        <v>5837</v>
      </c>
      <c r="C5838" s="3">
        <v>22</v>
      </c>
      <c r="E5838" t="s">
        <v>25515</v>
      </c>
    </row>
    <row r="5839" spans="1:5" x14ac:dyDescent="0.25">
      <c r="A5839" s="1" t="s">
        <v>5838</v>
      </c>
      <c r="C5839" s="3">
        <v>22</v>
      </c>
      <c r="E5839" t="s">
        <v>13485</v>
      </c>
    </row>
    <row r="5840" spans="1:5" x14ac:dyDescent="0.25">
      <c r="A5840" s="1" t="s">
        <v>5839</v>
      </c>
      <c r="C5840" s="3">
        <v>22</v>
      </c>
      <c r="E5840" t="s">
        <v>2218</v>
      </c>
    </row>
    <row r="5841" spans="1:5" x14ac:dyDescent="0.25">
      <c r="A5841" s="1" t="s">
        <v>5840</v>
      </c>
      <c r="C5841" s="3">
        <v>22</v>
      </c>
      <c r="E5841" t="s">
        <v>6535</v>
      </c>
    </row>
    <row r="5842" spans="1:5" x14ac:dyDescent="0.25">
      <c r="A5842" s="1" t="s">
        <v>5841</v>
      </c>
      <c r="C5842" s="3">
        <v>22</v>
      </c>
      <c r="E5842" t="s">
        <v>10343</v>
      </c>
    </row>
    <row r="5843" spans="1:5" x14ac:dyDescent="0.25">
      <c r="A5843" s="1" t="s">
        <v>5842</v>
      </c>
      <c r="C5843" s="3">
        <v>22</v>
      </c>
      <c r="E5843" t="s">
        <v>3448</v>
      </c>
    </row>
    <row r="5844" spans="1:5" x14ac:dyDescent="0.25">
      <c r="A5844" s="1" t="s">
        <v>5843</v>
      </c>
      <c r="C5844" s="3">
        <v>22</v>
      </c>
      <c r="E5844" t="s">
        <v>11106</v>
      </c>
    </row>
    <row r="5845" spans="1:5" x14ac:dyDescent="0.25">
      <c r="A5845" s="1" t="s">
        <v>5844</v>
      </c>
      <c r="C5845" s="3">
        <v>22</v>
      </c>
      <c r="E5845" t="s">
        <v>2867</v>
      </c>
    </row>
    <row r="5846" spans="1:5" x14ac:dyDescent="0.25">
      <c r="A5846" s="1" t="s">
        <v>5845</v>
      </c>
      <c r="C5846" s="3">
        <v>22</v>
      </c>
      <c r="E5846" t="s">
        <v>463</v>
      </c>
    </row>
    <row r="5847" spans="1:5" x14ac:dyDescent="0.25">
      <c r="A5847" s="1" t="s">
        <v>5846</v>
      </c>
      <c r="C5847" s="3">
        <v>22</v>
      </c>
      <c r="E5847" t="s">
        <v>1896</v>
      </c>
    </row>
    <row r="5848" spans="1:5" x14ac:dyDescent="0.25">
      <c r="A5848" s="1" t="s">
        <v>5847</v>
      </c>
      <c r="C5848" s="3">
        <v>22</v>
      </c>
      <c r="E5848" t="s">
        <v>5996</v>
      </c>
    </row>
    <row r="5849" spans="1:5" x14ac:dyDescent="0.25">
      <c r="A5849" s="1" t="s">
        <v>5848</v>
      </c>
      <c r="C5849" s="3">
        <v>22</v>
      </c>
      <c r="E5849" t="s">
        <v>4570</v>
      </c>
    </row>
    <row r="5850" spans="1:5" x14ac:dyDescent="0.25">
      <c r="A5850" s="1" t="s">
        <v>5849</v>
      </c>
      <c r="C5850" s="3">
        <v>22</v>
      </c>
      <c r="E5850" t="s">
        <v>17778</v>
      </c>
    </row>
    <row r="5851" spans="1:5" x14ac:dyDescent="0.25">
      <c r="A5851" s="1" t="s">
        <v>5850</v>
      </c>
      <c r="C5851" s="3">
        <v>22</v>
      </c>
      <c r="E5851" t="s">
        <v>11340</v>
      </c>
    </row>
    <row r="5852" spans="1:5" x14ac:dyDescent="0.25">
      <c r="A5852" s="1" t="s">
        <v>5851</v>
      </c>
      <c r="C5852" s="3">
        <v>22</v>
      </c>
      <c r="E5852" t="s">
        <v>554</v>
      </c>
    </row>
    <row r="5853" spans="1:5" x14ac:dyDescent="0.25">
      <c r="A5853" s="1" t="s">
        <v>5852</v>
      </c>
      <c r="C5853" s="3">
        <v>22</v>
      </c>
      <c r="E5853" t="s">
        <v>13218</v>
      </c>
    </row>
    <row r="5854" spans="1:5" x14ac:dyDescent="0.25">
      <c r="A5854" s="1" t="s">
        <v>5853</v>
      </c>
      <c r="C5854" s="3">
        <v>22</v>
      </c>
      <c r="E5854" t="s">
        <v>1349</v>
      </c>
    </row>
    <row r="5855" spans="1:5" x14ac:dyDescent="0.25">
      <c r="A5855" s="1" t="s">
        <v>5854</v>
      </c>
      <c r="C5855" s="3">
        <v>22</v>
      </c>
      <c r="E5855" t="s">
        <v>573</v>
      </c>
    </row>
    <row r="5856" spans="1:5" x14ac:dyDescent="0.25">
      <c r="A5856" s="1" t="s">
        <v>5855</v>
      </c>
      <c r="C5856" s="3">
        <v>22</v>
      </c>
      <c r="E5856" t="s">
        <v>6898</v>
      </c>
    </row>
    <row r="5857" spans="1:5" x14ac:dyDescent="0.25">
      <c r="A5857" s="1" t="s">
        <v>5856</v>
      </c>
      <c r="C5857" s="3">
        <v>22</v>
      </c>
      <c r="E5857" t="s">
        <v>10445</v>
      </c>
    </row>
    <row r="5858" spans="1:5" x14ac:dyDescent="0.25">
      <c r="A5858" s="1" t="s">
        <v>5857</v>
      </c>
      <c r="C5858" s="3">
        <v>22</v>
      </c>
      <c r="E5858" t="s">
        <v>2034</v>
      </c>
    </row>
    <row r="5859" spans="1:5" x14ac:dyDescent="0.25">
      <c r="A5859" s="1" t="s">
        <v>5858</v>
      </c>
      <c r="C5859" s="3">
        <v>22</v>
      </c>
      <c r="E5859" t="s">
        <v>9112</v>
      </c>
    </row>
    <row r="5860" spans="1:5" x14ac:dyDescent="0.25">
      <c r="A5860" s="1" t="s">
        <v>5859</v>
      </c>
      <c r="C5860" s="3">
        <v>22</v>
      </c>
      <c r="E5860" t="s">
        <v>11987</v>
      </c>
    </row>
    <row r="5861" spans="1:5" x14ac:dyDescent="0.25">
      <c r="A5861" s="1" t="s">
        <v>5860</v>
      </c>
      <c r="C5861" s="3">
        <v>22</v>
      </c>
      <c r="E5861" t="s">
        <v>3813</v>
      </c>
    </row>
    <row r="5862" spans="1:5" x14ac:dyDescent="0.25">
      <c r="A5862" s="1" t="s">
        <v>5861</v>
      </c>
      <c r="C5862" s="3">
        <v>22</v>
      </c>
      <c r="E5862" t="s">
        <v>3816</v>
      </c>
    </row>
    <row r="5863" spans="1:5" x14ac:dyDescent="0.25">
      <c r="A5863" s="1" t="s">
        <v>5862</v>
      </c>
      <c r="C5863" s="3">
        <v>22</v>
      </c>
      <c r="E5863" t="s">
        <v>7555</v>
      </c>
    </row>
    <row r="5864" spans="1:5" x14ac:dyDescent="0.25">
      <c r="A5864" s="1" t="s">
        <v>5863</v>
      </c>
      <c r="C5864" s="3">
        <v>22</v>
      </c>
      <c r="E5864" t="s">
        <v>804</v>
      </c>
    </row>
    <row r="5865" spans="1:5" x14ac:dyDescent="0.25">
      <c r="A5865" s="1" t="s">
        <v>5864</v>
      </c>
      <c r="C5865" s="3">
        <v>22</v>
      </c>
      <c r="E5865" t="s">
        <v>24445</v>
      </c>
    </row>
    <row r="5866" spans="1:5" x14ac:dyDescent="0.25">
      <c r="A5866" s="1" t="s">
        <v>5865</v>
      </c>
      <c r="C5866" s="3">
        <v>22</v>
      </c>
      <c r="E5866" t="s">
        <v>2947</v>
      </c>
    </row>
    <row r="5867" spans="1:5" x14ac:dyDescent="0.25">
      <c r="A5867" s="1" t="s">
        <v>5866</v>
      </c>
      <c r="C5867" s="3">
        <v>22</v>
      </c>
      <c r="E5867" t="s">
        <v>10390</v>
      </c>
    </row>
    <row r="5868" spans="1:5" x14ac:dyDescent="0.25">
      <c r="A5868" s="1" t="s">
        <v>5867</v>
      </c>
      <c r="C5868" s="3">
        <v>22</v>
      </c>
      <c r="E5868" t="s">
        <v>4116</v>
      </c>
    </row>
    <row r="5869" spans="1:5" x14ac:dyDescent="0.25">
      <c r="A5869" s="1" t="s">
        <v>5868</v>
      </c>
      <c r="C5869" s="3">
        <v>22</v>
      </c>
      <c r="E5869" t="s">
        <v>10488</v>
      </c>
    </row>
    <row r="5870" spans="1:5" x14ac:dyDescent="0.25">
      <c r="A5870" s="1" t="s">
        <v>5869</v>
      </c>
      <c r="C5870" s="3">
        <v>22</v>
      </c>
      <c r="E5870" t="s">
        <v>20494</v>
      </c>
    </row>
    <row r="5871" spans="1:5" x14ac:dyDescent="0.25">
      <c r="A5871" s="1" t="s">
        <v>5870</v>
      </c>
      <c r="C5871" s="3">
        <v>22</v>
      </c>
      <c r="E5871" t="s">
        <v>17524</v>
      </c>
    </row>
    <row r="5872" spans="1:5" x14ac:dyDescent="0.25">
      <c r="A5872" s="1" t="s">
        <v>5871</v>
      </c>
      <c r="C5872" s="3">
        <v>22</v>
      </c>
      <c r="E5872" t="s">
        <v>1260</v>
      </c>
    </row>
    <row r="5873" spans="1:5" x14ac:dyDescent="0.25">
      <c r="A5873" s="1" t="s">
        <v>5872</v>
      </c>
      <c r="C5873" s="3">
        <v>22</v>
      </c>
      <c r="E5873" t="s">
        <v>3927</v>
      </c>
    </row>
    <row r="5874" spans="1:5" x14ac:dyDescent="0.25">
      <c r="A5874" s="1" t="s">
        <v>5873</v>
      </c>
      <c r="C5874" s="3">
        <v>22</v>
      </c>
      <c r="E5874" t="s">
        <v>5223</v>
      </c>
    </row>
    <row r="5875" spans="1:5" x14ac:dyDescent="0.25">
      <c r="A5875" s="1" t="s">
        <v>5874</v>
      </c>
      <c r="C5875" s="3">
        <v>22</v>
      </c>
      <c r="E5875" t="s">
        <v>1127</v>
      </c>
    </row>
    <row r="5876" spans="1:5" x14ac:dyDescent="0.25">
      <c r="A5876" s="1" t="s">
        <v>5875</v>
      </c>
      <c r="C5876" s="3">
        <v>22</v>
      </c>
      <c r="E5876" t="s">
        <v>17537</v>
      </c>
    </row>
    <row r="5877" spans="1:5" x14ac:dyDescent="0.25">
      <c r="A5877" s="1" t="s">
        <v>5876</v>
      </c>
      <c r="C5877" s="3">
        <v>22</v>
      </c>
      <c r="E5877" t="s">
        <v>535</v>
      </c>
    </row>
    <row r="5878" spans="1:5" x14ac:dyDescent="0.25">
      <c r="A5878" s="1" t="s">
        <v>5877</v>
      </c>
      <c r="C5878" s="3">
        <v>22</v>
      </c>
      <c r="E5878" t="s">
        <v>5991</v>
      </c>
    </row>
    <row r="5879" spans="1:5" x14ac:dyDescent="0.25">
      <c r="A5879" s="1" t="s">
        <v>5878</v>
      </c>
      <c r="C5879" s="3">
        <v>22</v>
      </c>
      <c r="E5879" t="s">
        <v>5323</v>
      </c>
    </row>
    <row r="5880" spans="1:5" x14ac:dyDescent="0.25">
      <c r="A5880" s="1" t="s">
        <v>5879</v>
      </c>
      <c r="C5880" s="3">
        <v>22</v>
      </c>
      <c r="E5880" t="s">
        <v>11027</v>
      </c>
    </row>
    <row r="5881" spans="1:5" x14ac:dyDescent="0.25">
      <c r="A5881" s="1" t="s">
        <v>5880</v>
      </c>
      <c r="C5881" s="3">
        <v>22</v>
      </c>
      <c r="E5881" t="s">
        <v>14209</v>
      </c>
    </row>
    <row r="5882" spans="1:5" x14ac:dyDescent="0.25">
      <c r="A5882" s="1" t="s">
        <v>5881</v>
      </c>
      <c r="C5882" s="3">
        <v>22</v>
      </c>
      <c r="E5882" t="s">
        <v>8294</v>
      </c>
    </row>
    <row r="5883" spans="1:5" x14ac:dyDescent="0.25">
      <c r="A5883" s="1" t="s">
        <v>5882</v>
      </c>
      <c r="C5883" s="3">
        <v>22</v>
      </c>
      <c r="E5883" t="s">
        <v>3226</v>
      </c>
    </row>
    <row r="5884" spans="1:5" x14ac:dyDescent="0.25">
      <c r="A5884" s="1" t="s">
        <v>5883</v>
      </c>
      <c r="C5884" s="3">
        <v>22</v>
      </c>
      <c r="E5884" t="s">
        <v>3612</v>
      </c>
    </row>
    <row r="5885" spans="1:5" x14ac:dyDescent="0.25">
      <c r="A5885" s="1" t="s">
        <v>5884</v>
      </c>
      <c r="C5885" s="3">
        <v>22</v>
      </c>
      <c r="E5885" t="s">
        <v>4977</v>
      </c>
    </row>
    <row r="5886" spans="1:5" x14ac:dyDescent="0.25">
      <c r="A5886" s="1" t="s">
        <v>5885</v>
      </c>
      <c r="C5886" s="3">
        <v>22</v>
      </c>
      <c r="E5886" t="s">
        <v>1292</v>
      </c>
    </row>
    <row r="5887" spans="1:5" x14ac:dyDescent="0.25">
      <c r="A5887" s="1" t="s">
        <v>5886</v>
      </c>
      <c r="C5887" s="3">
        <v>22</v>
      </c>
      <c r="E5887" t="s">
        <v>4321</v>
      </c>
    </row>
    <row r="5888" spans="1:5" x14ac:dyDescent="0.25">
      <c r="A5888" s="1" t="s">
        <v>5887</v>
      </c>
      <c r="C5888" s="3">
        <v>22</v>
      </c>
      <c r="E5888" t="s">
        <v>2397</v>
      </c>
    </row>
    <row r="5889" spans="1:5" x14ac:dyDescent="0.25">
      <c r="A5889" s="1" t="s">
        <v>5888</v>
      </c>
      <c r="C5889" s="3">
        <v>22</v>
      </c>
      <c r="E5889" t="s">
        <v>1567</v>
      </c>
    </row>
    <row r="5890" spans="1:5" x14ac:dyDescent="0.25">
      <c r="A5890" s="1" t="s">
        <v>5889</v>
      </c>
      <c r="C5890" s="3">
        <v>22</v>
      </c>
      <c r="E5890" t="s">
        <v>13507</v>
      </c>
    </row>
    <row r="5891" spans="1:5" x14ac:dyDescent="0.25">
      <c r="A5891" s="1" t="s">
        <v>5890</v>
      </c>
      <c r="C5891" s="3">
        <v>22</v>
      </c>
      <c r="E5891" t="s">
        <v>6171</v>
      </c>
    </row>
    <row r="5892" spans="1:5" x14ac:dyDescent="0.25">
      <c r="A5892" s="1" t="s">
        <v>5891</v>
      </c>
      <c r="C5892" s="3">
        <v>22</v>
      </c>
      <c r="E5892" t="s">
        <v>5123</v>
      </c>
    </row>
    <row r="5893" spans="1:5" x14ac:dyDescent="0.25">
      <c r="A5893" s="1" t="s">
        <v>5892</v>
      </c>
      <c r="C5893" s="3">
        <v>22</v>
      </c>
      <c r="E5893" t="s">
        <v>2842</v>
      </c>
    </row>
    <row r="5894" spans="1:5" x14ac:dyDescent="0.25">
      <c r="A5894" s="1" t="s">
        <v>5893</v>
      </c>
      <c r="C5894" s="3">
        <v>22</v>
      </c>
      <c r="E5894" t="s">
        <v>5379</v>
      </c>
    </row>
    <row r="5895" spans="1:5" x14ac:dyDescent="0.25">
      <c r="A5895" s="1" t="s">
        <v>5894</v>
      </c>
      <c r="C5895" s="3">
        <v>22</v>
      </c>
      <c r="E5895" t="s">
        <v>20021</v>
      </c>
    </row>
    <row r="5896" spans="1:5" x14ac:dyDescent="0.25">
      <c r="A5896" s="1" t="s">
        <v>5895</v>
      </c>
      <c r="C5896" s="3">
        <v>22</v>
      </c>
      <c r="E5896" t="s">
        <v>8089</v>
      </c>
    </row>
    <row r="5897" spans="1:5" x14ac:dyDescent="0.25">
      <c r="A5897" s="1" t="s">
        <v>5896</v>
      </c>
      <c r="C5897" s="3">
        <v>22</v>
      </c>
      <c r="E5897" t="s">
        <v>906</v>
      </c>
    </row>
    <row r="5898" spans="1:5" x14ac:dyDescent="0.25">
      <c r="A5898" s="1" t="s">
        <v>5897</v>
      </c>
      <c r="C5898" s="3">
        <v>22</v>
      </c>
      <c r="E5898" t="s">
        <v>2124</v>
      </c>
    </row>
    <row r="5899" spans="1:5" x14ac:dyDescent="0.25">
      <c r="A5899" s="1" t="s">
        <v>5898</v>
      </c>
      <c r="C5899" s="3">
        <v>22</v>
      </c>
      <c r="E5899" t="s">
        <v>157</v>
      </c>
    </row>
    <row r="5900" spans="1:5" x14ac:dyDescent="0.25">
      <c r="A5900" s="1" t="s">
        <v>5899</v>
      </c>
      <c r="C5900" s="3">
        <v>22</v>
      </c>
      <c r="E5900" t="s">
        <v>4785</v>
      </c>
    </row>
    <row r="5901" spans="1:5" x14ac:dyDescent="0.25">
      <c r="A5901" s="1" t="s">
        <v>5900</v>
      </c>
      <c r="C5901" s="3">
        <v>22</v>
      </c>
      <c r="E5901" t="s">
        <v>4298</v>
      </c>
    </row>
    <row r="5902" spans="1:5" x14ac:dyDescent="0.25">
      <c r="A5902" s="1" t="s">
        <v>5901</v>
      </c>
      <c r="C5902" s="3">
        <v>22</v>
      </c>
      <c r="E5902" t="s">
        <v>5971</v>
      </c>
    </row>
    <row r="5903" spans="1:5" x14ac:dyDescent="0.25">
      <c r="A5903" s="1" t="s">
        <v>5902</v>
      </c>
      <c r="C5903" s="3">
        <v>22</v>
      </c>
      <c r="E5903" t="s">
        <v>15617</v>
      </c>
    </row>
    <row r="5904" spans="1:5" x14ac:dyDescent="0.25">
      <c r="A5904" s="1" t="s">
        <v>5903</v>
      </c>
      <c r="C5904" s="3">
        <v>22</v>
      </c>
      <c r="E5904" t="s">
        <v>4235</v>
      </c>
    </row>
    <row r="5905" spans="1:5" x14ac:dyDescent="0.25">
      <c r="A5905" s="1" t="s">
        <v>5904</v>
      </c>
      <c r="C5905" s="3">
        <v>22</v>
      </c>
      <c r="E5905" t="s">
        <v>3335</v>
      </c>
    </row>
    <row r="5906" spans="1:5" x14ac:dyDescent="0.25">
      <c r="A5906" s="1" t="s">
        <v>5905</v>
      </c>
      <c r="C5906" s="3">
        <v>22</v>
      </c>
      <c r="E5906" t="s">
        <v>35</v>
      </c>
    </row>
    <row r="5907" spans="1:5" x14ac:dyDescent="0.25">
      <c r="A5907" s="1" t="s">
        <v>5906</v>
      </c>
      <c r="C5907" s="3">
        <v>22</v>
      </c>
      <c r="E5907" t="s">
        <v>5624</v>
      </c>
    </row>
    <row r="5908" spans="1:5" x14ac:dyDescent="0.25">
      <c r="A5908" s="1" t="s">
        <v>5907</v>
      </c>
      <c r="C5908" s="3">
        <v>22</v>
      </c>
      <c r="E5908" t="s">
        <v>16715</v>
      </c>
    </row>
    <row r="5909" spans="1:5" x14ac:dyDescent="0.25">
      <c r="A5909" s="1" t="s">
        <v>5908</v>
      </c>
      <c r="C5909" s="3">
        <v>22</v>
      </c>
      <c r="E5909" t="s">
        <v>2177</v>
      </c>
    </row>
    <row r="5910" spans="1:5" x14ac:dyDescent="0.25">
      <c r="A5910" s="1" t="s">
        <v>5909</v>
      </c>
      <c r="C5910" s="3">
        <v>22</v>
      </c>
      <c r="E5910" t="s">
        <v>16009</v>
      </c>
    </row>
    <row r="5911" spans="1:5" x14ac:dyDescent="0.25">
      <c r="A5911" s="1" t="s">
        <v>5910</v>
      </c>
      <c r="C5911" s="3">
        <v>22</v>
      </c>
      <c r="E5911" t="s">
        <v>13848</v>
      </c>
    </row>
    <row r="5912" spans="1:5" x14ac:dyDescent="0.25">
      <c r="A5912" s="1" t="s">
        <v>5911</v>
      </c>
      <c r="C5912" s="3">
        <v>22</v>
      </c>
      <c r="E5912" t="s">
        <v>5735</v>
      </c>
    </row>
    <row r="5913" spans="1:5" x14ac:dyDescent="0.25">
      <c r="A5913" s="1" t="s">
        <v>5912</v>
      </c>
      <c r="C5913" s="3">
        <v>22</v>
      </c>
      <c r="E5913" t="s">
        <v>9778</v>
      </c>
    </row>
    <row r="5914" spans="1:5" x14ac:dyDescent="0.25">
      <c r="A5914" s="1" t="s">
        <v>5913</v>
      </c>
      <c r="C5914" s="3">
        <v>22</v>
      </c>
      <c r="E5914" t="s">
        <v>16354</v>
      </c>
    </row>
    <row r="5915" spans="1:5" x14ac:dyDescent="0.25">
      <c r="A5915" s="1" t="s">
        <v>5914</v>
      </c>
      <c r="C5915" s="3">
        <v>22</v>
      </c>
      <c r="E5915" t="s">
        <v>6510</v>
      </c>
    </row>
    <row r="5916" spans="1:5" x14ac:dyDescent="0.25">
      <c r="A5916" s="1" t="s">
        <v>5915</v>
      </c>
      <c r="C5916" s="3">
        <v>22</v>
      </c>
      <c r="E5916" t="s">
        <v>6178</v>
      </c>
    </row>
    <row r="5917" spans="1:5" x14ac:dyDescent="0.25">
      <c r="A5917" s="1" t="s">
        <v>5916</v>
      </c>
      <c r="C5917" s="3">
        <v>22</v>
      </c>
      <c r="E5917" t="s">
        <v>3792</v>
      </c>
    </row>
    <row r="5918" spans="1:5" x14ac:dyDescent="0.25">
      <c r="A5918" s="1" t="s">
        <v>5917</v>
      </c>
      <c r="C5918" s="3">
        <v>22</v>
      </c>
      <c r="E5918" t="s">
        <v>1334</v>
      </c>
    </row>
    <row r="5919" spans="1:5" x14ac:dyDescent="0.25">
      <c r="A5919" s="1" t="s">
        <v>5918</v>
      </c>
      <c r="C5919" s="3">
        <v>22</v>
      </c>
      <c r="E5919" t="s">
        <v>1842</v>
      </c>
    </row>
    <row r="5920" spans="1:5" x14ac:dyDescent="0.25">
      <c r="A5920" s="1" t="s">
        <v>5919</v>
      </c>
      <c r="C5920" s="3">
        <v>22</v>
      </c>
      <c r="E5920" t="s">
        <v>19673</v>
      </c>
    </row>
    <row r="5921" spans="1:5" x14ac:dyDescent="0.25">
      <c r="A5921" s="1" t="s">
        <v>5920</v>
      </c>
      <c r="C5921" s="3">
        <v>22</v>
      </c>
      <c r="E5921" t="s">
        <v>23439</v>
      </c>
    </row>
    <row r="5922" spans="1:5" x14ac:dyDescent="0.25">
      <c r="A5922" s="1" t="s">
        <v>5921</v>
      </c>
      <c r="C5922" s="3">
        <v>22</v>
      </c>
      <c r="E5922" t="s">
        <v>3315</v>
      </c>
    </row>
    <row r="5923" spans="1:5" x14ac:dyDescent="0.25">
      <c r="A5923" s="1" t="s">
        <v>5922</v>
      </c>
      <c r="C5923" s="3">
        <v>22</v>
      </c>
      <c r="E5923" t="s">
        <v>3878</v>
      </c>
    </row>
    <row r="5924" spans="1:5" x14ac:dyDescent="0.25">
      <c r="A5924" s="1" t="s">
        <v>5923</v>
      </c>
      <c r="C5924" s="3">
        <v>22</v>
      </c>
      <c r="E5924" t="s">
        <v>4368</v>
      </c>
    </row>
    <row r="5925" spans="1:5" x14ac:dyDescent="0.25">
      <c r="A5925" s="1" t="s">
        <v>5924</v>
      </c>
      <c r="C5925" s="3">
        <v>22</v>
      </c>
      <c r="E5925" t="s">
        <v>3864</v>
      </c>
    </row>
    <row r="5926" spans="1:5" x14ac:dyDescent="0.25">
      <c r="A5926" s="1" t="s">
        <v>5925</v>
      </c>
      <c r="C5926" s="3">
        <v>22</v>
      </c>
      <c r="E5926" t="s">
        <v>3341</v>
      </c>
    </row>
    <row r="5927" spans="1:5" x14ac:dyDescent="0.25">
      <c r="A5927" s="1" t="s">
        <v>5926</v>
      </c>
      <c r="C5927" s="3">
        <v>22</v>
      </c>
      <c r="E5927" t="s">
        <v>1731</v>
      </c>
    </row>
    <row r="5928" spans="1:5" x14ac:dyDescent="0.25">
      <c r="A5928" s="1" t="s">
        <v>5927</v>
      </c>
      <c r="C5928" s="3">
        <v>22</v>
      </c>
      <c r="E5928" t="s">
        <v>3736</v>
      </c>
    </row>
    <row r="5929" spans="1:5" x14ac:dyDescent="0.25">
      <c r="A5929" s="1" t="s">
        <v>5928</v>
      </c>
      <c r="C5929" s="3">
        <v>22</v>
      </c>
      <c r="E5929" t="s">
        <v>20584</v>
      </c>
    </row>
    <row r="5930" spans="1:5" x14ac:dyDescent="0.25">
      <c r="A5930" s="1" t="s">
        <v>5929</v>
      </c>
      <c r="C5930" s="3">
        <v>22</v>
      </c>
      <c r="E5930" t="s">
        <v>21193</v>
      </c>
    </row>
    <row r="5931" spans="1:5" x14ac:dyDescent="0.25">
      <c r="A5931" s="1" t="s">
        <v>5930</v>
      </c>
      <c r="C5931" s="3">
        <v>22</v>
      </c>
      <c r="E5931" t="s">
        <v>5886</v>
      </c>
    </row>
    <row r="5932" spans="1:5" x14ac:dyDescent="0.25">
      <c r="A5932" s="1" t="s">
        <v>5931</v>
      </c>
      <c r="C5932" s="3">
        <v>22</v>
      </c>
      <c r="E5932" t="s">
        <v>7237</v>
      </c>
    </row>
    <row r="5933" spans="1:5" x14ac:dyDescent="0.25">
      <c r="A5933" s="1" t="s">
        <v>5932</v>
      </c>
      <c r="C5933" s="3">
        <v>22</v>
      </c>
      <c r="E5933" t="s">
        <v>7812</v>
      </c>
    </row>
    <row r="5934" spans="1:5" x14ac:dyDescent="0.25">
      <c r="A5934" s="1" t="s">
        <v>5933</v>
      </c>
      <c r="C5934" s="3">
        <v>22</v>
      </c>
      <c r="E5934" t="s">
        <v>1051</v>
      </c>
    </row>
    <row r="5935" spans="1:5" x14ac:dyDescent="0.25">
      <c r="A5935" s="1" t="s">
        <v>5934</v>
      </c>
      <c r="C5935" s="3">
        <v>22</v>
      </c>
      <c r="E5935" t="s">
        <v>1707</v>
      </c>
    </row>
    <row r="5936" spans="1:5" x14ac:dyDescent="0.25">
      <c r="A5936" s="1" t="s">
        <v>5935</v>
      </c>
      <c r="C5936" s="3">
        <v>22</v>
      </c>
      <c r="E5936" t="s">
        <v>567</v>
      </c>
    </row>
    <row r="5937" spans="1:5" x14ac:dyDescent="0.25">
      <c r="A5937" s="1" t="s">
        <v>5936</v>
      </c>
      <c r="C5937" s="3">
        <v>22</v>
      </c>
      <c r="E5937" t="s">
        <v>3051</v>
      </c>
    </row>
    <row r="5938" spans="1:5" x14ac:dyDescent="0.25">
      <c r="A5938" s="1" t="s">
        <v>5937</v>
      </c>
      <c r="C5938" s="3">
        <v>22</v>
      </c>
      <c r="E5938" t="s">
        <v>826</v>
      </c>
    </row>
    <row r="5939" spans="1:5" x14ac:dyDescent="0.25">
      <c r="A5939" s="1" t="s">
        <v>5938</v>
      </c>
      <c r="C5939" s="3">
        <v>22</v>
      </c>
      <c r="E5939" t="s">
        <v>2260</v>
      </c>
    </row>
    <row r="5940" spans="1:5" x14ac:dyDescent="0.25">
      <c r="A5940" s="1" t="s">
        <v>5939</v>
      </c>
      <c r="C5940" s="3">
        <v>22</v>
      </c>
      <c r="E5940" t="s">
        <v>396</v>
      </c>
    </row>
    <row r="5941" spans="1:5" x14ac:dyDescent="0.25">
      <c r="A5941" s="1" t="s">
        <v>5940</v>
      </c>
      <c r="C5941" s="3">
        <v>22</v>
      </c>
      <c r="E5941" t="s">
        <v>11369</v>
      </c>
    </row>
    <row r="5942" spans="1:5" x14ac:dyDescent="0.25">
      <c r="A5942" s="1" t="s">
        <v>5941</v>
      </c>
      <c r="C5942" s="3">
        <v>22</v>
      </c>
      <c r="E5942" t="s">
        <v>5459</v>
      </c>
    </row>
    <row r="5943" spans="1:5" x14ac:dyDescent="0.25">
      <c r="A5943" s="1" t="s">
        <v>5942</v>
      </c>
      <c r="C5943" s="3">
        <v>22</v>
      </c>
      <c r="E5943" t="s">
        <v>1063</v>
      </c>
    </row>
    <row r="5944" spans="1:5" x14ac:dyDescent="0.25">
      <c r="A5944" s="1" t="s">
        <v>5943</v>
      </c>
      <c r="C5944" s="3">
        <v>22</v>
      </c>
      <c r="E5944" t="s">
        <v>381</v>
      </c>
    </row>
    <row r="5945" spans="1:5" x14ac:dyDescent="0.25">
      <c r="A5945" s="1" t="s">
        <v>5944</v>
      </c>
      <c r="C5945" s="3">
        <v>22</v>
      </c>
      <c r="E5945" t="s">
        <v>6203</v>
      </c>
    </row>
    <row r="5946" spans="1:5" x14ac:dyDescent="0.25">
      <c r="A5946" s="1" t="s">
        <v>5945</v>
      </c>
      <c r="C5946" s="3">
        <v>22</v>
      </c>
      <c r="E5946" t="s">
        <v>10616</v>
      </c>
    </row>
    <row r="5947" spans="1:5" x14ac:dyDescent="0.25">
      <c r="A5947" s="1" t="s">
        <v>5946</v>
      </c>
      <c r="C5947" s="3">
        <v>22</v>
      </c>
      <c r="E5947" t="s">
        <v>3660</v>
      </c>
    </row>
    <row r="5948" spans="1:5" x14ac:dyDescent="0.25">
      <c r="A5948" s="1" t="s">
        <v>5947</v>
      </c>
      <c r="C5948" s="3">
        <v>22</v>
      </c>
      <c r="E5948" t="s">
        <v>150</v>
      </c>
    </row>
    <row r="5949" spans="1:5" x14ac:dyDescent="0.25">
      <c r="A5949" s="1" t="s">
        <v>5948</v>
      </c>
      <c r="C5949" s="3">
        <v>22</v>
      </c>
      <c r="E5949" t="s">
        <v>12484</v>
      </c>
    </row>
    <row r="5950" spans="1:5" x14ac:dyDescent="0.25">
      <c r="A5950" s="1" t="s">
        <v>5949</v>
      </c>
      <c r="C5950" s="3">
        <v>22</v>
      </c>
      <c r="E5950" t="s">
        <v>9950</v>
      </c>
    </row>
    <row r="5951" spans="1:5" x14ac:dyDescent="0.25">
      <c r="A5951" s="1" t="s">
        <v>5950</v>
      </c>
      <c r="C5951" s="3">
        <v>22</v>
      </c>
      <c r="E5951" t="s">
        <v>7192</v>
      </c>
    </row>
    <row r="5952" spans="1:5" x14ac:dyDescent="0.25">
      <c r="A5952" s="1" t="s">
        <v>5951</v>
      </c>
      <c r="C5952" s="3">
        <v>22</v>
      </c>
      <c r="E5952" t="s">
        <v>23121</v>
      </c>
    </row>
    <row r="5953" spans="1:5" x14ac:dyDescent="0.25">
      <c r="A5953" s="1" t="s">
        <v>5952</v>
      </c>
      <c r="C5953" s="3">
        <v>22</v>
      </c>
      <c r="E5953" t="s">
        <v>4290</v>
      </c>
    </row>
    <row r="5954" spans="1:5" x14ac:dyDescent="0.25">
      <c r="A5954" s="1" t="s">
        <v>5953</v>
      </c>
      <c r="C5954" s="3">
        <v>22</v>
      </c>
      <c r="E5954" t="s">
        <v>3949</v>
      </c>
    </row>
    <row r="5955" spans="1:5" x14ac:dyDescent="0.25">
      <c r="A5955" s="1" t="s">
        <v>5954</v>
      </c>
      <c r="C5955" s="3">
        <v>22</v>
      </c>
      <c r="E5955" t="s">
        <v>14838</v>
      </c>
    </row>
    <row r="5956" spans="1:5" x14ac:dyDescent="0.25">
      <c r="A5956" s="1" t="s">
        <v>5955</v>
      </c>
      <c r="C5956" s="3">
        <v>22</v>
      </c>
      <c r="E5956" t="s">
        <v>5701</v>
      </c>
    </row>
    <row r="5957" spans="1:5" x14ac:dyDescent="0.25">
      <c r="A5957" s="1" t="s">
        <v>5956</v>
      </c>
      <c r="C5957" s="3">
        <v>22</v>
      </c>
      <c r="E5957" t="s">
        <v>2240</v>
      </c>
    </row>
    <row r="5958" spans="1:5" x14ac:dyDescent="0.25">
      <c r="A5958" s="1" t="s">
        <v>5957</v>
      </c>
      <c r="C5958" s="3">
        <v>22</v>
      </c>
      <c r="E5958" t="s">
        <v>1977</v>
      </c>
    </row>
    <row r="5959" spans="1:5" x14ac:dyDescent="0.25">
      <c r="A5959" s="1" t="s">
        <v>5958</v>
      </c>
      <c r="C5959" s="3">
        <v>22</v>
      </c>
      <c r="E5959" t="s">
        <v>10211</v>
      </c>
    </row>
    <row r="5960" spans="1:5" x14ac:dyDescent="0.25">
      <c r="A5960" s="1" t="s">
        <v>5959</v>
      </c>
      <c r="C5960" s="3">
        <v>22</v>
      </c>
      <c r="E5960" t="s">
        <v>1814</v>
      </c>
    </row>
    <row r="5961" spans="1:5" x14ac:dyDescent="0.25">
      <c r="A5961" s="1" t="s">
        <v>5960</v>
      </c>
      <c r="C5961" s="3">
        <v>21</v>
      </c>
      <c r="E5961" t="s">
        <v>9669</v>
      </c>
    </row>
    <row r="5962" spans="1:5" x14ac:dyDescent="0.25">
      <c r="A5962" s="1" t="s">
        <v>5961</v>
      </c>
      <c r="C5962" s="3">
        <v>21</v>
      </c>
      <c r="E5962" t="s">
        <v>836</v>
      </c>
    </row>
    <row r="5963" spans="1:5" x14ac:dyDescent="0.25">
      <c r="A5963" s="1" t="s">
        <v>5962</v>
      </c>
      <c r="C5963" s="3">
        <v>21</v>
      </c>
      <c r="E5963" t="s">
        <v>1327</v>
      </c>
    </row>
    <row r="5964" spans="1:5" x14ac:dyDescent="0.25">
      <c r="A5964" s="1" t="s">
        <v>5963</v>
      </c>
      <c r="C5964" s="3">
        <v>21</v>
      </c>
      <c r="E5964" t="s">
        <v>20421</v>
      </c>
    </row>
    <row r="5965" spans="1:5" x14ac:dyDescent="0.25">
      <c r="A5965" s="1" t="s">
        <v>5964</v>
      </c>
      <c r="C5965" s="3">
        <v>21</v>
      </c>
      <c r="E5965" t="s">
        <v>884</v>
      </c>
    </row>
    <row r="5966" spans="1:5" x14ac:dyDescent="0.25">
      <c r="A5966" s="1" t="s">
        <v>5965</v>
      </c>
      <c r="C5966" s="3">
        <v>21</v>
      </c>
      <c r="E5966" t="s">
        <v>5285</v>
      </c>
    </row>
    <row r="5967" spans="1:5" x14ac:dyDescent="0.25">
      <c r="A5967" s="1" t="s">
        <v>5966</v>
      </c>
      <c r="C5967" s="3">
        <v>21</v>
      </c>
      <c r="E5967" t="s">
        <v>9785</v>
      </c>
    </row>
    <row r="5968" spans="1:5" x14ac:dyDescent="0.25">
      <c r="A5968" s="1" t="s">
        <v>5967</v>
      </c>
      <c r="C5968" s="3">
        <v>21</v>
      </c>
      <c r="E5968" t="s">
        <v>18461</v>
      </c>
    </row>
    <row r="5969" spans="1:5" x14ac:dyDescent="0.25">
      <c r="A5969" s="1" t="s">
        <v>5968</v>
      </c>
      <c r="C5969" s="3">
        <v>21</v>
      </c>
      <c r="E5969" t="s">
        <v>121</v>
      </c>
    </row>
    <row r="5970" spans="1:5" x14ac:dyDescent="0.25">
      <c r="A5970" s="1" t="s">
        <v>5969</v>
      </c>
      <c r="C5970" s="3">
        <v>21</v>
      </c>
      <c r="E5970" t="s">
        <v>1007</v>
      </c>
    </row>
    <row r="5971" spans="1:5" x14ac:dyDescent="0.25">
      <c r="A5971" s="1" t="s">
        <v>5970</v>
      </c>
      <c r="C5971" s="3">
        <v>21</v>
      </c>
      <c r="E5971" t="s">
        <v>6703</v>
      </c>
    </row>
    <row r="5972" spans="1:5" x14ac:dyDescent="0.25">
      <c r="A5972" s="1" t="s">
        <v>5971</v>
      </c>
      <c r="C5972" s="3">
        <v>21</v>
      </c>
      <c r="E5972" t="s">
        <v>12812</v>
      </c>
    </row>
    <row r="5973" spans="1:5" x14ac:dyDescent="0.25">
      <c r="A5973" s="1" t="s">
        <v>5972</v>
      </c>
      <c r="C5973" s="3">
        <v>21</v>
      </c>
      <c r="E5973" t="s">
        <v>7276</v>
      </c>
    </row>
    <row r="5974" spans="1:5" x14ac:dyDescent="0.25">
      <c r="A5974" s="1" t="s">
        <v>5973</v>
      </c>
      <c r="C5974" s="3">
        <v>21</v>
      </c>
      <c r="E5974" t="s">
        <v>5402</v>
      </c>
    </row>
    <row r="5975" spans="1:5" x14ac:dyDescent="0.25">
      <c r="A5975" s="1" t="s">
        <v>5974</v>
      </c>
      <c r="C5975" s="3">
        <v>21</v>
      </c>
      <c r="E5975" t="s">
        <v>8356</v>
      </c>
    </row>
    <row r="5976" spans="1:5" x14ac:dyDescent="0.25">
      <c r="A5976" s="1" t="s">
        <v>5975</v>
      </c>
      <c r="C5976" s="3">
        <v>21</v>
      </c>
      <c r="E5976" t="s">
        <v>4765</v>
      </c>
    </row>
    <row r="5977" spans="1:5" x14ac:dyDescent="0.25">
      <c r="A5977" s="1" t="s">
        <v>5976</v>
      </c>
      <c r="C5977" s="3">
        <v>21</v>
      </c>
      <c r="E5977" t="s">
        <v>548</v>
      </c>
    </row>
    <row r="5978" spans="1:5" x14ac:dyDescent="0.25">
      <c r="A5978" s="1" t="s">
        <v>5977</v>
      </c>
      <c r="C5978" s="3">
        <v>21</v>
      </c>
      <c r="E5978" t="s">
        <v>5439</v>
      </c>
    </row>
    <row r="5979" spans="1:5" x14ac:dyDescent="0.25">
      <c r="A5979" s="1" t="s">
        <v>5978</v>
      </c>
      <c r="C5979" s="3">
        <v>21</v>
      </c>
      <c r="E5979" t="s">
        <v>11877</v>
      </c>
    </row>
    <row r="5980" spans="1:5" x14ac:dyDescent="0.25">
      <c r="A5980" s="1" t="s">
        <v>5979</v>
      </c>
      <c r="C5980" s="3">
        <v>21</v>
      </c>
      <c r="E5980" t="s">
        <v>13684</v>
      </c>
    </row>
    <row r="5981" spans="1:5" x14ac:dyDescent="0.25">
      <c r="A5981" s="1" t="s">
        <v>5980</v>
      </c>
      <c r="C5981" s="3">
        <v>21</v>
      </c>
      <c r="E5981" t="s">
        <v>11373</v>
      </c>
    </row>
    <row r="5982" spans="1:5" x14ac:dyDescent="0.25">
      <c r="A5982" s="1" t="s">
        <v>5981</v>
      </c>
      <c r="C5982" s="3">
        <v>21</v>
      </c>
      <c r="E5982" t="s">
        <v>2364</v>
      </c>
    </row>
    <row r="5983" spans="1:5" x14ac:dyDescent="0.25">
      <c r="A5983" s="1" t="s">
        <v>5982</v>
      </c>
      <c r="C5983" s="3">
        <v>21</v>
      </c>
      <c r="E5983" t="s">
        <v>3119</v>
      </c>
    </row>
    <row r="5984" spans="1:5" x14ac:dyDescent="0.25">
      <c r="A5984" s="1" t="s">
        <v>5983</v>
      </c>
      <c r="C5984" s="3">
        <v>21</v>
      </c>
      <c r="E5984" t="s">
        <v>18542</v>
      </c>
    </row>
    <row r="5985" spans="1:5" x14ac:dyDescent="0.25">
      <c r="A5985" s="1" t="s">
        <v>5984</v>
      </c>
      <c r="C5985" s="3">
        <v>21</v>
      </c>
      <c r="E5985" t="s">
        <v>12080</v>
      </c>
    </row>
    <row r="5986" spans="1:5" x14ac:dyDescent="0.25">
      <c r="A5986" s="1" t="s">
        <v>5985</v>
      </c>
      <c r="C5986" s="3">
        <v>21</v>
      </c>
      <c r="E5986" t="s">
        <v>16557</v>
      </c>
    </row>
    <row r="5987" spans="1:5" x14ac:dyDescent="0.25">
      <c r="A5987" s="1" t="s">
        <v>5986</v>
      </c>
      <c r="C5987" s="3">
        <v>21</v>
      </c>
      <c r="E5987" t="s">
        <v>752</v>
      </c>
    </row>
    <row r="5988" spans="1:5" x14ac:dyDescent="0.25">
      <c r="A5988" s="1" t="s">
        <v>5987</v>
      </c>
      <c r="C5988" s="3">
        <v>21</v>
      </c>
      <c r="E5988" t="s">
        <v>5200</v>
      </c>
    </row>
    <row r="5989" spans="1:5" x14ac:dyDescent="0.25">
      <c r="A5989" s="1" t="s">
        <v>5988</v>
      </c>
      <c r="C5989" s="3">
        <v>21</v>
      </c>
      <c r="E5989" t="s">
        <v>2402</v>
      </c>
    </row>
    <row r="5990" spans="1:5" x14ac:dyDescent="0.25">
      <c r="A5990" s="1" t="s">
        <v>5989</v>
      </c>
      <c r="C5990" s="3">
        <v>21</v>
      </c>
      <c r="E5990" t="s">
        <v>13275</v>
      </c>
    </row>
    <row r="5991" spans="1:5" x14ac:dyDescent="0.25">
      <c r="A5991" s="1" t="s">
        <v>5990</v>
      </c>
      <c r="C5991" s="3">
        <v>21</v>
      </c>
      <c r="E5991" t="s">
        <v>11242</v>
      </c>
    </row>
    <row r="5992" spans="1:5" x14ac:dyDescent="0.25">
      <c r="A5992" s="1" t="s">
        <v>5991</v>
      </c>
      <c r="C5992" s="3">
        <v>21</v>
      </c>
      <c r="E5992" t="s">
        <v>81</v>
      </c>
    </row>
    <row r="5993" spans="1:5" x14ac:dyDescent="0.25">
      <c r="A5993" s="1" t="s">
        <v>5992</v>
      </c>
      <c r="C5993" s="3">
        <v>21</v>
      </c>
      <c r="E5993" t="s">
        <v>6210</v>
      </c>
    </row>
    <row r="5994" spans="1:5" x14ac:dyDescent="0.25">
      <c r="A5994" s="1" t="s">
        <v>5993</v>
      </c>
      <c r="C5994" s="3">
        <v>21</v>
      </c>
      <c r="E5994" t="s">
        <v>710</v>
      </c>
    </row>
    <row r="5995" spans="1:5" x14ac:dyDescent="0.25">
      <c r="A5995" s="1" t="s">
        <v>5994</v>
      </c>
      <c r="C5995" s="3">
        <v>21</v>
      </c>
      <c r="E5995" t="s">
        <v>19392</v>
      </c>
    </row>
    <row r="5996" spans="1:5" x14ac:dyDescent="0.25">
      <c r="A5996" s="1" t="s">
        <v>5995</v>
      </c>
      <c r="C5996" s="3">
        <v>21</v>
      </c>
      <c r="E5996" t="s">
        <v>4980</v>
      </c>
    </row>
    <row r="5997" spans="1:5" x14ac:dyDescent="0.25">
      <c r="A5997" s="1" t="s">
        <v>5996</v>
      </c>
      <c r="C5997" s="3">
        <v>21</v>
      </c>
      <c r="E5997" t="s">
        <v>8211</v>
      </c>
    </row>
    <row r="5998" spans="1:5" x14ac:dyDescent="0.25">
      <c r="A5998" s="1" t="s">
        <v>5997</v>
      </c>
      <c r="C5998" s="3">
        <v>21</v>
      </c>
      <c r="E5998" t="s">
        <v>5338</v>
      </c>
    </row>
    <row r="5999" spans="1:5" x14ac:dyDescent="0.25">
      <c r="A5999" s="1" t="s">
        <v>5998</v>
      </c>
      <c r="C5999" s="3">
        <v>21</v>
      </c>
      <c r="E5999" t="s">
        <v>3193</v>
      </c>
    </row>
    <row r="6000" spans="1:5" x14ac:dyDescent="0.25">
      <c r="A6000" s="1" t="s">
        <v>5999</v>
      </c>
      <c r="C6000" s="3">
        <v>21</v>
      </c>
      <c r="E6000" t="s">
        <v>1285</v>
      </c>
    </row>
    <row r="6001" spans="1:5" x14ac:dyDescent="0.25">
      <c r="A6001" s="1" t="s">
        <v>6000</v>
      </c>
      <c r="C6001" s="3">
        <v>21</v>
      </c>
      <c r="E6001" t="s">
        <v>25516</v>
      </c>
    </row>
    <row r="6002" spans="1:5" x14ac:dyDescent="0.25">
      <c r="A6002" s="1" t="s">
        <v>6001</v>
      </c>
      <c r="C6002" s="3">
        <v>21</v>
      </c>
      <c r="E6002" t="s">
        <v>2786</v>
      </c>
    </row>
    <row r="6003" spans="1:5" x14ac:dyDescent="0.25">
      <c r="A6003" s="1" t="s">
        <v>6002</v>
      </c>
      <c r="C6003" s="3">
        <v>21</v>
      </c>
      <c r="E6003" t="s">
        <v>2188</v>
      </c>
    </row>
    <row r="6004" spans="1:5" x14ac:dyDescent="0.25">
      <c r="A6004" s="1" t="s">
        <v>6003</v>
      </c>
      <c r="C6004" s="3">
        <v>21</v>
      </c>
      <c r="E6004" t="s">
        <v>20248</v>
      </c>
    </row>
    <row r="6005" spans="1:5" x14ac:dyDescent="0.25">
      <c r="A6005" s="1" t="s">
        <v>6004</v>
      </c>
      <c r="C6005" s="3">
        <v>21</v>
      </c>
      <c r="E6005" t="s">
        <v>1655</v>
      </c>
    </row>
    <row r="6006" spans="1:5" x14ac:dyDescent="0.25">
      <c r="A6006" s="1" t="s">
        <v>6005</v>
      </c>
      <c r="C6006" s="3">
        <v>21</v>
      </c>
      <c r="E6006" t="s">
        <v>279</v>
      </c>
    </row>
    <row r="6007" spans="1:5" x14ac:dyDescent="0.25">
      <c r="A6007" s="1" t="s">
        <v>6006</v>
      </c>
      <c r="C6007" s="3">
        <v>21</v>
      </c>
      <c r="E6007" t="s">
        <v>16062</v>
      </c>
    </row>
    <row r="6008" spans="1:5" x14ac:dyDescent="0.25">
      <c r="A6008" s="1" t="s">
        <v>6007</v>
      </c>
      <c r="C6008" s="3">
        <v>21</v>
      </c>
      <c r="E6008" t="s">
        <v>9859</v>
      </c>
    </row>
    <row r="6009" spans="1:5" x14ac:dyDescent="0.25">
      <c r="A6009" s="1" t="s">
        <v>6008</v>
      </c>
      <c r="C6009" s="3">
        <v>21</v>
      </c>
      <c r="E6009" t="s">
        <v>3263</v>
      </c>
    </row>
    <row r="6010" spans="1:5" x14ac:dyDescent="0.25">
      <c r="A6010" s="1" t="s">
        <v>6009</v>
      </c>
      <c r="C6010" s="3">
        <v>21</v>
      </c>
      <c r="E6010" t="s">
        <v>2085</v>
      </c>
    </row>
    <row r="6011" spans="1:5" x14ac:dyDescent="0.25">
      <c r="A6011" s="1" t="s">
        <v>6010</v>
      </c>
      <c r="C6011" s="3">
        <v>21</v>
      </c>
      <c r="E6011" t="s">
        <v>12766</v>
      </c>
    </row>
    <row r="6012" spans="1:5" x14ac:dyDescent="0.25">
      <c r="A6012" s="1" t="s">
        <v>6011</v>
      </c>
      <c r="C6012" s="3">
        <v>21</v>
      </c>
      <c r="E6012" t="s">
        <v>7362</v>
      </c>
    </row>
    <row r="6013" spans="1:5" x14ac:dyDescent="0.25">
      <c r="A6013" s="1" t="s">
        <v>6012</v>
      </c>
      <c r="C6013" s="3">
        <v>21</v>
      </c>
      <c r="E6013" t="s">
        <v>3777</v>
      </c>
    </row>
    <row r="6014" spans="1:5" x14ac:dyDescent="0.25">
      <c r="A6014" s="1" t="s">
        <v>6013</v>
      </c>
      <c r="C6014" s="3">
        <v>21</v>
      </c>
      <c r="E6014" t="s">
        <v>2741</v>
      </c>
    </row>
    <row r="6015" spans="1:5" x14ac:dyDescent="0.25">
      <c r="A6015" s="1" t="s">
        <v>6014</v>
      </c>
      <c r="C6015" s="3">
        <v>21</v>
      </c>
      <c r="E6015" t="s">
        <v>1889</v>
      </c>
    </row>
    <row r="6016" spans="1:5" x14ac:dyDescent="0.25">
      <c r="A6016" s="1" t="s">
        <v>6015</v>
      </c>
      <c r="C6016" s="3">
        <v>21</v>
      </c>
      <c r="E6016" t="s">
        <v>1844</v>
      </c>
    </row>
    <row r="6017" spans="1:5" x14ac:dyDescent="0.25">
      <c r="A6017" s="1" t="s">
        <v>6016</v>
      </c>
      <c r="C6017" s="3">
        <v>21</v>
      </c>
      <c r="E6017" t="s">
        <v>6254</v>
      </c>
    </row>
    <row r="6018" spans="1:5" x14ac:dyDescent="0.25">
      <c r="A6018" s="1" t="s">
        <v>6017</v>
      </c>
      <c r="C6018" s="3">
        <v>21</v>
      </c>
      <c r="E6018" t="s">
        <v>2912</v>
      </c>
    </row>
    <row r="6019" spans="1:5" x14ac:dyDescent="0.25">
      <c r="A6019" s="1" t="s">
        <v>6018</v>
      </c>
      <c r="C6019" s="3">
        <v>21</v>
      </c>
      <c r="E6019" t="s">
        <v>1150</v>
      </c>
    </row>
    <row r="6020" spans="1:5" x14ac:dyDescent="0.25">
      <c r="A6020" s="1" t="s">
        <v>6019</v>
      </c>
      <c r="C6020" s="3">
        <v>21</v>
      </c>
      <c r="E6020" t="s">
        <v>21617</v>
      </c>
    </row>
    <row r="6021" spans="1:5" x14ac:dyDescent="0.25">
      <c r="A6021" s="1" t="s">
        <v>6020</v>
      </c>
      <c r="C6021" s="3">
        <v>21</v>
      </c>
      <c r="E6021" t="s">
        <v>674</v>
      </c>
    </row>
    <row r="6022" spans="1:5" x14ac:dyDescent="0.25">
      <c r="A6022" s="1" t="s">
        <v>6021</v>
      </c>
      <c r="C6022" s="3">
        <v>21</v>
      </c>
      <c r="E6022" t="s">
        <v>178</v>
      </c>
    </row>
    <row r="6023" spans="1:5" x14ac:dyDescent="0.25">
      <c r="A6023" s="1" t="s">
        <v>6022</v>
      </c>
      <c r="C6023" s="3">
        <v>21</v>
      </c>
      <c r="E6023" t="s">
        <v>1412</v>
      </c>
    </row>
    <row r="6024" spans="1:5" x14ac:dyDescent="0.25">
      <c r="A6024" s="1" t="s">
        <v>6023</v>
      </c>
      <c r="C6024" s="3">
        <v>21</v>
      </c>
      <c r="E6024" t="s">
        <v>3526</v>
      </c>
    </row>
    <row r="6025" spans="1:5" x14ac:dyDescent="0.25">
      <c r="A6025" s="1" t="s">
        <v>6024</v>
      </c>
      <c r="C6025" s="3">
        <v>21</v>
      </c>
      <c r="E6025" t="s">
        <v>13619</v>
      </c>
    </row>
    <row r="6026" spans="1:5" x14ac:dyDescent="0.25">
      <c r="A6026" s="1" t="s">
        <v>6025</v>
      </c>
      <c r="C6026" s="3">
        <v>21</v>
      </c>
      <c r="E6026" t="s">
        <v>24137</v>
      </c>
    </row>
    <row r="6027" spans="1:5" x14ac:dyDescent="0.25">
      <c r="A6027" s="1" t="s">
        <v>6026</v>
      </c>
      <c r="C6027" s="3">
        <v>21</v>
      </c>
      <c r="E6027" t="s">
        <v>3198</v>
      </c>
    </row>
    <row r="6028" spans="1:5" x14ac:dyDescent="0.25">
      <c r="A6028" s="1" t="s">
        <v>6027</v>
      </c>
      <c r="C6028" s="3">
        <v>21</v>
      </c>
      <c r="E6028" t="s">
        <v>13798</v>
      </c>
    </row>
    <row r="6029" spans="1:5" x14ac:dyDescent="0.25">
      <c r="A6029" s="1" t="s">
        <v>6028</v>
      </c>
      <c r="C6029" s="3">
        <v>21</v>
      </c>
      <c r="E6029" t="s">
        <v>1387</v>
      </c>
    </row>
    <row r="6030" spans="1:5" x14ac:dyDescent="0.25">
      <c r="A6030" s="1" t="s">
        <v>6029</v>
      </c>
      <c r="C6030" s="3">
        <v>21</v>
      </c>
      <c r="E6030" t="s">
        <v>5331</v>
      </c>
    </row>
    <row r="6031" spans="1:5" x14ac:dyDescent="0.25">
      <c r="A6031" s="1" t="s">
        <v>6030</v>
      </c>
      <c r="C6031" s="3">
        <v>21</v>
      </c>
      <c r="E6031" t="s">
        <v>7474</v>
      </c>
    </row>
    <row r="6032" spans="1:5" x14ac:dyDescent="0.25">
      <c r="A6032" s="1" t="s">
        <v>6031</v>
      </c>
      <c r="C6032" s="3">
        <v>21</v>
      </c>
      <c r="E6032" t="s">
        <v>553</v>
      </c>
    </row>
    <row r="6033" spans="1:5" x14ac:dyDescent="0.25">
      <c r="A6033" s="1" t="s">
        <v>6032</v>
      </c>
      <c r="C6033" s="3">
        <v>21</v>
      </c>
      <c r="E6033" t="s">
        <v>2242</v>
      </c>
    </row>
    <row r="6034" spans="1:5" x14ac:dyDescent="0.25">
      <c r="A6034" s="1" t="s">
        <v>6033</v>
      </c>
      <c r="C6034" s="3">
        <v>21</v>
      </c>
      <c r="E6034" t="s">
        <v>1027</v>
      </c>
    </row>
    <row r="6035" spans="1:5" x14ac:dyDescent="0.25">
      <c r="A6035" s="1" t="s">
        <v>6034</v>
      </c>
      <c r="C6035" s="3">
        <v>21</v>
      </c>
      <c r="E6035" t="s">
        <v>2797</v>
      </c>
    </row>
    <row r="6036" spans="1:5" x14ac:dyDescent="0.25">
      <c r="A6036" s="1" t="s">
        <v>6035</v>
      </c>
      <c r="C6036" s="3">
        <v>21</v>
      </c>
      <c r="E6036" t="s">
        <v>4299</v>
      </c>
    </row>
    <row r="6037" spans="1:5" x14ac:dyDescent="0.25">
      <c r="A6037" s="1" t="s">
        <v>6036</v>
      </c>
      <c r="C6037" s="3">
        <v>21</v>
      </c>
      <c r="E6037" t="s">
        <v>7417</v>
      </c>
    </row>
    <row r="6038" spans="1:5" x14ac:dyDescent="0.25">
      <c r="A6038" s="1" t="s">
        <v>6037</v>
      </c>
      <c r="C6038" s="3">
        <v>21</v>
      </c>
      <c r="E6038" t="s">
        <v>1581</v>
      </c>
    </row>
    <row r="6039" spans="1:5" x14ac:dyDescent="0.25">
      <c r="A6039" s="1" t="s">
        <v>6038</v>
      </c>
      <c r="C6039" s="3">
        <v>21</v>
      </c>
      <c r="E6039" t="s">
        <v>245</v>
      </c>
    </row>
    <row r="6040" spans="1:5" x14ac:dyDescent="0.25">
      <c r="A6040" s="1" t="s">
        <v>6039</v>
      </c>
      <c r="C6040" s="3">
        <v>21</v>
      </c>
      <c r="E6040" t="s">
        <v>4079</v>
      </c>
    </row>
    <row r="6041" spans="1:5" x14ac:dyDescent="0.25">
      <c r="A6041" s="1" t="s">
        <v>6040</v>
      </c>
      <c r="C6041" s="3">
        <v>21</v>
      </c>
      <c r="E6041" t="s">
        <v>5163</v>
      </c>
    </row>
    <row r="6042" spans="1:5" x14ac:dyDescent="0.25">
      <c r="A6042" s="1" t="s">
        <v>6041</v>
      </c>
      <c r="C6042" s="3">
        <v>21</v>
      </c>
      <c r="E6042" t="s">
        <v>4000</v>
      </c>
    </row>
    <row r="6043" spans="1:5" x14ac:dyDescent="0.25">
      <c r="A6043" s="1" t="s">
        <v>6042</v>
      </c>
      <c r="C6043" s="3">
        <v>21</v>
      </c>
      <c r="E6043" t="s">
        <v>23409</v>
      </c>
    </row>
    <row r="6044" spans="1:5" x14ac:dyDescent="0.25">
      <c r="A6044" s="1" t="s">
        <v>6043</v>
      </c>
      <c r="C6044" s="3">
        <v>21</v>
      </c>
      <c r="E6044" t="s">
        <v>2207</v>
      </c>
    </row>
    <row r="6045" spans="1:5" x14ac:dyDescent="0.25">
      <c r="A6045" s="1" t="s">
        <v>6044</v>
      </c>
      <c r="C6045" s="3">
        <v>21</v>
      </c>
      <c r="E6045" t="s">
        <v>6797</v>
      </c>
    </row>
    <row r="6046" spans="1:5" x14ac:dyDescent="0.25">
      <c r="A6046" s="1" t="s">
        <v>6045</v>
      </c>
      <c r="C6046" s="3">
        <v>21</v>
      </c>
      <c r="E6046" t="s">
        <v>646</v>
      </c>
    </row>
    <row r="6047" spans="1:5" x14ac:dyDescent="0.25">
      <c r="A6047" s="1" t="s">
        <v>6046</v>
      </c>
      <c r="C6047" s="3">
        <v>21</v>
      </c>
      <c r="E6047" t="s">
        <v>8228</v>
      </c>
    </row>
    <row r="6048" spans="1:5" x14ac:dyDescent="0.25">
      <c r="A6048" s="1" t="s">
        <v>6047</v>
      </c>
      <c r="C6048" s="3">
        <v>21</v>
      </c>
      <c r="E6048" t="s">
        <v>3618</v>
      </c>
    </row>
    <row r="6049" spans="1:5" x14ac:dyDescent="0.25">
      <c r="A6049" s="1" t="s">
        <v>6048</v>
      </c>
      <c r="C6049" s="3">
        <v>21</v>
      </c>
      <c r="E6049" t="s">
        <v>3987</v>
      </c>
    </row>
    <row r="6050" spans="1:5" x14ac:dyDescent="0.25">
      <c r="A6050" s="1" t="s">
        <v>6049</v>
      </c>
      <c r="C6050" s="3">
        <v>21</v>
      </c>
      <c r="E6050" t="s">
        <v>5403</v>
      </c>
    </row>
    <row r="6051" spans="1:5" x14ac:dyDescent="0.25">
      <c r="A6051" s="1" t="s">
        <v>6050</v>
      </c>
      <c r="C6051" s="3">
        <v>21</v>
      </c>
      <c r="E6051" t="s">
        <v>6615</v>
      </c>
    </row>
    <row r="6052" spans="1:5" x14ac:dyDescent="0.25">
      <c r="A6052" s="1" t="s">
        <v>6051</v>
      </c>
      <c r="C6052" s="3">
        <v>21</v>
      </c>
      <c r="E6052" t="s">
        <v>3113</v>
      </c>
    </row>
    <row r="6053" spans="1:5" x14ac:dyDescent="0.25">
      <c r="A6053" s="1" t="s">
        <v>6052</v>
      </c>
      <c r="C6053" s="3">
        <v>21</v>
      </c>
      <c r="E6053" t="s">
        <v>9175</v>
      </c>
    </row>
    <row r="6054" spans="1:5" x14ac:dyDescent="0.25">
      <c r="A6054" s="1" t="s">
        <v>6053</v>
      </c>
      <c r="C6054" s="3">
        <v>21</v>
      </c>
      <c r="E6054" t="s">
        <v>13779</v>
      </c>
    </row>
    <row r="6055" spans="1:5" x14ac:dyDescent="0.25">
      <c r="A6055" s="1" t="s">
        <v>6054</v>
      </c>
      <c r="C6055" s="3">
        <v>21</v>
      </c>
      <c r="E6055" t="s">
        <v>5716</v>
      </c>
    </row>
    <row r="6056" spans="1:5" x14ac:dyDescent="0.25">
      <c r="A6056" s="1" t="s">
        <v>6055</v>
      </c>
      <c r="C6056" s="3">
        <v>21</v>
      </c>
      <c r="E6056" t="s">
        <v>4999</v>
      </c>
    </row>
    <row r="6057" spans="1:5" x14ac:dyDescent="0.25">
      <c r="A6057" s="1" t="s">
        <v>6056</v>
      </c>
      <c r="C6057" s="3">
        <v>21</v>
      </c>
      <c r="E6057" t="s">
        <v>9870</v>
      </c>
    </row>
    <row r="6058" spans="1:5" x14ac:dyDescent="0.25">
      <c r="A6058" s="1" t="s">
        <v>6057</v>
      </c>
      <c r="C6058" s="3">
        <v>21</v>
      </c>
      <c r="E6058" t="s">
        <v>443</v>
      </c>
    </row>
    <row r="6059" spans="1:5" x14ac:dyDescent="0.25">
      <c r="A6059" s="1" t="s">
        <v>6058</v>
      </c>
      <c r="C6059" s="3">
        <v>21</v>
      </c>
      <c r="E6059" t="s">
        <v>7643</v>
      </c>
    </row>
    <row r="6060" spans="1:5" x14ac:dyDescent="0.25">
      <c r="A6060" s="1" t="s">
        <v>6059</v>
      </c>
      <c r="C6060" s="3">
        <v>21</v>
      </c>
      <c r="E6060" t="s">
        <v>8961</v>
      </c>
    </row>
    <row r="6061" spans="1:5" x14ac:dyDescent="0.25">
      <c r="A6061" s="1" t="s">
        <v>6060</v>
      </c>
      <c r="C6061" s="3">
        <v>21</v>
      </c>
      <c r="E6061" t="s">
        <v>1572</v>
      </c>
    </row>
    <row r="6062" spans="1:5" x14ac:dyDescent="0.25">
      <c r="A6062" s="1" t="s">
        <v>6061</v>
      </c>
      <c r="C6062" s="3">
        <v>21</v>
      </c>
      <c r="E6062" t="s">
        <v>14191</v>
      </c>
    </row>
    <row r="6063" spans="1:5" x14ac:dyDescent="0.25">
      <c r="A6063" s="1" t="s">
        <v>6062</v>
      </c>
      <c r="C6063" s="3">
        <v>21</v>
      </c>
      <c r="E6063" t="s">
        <v>10270</v>
      </c>
    </row>
    <row r="6064" spans="1:5" x14ac:dyDescent="0.25">
      <c r="A6064" s="1" t="s">
        <v>6063</v>
      </c>
      <c r="C6064" s="3">
        <v>21</v>
      </c>
      <c r="E6064" t="s">
        <v>25517</v>
      </c>
    </row>
    <row r="6065" spans="1:5" x14ac:dyDescent="0.25">
      <c r="A6065" s="1" t="s">
        <v>6064</v>
      </c>
      <c r="C6065" s="3">
        <v>21</v>
      </c>
      <c r="E6065" t="s">
        <v>503</v>
      </c>
    </row>
    <row r="6066" spans="1:5" x14ac:dyDescent="0.25">
      <c r="A6066" s="1" t="s">
        <v>6065</v>
      </c>
      <c r="C6066" s="3">
        <v>21</v>
      </c>
      <c r="E6066" t="s">
        <v>9976</v>
      </c>
    </row>
    <row r="6067" spans="1:5" x14ac:dyDescent="0.25">
      <c r="A6067" s="1" t="s">
        <v>6066</v>
      </c>
      <c r="C6067" s="3">
        <v>21</v>
      </c>
      <c r="E6067" t="s">
        <v>25518</v>
      </c>
    </row>
    <row r="6068" spans="1:5" x14ac:dyDescent="0.25">
      <c r="A6068" s="1" t="s">
        <v>6067</v>
      </c>
      <c r="C6068" s="3">
        <v>21</v>
      </c>
      <c r="E6068" t="s">
        <v>1114</v>
      </c>
    </row>
    <row r="6069" spans="1:5" x14ac:dyDescent="0.25">
      <c r="A6069" s="1" t="s">
        <v>6068</v>
      </c>
      <c r="C6069" s="3">
        <v>21</v>
      </c>
      <c r="E6069" t="s">
        <v>1618</v>
      </c>
    </row>
    <row r="6070" spans="1:5" x14ac:dyDescent="0.25">
      <c r="A6070" s="1" t="s">
        <v>6069</v>
      </c>
      <c r="C6070" s="3">
        <v>21</v>
      </c>
      <c r="E6070" t="s">
        <v>1875</v>
      </c>
    </row>
    <row r="6071" spans="1:5" x14ac:dyDescent="0.25">
      <c r="A6071" s="1" t="s">
        <v>6070</v>
      </c>
      <c r="C6071" s="3">
        <v>21</v>
      </c>
      <c r="E6071" t="s">
        <v>7496</v>
      </c>
    </row>
    <row r="6072" spans="1:5" x14ac:dyDescent="0.25">
      <c r="A6072" s="1" t="s">
        <v>6071</v>
      </c>
      <c r="C6072" s="3">
        <v>21</v>
      </c>
      <c r="E6072" t="s">
        <v>5805</v>
      </c>
    </row>
    <row r="6073" spans="1:5" x14ac:dyDescent="0.25">
      <c r="A6073" s="1" t="s">
        <v>6072</v>
      </c>
      <c r="C6073" s="3">
        <v>21</v>
      </c>
      <c r="E6073" t="s">
        <v>25372</v>
      </c>
    </row>
    <row r="6074" spans="1:5" x14ac:dyDescent="0.25">
      <c r="A6074" s="1" t="s">
        <v>6073</v>
      </c>
      <c r="C6074" s="3">
        <v>21</v>
      </c>
      <c r="E6074" t="s">
        <v>23952</v>
      </c>
    </row>
    <row r="6075" spans="1:5" x14ac:dyDescent="0.25">
      <c r="A6075" s="1" t="s">
        <v>6074</v>
      </c>
      <c r="C6075" s="3">
        <v>21</v>
      </c>
      <c r="E6075" t="s">
        <v>3621</v>
      </c>
    </row>
    <row r="6076" spans="1:5" x14ac:dyDescent="0.25">
      <c r="A6076" s="1" t="s">
        <v>6075</v>
      </c>
      <c r="C6076" s="3">
        <v>21</v>
      </c>
      <c r="E6076" t="s">
        <v>8324</v>
      </c>
    </row>
    <row r="6077" spans="1:5" x14ac:dyDescent="0.25">
      <c r="A6077" s="1" t="s">
        <v>6076</v>
      </c>
      <c r="C6077" s="3">
        <v>21</v>
      </c>
      <c r="E6077" t="s">
        <v>8455</v>
      </c>
    </row>
    <row r="6078" spans="1:5" x14ac:dyDescent="0.25">
      <c r="A6078" s="1" t="s">
        <v>6077</v>
      </c>
      <c r="C6078" s="3">
        <v>21</v>
      </c>
      <c r="E6078" t="s">
        <v>14491</v>
      </c>
    </row>
    <row r="6079" spans="1:5" x14ac:dyDescent="0.25">
      <c r="A6079" s="1" t="s">
        <v>6078</v>
      </c>
      <c r="C6079" s="3">
        <v>21</v>
      </c>
      <c r="E6079" t="s">
        <v>323</v>
      </c>
    </row>
    <row r="6080" spans="1:5" x14ac:dyDescent="0.25">
      <c r="A6080" s="1" t="s">
        <v>6079</v>
      </c>
      <c r="C6080" s="3">
        <v>21</v>
      </c>
      <c r="E6080" t="s">
        <v>19969</v>
      </c>
    </row>
    <row r="6081" spans="1:5" x14ac:dyDescent="0.25">
      <c r="A6081" s="1" t="s">
        <v>6080</v>
      </c>
      <c r="C6081" s="3">
        <v>21</v>
      </c>
      <c r="E6081" t="s">
        <v>1363</v>
      </c>
    </row>
    <row r="6082" spans="1:5" x14ac:dyDescent="0.25">
      <c r="A6082" s="1" t="s">
        <v>6081</v>
      </c>
      <c r="C6082" s="3">
        <v>21</v>
      </c>
      <c r="E6082" t="s">
        <v>9487</v>
      </c>
    </row>
    <row r="6083" spans="1:5" x14ac:dyDescent="0.25">
      <c r="A6083" s="1" t="s">
        <v>6082</v>
      </c>
      <c r="C6083" s="3">
        <v>21</v>
      </c>
      <c r="E6083" t="s">
        <v>16802</v>
      </c>
    </row>
    <row r="6084" spans="1:5" x14ac:dyDescent="0.25">
      <c r="A6084" s="1" t="s">
        <v>6083</v>
      </c>
      <c r="C6084" s="3">
        <v>21</v>
      </c>
      <c r="E6084" t="s">
        <v>1637</v>
      </c>
    </row>
    <row r="6085" spans="1:5" x14ac:dyDescent="0.25">
      <c r="A6085" s="1" t="s">
        <v>6084</v>
      </c>
      <c r="C6085" s="3">
        <v>21</v>
      </c>
      <c r="E6085" t="s">
        <v>10201</v>
      </c>
    </row>
    <row r="6086" spans="1:5" x14ac:dyDescent="0.25">
      <c r="A6086" s="1" t="s">
        <v>6085</v>
      </c>
      <c r="C6086" s="3">
        <v>21</v>
      </c>
      <c r="E6086" t="s">
        <v>3221</v>
      </c>
    </row>
    <row r="6087" spans="1:5" x14ac:dyDescent="0.25">
      <c r="A6087" s="1" t="s">
        <v>6086</v>
      </c>
      <c r="C6087" s="3">
        <v>21</v>
      </c>
      <c r="E6087" t="s">
        <v>3759</v>
      </c>
    </row>
    <row r="6088" spans="1:5" x14ac:dyDescent="0.25">
      <c r="A6088" s="1" t="s">
        <v>6087</v>
      </c>
      <c r="C6088" s="3">
        <v>21</v>
      </c>
      <c r="E6088" t="s">
        <v>7139</v>
      </c>
    </row>
    <row r="6089" spans="1:5" x14ac:dyDescent="0.25">
      <c r="A6089" s="1" t="s">
        <v>6088</v>
      </c>
      <c r="C6089" s="3">
        <v>21</v>
      </c>
      <c r="E6089" t="s">
        <v>5491</v>
      </c>
    </row>
    <row r="6090" spans="1:5" x14ac:dyDescent="0.25">
      <c r="A6090" s="1" t="s">
        <v>6089</v>
      </c>
      <c r="C6090" s="3">
        <v>21</v>
      </c>
      <c r="E6090" t="s">
        <v>3800</v>
      </c>
    </row>
    <row r="6091" spans="1:5" x14ac:dyDescent="0.25">
      <c r="A6091" s="1" t="s">
        <v>6090</v>
      </c>
      <c r="C6091" s="3">
        <v>21</v>
      </c>
      <c r="E6091" t="s">
        <v>414</v>
      </c>
    </row>
    <row r="6092" spans="1:5" x14ac:dyDescent="0.25">
      <c r="A6092" s="1" t="s">
        <v>6091</v>
      </c>
      <c r="C6092" s="3">
        <v>21</v>
      </c>
      <c r="E6092" t="s">
        <v>2697</v>
      </c>
    </row>
    <row r="6093" spans="1:5" x14ac:dyDescent="0.25">
      <c r="A6093" s="1" t="s">
        <v>6092</v>
      </c>
      <c r="C6093" s="3">
        <v>21</v>
      </c>
      <c r="E6093" t="s">
        <v>1152</v>
      </c>
    </row>
    <row r="6094" spans="1:5" x14ac:dyDescent="0.25">
      <c r="A6094" s="1" t="s">
        <v>6093</v>
      </c>
      <c r="C6094" s="3">
        <v>21</v>
      </c>
      <c r="E6094" t="s">
        <v>10088</v>
      </c>
    </row>
    <row r="6095" spans="1:5" x14ac:dyDescent="0.25">
      <c r="A6095" s="1" t="s">
        <v>6094</v>
      </c>
      <c r="C6095" s="3">
        <v>21</v>
      </c>
      <c r="E6095" t="s">
        <v>6913</v>
      </c>
    </row>
    <row r="6096" spans="1:5" x14ac:dyDescent="0.25">
      <c r="A6096" s="1" t="s">
        <v>6095</v>
      </c>
      <c r="C6096" s="3">
        <v>21</v>
      </c>
      <c r="E6096" t="s">
        <v>8852</v>
      </c>
    </row>
    <row r="6097" spans="1:5" x14ac:dyDescent="0.25">
      <c r="A6097" s="1" t="s">
        <v>6096</v>
      </c>
      <c r="C6097" s="3">
        <v>21</v>
      </c>
      <c r="E6097" t="s">
        <v>4206</v>
      </c>
    </row>
    <row r="6098" spans="1:5" x14ac:dyDescent="0.25">
      <c r="A6098" s="1" t="s">
        <v>6097</v>
      </c>
      <c r="C6098" s="3">
        <v>21</v>
      </c>
      <c r="E6098" t="s">
        <v>11044</v>
      </c>
    </row>
    <row r="6099" spans="1:5" x14ac:dyDescent="0.25">
      <c r="A6099" s="1" t="s">
        <v>6098</v>
      </c>
      <c r="C6099" s="3">
        <v>21</v>
      </c>
      <c r="E6099" t="s">
        <v>6475</v>
      </c>
    </row>
    <row r="6100" spans="1:5" x14ac:dyDescent="0.25">
      <c r="A6100" s="1" t="s">
        <v>6099</v>
      </c>
      <c r="C6100" s="3">
        <v>21</v>
      </c>
      <c r="E6100" t="s">
        <v>10456</v>
      </c>
    </row>
    <row r="6101" spans="1:5" x14ac:dyDescent="0.25">
      <c r="A6101" s="1" t="s">
        <v>6100</v>
      </c>
      <c r="C6101" s="3">
        <v>21</v>
      </c>
      <c r="E6101" t="s">
        <v>9275</v>
      </c>
    </row>
    <row r="6102" spans="1:5" x14ac:dyDescent="0.25">
      <c r="A6102" s="1" t="s">
        <v>6101</v>
      </c>
      <c r="C6102" s="3">
        <v>21</v>
      </c>
      <c r="E6102" t="s">
        <v>1475</v>
      </c>
    </row>
    <row r="6103" spans="1:5" x14ac:dyDescent="0.25">
      <c r="A6103" s="1" t="s">
        <v>6102</v>
      </c>
      <c r="C6103" s="3">
        <v>21</v>
      </c>
      <c r="E6103" t="s">
        <v>25519</v>
      </c>
    </row>
    <row r="6104" spans="1:5" x14ac:dyDescent="0.25">
      <c r="A6104" s="1" t="s">
        <v>6103</v>
      </c>
      <c r="C6104" s="3">
        <v>21</v>
      </c>
      <c r="E6104" t="s">
        <v>73</v>
      </c>
    </row>
    <row r="6105" spans="1:5" x14ac:dyDescent="0.25">
      <c r="A6105" s="1" t="s">
        <v>6104</v>
      </c>
      <c r="C6105" s="3">
        <v>21</v>
      </c>
      <c r="E6105" t="s">
        <v>11504</v>
      </c>
    </row>
    <row r="6106" spans="1:5" x14ac:dyDescent="0.25">
      <c r="A6106" s="1" t="s">
        <v>6105</v>
      </c>
      <c r="C6106" s="3">
        <v>21</v>
      </c>
      <c r="E6106" t="s">
        <v>6009</v>
      </c>
    </row>
    <row r="6107" spans="1:5" x14ac:dyDescent="0.25">
      <c r="A6107" s="1" t="s">
        <v>6106</v>
      </c>
      <c r="C6107" s="3">
        <v>21</v>
      </c>
      <c r="E6107" t="s">
        <v>395</v>
      </c>
    </row>
    <row r="6108" spans="1:5" x14ac:dyDescent="0.25">
      <c r="A6108" s="1" t="s">
        <v>6107</v>
      </c>
      <c r="C6108" s="3">
        <v>21</v>
      </c>
      <c r="E6108" t="s">
        <v>10319</v>
      </c>
    </row>
    <row r="6109" spans="1:5" x14ac:dyDescent="0.25">
      <c r="A6109" s="1" t="s">
        <v>6108</v>
      </c>
      <c r="C6109" s="3">
        <v>21</v>
      </c>
      <c r="E6109" t="s">
        <v>25520</v>
      </c>
    </row>
    <row r="6110" spans="1:5" x14ac:dyDescent="0.25">
      <c r="A6110" s="1" t="s">
        <v>6109</v>
      </c>
      <c r="C6110" s="3">
        <v>21</v>
      </c>
      <c r="E6110" t="s">
        <v>20225</v>
      </c>
    </row>
    <row r="6111" spans="1:5" x14ac:dyDescent="0.25">
      <c r="A6111" s="1" t="s">
        <v>6110</v>
      </c>
      <c r="C6111" s="3">
        <v>21</v>
      </c>
      <c r="E6111" t="s">
        <v>7680</v>
      </c>
    </row>
    <row r="6112" spans="1:5" x14ac:dyDescent="0.25">
      <c r="A6112" s="1" t="s">
        <v>6111</v>
      </c>
      <c r="C6112" s="3">
        <v>21</v>
      </c>
      <c r="E6112" t="s">
        <v>17616</v>
      </c>
    </row>
    <row r="6113" spans="1:5" x14ac:dyDescent="0.25">
      <c r="A6113" s="1" t="s">
        <v>6112</v>
      </c>
      <c r="C6113" s="3">
        <v>21</v>
      </c>
      <c r="E6113" t="s">
        <v>6</v>
      </c>
    </row>
    <row r="6114" spans="1:5" x14ac:dyDescent="0.25">
      <c r="A6114" s="1" t="s">
        <v>6113</v>
      </c>
      <c r="C6114" s="3">
        <v>21</v>
      </c>
      <c r="E6114" t="s">
        <v>13566</v>
      </c>
    </row>
    <row r="6115" spans="1:5" x14ac:dyDescent="0.25">
      <c r="A6115" s="1" t="s">
        <v>6114</v>
      </c>
      <c r="C6115" s="3">
        <v>21</v>
      </c>
      <c r="E6115" t="s">
        <v>6781</v>
      </c>
    </row>
    <row r="6116" spans="1:5" x14ac:dyDescent="0.25">
      <c r="A6116" s="1" t="s">
        <v>6115</v>
      </c>
      <c r="C6116" s="3">
        <v>21</v>
      </c>
      <c r="E6116" t="s">
        <v>2895</v>
      </c>
    </row>
    <row r="6117" spans="1:5" x14ac:dyDescent="0.25">
      <c r="A6117" s="1" t="s">
        <v>6116</v>
      </c>
      <c r="C6117" s="3">
        <v>21</v>
      </c>
      <c r="E6117" t="s">
        <v>3505</v>
      </c>
    </row>
    <row r="6118" spans="1:5" x14ac:dyDescent="0.25">
      <c r="A6118" s="1" t="s">
        <v>6117</v>
      </c>
      <c r="C6118" s="3">
        <v>21</v>
      </c>
      <c r="E6118" t="s">
        <v>7179</v>
      </c>
    </row>
    <row r="6119" spans="1:5" x14ac:dyDescent="0.25">
      <c r="A6119" s="1" t="s">
        <v>6118</v>
      </c>
      <c r="C6119" s="3">
        <v>21</v>
      </c>
      <c r="E6119" t="s">
        <v>6479</v>
      </c>
    </row>
    <row r="6120" spans="1:5" x14ac:dyDescent="0.25">
      <c r="A6120" s="1" t="s">
        <v>6119</v>
      </c>
      <c r="C6120" s="3">
        <v>21</v>
      </c>
      <c r="E6120" t="s">
        <v>213</v>
      </c>
    </row>
    <row r="6121" spans="1:5" x14ac:dyDescent="0.25">
      <c r="A6121" s="1" t="s">
        <v>6120</v>
      </c>
      <c r="C6121" s="3">
        <v>21</v>
      </c>
      <c r="E6121" t="s">
        <v>3101</v>
      </c>
    </row>
    <row r="6122" spans="1:5" x14ac:dyDescent="0.25">
      <c r="A6122" s="1" t="s">
        <v>6121</v>
      </c>
      <c r="C6122" s="3">
        <v>21</v>
      </c>
      <c r="E6122" t="s">
        <v>6760</v>
      </c>
    </row>
    <row r="6123" spans="1:5" x14ac:dyDescent="0.25">
      <c r="A6123" s="1" t="s">
        <v>6122</v>
      </c>
      <c r="C6123" s="3">
        <v>21</v>
      </c>
      <c r="E6123" t="s">
        <v>636</v>
      </c>
    </row>
    <row r="6124" spans="1:5" x14ac:dyDescent="0.25">
      <c r="A6124" s="1" t="s">
        <v>6123</v>
      </c>
      <c r="C6124" s="3">
        <v>21</v>
      </c>
      <c r="E6124" t="s">
        <v>3434</v>
      </c>
    </row>
    <row r="6125" spans="1:5" x14ac:dyDescent="0.25">
      <c r="A6125" s="1" t="s">
        <v>6124</v>
      </c>
      <c r="C6125" s="3">
        <v>21</v>
      </c>
      <c r="E6125" t="s">
        <v>1574</v>
      </c>
    </row>
    <row r="6126" spans="1:5" x14ac:dyDescent="0.25">
      <c r="A6126" s="1" t="s">
        <v>6125</v>
      </c>
      <c r="C6126" s="3">
        <v>21</v>
      </c>
      <c r="E6126" t="s">
        <v>595</v>
      </c>
    </row>
    <row r="6127" spans="1:5" x14ac:dyDescent="0.25">
      <c r="A6127" s="1" t="s">
        <v>6126</v>
      </c>
      <c r="C6127" s="3">
        <v>21</v>
      </c>
      <c r="E6127" t="s">
        <v>1466</v>
      </c>
    </row>
    <row r="6128" spans="1:5" x14ac:dyDescent="0.25">
      <c r="A6128" s="1" t="s">
        <v>6127</v>
      </c>
      <c r="C6128" s="3">
        <v>21</v>
      </c>
      <c r="E6128" t="s">
        <v>1437</v>
      </c>
    </row>
    <row r="6129" spans="1:5" x14ac:dyDescent="0.25">
      <c r="A6129" s="1" t="s">
        <v>6128</v>
      </c>
      <c r="C6129" s="3">
        <v>21</v>
      </c>
      <c r="E6129" t="s">
        <v>963</v>
      </c>
    </row>
    <row r="6130" spans="1:5" x14ac:dyDescent="0.25">
      <c r="A6130" s="1" t="s">
        <v>6129</v>
      </c>
      <c r="C6130" s="3">
        <v>21</v>
      </c>
      <c r="E6130" t="s">
        <v>1759</v>
      </c>
    </row>
    <row r="6131" spans="1:5" x14ac:dyDescent="0.25">
      <c r="A6131" s="1" t="s">
        <v>6130</v>
      </c>
      <c r="C6131" s="3">
        <v>21</v>
      </c>
      <c r="E6131" t="s">
        <v>7789</v>
      </c>
    </row>
    <row r="6132" spans="1:5" x14ac:dyDescent="0.25">
      <c r="A6132" s="1" t="s">
        <v>6131</v>
      </c>
      <c r="C6132" s="3">
        <v>21</v>
      </c>
      <c r="E6132" t="s">
        <v>17667</v>
      </c>
    </row>
    <row r="6133" spans="1:5" x14ac:dyDescent="0.25">
      <c r="A6133" s="1" t="s">
        <v>6132</v>
      </c>
      <c r="C6133" s="3">
        <v>21</v>
      </c>
      <c r="E6133" t="s">
        <v>4730</v>
      </c>
    </row>
    <row r="6134" spans="1:5" x14ac:dyDescent="0.25">
      <c r="A6134" s="1" t="s">
        <v>6133</v>
      </c>
      <c r="C6134" s="3">
        <v>21</v>
      </c>
      <c r="E6134" t="s">
        <v>4812</v>
      </c>
    </row>
    <row r="6135" spans="1:5" x14ac:dyDescent="0.25">
      <c r="A6135" s="1" t="s">
        <v>6134</v>
      </c>
      <c r="C6135" s="3">
        <v>21</v>
      </c>
      <c r="E6135" t="s">
        <v>992</v>
      </c>
    </row>
    <row r="6136" spans="1:5" x14ac:dyDescent="0.25">
      <c r="A6136" s="1" t="s">
        <v>6135</v>
      </c>
      <c r="C6136" s="3">
        <v>21</v>
      </c>
      <c r="E6136" t="s">
        <v>896</v>
      </c>
    </row>
    <row r="6137" spans="1:5" x14ac:dyDescent="0.25">
      <c r="A6137" s="1" t="s">
        <v>6136</v>
      </c>
      <c r="C6137" s="3">
        <v>21</v>
      </c>
      <c r="E6137" t="s">
        <v>11080</v>
      </c>
    </row>
    <row r="6138" spans="1:5" x14ac:dyDescent="0.25">
      <c r="A6138" s="1" t="s">
        <v>6137</v>
      </c>
      <c r="C6138" s="3">
        <v>21</v>
      </c>
      <c r="E6138" t="s">
        <v>15053</v>
      </c>
    </row>
    <row r="6139" spans="1:5" x14ac:dyDescent="0.25">
      <c r="A6139" s="1" t="s">
        <v>6138</v>
      </c>
      <c r="C6139" s="3">
        <v>21</v>
      </c>
      <c r="E6139" t="s">
        <v>322</v>
      </c>
    </row>
    <row r="6140" spans="1:5" x14ac:dyDescent="0.25">
      <c r="A6140" s="1" t="s">
        <v>6139</v>
      </c>
      <c r="C6140" s="3">
        <v>21</v>
      </c>
      <c r="E6140" t="s">
        <v>5038</v>
      </c>
    </row>
    <row r="6141" spans="1:5" x14ac:dyDescent="0.25">
      <c r="A6141" s="1" t="s">
        <v>6140</v>
      </c>
      <c r="C6141" s="3">
        <v>21</v>
      </c>
      <c r="E6141" t="s">
        <v>16128</v>
      </c>
    </row>
    <row r="6142" spans="1:5" x14ac:dyDescent="0.25">
      <c r="A6142" s="1" t="s">
        <v>6141</v>
      </c>
      <c r="C6142" s="3">
        <v>21</v>
      </c>
      <c r="E6142" t="s">
        <v>1643</v>
      </c>
    </row>
    <row r="6143" spans="1:5" x14ac:dyDescent="0.25">
      <c r="A6143" s="1" t="s">
        <v>6142</v>
      </c>
      <c r="C6143" s="3">
        <v>21</v>
      </c>
      <c r="E6143" t="s">
        <v>11593</v>
      </c>
    </row>
    <row r="6144" spans="1:5" x14ac:dyDescent="0.25">
      <c r="A6144" s="1" t="s">
        <v>6143</v>
      </c>
      <c r="C6144" s="3">
        <v>21</v>
      </c>
      <c r="E6144" t="s">
        <v>1825</v>
      </c>
    </row>
    <row r="6145" spans="1:5" x14ac:dyDescent="0.25">
      <c r="A6145" s="1" t="s">
        <v>6144</v>
      </c>
      <c r="C6145" s="3">
        <v>21</v>
      </c>
      <c r="E6145" t="s">
        <v>1187</v>
      </c>
    </row>
    <row r="6146" spans="1:5" x14ac:dyDescent="0.25">
      <c r="A6146" s="1" t="s">
        <v>6145</v>
      </c>
      <c r="C6146" s="3">
        <v>21</v>
      </c>
      <c r="E6146" t="s">
        <v>5260</v>
      </c>
    </row>
    <row r="6147" spans="1:5" x14ac:dyDescent="0.25">
      <c r="A6147" s="1" t="s">
        <v>6146</v>
      </c>
      <c r="C6147" s="3">
        <v>21</v>
      </c>
      <c r="E6147" t="s">
        <v>1177</v>
      </c>
    </row>
    <row r="6148" spans="1:5" x14ac:dyDescent="0.25">
      <c r="A6148" s="1" t="s">
        <v>6147</v>
      </c>
      <c r="C6148" s="3">
        <v>21</v>
      </c>
      <c r="E6148" t="s">
        <v>174</v>
      </c>
    </row>
    <row r="6149" spans="1:5" x14ac:dyDescent="0.25">
      <c r="A6149" s="1" t="s">
        <v>6148</v>
      </c>
      <c r="C6149" s="3">
        <v>21</v>
      </c>
      <c r="E6149" t="s">
        <v>3180</v>
      </c>
    </row>
    <row r="6150" spans="1:5" x14ac:dyDescent="0.25">
      <c r="A6150" s="1" t="s">
        <v>6149</v>
      </c>
      <c r="C6150" s="3">
        <v>21</v>
      </c>
      <c r="E6150" t="s">
        <v>10245</v>
      </c>
    </row>
    <row r="6151" spans="1:5" x14ac:dyDescent="0.25">
      <c r="A6151" s="1" t="s">
        <v>6150</v>
      </c>
      <c r="C6151" s="3">
        <v>21</v>
      </c>
      <c r="E6151" t="s">
        <v>1128</v>
      </c>
    </row>
    <row r="6152" spans="1:5" x14ac:dyDescent="0.25">
      <c r="A6152" s="1" t="s">
        <v>6151</v>
      </c>
      <c r="C6152" s="3">
        <v>21</v>
      </c>
      <c r="E6152" t="s">
        <v>2250</v>
      </c>
    </row>
    <row r="6153" spans="1:5" x14ac:dyDescent="0.25">
      <c r="A6153" s="1" t="s">
        <v>6152</v>
      </c>
      <c r="C6153" s="3">
        <v>21</v>
      </c>
      <c r="E6153" t="s">
        <v>14648</v>
      </c>
    </row>
    <row r="6154" spans="1:5" x14ac:dyDescent="0.25">
      <c r="A6154" s="1" t="s">
        <v>6153</v>
      </c>
      <c r="C6154" s="3">
        <v>21</v>
      </c>
      <c r="E6154" t="s">
        <v>2983</v>
      </c>
    </row>
    <row r="6155" spans="1:5" x14ac:dyDescent="0.25">
      <c r="A6155" s="1" t="s">
        <v>6154</v>
      </c>
      <c r="C6155" s="3">
        <v>21</v>
      </c>
      <c r="E6155" t="s">
        <v>14901</v>
      </c>
    </row>
    <row r="6156" spans="1:5" x14ac:dyDescent="0.25">
      <c r="A6156" s="1" t="s">
        <v>6155</v>
      </c>
      <c r="C6156" s="3">
        <v>21</v>
      </c>
      <c r="E6156" t="s">
        <v>25521</v>
      </c>
    </row>
    <row r="6157" spans="1:5" x14ac:dyDescent="0.25">
      <c r="A6157" s="1" t="s">
        <v>6156</v>
      </c>
      <c r="C6157" s="3">
        <v>21</v>
      </c>
      <c r="E6157" t="s">
        <v>1383</v>
      </c>
    </row>
    <row r="6158" spans="1:5" x14ac:dyDescent="0.25">
      <c r="A6158" s="1" t="s">
        <v>6157</v>
      </c>
      <c r="C6158" s="3">
        <v>21</v>
      </c>
      <c r="E6158" t="s">
        <v>7631</v>
      </c>
    </row>
    <row r="6159" spans="1:5" x14ac:dyDescent="0.25">
      <c r="A6159" s="1" t="s">
        <v>6158</v>
      </c>
      <c r="C6159" s="3">
        <v>21</v>
      </c>
      <c r="E6159" t="s">
        <v>1878</v>
      </c>
    </row>
    <row r="6160" spans="1:5" x14ac:dyDescent="0.25">
      <c r="A6160" s="1" t="s">
        <v>6159</v>
      </c>
      <c r="C6160" s="3">
        <v>21</v>
      </c>
      <c r="E6160" t="s">
        <v>14913</v>
      </c>
    </row>
    <row r="6161" spans="1:5" x14ac:dyDescent="0.25">
      <c r="A6161" s="1" t="s">
        <v>6160</v>
      </c>
      <c r="C6161" s="3">
        <v>21</v>
      </c>
      <c r="E6161" t="s">
        <v>8830</v>
      </c>
    </row>
    <row r="6162" spans="1:5" x14ac:dyDescent="0.25">
      <c r="A6162" s="1" t="s">
        <v>6161</v>
      </c>
      <c r="C6162" s="3">
        <v>21</v>
      </c>
      <c r="E6162" t="s">
        <v>13586</v>
      </c>
    </row>
    <row r="6163" spans="1:5" x14ac:dyDescent="0.25">
      <c r="A6163" s="1" t="s">
        <v>6162</v>
      </c>
      <c r="C6163" s="3">
        <v>21</v>
      </c>
      <c r="E6163" t="s">
        <v>10673</v>
      </c>
    </row>
    <row r="6164" spans="1:5" x14ac:dyDescent="0.25">
      <c r="A6164" s="1" t="s">
        <v>6163</v>
      </c>
      <c r="C6164" s="3">
        <v>21</v>
      </c>
      <c r="E6164" t="s">
        <v>2458</v>
      </c>
    </row>
    <row r="6165" spans="1:5" x14ac:dyDescent="0.25">
      <c r="A6165" s="1" t="s">
        <v>6164</v>
      </c>
      <c r="C6165" s="3">
        <v>21</v>
      </c>
      <c r="E6165" t="s">
        <v>11532</v>
      </c>
    </row>
    <row r="6166" spans="1:5" x14ac:dyDescent="0.25">
      <c r="A6166" s="1" t="s">
        <v>6165</v>
      </c>
      <c r="C6166" s="3">
        <v>21</v>
      </c>
      <c r="E6166" t="s">
        <v>3607</v>
      </c>
    </row>
    <row r="6167" spans="1:5" x14ac:dyDescent="0.25">
      <c r="A6167" s="1" t="s">
        <v>6166</v>
      </c>
      <c r="C6167" s="3">
        <v>21</v>
      </c>
      <c r="E6167" t="s">
        <v>5521</v>
      </c>
    </row>
    <row r="6168" spans="1:5" x14ac:dyDescent="0.25">
      <c r="A6168" s="1" t="s">
        <v>6167</v>
      </c>
      <c r="C6168" s="3">
        <v>21</v>
      </c>
      <c r="E6168" t="s">
        <v>16191</v>
      </c>
    </row>
    <row r="6169" spans="1:5" x14ac:dyDescent="0.25">
      <c r="A6169" s="1" t="s">
        <v>6168</v>
      </c>
      <c r="C6169" s="3">
        <v>21</v>
      </c>
      <c r="E6169" t="s">
        <v>867</v>
      </c>
    </row>
    <row r="6170" spans="1:5" x14ac:dyDescent="0.25">
      <c r="A6170" s="1" t="s">
        <v>6169</v>
      </c>
      <c r="C6170" s="3">
        <v>21</v>
      </c>
      <c r="E6170" t="s">
        <v>9303</v>
      </c>
    </row>
    <row r="6171" spans="1:5" x14ac:dyDescent="0.25">
      <c r="A6171" s="1" t="s">
        <v>6170</v>
      </c>
      <c r="C6171" s="3">
        <v>21</v>
      </c>
      <c r="E6171" t="s">
        <v>3830</v>
      </c>
    </row>
    <row r="6172" spans="1:5" x14ac:dyDescent="0.25">
      <c r="A6172" s="1" t="s">
        <v>6171</v>
      </c>
      <c r="C6172" s="3">
        <v>21</v>
      </c>
      <c r="E6172" t="s">
        <v>16479</v>
      </c>
    </row>
    <row r="6173" spans="1:5" x14ac:dyDescent="0.25">
      <c r="A6173" s="1" t="s">
        <v>6172</v>
      </c>
      <c r="C6173" s="3">
        <v>21</v>
      </c>
      <c r="E6173" t="s">
        <v>3832</v>
      </c>
    </row>
    <row r="6174" spans="1:5" x14ac:dyDescent="0.25">
      <c r="A6174" s="1" t="s">
        <v>6173</v>
      </c>
      <c r="C6174" s="3">
        <v>21</v>
      </c>
      <c r="E6174" t="s">
        <v>13358</v>
      </c>
    </row>
    <row r="6175" spans="1:5" x14ac:dyDescent="0.25">
      <c r="A6175" s="1" t="s">
        <v>6174</v>
      </c>
      <c r="C6175" s="3">
        <v>21</v>
      </c>
      <c r="E6175" t="s">
        <v>9462</v>
      </c>
    </row>
    <row r="6176" spans="1:5" x14ac:dyDescent="0.25">
      <c r="A6176" s="1" t="s">
        <v>6175</v>
      </c>
      <c r="C6176" s="3">
        <v>21</v>
      </c>
      <c r="E6176" t="s">
        <v>5144</v>
      </c>
    </row>
    <row r="6177" spans="1:5" x14ac:dyDescent="0.25">
      <c r="A6177" s="1" t="s">
        <v>6176</v>
      </c>
      <c r="C6177" s="3">
        <v>21</v>
      </c>
      <c r="E6177" t="s">
        <v>3025</v>
      </c>
    </row>
    <row r="6178" spans="1:5" x14ac:dyDescent="0.25">
      <c r="A6178" s="1" t="s">
        <v>6177</v>
      </c>
      <c r="C6178" s="3">
        <v>21</v>
      </c>
      <c r="E6178" t="s">
        <v>479</v>
      </c>
    </row>
    <row r="6179" spans="1:5" x14ac:dyDescent="0.25">
      <c r="A6179" s="1" t="s">
        <v>6178</v>
      </c>
      <c r="C6179" s="3">
        <v>21</v>
      </c>
      <c r="E6179" t="s">
        <v>5059</v>
      </c>
    </row>
    <row r="6180" spans="1:5" x14ac:dyDescent="0.25">
      <c r="A6180" s="1" t="s">
        <v>6179</v>
      </c>
      <c r="C6180" s="3">
        <v>21</v>
      </c>
      <c r="E6180" t="s">
        <v>2350</v>
      </c>
    </row>
    <row r="6181" spans="1:5" x14ac:dyDescent="0.25">
      <c r="A6181" s="1" t="s">
        <v>6180</v>
      </c>
      <c r="C6181" s="3">
        <v>21</v>
      </c>
      <c r="E6181" t="s">
        <v>19787</v>
      </c>
    </row>
    <row r="6182" spans="1:5" x14ac:dyDescent="0.25">
      <c r="A6182" s="1" t="s">
        <v>6181</v>
      </c>
      <c r="C6182" s="3">
        <v>21</v>
      </c>
      <c r="E6182" t="s">
        <v>3327</v>
      </c>
    </row>
    <row r="6183" spans="1:5" x14ac:dyDescent="0.25">
      <c r="A6183" s="1" t="s">
        <v>6182</v>
      </c>
      <c r="C6183" s="3">
        <v>21</v>
      </c>
      <c r="E6183" t="s">
        <v>1089</v>
      </c>
    </row>
    <row r="6184" spans="1:5" x14ac:dyDescent="0.25">
      <c r="A6184" s="1" t="s">
        <v>6183</v>
      </c>
      <c r="C6184" s="3">
        <v>21</v>
      </c>
      <c r="E6184" t="s">
        <v>160</v>
      </c>
    </row>
    <row r="6185" spans="1:5" x14ac:dyDescent="0.25">
      <c r="A6185" s="1" t="s">
        <v>6184</v>
      </c>
      <c r="C6185" s="3">
        <v>21</v>
      </c>
      <c r="E6185" t="s">
        <v>728</v>
      </c>
    </row>
    <row r="6186" spans="1:5" x14ac:dyDescent="0.25">
      <c r="A6186" s="1" t="s">
        <v>6185</v>
      </c>
      <c r="C6186" s="3">
        <v>21</v>
      </c>
      <c r="E6186" t="s">
        <v>12718</v>
      </c>
    </row>
    <row r="6187" spans="1:5" x14ac:dyDescent="0.25">
      <c r="A6187" s="1" t="s">
        <v>6186</v>
      </c>
      <c r="C6187" s="3">
        <v>21</v>
      </c>
      <c r="E6187" t="s">
        <v>5898</v>
      </c>
    </row>
    <row r="6188" spans="1:5" x14ac:dyDescent="0.25">
      <c r="A6188" s="1" t="s">
        <v>6187</v>
      </c>
      <c r="C6188" s="3">
        <v>21</v>
      </c>
      <c r="E6188" t="s">
        <v>5694</v>
      </c>
    </row>
    <row r="6189" spans="1:5" x14ac:dyDescent="0.25">
      <c r="A6189" s="1" t="s">
        <v>6188</v>
      </c>
      <c r="C6189" s="3">
        <v>21</v>
      </c>
      <c r="E6189" t="s">
        <v>10267</v>
      </c>
    </row>
    <row r="6190" spans="1:5" x14ac:dyDescent="0.25">
      <c r="A6190" s="1" t="s">
        <v>6189</v>
      </c>
      <c r="C6190" s="3">
        <v>21</v>
      </c>
      <c r="E6190" t="s">
        <v>260</v>
      </c>
    </row>
    <row r="6191" spans="1:5" x14ac:dyDescent="0.25">
      <c r="A6191" s="1" t="s">
        <v>6190</v>
      </c>
      <c r="C6191" s="3">
        <v>21</v>
      </c>
      <c r="E6191" t="s">
        <v>3247</v>
      </c>
    </row>
    <row r="6192" spans="1:5" x14ac:dyDescent="0.25">
      <c r="A6192" s="1" t="s">
        <v>6191</v>
      </c>
      <c r="C6192" s="3">
        <v>21</v>
      </c>
      <c r="E6192" t="s">
        <v>21058</v>
      </c>
    </row>
    <row r="6193" spans="1:5" x14ac:dyDescent="0.25">
      <c r="A6193" s="1" t="s">
        <v>6192</v>
      </c>
      <c r="C6193" s="3">
        <v>21</v>
      </c>
      <c r="E6193" t="s">
        <v>2517</v>
      </c>
    </row>
    <row r="6194" spans="1:5" x14ac:dyDescent="0.25">
      <c r="A6194" s="1" t="s">
        <v>6193</v>
      </c>
      <c r="C6194" s="3">
        <v>21</v>
      </c>
      <c r="E6194" t="s">
        <v>367</v>
      </c>
    </row>
    <row r="6195" spans="1:5" x14ac:dyDescent="0.25">
      <c r="A6195" s="1" t="s">
        <v>6194</v>
      </c>
      <c r="C6195" s="3">
        <v>21</v>
      </c>
      <c r="E6195" t="s">
        <v>4055</v>
      </c>
    </row>
    <row r="6196" spans="1:5" x14ac:dyDescent="0.25">
      <c r="A6196" s="1" t="s">
        <v>6195</v>
      </c>
      <c r="C6196" s="3">
        <v>21</v>
      </c>
      <c r="E6196" t="s">
        <v>3708</v>
      </c>
    </row>
    <row r="6197" spans="1:5" x14ac:dyDescent="0.25">
      <c r="A6197" s="1" t="s">
        <v>6196</v>
      </c>
      <c r="C6197" s="3">
        <v>21</v>
      </c>
      <c r="E6197" t="s">
        <v>13300</v>
      </c>
    </row>
    <row r="6198" spans="1:5" x14ac:dyDescent="0.25">
      <c r="A6198" s="1" t="s">
        <v>6197</v>
      </c>
      <c r="C6198" s="3">
        <v>21</v>
      </c>
      <c r="E6198" t="s">
        <v>5034</v>
      </c>
    </row>
    <row r="6199" spans="1:5" x14ac:dyDescent="0.25">
      <c r="A6199" s="1" t="s">
        <v>6198</v>
      </c>
      <c r="C6199" s="3">
        <v>21</v>
      </c>
      <c r="E6199" t="s">
        <v>24271</v>
      </c>
    </row>
    <row r="6200" spans="1:5" x14ac:dyDescent="0.25">
      <c r="A6200" s="1" t="s">
        <v>6199</v>
      </c>
      <c r="C6200" s="3">
        <v>21</v>
      </c>
      <c r="E6200" t="s">
        <v>5333</v>
      </c>
    </row>
    <row r="6201" spans="1:5" x14ac:dyDescent="0.25">
      <c r="A6201" s="1" t="s">
        <v>6200</v>
      </c>
      <c r="C6201" s="3">
        <v>21</v>
      </c>
      <c r="E6201" t="s">
        <v>9332</v>
      </c>
    </row>
    <row r="6202" spans="1:5" x14ac:dyDescent="0.25">
      <c r="A6202" s="1" t="s">
        <v>6201</v>
      </c>
      <c r="C6202" s="3">
        <v>21</v>
      </c>
      <c r="E6202" t="s">
        <v>20586</v>
      </c>
    </row>
    <row r="6203" spans="1:5" x14ac:dyDescent="0.25">
      <c r="A6203" s="1" t="s">
        <v>6202</v>
      </c>
      <c r="C6203" s="3">
        <v>21</v>
      </c>
      <c r="E6203" t="s">
        <v>14074</v>
      </c>
    </row>
    <row r="6204" spans="1:5" x14ac:dyDescent="0.25">
      <c r="A6204" s="2" t="s">
        <v>6203</v>
      </c>
      <c r="C6204" s="4">
        <v>20</v>
      </c>
      <c r="E6204" t="s">
        <v>825</v>
      </c>
    </row>
    <row r="6205" spans="1:5" x14ac:dyDescent="0.25">
      <c r="A6205" s="1" t="s">
        <v>6204</v>
      </c>
      <c r="C6205" s="3">
        <v>20</v>
      </c>
      <c r="E6205" t="s">
        <v>4058</v>
      </c>
    </row>
    <row r="6206" spans="1:5" x14ac:dyDescent="0.25">
      <c r="A6206" s="1" t="s">
        <v>6205</v>
      </c>
      <c r="C6206" s="3">
        <v>20</v>
      </c>
      <c r="E6206" t="s">
        <v>2531</v>
      </c>
    </row>
    <row r="6207" spans="1:5" x14ac:dyDescent="0.25">
      <c r="A6207" s="1" t="s">
        <v>6206</v>
      </c>
      <c r="C6207" s="3">
        <v>20</v>
      </c>
      <c r="E6207" t="s">
        <v>4258</v>
      </c>
    </row>
    <row r="6208" spans="1:5" x14ac:dyDescent="0.25">
      <c r="A6208" s="1" t="s">
        <v>6207</v>
      </c>
      <c r="C6208" s="3">
        <v>20</v>
      </c>
      <c r="E6208" t="s">
        <v>12114</v>
      </c>
    </row>
    <row r="6209" spans="1:5" x14ac:dyDescent="0.25">
      <c r="A6209" s="1" t="s">
        <v>6208</v>
      </c>
      <c r="C6209" s="3">
        <v>20</v>
      </c>
      <c r="E6209" t="s">
        <v>1333</v>
      </c>
    </row>
    <row r="6210" spans="1:5" x14ac:dyDescent="0.25">
      <c r="A6210" s="1" t="s">
        <v>6209</v>
      </c>
      <c r="C6210" s="3">
        <v>20</v>
      </c>
      <c r="E6210" t="s">
        <v>1959</v>
      </c>
    </row>
    <row r="6211" spans="1:5" x14ac:dyDescent="0.25">
      <c r="A6211" s="1" t="s">
        <v>6210</v>
      </c>
      <c r="C6211" s="3">
        <v>20</v>
      </c>
      <c r="E6211" t="s">
        <v>2190</v>
      </c>
    </row>
    <row r="6212" spans="1:5" x14ac:dyDescent="0.25">
      <c r="A6212" s="1" t="s">
        <v>6211</v>
      </c>
      <c r="C6212" s="3">
        <v>20</v>
      </c>
      <c r="E6212" t="s">
        <v>570</v>
      </c>
    </row>
    <row r="6213" spans="1:5" x14ac:dyDescent="0.25">
      <c r="A6213" s="1" t="s">
        <v>6212</v>
      </c>
      <c r="C6213" s="3">
        <v>20</v>
      </c>
      <c r="E6213" t="s">
        <v>3788</v>
      </c>
    </row>
    <row r="6214" spans="1:5" x14ac:dyDescent="0.25">
      <c r="A6214" s="1" t="s">
        <v>6213</v>
      </c>
      <c r="C6214" s="3">
        <v>20</v>
      </c>
      <c r="E6214" t="s">
        <v>4349</v>
      </c>
    </row>
    <row r="6215" spans="1:5" x14ac:dyDescent="0.25">
      <c r="A6215" s="1" t="s">
        <v>6214</v>
      </c>
      <c r="C6215" s="3">
        <v>20</v>
      </c>
      <c r="E6215" t="s">
        <v>3562</v>
      </c>
    </row>
    <row r="6216" spans="1:5" x14ac:dyDescent="0.25">
      <c r="A6216" s="1" t="s">
        <v>6215</v>
      </c>
      <c r="C6216" s="3">
        <v>20</v>
      </c>
      <c r="E6216" t="s">
        <v>18072</v>
      </c>
    </row>
    <row r="6217" spans="1:5" x14ac:dyDescent="0.25">
      <c r="A6217" s="1" t="s">
        <v>6216</v>
      </c>
      <c r="C6217" s="3">
        <v>20</v>
      </c>
      <c r="E6217" t="s">
        <v>4779</v>
      </c>
    </row>
    <row r="6218" spans="1:5" x14ac:dyDescent="0.25">
      <c r="A6218" s="1" t="s">
        <v>6217</v>
      </c>
      <c r="C6218" s="3">
        <v>20</v>
      </c>
      <c r="E6218" t="s">
        <v>2617</v>
      </c>
    </row>
    <row r="6219" spans="1:5" x14ac:dyDescent="0.25">
      <c r="A6219" s="1" t="s">
        <v>6218</v>
      </c>
      <c r="C6219" s="3">
        <v>20</v>
      </c>
      <c r="E6219" t="s">
        <v>3007</v>
      </c>
    </row>
    <row r="6220" spans="1:5" x14ac:dyDescent="0.25">
      <c r="A6220" s="1" t="s">
        <v>6219</v>
      </c>
      <c r="C6220" s="3">
        <v>20</v>
      </c>
      <c r="E6220" t="s">
        <v>25522</v>
      </c>
    </row>
    <row r="6221" spans="1:5" x14ac:dyDescent="0.25">
      <c r="A6221" s="1" t="s">
        <v>6220</v>
      </c>
      <c r="C6221" s="3">
        <v>20</v>
      </c>
      <c r="E6221" t="s">
        <v>7242</v>
      </c>
    </row>
    <row r="6222" spans="1:5" x14ac:dyDescent="0.25">
      <c r="A6222" s="1" t="s">
        <v>6221</v>
      </c>
      <c r="C6222" s="3">
        <v>20</v>
      </c>
      <c r="E6222" t="s">
        <v>10013</v>
      </c>
    </row>
    <row r="6223" spans="1:5" x14ac:dyDescent="0.25">
      <c r="A6223" s="1" t="s">
        <v>6222</v>
      </c>
      <c r="C6223" s="3">
        <v>20</v>
      </c>
      <c r="E6223" t="s">
        <v>16627</v>
      </c>
    </row>
    <row r="6224" spans="1:5" x14ac:dyDescent="0.25">
      <c r="A6224" s="1" t="s">
        <v>6223</v>
      </c>
      <c r="C6224" s="3">
        <v>20</v>
      </c>
      <c r="E6224" t="s">
        <v>7136</v>
      </c>
    </row>
    <row r="6225" spans="1:5" x14ac:dyDescent="0.25">
      <c r="A6225" s="1" t="s">
        <v>6224</v>
      </c>
      <c r="C6225" s="3">
        <v>20</v>
      </c>
      <c r="E6225" t="s">
        <v>7533</v>
      </c>
    </row>
    <row r="6226" spans="1:5" x14ac:dyDescent="0.25">
      <c r="A6226" s="1" t="s">
        <v>6225</v>
      </c>
      <c r="C6226" s="3">
        <v>20</v>
      </c>
      <c r="E6226" t="s">
        <v>7088</v>
      </c>
    </row>
    <row r="6227" spans="1:5" x14ac:dyDescent="0.25">
      <c r="A6227" s="1" t="s">
        <v>6226</v>
      </c>
      <c r="C6227" s="3">
        <v>20</v>
      </c>
      <c r="E6227" t="s">
        <v>1038</v>
      </c>
    </row>
    <row r="6228" spans="1:5" x14ac:dyDescent="0.25">
      <c r="A6228" s="1" t="s">
        <v>6227</v>
      </c>
      <c r="C6228" s="3">
        <v>20</v>
      </c>
      <c r="E6228" t="s">
        <v>2523</v>
      </c>
    </row>
    <row r="6229" spans="1:5" x14ac:dyDescent="0.25">
      <c r="A6229" s="1" t="s">
        <v>6228</v>
      </c>
      <c r="C6229" s="3">
        <v>20</v>
      </c>
      <c r="E6229" t="s">
        <v>2170</v>
      </c>
    </row>
    <row r="6230" spans="1:5" x14ac:dyDescent="0.25">
      <c r="A6230" s="1" t="s">
        <v>6229</v>
      </c>
      <c r="C6230" s="3">
        <v>20</v>
      </c>
      <c r="E6230" t="s">
        <v>2332</v>
      </c>
    </row>
    <row r="6231" spans="1:5" x14ac:dyDescent="0.25">
      <c r="A6231" s="1" t="s">
        <v>6230</v>
      </c>
      <c r="C6231" s="3">
        <v>20</v>
      </c>
      <c r="E6231" t="s">
        <v>5015</v>
      </c>
    </row>
    <row r="6232" spans="1:5" x14ac:dyDescent="0.25">
      <c r="A6232" s="1" t="s">
        <v>6231</v>
      </c>
      <c r="C6232" s="3">
        <v>20</v>
      </c>
      <c r="E6232" t="s">
        <v>9709</v>
      </c>
    </row>
    <row r="6233" spans="1:5" x14ac:dyDescent="0.25">
      <c r="A6233" s="1" t="s">
        <v>6232</v>
      </c>
      <c r="C6233" s="3">
        <v>20</v>
      </c>
      <c r="E6233" t="s">
        <v>7086</v>
      </c>
    </row>
    <row r="6234" spans="1:5" x14ac:dyDescent="0.25">
      <c r="A6234" s="1" t="s">
        <v>6233</v>
      </c>
      <c r="C6234" s="3">
        <v>20</v>
      </c>
      <c r="E6234" t="s">
        <v>1047</v>
      </c>
    </row>
    <row r="6235" spans="1:5" x14ac:dyDescent="0.25">
      <c r="A6235" s="1" t="s">
        <v>6234</v>
      </c>
      <c r="C6235" s="3">
        <v>20</v>
      </c>
      <c r="E6235" t="s">
        <v>851</v>
      </c>
    </row>
    <row r="6236" spans="1:5" x14ac:dyDescent="0.25">
      <c r="A6236" s="1" t="s">
        <v>6235</v>
      </c>
      <c r="C6236" s="3">
        <v>20</v>
      </c>
      <c r="E6236" t="s">
        <v>9851</v>
      </c>
    </row>
    <row r="6237" spans="1:5" x14ac:dyDescent="0.25">
      <c r="A6237" s="1" t="s">
        <v>6236</v>
      </c>
      <c r="C6237" s="3">
        <v>20</v>
      </c>
      <c r="E6237" t="s">
        <v>2957</v>
      </c>
    </row>
    <row r="6238" spans="1:5" x14ac:dyDescent="0.25">
      <c r="A6238" s="1" t="s">
        <v>6237</v>
      </c>
      <c r="C6238" s="3">
        <v>20</v>
      </c>
      <c r="E6238" t="s">
        <v>25523</v>
      </c>
    </row>
    <row r="6239" spans="1:5" x14ac:dyDescent="0.25">
      <c r="A6239" s="1" t="s">
        <v>6238</v>
      </c>
      <c r="C6239" s="3">
        <v>20</v>
      </c>
      <c r="E6239" t="s">
        <v>12427</v>
      </c>
    </row>
    <row r="6240" spans="1:5" x14ac:dyDescent="0.25">
      <c r="A6240" s="1" t="s">
        <v>6239</v>
      </c>
      <c r="C6240" s="3">
        <v>20</v>
      </c>
      <c r="E6240" t="s">
        <v>2803</v>
      </c>
    </row>
    <row r="6241" spans="1:5" x14ac:dyDescent="0.25">
      <c r="A6241" s="1" t="s">
        <v>6240</v>
      </c>
      <c r="C6241" s="3">
        <v>20</v>
      </c>
      <c r="E6241" t="s">
        <v>6093</v>
      </c>
    </row>
    <row r="6242" spans="1:5" x14ac:dyDescent="0.25">
      <c r="A6242" s="1" t="s">
        <v>6241</v>
      </c>
      <c r="C6242" s="3">
        <v>20</v>
      </c>
      <c r="E6242" t="s">
        <v>6309</v>
      </c>
    </row>
    <row r="6243" spans="1:5" x14ac:dyDescent="0.25">
      <c r="A6243" s="1" t="s">
        <v>6242</v>
      </c>
      <c r="C6243" s="3">
        <v>20</v>
      </c>
      <c r="E6243" t="s">
        <v>4549</v>
      </c>
    </row>
    <row r="6244" spans="1:5" x14ac:dyDescent="0.25">
      <c r="A6244" s="1" t="s">
        <v>6243</v>
      </c>
      <c r="C6244" s="3">
        <v>20</v>
      </c>
      <c r="E6244" t="s">
        <v>9177</v>
      </c>
    </row>
    <row r="6245" spans="1:5" x14ac:dyDescent="0.25">
      <c r="A6245" s="1" t="s">
        <v>6244</v>
      </c>
      <c r="C6245" s="3">
        <v>20</v>
      </c>
      <c r="E6245" t="s">
        <v>8182</v>
      </c>
    </row>
    <row r="6246" spans="1:5" x14ac:dyDescent="0.25">
      <c r="A6246" s="1" t="s">
        <v>6245</v>
      </c>
      <c r="C6246" s="3">
        <v>20</v>
      </c>
      <c r="E6246" t="s">
        <v>1728</v>
      </c>
    </row>
    <row r="6247" spans="1:5" x14ac:dyDescent="0.25">
      <c r="A6247" s="1" t="s">
        <v>6246</v>
      </c>
      <c r="C6247" s="3">
        <v>20</v>
      </c>
      <c r="E6247" t="s">
        <v>5657</v>
      </c>
    </row>
    <row r="6248" spans="1:5" x14ac:dyDescent="0.25">
      <c r="A6248" s="1" t="s">
        <v>6247</v>
      </c>
      <c r="C6248" s="3">
        <v>20</v>
      </c>
      <c r="E6248" t="s">
        <v>3383</v>
      </c>
    </row>
    <row r="6249" spans="1:5" x14ac:dyDescent="0.25">
      <c r="A6249" s="1" t="s">
        <v>6248</v>
      </c>
      <c r="C6249" s="3">
        <v>20</v>
      </c>
      <c r="E6249" t="s">
        <v>13856</v>
      </c>
    </row>
    <row r="6250" spans="1:5" x14ac:dyDescent="0.25">
      <c r="A6250" s="1" t="s">
        <v>6249</v>
      </c>
      <c r="C6250" s="3">
        <v>20</v>
      </c>
      <c r="E6250" t="s">
        <v>6152</v>
      </c>
    </row>
    <row r="6251" spans="1:5" x14ac:dyDescent="0.25">
      <c r="A6251" s="1" t="s">
        <v>6250</v>
      </c>
      <c r="C6251" s="3">
        <v>20</v>
      </c>
      <c r="E6251" t="s">
        <v>6534</v>
      </c>
    </row>
    <row r="6252" spans="1:5" x14ac:dyDescent="0.25">
      <c r="A6252" s="1" t="s">
        <v>6251</v>
      </c>
      <c r="C6252" s="3">
        <v>20</v>
      </c>
      <c r="E6252" t="s">
        <v>338</v>
      </c>
    </row>
    <row r="6253" spans="1:5" x14ac:dyDescent="0.25">
      <c r="A6253" s="1" t="s">
        <v>6252</v>
      </c>
      <c r="C6253" s="3">
        <v>20</v>
      </c>
      <c r="E6253" t="s">
        <v>495</v>
      </c>
    </row>
    <row r="6254" spans="1:5" x14ac:dyDescent="0.25">
      <c r="A6254" s="1" t="s">
        <v>6253</v>
      </c>
      <c r="C6254" s="3">
        <v>20</v>
      </c>
      <c r="E6254" t="s">
        <v>6410</v>
      </c>
    </row>
    <row r="6255" spans="1:5" x14ac:dyDescent="0.25">
      <c r="A6255" s="1" t="s">
        <v>6254</v>
      </c>
      <c r="C6255" s="3">
        <v>20</v>
      </c>
      <c r="E6255" t="s">
        <v>1636</v>
      </c>
    </row>
    <row r="6256" spans="1:5" x14ac:dyDescent="0.25">
      <c r="A6256" s="1" t="s">
        <v>6255</v>
      </c>
      <c r="C6256" s="3">
        <v>20</v>
      </c>
      <c r="E6256" t="s">
        <v>17457</v>
      </c>
    </row>
    <row r="6257" spans="1:5" x14ac:dyDescent="0.25">
      <c r="A6257" s="1" t="s">
        <v>6256</v>
      </c>
      <c r="C6257" s="3">
        <v>20</v>
      </c>
      <c r="E6257" t="s">
        <v>6834</v>
      </c>
    </row>
    <row r="6258" spans="1:5" x14ac:dyDescent="0.25">
      <c r="A6258" s="1" t="s">
        <v>6257</v>
      </c>
      <c r="C6258" s="3">
        <v>20</v>
      </c>
      <c r="E6258" t="s">
        <v>4189</v>
      </c>
    </row>
    <row r="6259" spans="1:5" x14ac:dyDescent="0.25">
      <c r="A6259" s="1" t="s">
        <v>6258</v>
      </c>
      <c r="C6259" s="3">
        <v>20</v>
      </c>
      <c r="E6259" t="s">
        <v>3602</v>
      </c>
    </row>
    <row r="6260" spans="1:5" x14ac:dyDescent="0.25">
      <c r="A6260" s="1" t="s">
        <v>6259</v>
      </c>
      <c r="C6260" s="3">
        <v>20</v>
      </c>
      <c r="E6260" t="s">
        <v>9111</v>
      </c>
    </row>
    <row r="6261" spans="1:5" x14ac:dyDescent="0.25">
      <c r="A6261" s="1" t="s">
        <v>6260</v>
      </c>
      <c r="C6261" s="3">
        <v>20</v>
      </c>
      <c r="E6261" t="s">
        <v>1315</v>
      </c>
    </row>
    <row r="6262" spans="1:5" x14ac:dyDescent="0.25">
      <c r="A6262" s="1" t="s">
        <v>6261</v>
      </c>
      <c r="C6262" s="3">
        <v>20</v>
      </c>
      <c r="E6262" t="s">
        <v>4866</v>
      </c>
    </row>
    <row r="6263" spans="1:5" x14ac:dyDescent="0.25">
      <c r="A6263" s="1" t="s">
        <v>6262</v>
      </c>
      <c r="C6263" s="3">
        <v>20</v>
      </c>
      <c r="E6263" t="s">
        <v>8137</v>
      </c>
    </row>
    <row r="6264" spans="1:5" x14ac:dyDescent="0.25">
      <c r="A6264" s="1" t="s">
        <v>6263</v>
      </c>
      <c r="C6264" s="3">
        <v>20</v>
      </c>
      <c r="E6264" t="s">
        <v>14875</v>
      </c>
    </row>
    <row r="6265" spans="1:5" x14ac:dyDescent="0.25">
      <c r="A6265" s="1" t="s">
        <v>6264</v>
      </c>
      <c r="C6265" s="3">
        <v>20</v>
      </c>
      <c r="E6265" t="s">
        <v>20348</v>
      </c>
    </row>
    <row r="6266" spans="1:5" x14ac:dyDescent="0.25">
      <c r="A6266" s="1" t="s">
        <v>6265</v>
      </c>
      <c r="C6266" s="3">
        <v>20</v>
      </c>
      <c r="E6266" t="s">
        <v>4</v>
      </c>
    </row>
    <row r="6267" spans="1:5" x14ac:dyDescent="0.25">
      <c r="A6267" s="1" t="s">
        <v>6266</v>
      </c>
      <c r="C6267" s="3">
        <v>20</v>
      </c>
      <c r="E6267" t="s">
        <v>1775</v>
      </c>
    </row>
    <row r="6268" spans="1:5" x14ac:dyDescent="0.25">
      <c r="A6268" s="1" t="s">
        <v>6267</v>
      </c>
      <c r="C6268" s="3">
        <v>20</v>
      </c>
      <c r="E6268" t="s">
        <v>3453</v>
      </c>
    </row>
    <row r="6269" spans="1:5" x14ac:dyDescent="0.25">
      <c r="A6269" s="1" t="s">
        <v>6268</v>
      </c>
      <c r="C6269" s="3">
        <v>20</v>
      </c>
      <c r="E6269" t="s">
        <v>2539</v>
      </c>
    </row>
    <row r="6270" spans="1:5" x14ac:dyDescent="0.25">
      <c r="A6270" s="1" t="s">
        <v>6269</v>
      </c>
      <c r="C6270" s="3">
        <v>20</v>
      </c>
      <c r="E6270" t="s">
        <v>813</v>
      </c>
    </row>
    <row r="6271" spans="1:5" x14ac:dyDescent="0.25">
      <c r="A6271" s="1" t="s">
        <v>6270</v>
      </c>
      <c r="C6271" s="3">
        <v>20</v>
      </c>
      <c r="E6271" t="s">
        <v>18279</v>
      </c>
    </row>
    <row r="6272" spans="1:5" x14ac:dyDescent="0.25">
      <c r="A6272" s="1" t="s">
        <v>6271</v>
      </c>
      <c r="C6272" s="3">
        <v>20</v>
      </c>
      <c r="E6272" t="s">
        <v>25524</v>
      </c>
    </row>
    <row r="6273" spans="1:5" x14ac:dyDescent="0.25">
      <c r="A6273" s="1" t="s">
        <v>6272</v>
      </c>
      <c r="C6273" s="3">
        <v>20</v>
      </c>
      <c r="E6273" t="s">
        <v>4149</v>
      </c>
    </row>
    <row r="6274" spans="1:5" x14ac:dyDescent="0.25">
      <c r="A6274" s="1" t="s">
        <v>6273</v>
      </c>
      <c r="C6274" s="3">
        <v>20</v>
      </c>
      <c r="E6274" t="s">
        <v>13910</v>
      </c>
    </row>
    <row r="6275" spans="1:5" x14ac:dyDescent="0.25">
      <c r="A6275" s="1" t="s">
        <v>6274</v>
      </c>
      <c r="C6275" s="3">
        <v>20</v>
      </c>
      <c r="E6275" t="s">
        <v>15506</v>
      </c>
    </row>
    <row r="6276" spans="1:5" x14ac:dyDescent="0.25">
      <c r="A6276" s="1" t="s">
        <v>6275</v>
      </c>
      <c r="C6276" s="3">
        <v>20</v>
      </c>
      <c r="E6276" t="s">
        <v>15062</v>
      </c>
    </row>
    <row r="6277" spans="1:5" x14ac:dyDescent="0.25">
      <c r="A6277" s="1" t="s">
        <v>6276</v>
      </c>
      <c r="C6277" s="3">
        <v>20</v>
      </c>
      <c r="E6277" t="s">
        <v>2213</v>
      </c>
    </row>
    <row r="6278" spans="1:5" x14ac:dyDescent="0.25">
      <c r="A6278" s="1" t="s">
        <v>6277</v>
      </c>
      <c r="C6278" s="3">
        <v>20</v>
      </c>
      <c r="E6278" t="s">
        <v>5728</v>
      </c>
    </row>
    <row r="6279" spans="1:5" x14ac:dyDescent="0.25">
      <c r="A6279" s="1" t="s">
        <v>6278</v>
      </c>
      <c r="C6279" s="3">
        <v>20</v>
      </c>
      <c r="E6279" t="s">
        <v>12383</v>
      </c>
    </row>
    <row r="6280" spans="1:5" x14ac:dyDescent="0.25">
      <c r="A6280" s="1" t="s">
        <v>6279</v>
      </c>
      <c r="C6280" s="3">
        <v>20</v>
      </c>
      <c r="E6280" t="s">
        <v>3068</v>
      </c>
    </row>
    <row r="6281" spans="1:5" x14ac:dyDescent="0.25">
      <c r="A6281" s="1" t="s">
        <v>6280</v>
      </c>
      <c r="C6281" s="3">
        <v>20</v>
      </c>
      <c r="E6281" t="s">
        <v>3544</v>
      </c>
    </row>
    <row r="6282" spans="1:5" x14ac:dyDescent="0.25">
      <c r="A6282" s="1" t="s">
        <v>6281</v>
      </c>
      <c r="C6282" s="3">
        <v>20</v>
      </c>
      <c r="E6282" t="s">
        <v>10196</v>
      </c>
    </row>
    <row r="6283" spans="1:5" x14ac:dyDescent="0.25">
      <c r="A6283" s="1" t="s">
        <v>6282</v>
      </c>
      <c r="C6283" s="3">
        <v>20</v>
      </c>
      <c r="E6283" t="s">
        <v>11685</v>
      </c>
    </row>
    <row r="6284" spans="1:5" x14ac:dyDescent="0.25">
      <c r="A6284" s="1" t="s">
        <v>6283</v>
      </c>
      <c r="C6284" s="3">
        <v>20</v>
      </c>
      <c r="E6284" t="s">
        <v>299</v>
      </c>
    </row>
    <row r="6285" spans="1:5" x14ac:dyDescent="0.25">
      <c r="A6285" s="1" t="s">
        <v>6284</v>
      </c>
      <c r="C6285" s="3">
        <v>20</v>
      </c>
      <c r="E6285" t="s">
        <v>222</v>
      </c>
    </row>
    <row r="6286" spans="1:5" x14ac:dyDescent="0.25">
      <c r="A6286" s="1" t="s">
        <v>6285</v>
      </c>
      <c r="C6286" s="3">
        <v>20</v>
      </c>
      <c r="E6286" t="s">
        <v>1613</v>
      </c>
    </row>
    <row r="6287" spans="1:5" x14ac:dyDescent="0.25">
      <c r="A6287" s="1" t="s">
        <v>6286</v>
      </c>
      <c r="C6287" s="3">
        <v>20</v>
      </c>
      <c r="E6287" t="s">
        <v>1411</v>
      </c>
    </row>
    <row r="6288" spans="1:5" x14ac:dyDescent="0.25">
      <c r="A6288" s="1" t="s">
        <v>6287</v>
      </c>
      <c r="C6288" s="3">
        <v>20</v>
      </c>
      <c r="E6288" t="s">
        <v>3161</v>
      </c>
    </row>
    <row r="6289" spans="1:5" x14ac:dyDescent="0.25">
      <c r="A6289" s="1" t="s">
        <v>6288</v>
      </c>
      <c r="C6289" s="3">
        <v>20</v>
      </c>
      <c r="E6289" t="s">
        <v>4477</v>
      </c>
    </row>
    <row r="6290" spans="1:5" x14ac:dyDescent="0.25">
      <c r="A6290" s="1" t="s">
        <v>6289</v>
      </c>
      <c r="C6290" s="3">
        <v>20</v>
      </c>
      <c r="E6290" t="s">
        <v>4241</v>
      </c>
    </row>
    <row r="6291" spans="1:5" x14ac:dyDescent="0.25">
      <c r="A6291" s="1" t="s">
        <v>6290</v>
      </c>
      <c r="C6291" s="3">
        <v>20</v>
      </c>
      <c r="E6291" t="s">
        <v>14274</v>
      </c>
    </row>
    <row r="6292" spans="1:5" x14ac:dyDescent="0.25">
      <c r="A6292" s="1" t="s">
        <v>6291</v>
      </c>
      <c r="C6292" s="3">
        <v>20</v>
      </c>
      <c r="E6292" t="s">
        <v>1948</v>
      </c>
    </row>
    <row r="6293" spans="1:5" x14ac:dyDescent="0.25">
      <c r="A6293" s="1" t="s">
        <v>6292</v>
      </c>
      <c r="C6293" s="3">
        <v>20</v>
      </c>
      <c r="E6293" t="s">
        <v>11749</v>
      </c>
    </row>
    <row r="6294" spans="1:5" x14ac:dyDescent="0.25">
      <c r="A6294" s="1" t="s">
        <v>6293</v>
      </c>
      <c r="C6294" s="3">
        <v>20</v>
      </c>
      <c r="E6294" t="s">
        <v>262</v>
      </c>
    </row>
    <row r="6295" spans="1:5" x14ac:dyDescent="0.25">
      <c r="A6295" s="1" t="s">
        <v>6294</v>
      </c>
      <c r="C6295" s="3">
        <v>20</v>
      </c>
      <c r="E6295" t="s">
        <v>1486</v>
      </c>
    </row>
    <row r="6296" spans="1:5" x14ac:dyDescent="0.25">
      <c r="A6296" s="1" t="s">
        <v>6295</v>
      </c>
      <c r="C6296" s="3">
        <v>20</v>
      </c>
      <c r="E6296" t="s">
        <v>3385</v>
      </c>
    </row>
    <row r="6297" spans="1:5" x14ac:dyDescent="0.25">
      <c r="A6297" s="1" t="s">
        <v>6296</v>
      </c>
      <c r="C6297" s="3">
        <v>20</v>
      </c>
      <c r="E6297" t="s">
        <v>6484</v>
      </c>
    </row>
    <row r="6298" spans="1:5" x14ac:dyDescent="0.25">
      <c r="A6298" s="1" t="s">
        <v>6297</v>
      </c>
      <c r="C6298" s="3">
        <v>20</v>
      </c>
      <c r="E6298" t="s">
        <v>7059</v>
      </c>
    </row>
    <row r="6299" spans="1:5" x14ac:dyDescent="0.25">
      <c r="A6299" s="1" t="s">
        <v>6298</v>
      </c>
      <c r="C6299" s="3">
        <v>20</v>
      </c>
      <c r="E6299" t="s">
        <v>8692</v>
      </c>
    </row>
    <row r="6300" spans="1:5" x14ac:dyDescent="0.25">
      <c r="A6300" s="1" t="s">
        <v>6299</v>
      </c>
      <c r="C6300" s="3">
        <v>20</v>
      </c>
      <c r="E6300" t="s">
        <v>11191</v>
      </c>
    </row>
    <row r="6301" spans="1:5" x14ac:dyDescent="0.25">
      <c r="A6301" s="1" t="s">
        <v>6300</v>
      </c>
      <c r="C6301" s="3">
        <v>20</v>
      </c>
      <c r="E6301" t="s">
        <v>2440</v>
      </c>
    </row>
    <row r="6302" spans="1:5" x14ac:dyDescent="0.25">
      <c r="A6302" s="1" t="s">
        <v>6301</v>
      </c>
      <c r="C6302" s="3">
        <v>20</v>
      </c>
      <c r="E6302" t="s">
        <v>153</v>
      </c>
    </row>
    <row r="6303" spans="1:5" x14ac:dyDescent="0.25">
      <c r="A6303" s="1" t="s">
        <v>6302</v>
      </c>
      <c r="C6303" s="3">
        <v>20</v>
      </c>
      <c r="E6303" t="s">
        <v>893</v>
      </c>
    </row>
    <row r="6304" spans="1:5" x14ac:dyDescent="0.25">
      <c r="A6304" s="1" t="s">
        <v>6303</v>
      </c>
      <c r="C6304" s="3">
        <v>20</v>
      </c>
      <c r="E6304" t="s">
        <v>20276</v>
      </c>
    </row>
    <row r="6305" spans="1:5" x14ac:dyDescent="0.25">
      <c r="A6305" s="1" t="s">
        <v>6304</v>
      </c>
      <c r="C6305" s="3">
        <v>20</v>
      </c>
      <c r="E6305" t="s">
        <v>25525</v>
      </c>
    </row>
    <row r="6306" spans="1:5" x14ac:dyDescent="0.25">
      <c r="A6306" s="1" t="s">
        <v>6305</v>
      </c>
      <c r="C6306" s="3">
        <v>20</v>
      </c>
      <c r="E6306" t="s">
        <v>25526</v>
      </c>
    </row>
    <row r="6307" spans="1:5" x14ac:dyDescent="0.25">
      <c r="A6307" s="1" t="s">
        <v>6306</v>
      </c>
      <c r="C6307" s="3">
        <v>20</v>
      </c>
      <c r="E6307" t="s">
        <v>6843</v>
      </c>
    </row>
    <row r="6308" spans="1:5" x14ac:dyDescent="0.25">
      <c r="A6308" s="1" t="s">
        <v>6307</v>
      </c>
      <c r="C6308" s="3">
        <v>20</v>
      </c>
      <c r="E6308" t="s">
        <v>2939</v>
      </c>
    </row>
    <row r="6309" spans="1:5" x14ac:dyDescent="0.25">
      <c r="A6309" s="1" t="s">
        <v>6308</v>
      </c>
      <c r="C6309" s="3">
        <v>20</v>
      </c>
      <c r="E6309" t="s">
        <v>1095</v>
      </c>
    </row>
    <row r="6310" spans="1:5" x14ac:dyDescent="0.25">
      <c r="A6310" s="1" t="s">
        <v>6309</v>
      </c>
      <c r="C6310" s="3">
        <v>20</v>
      </c>
      <c r="E6310" t="s">
        <v>2825</v>
      </c>
    </row>
    <row r="6311" spans="1:5" x14ac:dyDescent="0.25">
      <c r="A6311" s="1" t="s">
        <v>6310</v>
      </c>
      <c r="C6311" s="3">
        <v>20</v>
      </c>
      <c r="E6311" t="s">
        <v>7845</v>
      </c>
    </row>
    <row r="6312" spans="1:5" x14ac:dyDescent="0.25">
      <c r="A6312" s="1" t="s">
        <v>6311</v>
      </c>
      <c r="C6312" s="3">
        <v>20</v>
      </c>
      <c r="E6312" t="s">
        <v>4002</v>
      </c>
    </row>
    <row r="6313" spans="1:5" x14ac:dyDescent="0.25">
      <c r="A6313" s="1" t="s">
        <v>6312</v>
      </c>
      <c r="C6313" s="3">
        <v>20</v>
      </c>
      <c r="E6313" t="s">
        <v>1053</v>
      </c>
    </row>
    <row r="6314" spans="1:5" x14ac:dyDescent="0.25">
      <c r="A6314" s="1" t="s">
        <v>6313</v>
      </c>
      <c r="C6314" s="3">
        <v>20</v>
      </c>
      <c r="E6314" t="s">
        <v>5137</v>
      </c>
    </row>
    <row r="6315" spans="1:5" x14ac:dyDescent="0.25">
      <c r="A6315" s="1" t="s">
        <v>6314</v>
      </c>
      <c r="C6315" s="3">
        <v>20</v>
      </c>
      <c r="E6315" t="s">
        <v>9324</v>
      </c>
    </row>
    <row r="6316" spans="1:5" x14ac:dyDescent="0.25">
      <c r="A6316" s="1" t="s">
        <v>6315</v>
      </c>
      <c r="C6316" s="3">
        <v>20</v>
      </c>
      <c r="E6316" t="s">
        <v>1932</v>
      </c>
    </row>
    <row r="6317" spans="1:5" x14ac:dyDescent="0.25">
      <c r="A6317" s="1" t="s">
        <v>6316</v>
      </c>
      <c r="C6317" s="3">
        <v>20</v>
      </c>
      <c r="E6317" t="s">
        <v>1607</v>
      </c>
    </row>
    <row r="6318" spans="1:5" x14ac:dyDescent="0.25">
      <c r="A6318" s="1" t="s">
        <v>6317</v>
      </c>
      <c r="C6318" s="3">
        <v>20</v>
      </c>
      <c r="E6318" t="s">
        <v>17658</v>
      </c>
    </row>
    <row r="6319" spans="1:5" x14ac:dyDescent="0.25">
      <c r="A6319" s="1" t="s">
        <v>6318</v>
      </c>
      <c r="C6319" s="3">
        <v>20</v>
      </c>
      <c r="E6319" t="s">
        <v>2498</v>
      </c>
    </row>
    <row r="6320" spans="1:5" x14ac:dyDescent="0.25">
      <c r="A6320" s="1" t="s">
        <v>6319</v>
      </c>
      <c r="C6320" s="3">
        <v>20</v>
      </c>
      <c r="E6320" t="s">
        <v>755</v>
      </c>
    </row>
    <row r="6321" spans="1:5" x14ac:dyDescent="0.25">
      <c r="A6321" s="1" t="s">
        <v>6320</v>
      </c>
      <c r="C6321" s="3">
        <v>20</v>
      </c>
      <c r="E6321" t="s">
        <v>14331</v>
      </c>
    </row>
    <row r="6322" spans="1:5" x14ac:dyDescent="0.25">
      <c r="A6322" s="1" t="s">
        <v>6321</v>
      </c>
      <c r="C6322" s="3">
        <v>20</v>
      </c>
      <c r="E6322" t="s">
        <v>7676</v>
      </c>
    </row>
    <row r="6323" spans="1:5" x14ac:dyDescent="0.25">
      <c r="A6323" s="1" t="s">
        <v>6322</v>
      </c>
      <c r="C6323" s="3">
        <v>20</v>
      </c>
      <c r="E6323" t="s">
        <v>1890</v>
      </c>
    </row>
    <row r="6324" spans="1:5" x14ac:dyDescent="0.25">
      <c r="A6324" s="1" t="s">
        <v>6323</v>
      </c>
      <c r="C6324" s="3">
        <v>20</v>
      </c>
      <c r="E6324" t="s">
        <v>1037</v>
      </c>
    </row>
    <row r="6325" spans="1:5" x14ac:dyDescent="0.25">
      <c r="A6325" s="1" t="s">
        <v>6324</v>
      </c>
      <c r="C6325" s="3">
        <v>20</v>
      </c>
      <c r="E6325" t="s">
        <v>7373</v>
      </c>
    </row>
    <row r="6326" spans="1:5" x14ac:dyDescent="0.25">
      <c r="A6326" s="1" t="s">
        <v>6325</v>
      </c>
      <c r="C6326" s="3">
        <v>20</v>
      </c>
      <c r="E6326" t="s">
        <v>3397</v>
      </c>
    </row>
    <row r="6327" spans="1:5" x14ac:dyDescent="0.25">
      <c r="A6327" s="1" t="s">
        <v>6326</v>
      </c>
      <c r="C6327" s="3">
        <v>20</v>
      </c>
      <c r="E6327" t="s">
        <v>9715</v>
      </c>
    </row>
    <row r="6328" spans="1:5" x14ac:dyDescent="0.25">
      <c r="A6328" s="1" t="s">
        <v>6327</v>
      </c>
      <c r="C6328" s="3">
        <v>20</v>
      </c>
      <c r="E6328" t="s">
        <v>7851</v>
      </c>
    </row>
    <row r="6329" spans="1:5" x14ac:dyDescent="0.25">
      <c r="A6329" s="1" t="s">
        <v>6328</v>
      </c>
      <c r="C6329" s="3">
        <v>20</v>
      </c>
      <c r="E6329" t="s">
        <v>639</v>
      </c>
    </row>
    <row r="6330" spans="1:5" x14ac:dyDescent="0.25">
      <c r="A6330" s="1" t="s">
        <v>6329</v>
      </c>
      <c r="C6330" s="3">
        <v>20</v>
      </c>
      <c r="E6330" t="s">
        <v>12515</v>
      </c>
    </row>
    <row r="6331" spans="1:5" x14ac:dyDescent="0.25">
      <c r="A6331" s="1" t="s">
        <v>6330</v>
      </c>
      <c r="C6331" s="3">
        <v>20</v>
      </c>
      <c r="E6331" t="s">
        <v>1372</v>
      </c>
    </row>
    <row r="6332" spans="1:5" x14ac:dyDescent="0.25">
      <c r="A6332" s="1" t="s">
        <v>6331</v>
      </c>
      <c r="C6332" s="3">
        <v>20</v>
      </c>
      <c r="E6332" t="s">
        <v>4771</v>
      </c>
    </row>
    <row r="6333" spans="1:5" x14ac:dyDescent="0.25">
      <c r="A6333" s="1" t="s">
        <v>6332</v>
      </c>
      <c r="C6333" s="3">
        <v>20</v>
      </c>
      <c r="E6333" t="s">
        <v>5703</v>
      </c>
    </row>
    <row r="6334" spans="1:5" x14ac:dyDescent="0.25">
      <c r="A6334" s="1" t="s">
        <v>6333</v>
      </c>
      <c r="C6334" s="3">
        <v>20</v>
      </c>
      <c r="E6334" t="s">
        <v>912</v>
      </c>
    </row>
    <row r="6335" spans="1:5" x14ac:dyDescent="0.25">
      <c r="A6335" s="1" t="s">
        <v>6334</v>
      </c>
      <c r="C6335" s="3">
        <v>20</v>
      </c>
      <c r="E6335" t="s">
        <v>3617</v>
      </c>
    </row>
    <row r="6336" spans="1:5" x14ac:dyDescent="0.25">
      <c r="A6336" s="1" t="s">
        <v>6335</v>
      </c>
      <c r="C6336" s="3">
        <v>20</v>
      </c>
      <c r="E6336" t="s">
        <v>2265</v>
      </c>
    </row>
    <row r="6337" spans="1:5" x14ac:dyDescent="0.25">
      <c r="A6337" s="1" t="s">
        <v>6336</v>
      </c>
      <c r="C6337" s="3">
        <v>20</v>
      </c>
      <c r="E6337" t="s">
        <v>3851</v>
      </c>
    </row>
    <row r="6338" spans="1:5" x14ac:dyDescent="0.25">
      <c r="A6338" s="1" t="s">
        <v>6337</v>
      </c>
      <c r="C6338" s="3">
        <v>20</v>
      </c>
      <c r="E6338" t="s">
        <v>7893</v>
      </c>
    </row>
    <row r="6339" spans="1:5" x14ac:dyDescent="0.25">
      <c r="A6339" s="1" t="s">
        <v>6338</v>
      </c>
      <c r="C6339" s="3">
        <v>20</v>
      </c>
      <c r="E6339" t="s">
        <v>7952</v>
      </c>
    </row>
    <row r="6340" spans="1:5" x14ac:dyDescent="0.25">
      <c r="A6340" s="1" t="s">
        <v>6339</v>
      </c>
      <c r="C6340" s="3">
        <v>20</v>
      </c>
      <c r="E6340" t="s">
        <v>6095</v>
      </c>
    </row>
    <row r="6341" spans="1:5" x14ac:dyDescent="0.25">
      <c r="A6341" s="1" t="s">
        <v>6340</v>
      </c>
      <c r="C6341" s="3">
        <v>20</v>
      </c>
      <c r="E6341" t="s">
        <v>1401</v>
      </c>
    </row>
    <row r="6342" spans="1:5" x14ac:dyDescent="0.25">
      <c r="A6342" s="1" t="s">
        <v>6341</v>
      </c>
      <c r="C6342" s="3">
        <v>20</v>
      </c>
      <c r="E6342" t="s">
        <v>22387</v>
      </c>
    </row>
    <row r="6343" spans="1:5" x14ac:dyDescent="0.25">
      <c r="A6343" s="1" t="s">
        <v>6342</v>
      </c>
      <c r="C6343" s="3">
        <v>20</v>
      </c>
      <c r="E6343" t="s">
        <v>4908</v>
      </c>
    </row>
    <row r="6344" spans="1:5" x14ac:dyDescent="0.25">
      <c r="A6344" s="1" t="s">
        <v>6343</v>
      </c>
      <c r="C6344" s="3">
        <v>20</v>
      </c>
      <c r="E6344" t="s">
        <v>8880</v>
      </c>
    </row>
    <row r="6345" spans="1:5" x14ac:dyDescent="0.25">
      <c r="A6345" s="1" t="s">
        <v>6344</v>
      </c>
      <c r="C6345" s="3">
        <v>20</v>
      </c>
      <c r="E6345" t="s">
        <v>424</v>
      </c>
    </row>
    <row r="6346" spans="1:5" x14ac:dyDescent="0.25">
      <c r="A6346" s="1" t="s">
        <v>6345</v>
      </c>
      <c r="C6346" s="3">
        <v>20</v>
      </c>
      <c r="E6346" t="s">
        <v>1724</v>
      </c>
    </row>
    <row r="6347" spans="1:5" x14ac:dyDescent="0.25">
      <c r="A6347" s="1" t="s">
        <v>6346</v>
      </c>
      <c r="C6347" s="3">
        <v>20</v>
      </c>
      <c r="E6347" t="s">
        <v>1561</v>
      </c>
    </row>
    <row r="6348" spans="1:5" x14ac:dyDescent="0.25">
      <c r="A6348" s="1" t="s">
        <v>6347</v>
      </c>
      <c r="C6348" s="3">
        <v>20</v>
      </c>
      <c r="E6348" t="s">
        <v>400</v>
      </c>
    </row>
    <row r="6349" spans="1:5" x14ac:dyDescent="0.25">
      <c r="A6349" s="1" t="s">
        <v>6348</v>
      </c>
      <c r="C6349" s="3">
        <v>20</v>
      </c>
      <c r="E6349" t="s">
        <v>608</v>
      </c>
    </row>
    <row r="6350" spans="1:5" x14ac:dyDescent="0.25">
      <c r="A6350" s="1" t="s">
        <v>6349</v>
      </c>
      <c r="C6350" s="3">
        <v>20</v>
      </c>
      <c r="E6350" t="s">
        <v>3218</v>
      </c>
    </row>
    <row r="6351" spans="1:5" x14ac:dyDescent="0.25">
      <c r="A6351" s="1" t="s">
        <v>6350</v>
      </c>
      <c r="C6351" s="3">
        <v>20</v>
      </c>
      <c r="E6351" t="s">
        <v>7435</v>
      </c>
    </row>
    <row r="6352" spans="1:5" x14ac:dyDescent="0.25">
      <c r="A6352" s="1" t="s">
        <v>6351</v>
      </c>
      <c r="C6352" s="3">
        <v>20</v>
      </c>
      <c r="E6352" t="s">
        <v>512</v>
      </c>
    </row>
    <row r="6353" spans="1:5" x14ac:dyDescent="0.25">
      <c r="A6353" s="1" t="s">
        <v>6352</v>
      </c>
      <c r="C6353" s="3">
        <v>20</v>
      </c>
      <c r="E6353" t="s">
        <v>4621</v>
      </c>
    </row>
    <row r="6354" spans="1:5" x14ac:dyDescent="0.25">
      <c r="A6354" s="1" t="s">
        <v>6353</v>
      </c>
      <c r="C6354" s="3">
        <v>20</v>
      </c>
      <c r="E6354" t="s">
        <v>1907</v>
      </c>
    </row>
    <row r="6355" spans="1:5" x14ac:dyDescent="0.25">
      <c r="A6355" s="1" t="s">
        <v>6354</v>
      </c>
      <c r="C6355" s="3">
        <v>20</v>
      </c>
      <c r="E6355" t="s">
        <v>6875</v>
      </c>
    </row>
    <row r="6356" spans="1:5" x14ac:dyDescent="0.25">
      <c r="A6356" s="1" t="s">
        <v>6355</v>
      </c>
      <c r="C6356" s="3">
        <v>20</v>
      </c>
      <c r="E6356" t="s">
        <v>11199</v>
      </c>
    </row>
    <row r="6357" spans="1:5" x14ac:dyDescent="0.25">
      <c r="A6357" s="1" t="s">
        <v>6356</v>
      </c>
      <c r="C6357" s="3">
        <v>20</v>
      </c>
      <c r="E6357" t="s">
        <v>25527</v>
      </c>
    </row>
    <row r="6358" spans="1:5" x14ac:dyDescent="0.25">
      <c r="A6358" s="1" t="s">
        <v>6357</v>
      </c>
      <c r="C6358" s="3">
        <v>20</v>
      </c>
      <c r="E6358" t="s">
        <v>3199</v>
      </c>
    </row>
    <row r="6359" spans="1:5" x14ac:dyDescent="0.25">
      <c r="A6359" s="1" t="s">
        <v>6358</v>
      </c>
      <c r="C6359" s="3">
        <v>20</v>
      </c>
      <c r="E6359" t="s">
        <v>2660</v>
      </c>
    </row>
    <row r="6360" spans="1:5" x14ac:dyDescent="0.25">
      <c r="A6360" s="1" t="s">
        <v>6359</v>
      </c>
      <c r="C6360" s="3">
        <v>20</v>
      </c>
      <c r="E6360" t="s">
        <v>10767</v>
      </c>
    </row>
    <row r="6361" spans="1:5" x14ac:dyDescent="0.25">
      <c r="A6361" s="1" t="s">
        <v>6360</v>
      </c>
      <c r="C6361" s="3">
        <v>20</v>
      </c>
      <c r="E6361" t="s">
        <v>3685</v>
      </c>
    </row>
    <row r="6362" spans="1:5" x14ac:dyDescent="0.25">
      <c r="A6362" s="1" t="s">
        <v>6361</v>
      </c>
      <c r="C6362" s="3">
        <v>20</v>
      </c>
      <c r="E6362" t="s">
        <v>36</v>
      </c>
    </row>
    <row r="6363" spans="1:5" x14ac:dyDescent="0.25">
      <c r="A6363" s="1" t="s">
        <v>6362</v>
      </c>
      <c r="C6363" s="3">
        <v>20</v>
      </c>
      <c r="E6363" t="s">
        <v>532</v>
      </c>
    </row>
    <row r="6364" spans="1:5" x14ac:dyDescent="0.25">
      <c r="A6364" s="1" t="s">
        <v>6363</v>
      </c>
      <c r="C6364" s="3">
        <v>20</v>
      </c>
      <c r="E6364" t="s">
        <v>1096</v>
      </c>
    </row>
    <row r="6365" spans="1:5" x14ac:dyDescent="0.25">
      <c r="A6365" s="1" t="s">
        <v>6364</v>
      </c>
      <c r="C6365" s="3">
        <v>20</v>
      </c>
      <c r="E6365" t="s">
        <v>3392</v>
      </c>
    </row>
    <row r="6366" spans="1:5" x14ac:dyDescent="0.25">
      <c r="A6366" s="1" t="s">
        <v>6365</v>
      </c>
      <c r="C6366" s="3">
        <v>20</v>
      </c>
      <c r="E6366" t="s">
        <v>11176</v>
      </c>
    </row>
    <row r="6367" spans="1:5" x14ac:dyDescent="0.25">
      <c r="A6367" s="1" t="s">
        <v>6366</v>
      </c>
      <c r="C6367" s="3">
        <v>20</v>
      </c>
      <c r="E6367" t="s">
        <v>8240</v>
      </c>
    </row>
    <row r="6368" spans="1:5" x14ac:dyDescent="0.25">
      <c r="A6368" s="1" t="s">
        <v>6367</v>
      </c>
      <c r="C6368" s="3">
        <v>20</v>
      </c>
      <c r="E6368" t="s">
        <v>7163</v>
      </c>
    </row>
    <row r="6369" spans="1:5" x14ac:dyDescent="0.25">
      <c r="A6369" s="1" t="s">
        <v>6368</v>
      </c>
      <c r="C6369" s="3">
        <v>20</v>
      </c>
      <c r="E6369" t="s">
        <v>15338</v>
      </c>
    </row>
    <row r="6370" spans="1:5" x14ac:dyDescent="0.25">
      <c r="A6370" s="1" t="s">
        <v>6369</v>
      </c>
      <c r="C6370" s="3">
        <v>20</v>
      </c>
      <c r="E6370" t="s">
        <v>7090</v>
      </c>
    </row>
    <row r="6371" spans="1:5" x14ac:dyDescent="0.25">
      <c r="A6371" s="1" t="s">
        <v>6370</v>
      </c>
      <c r="C6371" s="3">
        <v>20</v>
      </c>
      <c r="E6371" t="s">
        <v>2062</v>
      </c>
    </row>
    <row r="6372" spans="1:5" x14ac:dyDescent="0.25">
      <c r="A6372" s="1" t="s">
        <v>6371</v>
      </c>
      <c r="C6372" s="3">
        <v>20</v>
      </c>
      <c r="E6372" t="s">
        <v>3636</v>
      </c>
    </row>
    <row r="6373" spans="1:5" x14ac:dyDescent="0.25">
      <c r="A6373" s="1" t="s">
        <v>6372</v>
      </c>
      <c r="C6373" s="3">
        <v>20</v>
      </c>
      <c r="E6373" t="s">
        <v>3905</v>
      </c>
    </row>
    <row r="6374" spans="1:5" x14ac:dyDescent="0.25">
      <c r="A6374" s="1" t="s">
        <v>6373</v>
      </c>
      <c r="C6374" s="3">
        <v>20</v>
      </c>
      <c r="E6374" t="s">
        <v>8369</v>
      </c>
    </row>
    <row r="6375" spans="1:5" x14ac:dyDescent="0.25">
      <c r="A6375" s="1" t="s">
        <v>6374</v>
      </c>
      <c r="C6375" s="3">
        <v>20</v>
      </c>
      <c r="E6375" t="s">
        <v>2653</v>
      </c>
    </row>
    <row r="6376" spans="1:5" x14ac:dyDescent="0.25">
      <c r="A6376" s="1" t="s">
        <v>6375</v>
      </c>
      <c r="C6376" s="3">
        <v>20</v>
      </c>
      <c r="E6376" t="s">
        <v>429</v>
      </c>
    </row>
    <row r="6377" spans="1:5" x14ac:dyDescent="0.25">
      <c r="A6377" s="1" t="s">
        <v>6376</v>
      </c>
      <c r="C6377" s="3">
        <v>20</v>
      </c>
      <c r="E6377" t="s">
        <v>15592</v>
      </c>
    </row>
    <row r="6378" spans="1:5" x14ac:dyDescent="0.25">
      <c r="A6378" s="1" t="s">
        <v>6377</v>
      </c>
      <c r="C6378" s="3">
        <v>20</v>
      </c>
      <c r="E6378" t="s">
        <v>363</v>
      </c>
    </row>
    <row r="6379" spans="1:5" x14ac:dyDescent="0.25">
      <c r="A6379" s="1" t="s">
        <v>6378</v>
      </c>
      <c r="C6379" s="3">
        <v>20</v>
      </c>
      <c r="E6379" t="s">
        <v>6122</v>
      </c>
    </row>
    <row r="6380" spans="1:5" x14ac:dyDescent="0.25">
      <c r="A6380" s="1" t="s">
        <v>6379</v>
      </c>
      <c r="C6380" s="3">
        <v>20</v>
      </c>
      <c r="E6380" t="s">
        <v>2890</v>
      </c>
    </row>
    <row r="6381" spans="1:5" x14ac:dyDescent="0.25">
      <c r="A6381" s="1" t="s">
        <v>6380</v>
      </c>
      <c r="C6381" s="3">
        <v>20</v>
      </c>
      <c r="E6381" t="s">
        <v>5461</v>
      </c>
    </row>
    <row r="6382" spans="1:5" x14ac:dyDescent="0.25">
      <c r="A6382" s="1" t="s">
        <v>6381</v>
      </c>
      <c r="C6382" s="3">
        <v>20</v>
      </c>
      <c r="E6382" t="s">
        <v>11754</v>
      </c>
    </row>
    <row r="6383" spans="1:5" x14ac:dyDescent="0.25">
      <c r="A6383" s="1" t="s">
        <v>6382</v>
      </c>
      <c r="C6383" s="3">
        <v>20</v>
      </c>
      <c r="E6383" t="s">
        <v>5136</v>
      </c>
    </row>
    <row r="6384" spans="1:5" x14ac:dyDescent="0.25">
      <c r="A6384" s="1" t="s">
        <v>6383</v>
      </c>
      <c r="C6384" s="3">
        <v>20</v>
      </c>
      <c r="E6384" t="s">
        <v>1111</v>
      </c>
    </row>
    <row r="6385" spans="1:5" x14ac:dyDescent="0.25">
      <c r="A6385" s="1" t="s">
        <v>6384</v>
      </c>
      <c r="C6385" s="3">
        <v>20</v>
      </c>
      <c r="E6385" t="s">
        <v>1611</v>
      </c>
    </row>
    <row r="6386" spans="1:5" x14ac:dyDescent="0.25">
      <c r="A6386" s="1" t="s">
        <v>6385</v>
      </c>
      <c r="C6386" s="3">
        <v>20</v>
      </c>
      <c r="E6386" t="s">
        <v>4409</v>
      </c>
    </row>
    <row r="6387" spans="1:5" x14ac:dyDescent="0.25">
      <c r="A6387" s="1" t="s">
        <v>6386</v>
      </c>
      <c r="C6387" s="3">
        <v>20</v>
      </c>
      <c r="E6387" t="s">
        <v>1550</v>
      </c>
    </row>
    <row r="6388" spans="1:5" x14ac:dyDescent="0.25">
      <c r="A6388" s="1" t="s">
        <v>6387</v>
      </c>
      <c r="C6388" s="3">
        <v>20</v>
      </c>
      <c r="E6388" t="s">
        <v>559</v>
      </c>
    </row>
    <row r="6389" spans="1:5" x14ac:dyDescent="0.25">
      <c r="A6389" s="1" t="s">
        <v>6388</v>
      </c>
      <c r="C6389" s="3">
        <v>20</v>
      </c>
      <c r="E6389" t="s">
        <v>8210</v>
      </c>
    </row>
    <row r="6390" spans="1:5" x14ac:dyDescent="0.25">
      <c r="A6390" s="1" t="s">
        <v>6389</v>
      </c>
      <c r="C6390" s="3">
        <v>20</v>
      </c>
      <c r="E6390" t="s">
        <v>1093</v>
      </c>
    </row>
    <row r="6391" spans="1:5" x14ac:dyDescent="0.25">
      <c r="A6391" s="1" t="s">
        <v>6390</v>
      </c>
      <c r="C6391" s="3">
        <v>20</v>
      </c>
      <c r="E6391" t="s">
        <v>4111</v>
      </c>
    </row>
    <row r="6392" spans="1:5" x14ac:dyDescent="0.25">
      <c r="A6392" s="1" t="s">
        <v>6391</v>
      </c>
      <c r="C6392" s="3">
        <v>20</v>
      </c>
      <c r="E6392" t="s">
        <v>187</v>
      </c>
    </row>
    <row r="6393" spans="1:5" x14ac:dyDescent="0.25">
      <c r="A6393" s="1" t="s">
        <v>6392</v>
      </c>
      <c r="C6393" s="3">
        <v>20</v>
      </c>
      <c r="E6393" t="s">
        <v>3775</v>
      </c>
    </row>
    <row r="6394" spans="1:5" x14ac:dyDescent="0.25">
      <c r="A6394" s="1" t="s">
        <v>6393</v>
      </c>
      <c r="C6394" s="3">
        <v>20</v>
      </c>
      <c r="E6394" t="s">
        <v>4750</v>
      </c>
    </row>
    <row r="6395" spans="1:5" x14ac:dyDescent="0.25">
      <c r="A6395" s="1" t="s">
        <v>6394</v>
      </c>
      <c r="C6395" s="3">
        <v>20</v>
      </c>
      <c r="E6395" t="s">
        <v>3870</v>
      </c>
    </row>
    <row r="6396" spans="1:5" x14ac:dyDescent="0.25">
      <c r="A6396" s="1" t="s">
        <v>6395</v>
      </c>
      <c r="C6396" s="3">
        <v>20</v>
      </c>
      <c r="E6396" t="s">
        <v>176</v>
      </c>
    </row>
    <row r="6397" spans="1:5" x14ac:dyDescent="0.25">
      <c r="A6397" s="1" t="s">
        <v>6396</v>
      </c>
      <c r="C6397" s="3">
        <v>20</v>
      </c>
      <c r="E6397" t="s">
        <v>2433</v>
      </c>
    </row>
    <row r="6398" spans="1:5" x14ac:dyDescent="0.25">
      <c r="A6398" s="1" t="s">
        <v>6397</v>
      </c>
      <c r="C6398" s="3">
        <v>20</v>
      </c>
      <c r="E6398" t="s">
        <v>25528</v>
      </c>
    </row>
    <row r="6399" spans="1:5" x14ac:dyDescent="0.25">
      <c r="A6399" s="1" t="s">
        <v>6398</v>
      </c>
      <c r="C6399" s="3">
        <v>20</v>
      </c>
      <c r="E6399" t="s">
        <v>2315</v>
      </c>
    </row>
    <row r="6400" spans="1:5" x14ac:dyDescent="0.25">
      <c r="A6400" s="1" t="s">
        <v>6399</v>
      </c>
      <c r="C6400" s="3">
        <v>20</v>
      </c>
      <c r="E6400" t="s">
        <v>8205</v>
      </c>
    </row>
    <row r="6401" spans="1:5" x14ac:dyDescent="0.25">
      <c r="A6401" s="1" t="s">
        <v>6400</v>
      </c>
      <c r="C6401" s="3">
        <v>20</v>
      </c>
      <c r="E6401" t="s">
        <v>10318</v>
      </c>
    </row>
    <row r="6402" spans="1:5" x14ac:dyDescent="0.25">
      <c r="A6402" s="1" t="s">
        <v>6401</v>
      </c>
      <c r="C6402" s="3">
        <v>20</v>
      </c>
      <c r="E6402" t="s">
        <v>17729</v>
      </c>
    </row>
    <row r="6403" spans="1:5" x14ac:dyDescent="0.25">
      <c r="A6403" s="1" t="s">
        <v>6402</v>
      </c>
      <c r="C6403" s="3">
        <v>20</v>
      </c>
      <c r="E6403" t="s">
        <v>11591</v>
      </c>
    </row>
    <row r="6404" spans="1:5" x14ac:dyDescent="0.25">
      <c r="A6404" s="1" t="s">
        <v>6403</v>
      </c>
      <c r="C6404" s="3">
        <v>20</v>
      </c>
      <c r="E6404" t="s">
        <v>6726</v>
      </c>
    </row>
    <row r="6405" spans="1:5" x14ac:dyDescent="0.25">
      <c r="A6405" s="1" t="s">
        <v>6404</v>
      </c>
      <c r="C6405" s="3">
        <v>20</v>
      </c>
      <c r="E6405" t="s">
        <v>11818</v>
      </c>
    </row>
    <row r="6406" spans="1:5" x14ac:dyDescent="0.25">
      <c r="A6406" s="1" t="s">
        <v>6405</v>
      </c>
      <c r="C6406" s="3">
        <v>20</v>
      </c>
      <c r="E6406" t="s">
        <v>8958</v>
      </c>
    </row>
    <row r="6407" spans="1:5" x14ac:dyDescent="0.25">
      <c r="A6407" s="1" t="s">
        <v>6406</v>
      </c>
      <c r="C6407" s="3">
        <v>20</v>
      </c>
      <c r="E6407" t="s">
        <v>935</v>
      </c>
    </row>
    <row r="6408" spans="1:5" x14ac:dyDescent="0.25">
      <c r="A6408" s="1" t="s">
        <v>6407</v>
      </c>
      <c r="C6408" s="3">
        <v>20</v>
      </c>
      <c r="E6408" t="s">
        <v>1057</v>
      </c>
    </row>
    <row r="6409" spans="1:5" x14ac:dyDescent="0.25">
      <c r="A6409" s="1" t="s">
        <v>6408</v>
      </c>
      <c r="C6409" s="3">
        <v>20</v>
      </c>
      <c r="E6409" t="s">
        <v>12502</v>
      </c>
    </row>
    <row r="6410" spans="1:5" x14ac:dyDescent="0.25">
      <c r="A6410" s="1" t="s">
        <v>6409</v>
      </c>
      <c r="C6410" s="3">
        <v>20</v>
      </c>
      <c r="E6410" t="s">
        <v>5893</v>
      </c>
    </row>
    <row r="6411" spans="1:5" x14ac:dyDescent="0.25">
      <c r="A6411" s="1" t="s">
        <v>6410</v>
      </c>
      <c r="C6411" s="3">
        <v>20</v>
      </c>
      <c r="E6411" t="s">
        <v>3989</v>
      </c>
    </row>
    <row r="6412" spans="1:5" x14ac:dyDescent="0.25">
      <c r="A6412" s="1" t="s">
        <v>6411</v>
      </c>
      <c r="C6412" s="3">
        <v>20</v>
      </c>
      <c r="E6412" t="s">
        <v>346</v>
      </c>
    </row>
    <row r="6413" spans="1:5" x14ac:dyDescent="0.25">
      <c r="A6413" s="1" t="s">
        <v>6412</v>
      </c>
      <c r="C6413" s="3">
        <v>20</v>
      </c>
      <c r="E6413" t="s">
        <v>7974</v>
      </c>
    </row>
    <row r="6414" spans="1:5" x14ac:dyDescent="0.25">
      <c r="A6414" s="1" t="s">
        <v>6413</v>
      </c>
      <c r="C6414" s="3">
        <v>20</v>
      </c>
      <c r="E6414" t="s">
        <v>6721</v>
      </c>
    </row>
    <row r="6415" spans="1:5" x14ac:dyDescent="0.25">
      <c r="A6415" s="1" t="s">
        <v>6414</v>
      </c>
      <c r="C6415" s="3">
        <v>20</v>
      </c>
      <c r="E6415" t="s">
        <v>3248</v>
      </c>
    </row>
    <row r="6416" spans="1:5" x14ac:dyDescent="0.25">
      <c r="A6416" s="1" t="s">
        <v>6415</v>
      </c>
      <c r="C6416" s="3">
        <v>20</v>
      </c>
      <c r="E6416" t="s">
        <v>4171</v>
      </c>
    </row>
    <row r="6417" spans="1:5" x14ac:dyDescent="0.25">
      <c r="A6417" s="1" t="s">
        <v>6416</v>
      </c>
      <c r="C6417" s="3">
        <v>20</v>
      </c>
      <c r="E6417" t="s">
        <v>2363</v>
      </c>
    </row>
    <row r="6418" spans="1:5" x14ac:dyDescent="0.25">
      <c r="A6418" s="1" t="s">
        <v>6417</v>
      </c>
      <c r="C6418" s="3">
        <v>20</v>
      </c>
      <c r="E6418" t="s">
        <v>2717</v>
      </c>
    </row>
    <row r="6419" spans="1:5" x14ac:dyDescent="0.25">
      <c r="A6419" s="1" t="s">
        <v>6418</v>
      </c>
      <c r="C6419" s="3">
        <v>20</v>
      </c>
      <c r="E6419" t="s">
        <v>845</v>
      </c>
    </row>
    <row r="6420" spans="1:5" x14ac:dyDescent="0.25">
      <c r="A6420" s="1" t="s">
        <v>6419</v>
      </c>
      <c r="C6420" s="3">
        <v>20</v>
      </c>
      <c r="E6420" t="s">
        <v>1633</v>
      </c>
    </row>
    <row r="6421" spans="1:5" x14ac:dyDescent="0.25">
      <c r="A6421" s="1" t="s">
        <v>6420</v>
      </c>
      <c r="C6421" s="3">
        <v>20</v>
      </c>
      <c r="E6421" t="s">
        <v>10664</v>
      </c>
    </row>
    <row r="6422" spans="1:5" x14ac:dyDescent="0.25">
      <c r="A6422" s="1" t="s">
        <v>6421</v>
      </c>
      <c r="C6422" s="3">
        <v>20</v>
      </c>
      <c r="E6422" t="s">
        <v>8281</v>
      </c>
    </row>
    <row r="6423" spans="1:5" x14ac:dyDescent="0.25">
      <c r="A6423" s="1" t="s">
        <v>6422</v>
      </c>
      <c r="C6423" s="3">
        <v>20</v>
      </c>
      <c r="E6423" t="s">
        <v>509</v>
      </c>
    </row>
    <row r="6424" spans="1:5" x14ac:dyDescent="0.25">
      <c r="A6424" s="1" t="s">
        <v>6423</v>
      </c>
      <c r="C6424" s="3">
        <v>20</v>
      </c>
      <c r="E6424" t="s">
        <v>4748</v>
      </c>
    </row>
    <row r="6425" spans="1:5" x14ac:dyDescent="0.25">
      <c r="A6425" s="1" t="s">
        <v>6424</v>
      </c>
      <c r="C6425" s="3">
        <v>20</v>
      </c>
      <c r="E6425" t="s">
        <v>1041</v>
      </c>
    </row>
    <row r="6426" spans="1:5" x14ac:dyDescent="0.25">
      <c r="A6426" s="1" t="s">
        <v>6425</v>
      </c>
      <c r="C6426" s="3">
        <v>20</v>
      </c>
      <c r="E6426" t="s">
        <v>87</v>
      </c>
    </row>
    <row r="6427" spans="1:5" x14ac:dyDescent="0.25">
      <c r="A6427" s="1" t="s">
        <v>6426</v>
      </c>
      <c r="C6427" s="3">
        <v>20</v>
      </c>
      <c r="E6427" t="s">
        <v>70</v>
      </c>
    </row>
    <row r="6428" spans="1:5" x14ac:dyDescent="0.25">
      <c r="A6428" s="1" t="s">
        <v>6427</v>
      </c>
      <c r="C6428" s="3">
        <v>20</v>
      </c>
      <c r="E6428" t="s">
        <v>169</v>
      </c>
    </row>
    <row r="6429" spans="1:5" x14ac:dyDescent="0.25">
      <c r="A6429" s="1" t="s">
        <v>6428</v>
      </c>
      <c r="C6429" s="3">
        <v>20</v>
      </c>
      <c r="E6429" t="s">
        <v>7819</v>
      </c>
    </row>
    <row r="6430" spans="1:5" x14ac:dyDescent="0.25">
      <c r="A6430" s="1" t="s">
        <v>6429</v>
      </c>
      <c r="C6430" s="3">
        <v>20</v>
      </c>
      <c r="E6430" t="s">
        <v>5901</v>
      </c>
    </row>
    <row r="6431" spans="1:5" x14ac:dyDescent="0.25">
      <c r="A6431" s="1" t="s">
        <v>6430</v>
      </c>
      <c r="C6431" s="3">
        <v>20</v>
      </c>
      <c r="E6431" t="s">
        <v>2979</v>
      </c>
    </row>
    <row r="6432" spans="1:5" x14ac:dyDescent="0.25">
      <c r="A6432" s="1" t="s">
        <v>6431</v>
      </c>
      <c r="C6432" s="3">
        <v>20</v>
      </c>
      <c r="E6432" t="s">
        <v>207</v>
      </c>
    </row>
    <row r="6433" spans="1:5" x14ac:dyDescent="0.25">
      <c r="A6433" s="1" t="s">
        <v>6432</v>
      </c>
      <c r="C6433" s="3">
        <v>20</v>
      </c>
      <c r="E6433" t="s">
        <v>1199</v>
      </c>
    </row>
    <row r="6434" spans="1:5" x14ac:dyDescent="0.25">
      <c r="A6434" s="1" t="s">
        <v>6433</v>
      </c>
      <c r="C6434" s="3">
        <v>20</v>
      </c>
      <c r="E6434" t="s">
        <v>9446</v>
      </c>
    </row>
    <row r="6435" spans="1:5" x14ac:dyDescent="0.25">
      <c r="A6435" s="1" t="s">
        <v>6434</v>
      </c>
      <c r="C6435" s="3">
        <v>20</v>
      </c>
      <c r="E6435" t="s">
        <v>3045</v>
      </c>
    </row>
    <row r="6436" spans="1:5" x14ac:dyDescent="0.25">
      <c r="A6436" s="1" t="s">
        <v>6435</v>
      </c>
      <c r="C6436" s="3">
        <v>20</v>
      </c>
      <c r="E6436" t="s">
        <v>6472</v>
      </c>
    </row>
    <row r="6437" spans="1:5" x14ac:dyDescent="0.25">
      <c r="A6437" s="1" t="s">
        <v>6436</v>
      </c>
      <c r="C6437" s="3">
        <v>20</v>
      </c>
      <c r="E6437" t="s">
        <v>543</v>
      </c>
    </row>
    <row r="6438" spans="1:5" x14ac:dyDescent="0.25">
      <c r="A6438" s="1" t="s">
        <v>6437</v>
      </c>
      <c r="C6438" s="3">
        <v>20</v>
      </c>
      <c r="E6438" t="s">
        <v>1766</v>
      </c>
    </row>
    <row r="6439" spans="1:5" x14ac:dyDescent="0.25">
      <c r="A6439" s="1" t="s">
        <v>6438</v>
      </c>
      <c r="C6439" s="3">
        <v>20</v>
      </c>
      <c r="E6439" t="s">
        <v>1958</v>
      </c>
    </row>
    <row r="6440" spans="1:5" x14ac:dyDescent="0.25">
      <c r="A6440" s="1" t="s">
        <v>6439</v>
      </c>
      <c r="C6440" s="3">
        <v>20</v>
      </c>
      <c r="E6440" t="s">
        <v>1218</v>
      </c>
    </row>
    <row r="6441" spans="1:5" x14ac:dyDescent="0.25">
      <c r="A6441" s="1" t="s">
        <v>6440</v>
      </c>
      <c r="C6441" s="3">
        <v>20</v>
      </c>
      <c r="E6441" t="s">
        <v>9570</v>
      </c>
    </row>
    <row r="6442" spans="1:5" x14ac:dyDescent="0.25">
      <c r="A6442" s="1" t="s">
        <v>6441</v>
      </c>
      <c r="C6442" s="3">
        <v>20</v>
      </c>
      <c r="E6442" t="s">
        <v>9115</v>
      </c>
    </row>
    <row r="6443" spans="1:5" x14ac:dyDescent="0.25">
      <c r="A6443" s="1" t="s">
        <v>6442</v>
      </c>
      <c r="C6443" s="3">
        <v>20</v>
      </c>
      <c r="E6443" t="s">
        <v>7186</v>
      </c>
    </row>
    <row r="6444" spans="1:5" x14ac:dyDescent="0.25">
      <c r="A6444" s="1" t="s">
        <v>6443</v>
      </c>
      <c r="C6444" s="3">
        <v>20</v>
      </c>
      <c r="E6444" t="s">
        <v>2248</v>
      </c>
    </row>
    <row r="6445" spans="1:5" x14ac:dyDescent="0.25">
      <c r="A6445" s="1" t="s">
        <v>6444</v>
      </c>
      <c r="C6445" s="3">
        <v>20</v>
      </c>
      <c r="E6445" t="s">
        <v>2108</v>
      </c>
    </row>
    <row r="6446" spans="1:5" x14ac:dyDescent="0.25">
      <c r="A6446" s="1" t="s">
        <v>6445</v>
      </c>
      <c r="C6446" s="3">
        <v>20</v>
      </c>
      <c r="E6446" t="s">
        <v>6113</v>
      </c>
    </row>
    <row r="6447" spans="1:5" x14ac:dyDescent="0.25">
      <c r="A6447" s="1" t="s">
        <v>6446</v>
      </c>
      <c r="C6447" s="3">
        <v>20</v>
      </c>
      <c r="E6447" t="s">
        <v>5876</v>
      </c>
    </row>
    <row r="6448" spans="1:5" x14ac:dyDescent="0.25">
      <c r="A6448" s="1" t="s">
        <v>6447</v>
      </c>
      <c r="C6448" s="3">
        <v>20</v>
      </c>
      <c r="E6448" t="s">
        <v>12233</v>
      </c>
    </row>
    <row r="6449" spans="1:5" x14ac:dyDescent="0.25">
      <c r="A6449" s="1" t="s">
        <v>6448</v>
      </c>
      <c r="C6449" s="3">
        <v>20</v>
      </c>
      <c r="E6449" t="s">
        <v>4793</v>
      </c>
    </row>
    <row r="6450" spans="1:5" x14ac:dyDescent="0.25">
      <c r="A6450" s="1" t="s">
        <v>6449</v>
      </c>
      <c r="C6450" s="3">
        <v>20</v>
      </c>
      <c r="E6450" t="s">
        <v>5945</v>
      </c>
    </row>
    <row r="6451" spans="1:5" x14ac:dyDescent="0.25">
      <c r="A6451" s="1" t="s">
        <v>6450</v>
      </c>
      <c r="C6451" s="3">
        <v>20</v>
      </c>
      <c r="E6451" t="s">
        <v>3285</v>
      </c>
    </row>
    <row r="6452" spans="1:5" x14ac:dyDescent="0.25">
      <c r="A6452" s="1" t="s">
        <v>6451</v>
      </c>
      <c r="C6452" s="3">
        <v>20</v>
      </c>
      <c r="E6452" t="s">
        <v>17335</v>
      </c>
    </row>
    <row r="6453" spans="1:5" x14ac:dyDescent="0.25">
      <c r="A6453" s="1" t="s">
        <v>6452</v>
      </c>
      <c r="C6453" s="3">
        <v>20</v>
      </c>
      <c r="E6453" t="s">
        <v>6946</v>
      </c>
    </row>
    <row r="6454" spans="1:5" x14ac:dyDescent="0.25">
      <c r="A6454" s="1" t="s">
        <v>6453</v>
      </c>
      <c r="C6454" s="3">
        <v>20</v>
      </c>
      <c r="E6454" t="s">
        <v>1233</v>
      </c>
    </row>
    <row r="6455" spans="1:5" x14ac:dyDescent="0.25">
      <c r="A6455" s="1" t="s">
        <v>6454</v>
      </c>
      <c r="C6455" s="3">
        <v>20</v>
      </c>
      <c r="E6455" t="s">
        <v>11631</v>
      </c>
    </row>
    <row r="6456" spans="1:5" x14ac:dyDescent="0.25">
      <c r="A6456" s="1" t="s">
        <v>6455</v>
      </c>
      <c r="C6456" s="3">
        <v>20</v>
      </c>
      <c r="E6456" t="s">
        <v>490</v>
      </c>
    </row>
    <row r="6457" spans="1:5" x14ac:dyDescent="0.25">
      <c r="A6457" s="1" t="s">
        <v>6456</v>
      </c>
      <c r="C6457" s="3">
        <v>20</v>
      </c>
      <c r="E6457" t="s">
        <v>6634</v>
      </c>
    </row>
    <row r="6458" spans="1:5" x14ac:dyDescent="0.25">
      <c r="A6458" s="1" t="s">
        <v>6457</v>
      </c>
      <c r="C6458" s="3">
        <v>19</v>
      </c>
      <c r="E6458" t="s">
        <v>4972</v>
      </c>
    </row>
    <row r="6459" spans="1:5" x14ac:dyDescent="0.25">
      <c r="A6459" s="1" t="s">
        <v>6458</v>
      </c>
      <c r="C6459" s="3">
        <v>19</v>
      </c>
      <c r="E6459" t="s">
        <v>6604</v>
      </c>
    </row>
    <row r="6460" spans="1:5" x14ac:dyDescent="0.25">
      <c r="A6460" s="1" t="s">
        <v>6459</v>
      </c>
      <c r="C6460" s="3">
        <v>19</v>
      </c>
      <c r="E6460" t="s">
        <v>9227</v>
      </c>
    </row>
    <row r="6461" spans="1:5" x14ac:dyDescent="0.25">
      <c r="A6461" s="1" t="s">
        <v>6460</v>
      </c>
      <c r="C6461" s="3">
        <v>19</v>
      </c>
      <c r="E6461" t="s">
        <v>25529</v>
      </c>
    </row>
    <row r="6462" spans="1:5" x14ac:dyDescent="0.25">
      <c r="A6462" s="1" t="s">
        <v>6461</v>
      </c>
      <c r="C6462" s="3">
        <v>19</v>
      </c>
      <c r="E6462" t="s">
        <v>123</v>
      </c>
    </row>
    <row r="6463" spans="1:5" x14ac:dyDescent="0.25">
      <c r="A6463" s="1" t="s">
        <v>6462</v>
      </c>
      <c r="C6463" s="3">
        <v>19</v>
      </c>
      <c r="E6463" t="s">
        <v>114</v>
      </c>
    </row>
    <row r="6464" spans="1:5" x14ac:dyDescent="0.25">
      <c r="A6464" s="1" t="s">
        <v>6463</v>
      </c>
      <c r="C6464" s="3">
        <v>19</v>
      </c>
      <c r="E6464" t="s">
        <v>15481</v>
      </c>
    </row>
    <row r="6465" spans="1:5" x14ac:dyDescent="0.25">
      <c r="A6465" s="1" t="s">
        <v>6464</v>
      </c>
      <c r="C6465" s="3">
        <v>19</v>
      </c>
      <c r="E6465" t="s">
        <v>4591</v>
      </c>
    </row>
    <row r="6466" spans="1:5" x14ac:dyDescent="0.25">
      <c r="A6466" s="1" t="s">
        <v>6465</v>
      </c>
      <c r="C6466" s="3">
        <v>19</v>
      </c>
      <c r="E6466" t="s">
        <v>664</v>
      </c>
    </row>
    <row r="6467" spans="1:5" x14ac:dyDescent="0.25">
      <c r="A6467" s="1" t="s">
        <v>6466</v>
      </c>
      <c r="C6467" s="3">
        <v>19</v>
      </c>
      <c r="E6467" t="s">
        <v>4191</v>
      </c>
    </row>
    <row r="6468" spans="1:5" x14ac:dyDescent="0.25">
      <c r="A6468" s="1" t="s">
        <v>6467</v>
      </c>
      <c r="C6468" s="3">
        <v>19</v>
      </c>
      <c r="E6468" t="s">
        <v>2445</v>
      </c>
    </row>
    <row r="6469" spans="1:5" x14ac:dyDescent="0.25">
      <c r="A6469" s="1" t="s">
        <v>6468</v>
      </c>
      <c r="C6469" s="3">
        <v>19</v>
      </c>
      <c r="E6469" t="s">
        <v>947</v>
      </c>
    </row>
    <row r="6470" spans="1:5" x14ac:dyDescent="0.25">
      <c r="A6470" s="1" t="s">
        <v>6469</v>
      </c>
      <c r="C6470" s="3">
        <v>19</v>
      </c>
      <c r="E6470" t="s">
        <v>10183</v>
      </c>
    </row>
    <row r="6471" spans="1:5" x14ac:dyDescent="0.25">
      <c r="A6471" s="1" t="s">
        <v>6470</v>
      </c>
      <c r="C6471" s="3">
        <v>19</v>
      </c>
      <c r="E6471" t="s">
        <v>20634</v>
      </c>
    </row>
    <row r="6472" spans="1:5" x14ac:dyDescent="0.25">
      <c r="A6472" s="1" t="s">
        <v>6471</v>
      </c>
      <c r="C6472" s="3">
        <v>19</v>
      </c>
      <c r="E6472" t="s">
        <v>3747</v>
      </c>
    </row>
    <row r="6473" spans="1:5" x14ac:dyDescent="0.25">
      <c r="A6473" s="1" t="s">
        <v>6472</v>
      </c>
      <c r="C6473" s="3">
        <v>19</v>
      </c>
      <c r="E6473" t="s">
        <v>1469</v>
      </c>
    </row>
    <row r="6474" spans="1:5" x14ac:dyDescent="0.25">
      <c r="A6474" s="1" t="s">
        <v>6473</v>
      </c>
      <c r="C6474" s="3">
        <v>19</v>
      </c>
      <c r="E6474" t="s">
        <v>8977</v>
      </c>
    </row>
    <row r="6475" spans="1:5" x14ac:dyDescent="0.25">
      <c r="A6475" s="1" t="s">
        <v>6474</v>
      </c>
      <c r="C6475" s="3">
        <v>19</v>
      </c>
      <c r="E6475" t="s">
        <v>2183</v>
      </c>
    </row>
    <row r="6476" spans="1:5" x14ac:dyDescent="0.25">
      <c r="A6476" s="1" t="s">
        <v>6475</v>
      </c>
      <c r="C6476" s="3">
        <v>19</v>
      </c>
      <c r="E6476" t="s">
        <v>332</v>
      </c>
    </row>
    <row r="6477" spans="1:5" x14ac:dyDescent="0.25">
      <c r="A6477" s="1" t="s">
        <v>6476</v>
      </c>
      <c r="C6477" s="3">
        <v>19</v>
      </c>
      <c r="E6477" t="s">
        <v>4449</v>
      </c>
    </row>
    <row r="6478" spans="1:5" x14ac:dyDescent="0.25">
      <c r="A6478" s="1" t="s">
        <v>6477</v>
      </c>
      <c r="C6478" s="3">
        <v>19</v>
      </c>
      <c r="E6478" t="s">
        <v>1376</v>
      </c>
    </row>
    <row r="6479" spans="1:5" x14ac:dyDescent="0.25">
      <c r="A6479" s="1" t="s">
        <v>6478</v>
      </c>
      <c r="C6479" s="3">
        <v>19</v>
      </c>
      <c r="E6479" t="s">
        <v>210</v>
      </c>
    </row>
    <row r="6480" spans="1:5" x14ac:dyDescent="0.25">
      <c r="A6480" s="1" t="s">
        <v>6479</v>
      </c>
      <c r="C6480" s="3">
        <v>19</v>
      </c>
      <c r="E6480" t="s">
        <v>2769</v>
      </c>
    </row>
    <row r="6481" spans="1:5" x14ac:dyDescent="0.25">
      <c r="A6481" s="1" t="s">
        <v>6480</v>
      </c>
      <c r="C6481" s="3">
        <v>19</v>
      </c>
      <c r="E6481" t="s">
        <v>19565</v>
      </c>
    </row>
    <row r="6482" spans="1:5" x14ac:dyDescent="0.25">
      <c r="A6482" s="1" t="s">
        <v>6481</v>
      </c>
      <c r="C6482" s="3">
        <v>19</v>
      </c>
      <c r="E6482" t="s">
        <v>4684</v>
      </c>
    </row>
    <row r="6483" spans="1:5" x14ac:dyDescent="0.25">
      <c r="A6483" s="1" t="s">
        <v>6482</v>
      </c>
      <c r="C6483" s="3">
        <v>19</v>
      </c>
      <c r="E6483" t="s">
        <v>7145</v>
      </c>
    </row>
    <row r="6484" spans="1:5" x14ac:dyDescent="0.25">
      <c r="A6484" s="1" t="s">
        <v>6483</v>
      </c>
      <c r="C6484" s="3">
        <v>19</v>
      </c>
      <c r="E6484" t="s">
        <v>12322</v>
      </c>
    </row>
    <row r="6485" spans="1:5" x14ac:dyDescent="0.25">
      <c r="A6485" s="1" t="s">
        <v>6484</v>
      </c>
      <c r="C6485" s="3">
        <v>19</v>
      </c>
      <c r="E6485" t="s">
        <v>16216</v>
      </c>
    </row>
    <row r="6486" spans="1:5" x14ac:dyDescent="0.25">
      <c r="A6486" s="1" t="s">
        <v>6485</v>
      </c>
      <c r="C6486" s="3">
        <v>19</v>
      </c>
      <c r="E6486" t="s">
        <v>9047</v>
      </c>
    </row>
    <row r="6487" spans="1:5" x14ac:dyDescent="0.25">
      <c r="A6487" s="1" t="s">
        <v>6486</v>
      </c>
      <c r="C6487" s="3">
        <v>19</v>
      </c>
      <c r="E6487" t="s">
        <v>10741</v>
      </c>
    </row>
    <row r="6488" spans="1:5" x14ac:dyDescent="0.25">
      <c r="A6488" s="1" t="s">
        <v>6487</v>
      </c>
      <c r="C6488" s="3">
        <v>19</v>
      </c>
      <c r="E6488" t="s">
        <v>2372</v>
      </c>
    </row>
    <row r="6489" spans="1:5" x14ac:dyDescent="0.25">
      <c r="A6489" s="1" t="s">
        <v>6488</v>
      </c>
      <c r="C6489" s="3">
        <v>19</v>
      </c>
      <c r="E6489" t="s">
        <v>10923</v>
      </c>
    </row>
    <row r="6490" spans="1:5" x14ac:dyDescent="0.25">
      <c r="A6490" s="1" t="s">
        <v>6489</v>
      </c>
      <c r="C6490" s="3">
        <v>19</v>
      </c>
      <c r="E6490" t="s">
        <v>315</v>
      </c>
    </row>
    <row r="6491" spans="1:5" x14ac:dyDescent="0.25">
      <c r="A6491" s="1" t="s">
        <v>6490</v>
      </c>
      <c r="C6491" s="3">
        <v>19</v>
      </c>
      <c r="E6491" t="s">
        <v>199</v>
      </c>
    </row>
    <row r="6492" spans="1:5" x14ac:dyDescent="0.25">
      <c r="A6492" s="1" t="s">
        <v>6491</v>
      </c>
      <c r="C6492" s="3">
        <v>19</v>
      </c>
      <c r="E6492" t="s">
        <v>4899</v>
      </c>
    </row>
    <row r="6493" spans="1:5" x14ac:dyDescent="0.25">
      <c r="A6493" s="1" t="s">
        <v>6492</v>
      </c>
      <c r="C6493" s="3">
        <v>19</v>
      </c>
      <c r="E6493" t="s">
        <v>2642</v>
      </c>
    </row>
    <row r="6494" spans="1:5" x14ac:dyDescent="0.25">
      <c r="A6494" s="1" t="s">
        <v>6493</v>
      </c>
      <c r="C6494" s="3">
        <v>19</v>
      </c>
      <c r="E6494" t="s">
        <v>109</v>
      </c>
    </row>
    <row r="6495" spans="1:5" x14ac:dyDescent="0.25">
      <c r="A6495" s="1" t="s">
        <v>6494</v>
      </c>
      <c r="C6495" s="3">
        <v>19</v>
      </c>
      <c r="E6495" t="s">
        <v>10990</v>
      </c>
    </row>
    <row r="6496" spans="1:5" x14ac:dyDescent="0.25">
      <c r="A6496" s="1" t="s">
        <v>6495</v>
      </c>
      <c r="C6496" s="3">
        <v>19</v>
      </c>
      <c r="E6496" t="s">
        <v>865</v>
      </c>
    </row>
    <row r="6497" spans="1:5" x14ac:dyDescent="0.25">
      <c r="A6497" s="1" t="s">
        <v>6496</v>
      </c>
      <c r="C6497" s="3">
        <v>19</v>
      </c>
      <c r="E6497" t="s">
        <v>7943</v>
      </c>
    </row>
    <row r="6498" spans="1:5" x14ac:dyDescent="0.25">
      <c r="A6498" s="1" t="s">
        <v>6497</v>
      </c>
      <c r="C6498" s="3">
        <v>19</v>
      </c>
      <c r="E6498" t="s">
        <v>283</v>
      </c>
    </row>
    <row r="6499" spans="1:5" x14ac:dyDescent="0.25">
      <c r="A6499" s="1" t="s">
        <v>6498</v>
      </c>
      <c r="C6499" s="3">
        <v>19</v>
      </c>
      <c r="E6499" t="s">
        <v>52</v>
      </c>
    </row>
    <row r="6500" spans="1:5" x14ac:dyDescent="0.25">
      <c r="A6500" s="1" t="s">
        <v>6499</v>
      </c>
      <c r="C6500" s="3">
        <v>19</v>
      </c>
      <c r="E6500" t="s">
        <v>44</v>
      </c>
    </row>
    <row r="6501" spans="1:5" x14ac:dyDescent="0.25">
      <c r="A6501" s="1" t="s">
        <v>6500</v>
      </c>
      <c r="C6501" s="3">
        <v>19</v>
      </c>
      <c r="E6501" t="s">
        <v>5129</v>
      </c>
    </row>
    <row r="6502" spans="1:5" x14ac:dyDescent="0.25">
      <c r="A6502" s="1" t="s">
        <v>6501</v>
      </c>
      <c r="C6502" s="3">
        <v>19</v>
      </c>
      <c r="E6502" t="s">
        <v>2868</v>
      </c>
    </row>
    <row r="6503" spans="1:5" x14ac:dyDescent="0.25">
      <c r="A6503" s="1" t="s">
        <v>6502</v>
      </c>
      <c r="C6503" s="3">
        <v>19</v>
      </c>
      <c r="E6503" t="s">
        <v>2805</v>
      </c>
    </row>
    <row r="6504" spans="1:5" x14ac:dyDescent="0.25">
      <c r="A6504" s="1" t="s">
        <v>6503</v>
      </c>
      <c r="C6504" s="3">
        <v>19</v>
      </c>
      <c r="E6504" t="s">
        <v>25530</v>
      </c>
    </row>
    <row r="6505" spans="1:5" x14ac:dyDescent="0.25">
      <c r="A6505" s="1" t="s">
        <v>6504</v>
      </c>
      <c r="C6505" s="3">
        <v>19</v>
      </c>
      <c r="E6505" t="s">
        <v>7449</v>
      </c>
    </row>
    <row r="6506" spans="1:5" x14ac:dyDescent="0.25">
      <c r="A6506" s="1" t="s">
        <v>6505</v>
      </c>
      <c r="C6506" s="3">
        <v>19</v>
      </c>
      <c r="E6506" t="s">
        <v>8303</v>
      </c>
    </row>
    <row r="6507" spans="1:5" x14ac:dyDescent="0.25">
      <c r="A6507" s="1" t="s">
        <v>6506</v>
      </c>
      <c r="C6507" s="3">
        <v>19</v>
      </c>
      <c r="E6507" t="s">
        <v>280</v>
      </c>
    </row>
    <row r="6508" spans="1:5" x14ac:dyDescent="0.25">
      <c r="A6508" s="1" t="s">
        <v>6507</v>
      </c>
      <c r="C6508" s="3">
        <v>19</v>
      </c>
      <c r="E6508" t="s">
        <v>1324</v>
      </c>
    </row>
    <row r="6509" spans="1:5" x14ac:dyDescent="0.25">
      <c r="A6509" s="1" t="s">
        <v>6508</v>
      </c>
      <c r="C6509" s="3">
        <v>19</v>
      </c>
      <c r="E6509" t="s">
        <v>860</v>
      </c>
    </row>
    <row r="6510" spans="1:5" x14ac:dyDescent="0.25">
      <c r="A6510" s="1" t="s">
        <v>6509</v>
      </c>
      <c r="C6510" s="3">
        <v>19</v>
      </c>
      <c r="E6510" t="s">
        <v>16865</v>
      </c>
    </row>
    <row r="6511" spans="1:5" x14ac:dyDescent="0.25">
      <c r="A6511" s="1" t="s">
        <v>6510</v>
      </c>
      <c r="C6511" s="3">
        <v>19</v>
      </c>
      <c r="E6511" t="s">
        <v>18</v>
      </c>
    </row>
    <row r="6512" spans="1:5" x14ac:dyDescent="0.25">
      <c r="A6512" s="1" t="s">
        <v>6511</v>
      </c>
      <c r="C6512" s="3">
        <v>19</v>
      </c>
      <c r="E6512" t="s">
        <v>4156</v>
      </c>
    </row>
    <row r="6513" spans="1:5" x14ac:dyDescent="0.25">
      <c r="A6513" s="1" t="s">
        <v>6512</v>
      </c>
      <c r="C6513" s="3">
        <v>19</v>
      </c>
      <c r="E6513" t="s">
        <v>11502</v>
      </c>
    </row>
    <row r="6514" spans="1:5" x14ac:dyDescent="0.25">
      <c r="A6514" s="1" t="s">
        <v>6513</v>
      </c>
      <c r="C6514" s="3">
        <v>19</v>
      </c>
      <c r="E6514" t="s">
        <v>8202</v>
      </c>
    </row>
    <row r="6515" spans="1:5" x14ac:dyDescent="0.25">
      <c r="A6515" s="1" t="s">
        <v>6514</v>
      </c>
      <c r="C6515" s="3">
        <v>19</v>
      </c>
      <c r="E6515" t="s">
        <v>2970</v>
      </c>
    </row>
    <row r="6516" spans="1:5" x14ac:dyDescent="0.25">
      <c r="A6516" s="1" t="s">
        <v>6515</v>
      </c>
      <c r="C6516" s="3">
        <v>19</v>
      </c>
      <c r="E6516" t="s">
        <v>2726</v>
      </c>
    </row>
    <row r="6517" spans="1:5" x14ac:dyDescent="0.25">
      <c r="A6517" s="1" t="s">
        <v>6516</v>
      </c>
      <c r="C6517" s="3">
        <v>19</v>
      </c>
      <c r="E6517" t="s">
        <v>12542</v>
      </c>
    </row>
    <row r="6518" spans="1:5" x14ac:dyDescent="0.25">
      <c r="A6518" s="1" t="s">
        <v>6517</v>
      </c>
      <c r="C6518" s="3">
        <v>19</v>
      </c>
      <c r="E6518" t="s">
        <v>635</v>
      </c>
    </row>
    <row r="6519" spans="1:5" x14ac:dyDescent="0.25">
      <c r="A6519" s="1" t="s">
        <v>6518</v>
      </c>
      <c r="C6519" s="3">
        <v>19</v>
      </c>
      <c r="E6519" t="s">
        <v>5622</v>
      </c>
    </row>
    <row r="6520" spans="1:5" x14ac:dyDescent="0.25">
      <c r="A6520" s="1" t="s">
        <v>6519</v>
      </c>
      <c r="C6520" s="3">
        <v>19</v>
      </c>
      <c r="E6520" t="s">
        <v>461</v>
      </c>
    </row>
    <row r="6521" spans="1:5" x14ac:dyDescent="0.25">
      <c r="A6521" s="1" t="s">
        <v>6520</v>
      </c>
      <c r="C6521" s="3">
        <v>19</v>
      </c>
      <c r="E6521" t="s">
        <v>551</v>
      </c>
    </row>
    <row r="6522" spans="1:5" x14ac:dyDescent="0.25">
      <c r="A6522" s="1" t="s">
        <v>6521</v>
      </c>
      <c r="C6522" s="3">
        <v>19</v>
      </c>
      <c r="E6522" t="s">
        <v>2327</v>
      </c>
    </row>
    <row r="6523" spans="1:5" x14ac:dyDescent="0.25">
      <c r="A6523" s="1" t="s">
        <v>6522</v>
      </c>
      <c r="C6523" s="3">
        <v>19</v>
      </c>
      <c r="E6523" t="s">
        <v>131</v>
      </c>
    </row>
    <row r="6524" spans="1:5" x14ac:dyDescent="0.25">
      <c r="A6524" s="1" t="s">
        <v>6523</v>
      </c>
      <c r="C6524" s="3">
        <v>19</v>
      </c>
      <c r="E6524" t="s">
        <v>2147</v>
      </c>
    </row>
    <row r="6525" spans="1:5" x14ac:dyDescent="0.25">
      <c r="A6525" s="1" t="s">
        <v>6524</v>
      </c>
      <c r="C6525" s="3">
        <v>19</v>
      </c>
      <c r="E6525" t="s">
        <v>598</v>
      </c>
    </row>
    <row r="6526" spans="1:5" x14ac:dyDescent="0.25">
      <c r="A6526" s="1" t="s">
        <v>6525</v>
      </c>
      <c r="C6526" s="3">
        <v>19</v>
      </c>
      <c r="E6526" t="s">
        <v>584</v>
      </c>
    </row>
    <row r="6527" spans="1:5" x14ac:dyDescent="0.25">
      <c r="A6527" s="1" t="s">
        <v>6526</v>
      </c>
      <c r="C6527" s="3">
        <v>19</v>
      </c>
      <c r="E6527" t="s">
        <v>945</v>
      </c>
    </row>
    <row r="6528" spans="1:5" x14ac:dyDescent="0.25">
      <c r="A6528" s="1" t="s">
        <v>6527</v>
      </c>
      <c r="C6528" s="3">
        <v>19</v>
      </c>
      <c r="E6528" t="s">
        <v>1134</v>
      </c>
    </row>
    <row r="6529" spans="1:5" x14ac:dyDescent="0.25">
      <c r="A6529" s="1" t="s">
        <v>6528</v>
      </c>
      <c r="C6529" s="3">
        <v>19</v>
      </c>
      <c r="E6529" t="s">
        <v>20785</v>
      </c>
    </row>
    <row r="6530" spans="1:5" x14ac:dyDescent="0.25">
      <c r="A6530" s="1" t="s">
        <v>6529</v>
      </c>
      <c r="C6530" s="3">
        <v>19</v>
      </c>
      <c r="E6530" t="s">
        <v>4741</v>
      </c>
    </row>
    <row r="6531" spans="1:5" x14ac:dyDescent="0.25">
      <c r="A6531" s="1" t="s">
        <v>6530</v>
      </c>
      <c r="C6531" s="3">
        <v>19</v>
      </c>
      <c r="E6531" t="s">
        <v>1145</v>
      </c>
    </row>
    <row r="6532" spans="1:5" x14ac:dyDescent="0.25">
      <c r="A6532" s="1" t="s">
        <v>6531</v>
      </c>
      <c r="C6532" s="3">
        <v>19</v>
      </c>
      <c r="E6532" t="s">
        <v>5553</v>
      </c>
    </row>
    <row r="6533" spans="1:5" x14ac:dyDescent="0.25">
      <c r="A6533" s="1" t="s">
        <v>6532</v>
      </c>
      <c r="C6533" s="3">
        <v>19</v>
      </c>
      <c r="E6533" t="s">
        <v>12670</v>
      </c>
    </row>
    <row r="6534" spans="1:5" x14ac:dyDescent="0.25">
      <c r="A6534" s="1" t="s">
        <v>6533</v>
      </c>
      <c r="C6534" s="3">
        <v>19</v>
      </c>
      <c r="E6534" t="s">
        <v>8275</v>
      </c>
    </row>
    <row r="6535" spans="1:5" x14ac:dyDescent="0.25">
      <c r="A6535" s="1" t="s">
        <v>6534</v>
      </c>
      <c r="C6535" s="3">
        <v>19</v>
      </c>
      <c r="E6535" t="s">
        <v>1223</v>
      </c>
    </row>
    <row r="6536" spans="1:5" x14ac:dyDescent="0.25">
      <c r="A6536" s="1" t="s">
        <v>6535</v>
      </c>
      <c r="C6536" s="3">
        <v>19</v>
      </c>
      <c r="E6536" t="s">
        <v>5251</v>
      </c>
    </row>
    <row r="6537" spans="1:5" x14ac:dyDescent="0.25">
      <c r="A6537" s="1" t="s">
        <v>6536</v>
      </c>
      <c r="C6537" s="3">
        <v>19</v>
      </c>
      <c r="E6537" t="s">
        <v>10457</v>
      </c>
    </row>
    <row r="6538" spans="1:5" x14ac:dyDescent="0.25">
      <c r="A6538" s="1" t="s">
        <v>6537</v>
      </c>
      <c r="C6538" s="3">
        <v>19</v>
      </c>
      <c r="E6538" t="s">
        <v>5981</v>
      </c>
    </row>
    <row r="6539" spans="1:5" x14ac:dyDescent="0.25">
      <c r="A6539" s="1" t="s">
        <v>6538</v>
      </c>
      <c r="C6539" s="3">
        <v>19</v>
      </c>
      <c r="E6539" t="s">
        <v>8292</v>
      </c>
    </row>
    <row r="6540" spans="1:5" x14ac:dyDescent="0.25">
      <c r="A6540" s="1" t="s">
        <v>6539</v>
      </c>
      <c r="C6540" s="3">
        <v>19</v>
      </c>
      <c r="E6540" t="s">
        <v>882</v>
      </c>
    </row>
    <row r="6541" spans="1:5" x14ac:dyDescent="0.25">
      <c r="A6541" s="1" t="s">
        <v>6540</v>
      </c>
      <c r="C6541" s="3">
        <v>19</v>
      </c>
      <c r="E6541" t="s">
        <v>12360</v>
      </c>
    </row>
    <row r="6542" spans="1:5" x14ac:dyDescent="0.25">
      <c r="A6542" s="1" t="s">
        <v>6541</v>
      </c>
      <c r="C6542" s="3">
        <v>19</v>
      </c>
      <c r="E6542" t="s">
        <v>3564</v>
      </c>
    </row>
    <row r="6543" spans="1:5" x14ac:dyDescent="0.25">
      <c r="A6543" s="1" t="s">
        <v>6542</v>
      </c>
      <c r="C6543" s="3">
        <v>19</v>
      </c>
      <c r="E6543" t="s">
        <v>4020</v>
      </c>
    </row>
    <row r="6544" spans="1:5" x14ac:dyDescent="0.25">
      <c r="A6544" s="1" t="s">
        <v>6543</v>
      </c>
      <c r="C6544" s="3">
        <v>19</v>
      </c>
      <c r="E6544" t="s">
        <v>6304</v>
      </c>
    </row>
    <row r="6545" spans="1:5" x14ac:dyDescent="0.25">
      <c r="A6545" s="1" t="s">
        <v>6544</v>
      </c>
      <c r="C6545" s="3">
        <v>19</v>
      </c>
      <c r="E6545" t="s">
        <v>9959</v>
      </c>
    </row>
    <row r="6546" spans="1:5" x14ac:dyDescent="0.25">
      <c r="A6546" s="1" t="s">
        <v>6545</v>
      </c>
      <c r="C6546" s="3">
        <v>19</v>
      </c>
      <c r="E6546" t="s">
        <v>311</v>
      </c>
    </row>
    <row r="6547" spans="1:5" x14ac:dyDescent="0.25">
      <c r="A6547" s="1" t="s">
        <v>6546</v>
      </c>
      <c r="C6547" s="3">
        <v>19</v>
      </c>
      <c r="E6547" t="s">
        <v>3</v>
      </c>
    </row>
    <row r="6548" spans="1:5" x14ac:dyDescent="0.25">
      <c r="A6548" s="1" t="s">
        <v>6547</v>
      </c>
      <c r="C6548" s="3">
        <v>19</v>
      </c>
      <c r="E6548" t="s">
        <v>8237</v>
      </c>
    </row>
    <row r="6549" spans="1:5" x14ac:dyDescent="0.25">
      <c r="A6549" s="1" t="s">
        <v>6548</v>
      </c>
      <c r="C6549" s="3">
        <v>19</v>
      </c>
      <c r="E6549" t="s">
        <v>6470</v>
      </c>
    </row>
    <row r="6550" spans="1:5" x14ac:dyDescent="0.25">
      <c r="A6550" s="1" t="s">
        <v>6549</v>
      </c>
      <c r="C6550" s="3">
        <v>19</v>
      </c>
      <c r="E6550" t="s">
        <v>6026</v>
      </c>
    </row>
    <row r="6551" spans="1:5" x14ac:dyDescent="0.25">
      <c r="A6551" s="1" t="s">
        <v>6550</v>
      </c>
      <c r="C6551" s="3">
        <v>19</v>
      </c>
      <c r="E6551" t="s">
        <v>15568</v>
      </c>
    </row>
    <row r="6552" spans="1:5" x14ac:dyDescent="0.25">
      <c r="A6552" s="1" t="s">
        <v>6551</v>
      </c>
      <c r="C6552" s="3">
        <v>19</v>
      </c>
      <c r="E6552" t="s">
        <v>3141</v>
      </c>
    </row>
    <row r="6553" spans="1:5" x14ac:dyDescent="0.25">
      <c r="A6553" s="1" t="s">
        <v>6552</v>
      </c>
      <c r="C6553" s="3">
        <v>19</v>
      </c>
      <c r="E6553" t="s">
        <v>13064</v>
      </c>
    </row>
    <row r="6554" spans="1:5" x14ac:dyDescent="0.25">
      <c r="A6554" s="1" t="s">
        <v>6553</v>
      </c>
      <c r="C6554" s="3">
        <v>19</v>
      </c>
      <c r="E6554" t="s">
        <v>202</v>
      </c>
    </row>
    <row r="6555" spans="1:5" x14ac:dyDescent="0.25">
      <c r="A6555" s="1" t="s">
        <v>6554</v>
      </c>
      <c r="C6555" s="3">
        <v>19</v>
      </c>
      <c r="E6555" t="s">
        <v>7107</v>
      </c>
    </row>
    <row r="6556" spans="1:5" x14ac:dyDescent="0.25">
      <c r="A6556" s="1" t="s">
        <v>6555</v>
      </c>
      <c r="C6556" s="3">
        <v>19</v>
      </c>
      <c r="E6556" t="s">
        <v>2041</v>
      </c>
    </row>
    <row r="6557" spans="1:5" x14ac:dyDescent="0.25">
      <c r="A6557" s="1" t="s">
        <v>6556</v>
      </c>
      <c r="C6557" s="3">
        <v>19</v>
      </c>
      <c r="E6557" t="s">
        <v>2196</v>
      </c>
    </row>
    <row r="6558" spans="1:5" x14ac:dyDescent="0.25">
      <c r="A6558" s="1" t="s">
        <v>6557</v>
      </c>
      <c r="C6558" s="3">
        <v>19</v>
      </c>
      <c r="E6558" t="s">
        <v>1923</v>
      </c>
    </row>
    <row r="6559" spans="1:5" x14ac:dyDescent="0.25">
      <c r="A6559" s="1" t="s">
        <v>6558</v>
      </c>
      <c r="C6559" s="3">
        <v>19</v>
      </c>
      <c r="E6559" t="s">
        <v>9085</v>
      </c>
    </row>
    <row r="6560" spans="1:5" x14ac:dyDescent="0.25">
      <c r="A6560" s="1" t="s">
        <v>6559</v>
      </c>
      <c r="C6560" s="3">
        <v>19</v>
      </c>
      <c r="E6560" t="s">
        <v>6689</v>
      </c>
    </row>
    <row r="6561" spans="1:5" x14ac:dyDescent="0.25">
      <c r="A6561" s="1" t="s">
        <v>6560</v>
      </c>
      <c r="C6561" s="3">
        <v>19</v>
      </c>
      <c r="E6561" t="s">
        <v>2719</v>
      </c>
    </row>
    <row r="6562" spans="1:5" x14ac:dyDescent="0.25">
      <c r="A6562" s="1" t="s">
        <v>6561</v>
      </c>
      <c r="C6562" s="3">
        <v>19</v>
      </c>
      <c r="E6562" t="s">
        <v>141</v>
      </c>
    </row>
    <row r="6563" spans="1:5" x14ac:dyDescent="0.25">
      <c r="A6563" s="1" t="s">
        <v>6562</v>
      </c>
      <c r="C6563" s="3">
        <v>19</v>
      </c>
      <c r="E6563" t="s">
        <v>8377</v>
      </c>
    </row>
    <row r="6564" spans="1:5" x14ac:dyDescent="0.25">
      <c r="A6564" s="1" t="s">
        <v>6563</v>
      </c>
      <c r="C6564" s="3">
        <v>19</v>
      </c>
      <c r="E6564" t="s">
        <v>6318</v>
      </c>
    </row>
    <row r="6565" spans="1:5" x14ac:dyDescent="0.25">
      <c r="A6565" s="1" t="s">
        <v>6564</v>
      </c>
      <c r="C6565" s="3">
        <v>19</v>
      </c>
      <c r="E6565" t="s">
        <v>2308</v>
      </c>
    </row>
    <row r="6566" spans="1:5" x14ac:dyDescent="0.25">
      <c r="A6566" s="1" t="s">
        <v>6565</v>
      </c>
      <c r="C6566" s="3">
        <v>19</v>
      </c>
      <c r="E6566" t="s">
        <v>241</v>
      </c>
    </row>
    <row r="6567" spans="1:5" x14ac:dyDescent="0.25">
      <c r="A6567" s="1" t="s">
        <v>6566</v>
      </c>
      <c r="C6567" s="3">
        <v>19</v>
      </c>
      <c r="E6567" t="s">
        <v>5264</v>
      </c>
    </row>
    <row r="6568" spans="1:5" x14ac:dyDescent="0.25">
      <c r="A6568" s="1" t="s">
        <v>6567</v>
      </c>
      <c r="C6568" s="3">
        <v>19</v>
      </c>
      <c r="E6568" t="s">
        <v>3560</v>
      </c>
    </row>
    <row r="6569" spans="1:5" x14ac:dyDescent="0.25">
      <c r="A6569" s="1" t="s">
        <v>6568</v>
      </c>
      <c r="C6569" s="3">
        <v>19</v>
      </c>
      <c r="E6569" t="s">
        <v>2358</v>
      </c>
    </row>
    <row r="6570" spans="1:5" x14ac:dyDescent="0.25">
      <c r="A6570" s="1" t="s">
        <v>6569</v>
      </c>
      <c r="C6570" s="3">
        <v>19</v>
      </c>
      <c r="E6570" t="s">
        <v>5840</v>
      </c>
    </row>
    <row r="6571" spans="1:5" x14ac:dyDescent="0.25">
      <c r="A6571" s="1" t="s">
        <v>6570</v>
      </c>
      <c r="C6571" s="3">
        <v>19</v>
      </c>
      <c r="E6571" t="s">
        <v>944</v>
      </c>
    </row>
    <row r="6572" spans="1:5" x14ac:dyDescent="0.25">
      <c r="A6572" s="1" t="s">
        <v>6571</v>
      </c>
      <c r="C6572" s="3">
        <v>19</v>
      </c>
      <c r="E6572" t="s">
        <v>1332</v>
      </c>
    </row>
    <row r="6573" spans="1:5" x14ac:dyDescent="0.25">
      <c r="A6573" s="1" t="s">
        <v>6572</v>
      </c>
      <c r="C6573" s="3">
        <v>19</v>
      </c>
      <c r="E6573" t="s">
        <v>25531</v>
      </c>
    </row>
    <row r="6574" spans="1:5" x14ac:dyDescent="0.25">
      <c r="A6574" s="1" t="s">
        <v>6573</v>
      </c>
      <c r="C6574" s="3">
        <v>19</v>
      </c>
      <c r="E6574" t="s">
        <v>9550</v>
      </c>
    </row>
    <row r="6575" spans="1:5" x14ac:dyDescent="0.25">
      <c r="A6575" s="1" t="s">
        <v>6574</v>
      </c>
      <c r="C6575" s="3">
        <v>19</v>
      </c>
      <c r="E6575" t="s">
        <v>15242</v>
      </c>
    </row>
    <row r="6576" spans="1:5" x14ac:dyDescent="0.25">
      <c r="A6576" s="1" t="s">
        <v>6575</v>
      </c>
      <c r="C6576" s="3">
        <v>19</v>
      </c>
      <c r="E6576" t="s">
        <v>1368</v>
      </c>
    </row>
    <row r="6577" spans="1:5" x14ac:dyDescent="0.25">
      <c r="A6577" s="1" t="s">
        <v>6576</v>
      </c>
      <c r="C6577" s="3">
        <v>19</v>
      </c>
      <c r="E6577" t="s">
        <v>1585</v>
      </c>
    </row>
    <row r="6578" spans="1:5" x14ac:dyDescent="0.25">
      <c r="A6578" s="1" t="s">
        <v>6577</v>
      </c>
      <c r="C6578" s="3">
        <v>19</v>
      </c>
      <c r="E6578" t="s">
        <v>4371</v>
      </c>
    </row>
    <row r="6579" spans="1:5" x14ac:dyDescent="0.25">
      <c r="A6579" s="1" t="s">
        <v>6578</v>
      </c>
      <c r="C6579" s="3">
        <v>19</v>
      </c>
      <c r="E6579" t="s">
        <v>720</v>
      </c>
    </row>
    <row r="6580" spans="1:5" x14ac:dyDescent="0.25">
      <c r="A6580" s="1" t="s">
        <v>6579</v>
      </c>
      <c r="C6580" s="3">
        <v>19</v>
      </c>
      <c r="E6580" t="s">
        <v>6216</v>
      </c>
    </row>
    <row r="6581" spans="1:5" x14ac:dyDescent="0.25">
      <c r="A6581" s="1" t="s">
        <v>6580</v>
      </c>
      <c r="C6581" s="3">
        <v>19</v>
      </c>
      <c r="E6581" t="s">
        <v>8043</v>
      </c>
    </row>
    <row r="6582" spans="1:5" x14ac:dyDescent="0.25">
      <c r="A6582" s="1" t="s">
        <v>6581</v>
      </c>
      <c r="C6582" s="3">
        <v>19</v>
      </c>
      <c r="E6582" t="s">
        <v>11359</v>
      </c>
    </row>
    <row r="6583" spans="1:5" x14ac:dyDescent="0.25">
      <c r="A6583" s="1" t="s">
        <v>6582</v>
      </c>
      <c r="C6583" s="3">
        <v>19</v>
      </c>
      <c r="E6583" t="s">
        <v>7453</v>
      </c>
    </row>
    <row r="6584" spans="1:5" x14ac:dyDescent="0.25">
      <c r="A6584" s="1" t="s">
        <v>6583</v>
      </c>
      <c r="C6584" s="3">
        <v>19</v>
      </c>
      <c r="E6584" t="s">
        <v>2421</v>
      </c>
    </row>
    <row r="6585" spans="1:5" x14ac:dyDescent="0.25">
      <c r="A6585" s="1" t="s">
        <v>6584</v>
      </c>
      <c r="C6585" s="3">
        <v>19</v>
      </c>
      <c r="E6585" t="s">
        <v>2976</v>
      </c>
    </row>
    <row r="6586" spans="1:5" x14ac:dyDescent="0.25">
      <c r="A6586" s="1" t="s">
        <v>6585</v>
      </c>
      <c r="C6586" s="3">
        <v>19</v>
      </c>
      <c r="E6586" t="s">
        <v>1055</v>
      </c>
    </row>
    <row r="6587" spans="1:5" x14ac:dyDescent="0.25">
      <c r="A6587" s="1" t="s">
        <v>6586</v>
      </c>
      <c r="C6587" s="3">
        <v>19</v>
      </c>
      <c r="E6587" t="s">
        <v>22317</v>
      </c>
    </row>
    <row r="6588" spans="1:5" x14ac:dyDescent="0.25">
      <c r="A6588" s="1" t="s">
        <v>6587</v>
      </c>
      <c r="C6588" s="3">
        <v>19</v>
      </c>
      <c r="E6588" t="s">
        <v>14205</v>
      </c>
    </row>
    <row r="6589" spans="1:5" x14ac:dyDescent="0.25">
      <c r="A6589" s="1" t="s">
        <v>6588</v>
      </c>
      <c r="C6589" s="3">
        <v>19</v>
      </c>
      <c r="E6589" t="s">
        <v>496</v>
      </c>
    </row>
    <row r="6590" spans="1:5" x14ac:dyDescent="0.25">
      <c r="A6590" s="1" t="s">
        <v>6589</v>
      </c>
      <c r="C6590" s="3">
        <v>19</v>
      </c>
      <c r="E6590" t="s">
        <v>5231</v>
      </c>
    </row>
    <row r="6591" spans="1:5" x14ac:dyDescent="0.25">
      <c r="A6591" s="1" t="s">
        <v>6590</v>
      </c>
      <c r="C6591" s="3">
        <v>19</v>
      </c>
      <c r="E6591" t="s">
        <v>23705</v>
      </c>
    </row>
    <row r="6592" spans="1:5" x14ac:dyDescent="0.25">
      <c r="A6592" s="1" t="s">
        <v>6591</v>
      </c>
      <c r="C6592" s="3">
        <v>19</v>
      </c>
      <c r="E6592" t="s">
        <v>8320</v>
      </c>
    </row>
    <row r="6593" spans="1:5" x14ac:dyDescent="0.25">
      <c r="A6593" s="1" t="s">
        <v>6592</v>
      </c>
      <c r="C6593" s="3">
        <v>19</v>
      </c>
      <c r="E6593" t="s">
        <v>1449</v>
      </c>
    </row>
    <row r="6594" spans="1:5" x14ac:dyDescent="0.25">
      <c r="A6594" s="1" t="s">
        <v>6593</v>
      </c>
      <c r="C6594" s="3">
        <v>19</v>
      </c>
      <c r="E6594" t="s">
        <v>6257</v>
      </c>
    </row>
    <row r="6595" spans="1:5" x14ac:dyDescent="0.25">
      <c r="A6595" s="1" t="s">
        <v>6594</v>
      </c>
      <c r="C6595" s="3">
        <v>19</v>
      </c>
      <c r="E6595" t="s">
        <v>25532</v>
      </c>
    </row>
    <row r="6596" spans="1:5" x14ac:dyDescent="0.25">
      <c r="A6596" s="1" t="s">
        <v>6595</v>
      </c>
      <c r="C6596" s="3">
        <v>19</v>
      </c>
      <c r="E6596" t="s">
        <v>1624</v>
      </c>
    </row>
    <row r="6597" spans="1:5" x14ac:dyDescent="0.25">
      <c r="A6597" s="1" t="s">
        <v>6596</v>
      </c>
      <c r="C6597" s="3">
        <v>19</v>
      </c>
      <c r="E6597" t="s">
        <v>25533</v>
      </c>
    </row>
    <row r="6598" spans="1:5" x14ac:dyDescent="0.25">
      <c r="A6598" s="1" t="s">
        <v>6597</v>
      </c>
      <c r="C6598" s="3">
        <v>19</v>
      </c>
      <c r="E6598" t="s">
        <v>11408</v>
      </c>
    </row>
    <row r="6599" spans="1:5" x14ac:dyDescent="0.25">
      <c r="A6599" s="1" t="s">
        <v>6598</v>
      </c>
      <c r="C6599" s="3">
        <v>19</v>
      </c>
    </row>
    <row r="6600" spans="1:5" x14ac:dyDescent="0.25">
      <c r="A6600" s="1" t="s">
        <v>6599</v>
      </c>
      <c r="C6600" s="3">
        <v>19</v>
      </c>
    </row>
    <row r="6601" spans="1:5" x14ac:dyDescent="0.25">
      <c r="A6601" s="1" t="s">
        <v>6600</v>
      </c>
      <c r="C6601" s="3">
        <v>19</v>
      </c>
    </row>
    <row r="6602" spans="1:5" x14ac:dyDescent="0.25">
      <c r="A6602" s="1" t="s">
        <v>6601</v>
      </c>
      <c r="C6602" s="3">
        <v>19</v>
      </c>
    </row>
    <row r="6603" spans="1:5" x14ac:dyDescent="0.25">
      <c r="A6603" s="1" t="s">
        <v>6602</v>
      </c>
      <c r="C6603" s="3">
        <v>19</v>
      </c>
    </row>
    <row r="6604" spans="1:5" x14ac:dyDescent="0.25">
      <c r="A6604" s="1" t="s">
        <v>6603</v>
      </c>
      <c r="C6604" s="3">
        <v>19</v>
      </c>
    </row>
    <row r="6605" spans="1:5" x14ac:dyDescent="0.25">
      <c r="A6605" s="1" t="s">
        <v>6604</v>
      </c>
      <c r="C6605" s="3">
        <v>19</v>
      </c>
    </row>
    <row r="6606" spans="1:5" x14ac:dyDescent="0.25">
      <c r="A6606" s="1" t="s">
        <v>6605</v>
      </c>
      <c r="C6606" s="3">
        <v>19</v>
      </c>
    </row>
    <row r="6607" spans="1:5" x14ac:dyDescent="0.25">
      <c r="A6607" s="1" t="s">
        <v>6606</v>
      </c>
      <c r="C6607" s="3">
        <v>19</v>
      </c>
    </row>
    <row r="6608" spans="1:5" x14ac:dyDescent="0.25">
      <c r="A6608" s="1" t="s">
        <v>6607</v>
      </c>
      <c r="C6608" s="3">
        <v>19</v>
      </c>
    </row>
    <row r="6609" spans="1:3" x14ac:dyDescent="0.25">
      <c r="A6609" s="1" t="s">
        <v>6608</v>
      </c>
      <c r="C6609" s="3">
        <v>19</v>
      </c>
    </row>
    <row r="6610" spans="1:3" x14ac:dyDescent="0.25">
      <c r="A6610" s="1" t="s">
        <v>6609</v>
      </c>
      <c r="C6610" s="3">
        <v>19</v>
      </c>
    </row>
    <row r="6611" spans="1:3" x14ac:dyDescent="0.25">
      <c r="A6611" s="1" t="s">
        <v>6610</v>
      </c>
      <c r="C6611" s="3">
        <v>19</v>
      </c>
    </row>
    <row r="6612" spans="1:3" x14ac:dyDescent="0.25">
      <c r="A6612" s="1" t="s">
        <v>6611</v>
      </c>
      <c r="C6612" s="3">
        <v>19</v>
      </c>
    </row>
    <row r="6613" spans="1:3" x14ac:dyDescent="0.25">
      <c r="A6613" s="1" t="s">
        <v>6612</v>
      </c>
      <c r="C6613" s="3">
        <v>19</v>
      </c>
    </row>
    <row r="6614" spans="1:3" x14ac:dyDescent="0.25">
      <c r="A6614" s="1" t="s">
        <v>6613</v>
      </c>
      <c r="C6614" s="3">
        <v>19</v>
      </c>
    </row>
    <row r="6615" spans="1:3" x14ac:dyDescent="0.25">
      <c r="A6615" s="1" t="s">
        <v>6614</v>
      </c>
      <c r="C6615" s="3">
        <v>19</v>
      </c>
    </row>
    <row r="6616" spans="1:3" x14ac:dyDescent="0.25">
      <c r="A6616" s="1" t="s">
        <v>6615</v>
      </c>
      <c r="C6616" s="3">
        <v>19</v>
      </c>
    </row>
    <row r="6617" spans="1:3" x14ac:dyDescent="0.25">
      <c r="A6617" s="1" t="s">
        <v>6616</v>
      </c>
      <c r="C6617" s="3">
        <v>19</v>
      </c>
    </row>
    <row r="6618" spans="1:3" x14ac:dyDescent="0.25">
      <c r="A6618" s="1" t="s">
        <v>6617</v>
      </c>
      <c r="C6618" s="3">
        <v>19</v>
      </c>
    </row>
    <row r="6619" spans="1:3" x14ac:dyDescent="0.25">
      <c r="A6619" s="1" t="s">
        <v>6618</v>
      </c>
      <c r="C6619" s="3">
        <v>19</v>
      </c>
    </row>
    <row r="6620" spans="1:3" x14ac:dyDescent="0.25">
      <c r="A6620" s="1" t="s">
        <v>6619</v>
      </c>
      <c r="C6620" s="3">
        <v>19</v>
      </c>
    </row>
    <row r="6621" spans="1:3" x14ac:dyDescent="0.25">
      <c r="A6621" s="1" t="s">
        <v>6620</v>
      </c>
      <c r="C6621" s="3">
        <v>19</v>
      </c>
    </row>
    <row r="6622" spans="1:3" x14ac:dyDescent="0.25">
      <c r="A6622" s="1" t="s">
        <v>6621</v>
      </c>
      <c r="C6622" s="3">
        <v>19</v>
      </c>
    </row>
    <row r="6623" spans="1:3" x14ac:dyDescent="0.25">
      <c r="A6623" s="1" t="s">
        <v>6622</v>
      </c>
      <c r="C6623" s="3">
        <v>19</v>
      </c>
    </row>
    <row r="6624" spans="1:3" x14ac:dyDescent="0.25">
      <c r="A6624" s="1" t="s">
        <v>6623</v>
      </c>
      <c r="C6624" s="3">
        <v>19</v>
      </c>
    </row>
    <row r="6625" spans="1:3" x14ac:dyDescent="0.25">
      <c r="A6625" s="1" t="s">
        <v>6624</v>
      </c>
      <c r="C6625" s="3">
        <v>19</v>
      </c>
    </row>
    <row r="6626" spans="1:3" x14ac:dyDescent="0.25">
      <c r="A6626" s="1" t="s">
        <v>6625</v>
      </c>
      <c r="C6626" s="3">
        <v>19</v>
      </c>
    </row>
    <row r="6627" spans="1:3" x14ac:dyDescent="0.25">
      <c r="A6627" s="1" t="s">
        <v>6626</v>
      </c>
      <c r="C6627" s="3">
        <v>19</v>
      </c>
    </row>
    <row r="6628" spans="1:3" x14ac:dyDescent="0.25">
      <c r="A6628" s="1" t="s">
        <v>6627</v>
      </c>
      <c r="C6628" s="3">
        <v>19</v>
      </c>
    </row>
    <row r="6629" spans="1:3" x14ac:dyDescent="0.25">
      <c r="A6629" s="1" t="s">
        <v>6628</v>
      </c>
      <c r="C6629" s="3">
        <v>19</v>
      </c>
    </row>
    <row r="6630" spans="1:3" x14ac:dyDescent="0.25">
      <c r="A6630" s="1" t="s">
        <v>6629</v>
      </c>
      <c r="C6630" s="3">
        <v>19</v>
      </c>
    </row>
    <row r="6631" spans="1:3" x14ac:dyDescent="0.25">
      <c r="A6631" s="1" t="s">
        <v>6630</v>
      </c>
      <c r="C6631" s="3">
        <v>19</v>
      </c>
    </row>
    <row r="6632" spans="1:3" x14ac:dyDescent="0.25">
      <c r="A6632" s="1" t="s">
        <v>6631</v>
      </c>
      <c r="C6632" s="3">
        <v>19</v>
      </c>
    </row>
    <row r="6633" spans="1:3" x14ac:dyDescent="0.25">
      <c r="A6633" s="1" t="s">
        <v>6632</v>
      </c>
      <c r="C6633" s="3">
        <v>19</v>
      </c>
    </row>
    <row r="6634" spans="1:3" x14ac:dyDescent="0.25">
      <c r="A6634" s="1" t="s">
        <v>6633</v>
      </c>
      <c r="C6634" s="3">
        <v>19</v>
      </c>
    </row>
    <row r="6635" spans="1:3" x14ac:dyDescent="0.25">
      <c r="A6635" s="1" t="s">
        <v>6634</v>
      </c>
      <c r="C6635" s="3">
        <v>19</v>
      </c>
    </row>
    <row r="6636" spans="1:3" x14ac:dyDescent="0.25">
      <c r="A6636" s="1" t="s">
        <v>6635</v>
      </c>
      <c r="C6636" s="3">
        <v>19</v>
      </c>
    </row>
    <row r="6637" spans="1:3" x14ac:dyDescent="0.25">
      <c r="A6637" s="1" t="s">
        <v>6636</v>
      </c>
      <c r="C6637" s="3">
        <v>19</v>
      </c>
    </row>
    <row r="6638" spans="1:3" x14ac:dyDescent="0.25">
      <c r="A6638" s="1" t="s">
        <v>6637</v>
      </c>
      <c r="C6638" s="3">
        <v>19</v>
      </c>
    </row>
    <row r="6639" spans="1:3" x14ac:dyDescent="0.25">
      <c r="A6639" s="1" t="s">
        <v>6638</v>
      </c>
      <c r="C6639" s="3">
        <v>19</v>
      </c>
    </row>
    <row r="6640" spans="1:3" x14ac:dyDescent="0.25">
      <c r="A6640" s="1" t="s">
        <v>6639</v>
      </c>
      <c r="C6640" s="3">
        <v>19</v>
      </c>
    </row>
    <row r="6641" spans="1:3" x14ac:dyDescent="0.25">
      <c r="A6641" s="1" t="s">
        <v>6640</v>
      </c>
      <c r="C6641" s="3">
        <v>19</v>
      </c>
    </row>
    <row r="6642" spans="1:3" x14ac:dyDescent="0.25">
      <c r="A6642" s="1" t="s">
        <v>6641</v>
      </c>
      <c r="C6642" s="3">
        <v>19</v>
      </c>
    </row>
    <row r="6643" spans="1:3" x14ac:dyDescent="0.25">
      <c r="A6643" s="1" t="s">
        <v>6642</v>
      </c>
      <c r="C6643" s="3">
        <v>19</v>
      </c>
    </row>
    <row r="6644" spans="1:3" x14ac:dyDescent="0.25">
      <c r="A6644" s="1" t="s">
        <v>6643</v>
      </c>
      <c r="C6644" s="3">
        <v>19</v>
      </c>
    </row>
    <row r="6645" spans="1:3" x14ac:dyDescent="0.25">
      <c r="A6645" s="1" t="s">
        <v>6644</v>
      </c>
      <c r="C6645" s="3">
        <v>19</v>
      </c>
    </row>
    <row r="6646" spans="1:3" x14ac:dyDescent="0.25">
      <c r="A6646" s="1" t="s">
        <v>6645</v>
      </c>
      <c r="C6646" s="3">
        <v>19</v>
      </c>
    </row>
    <row r="6647" spans="1:3" x14ac:dyDescent="0.25">
      <c r="A6647" s="1" t="s">
        <v>6646</v>
      </c>
      <c r="C6647" s="3">
        <v>19</v>
      </c>
    </row>
    <row r="6648" spans="1:3" x14ac:dyDescent="0.25">
      <c r="A6648" s="1" t="s">
        <v>6647</v>
      </c>
      <c r="C6648" s="3">
        <v>19</v>
      </c>
    </row>
    <row r="6649" spans="1:3" x14ac:dyDescent="0.25">
      <c r="A6649" s="1" t="s">
        <v>6648</v>
      </c>
      <c r="C6649" s="3">
        <v>19</v>
      </c>
    </row>
    <row r="6650" spans="1:3" x14ac:dyDescent="0.25">
      <c r="A6650" s="1" t="s">
        <v>6649</v>
      </c>
      <c r="C6650" s="3">
        <v>19</v>
      </c>
    </row>
    <row r="6651" spans="1:3" x14ac:dyDescent="0.25">
      <c r="A6651" s="1" t="s">
        <v>6650</v>
      </c>
      <c r="C6651" s="3">
        <v>19</v>
      </c>
    </row>
    <row r="6652" spans="1:3" x14ac:dyDescent="0.25">
      <c r="A6652" s="1" t="s">
        <v>6651</v>
      </c>
      <c r="C6652" s="3">
        <v>19</v>
      </c>
    </row>
    <row r="6653" spans="1:3" x14ac:dyDescent="0.25">
      <c r="A6653" s="1" t="s">
        <v>6652</v>
      </c>
      <c r="C6653" s="3">
        <v>19</v>
      </c>
    </row>
    <row r="6654" spans="1:3" x14ac:dyDescent="0.25">
      <c r="A6654" s="1" t="s">
        <v>6653</v>
      </c>
      <c r="C6654" s="3">
        <v>19</v>
      </c>
    </row>
    <row r="6655" spans="1:3" x14ac:dyDescent="0.25">
      <c r="A6655" s="1" t="s">
        <v>6654</v>
      </c>
      <c r="C6655" s="3">
        <v>19</v>
      </c>
    </row>
    <row r="6656" spans="1:3" x14ac:dyDescent="0.25">
      <c r="A6656" s="1" t="s">
        <v>6655</v>
      </c>
      <c r="C6656" s="3">
        <v>19</v>
      </c>
    </row>
    <row r="6657" spans="1:3" x14ac:dyDescent="0.25">
      <c r="A6657" s="1" t="s">
        <v>6656</v>
      </c>
      <c r="C6657" s="3">
        <v>19</v>
      </c>
    </row>
    <row r="6658" spans="1:3" x14ac:dyDescent="0.25">
      <c r="A6658" s="1" t="s">
        <v>6657</v>
      </c>
      <c r="C6658" s="3">
        <v>19</v>
      </c>
    </row>
    <row r="6659" spans="1:3" x14ac:dyDescent="0.25">
      <c r="A6659" s="1" t="s">
        <v>6658</v>
      </c>
      <c r="C6659" s="3">
        <v>19</v>
      </c>
    </row>
    <row r="6660" spans="1:3" x14ac:dyDescent="0.25">
      <c r="A6660" s="1" t="s">
        <v>6659</v>
      </c>
      <c r="C6660" s="3">
        <v>19</v>
      </c>
    </row>
    <row r="6661" spans="1:3" x14ac:dyDescent="0.25">
      <c r="A6661" s="1" t="s">
        <v>6660</v>
      </c>
      <c r="C6661" s="3">
        <v>19</v>
      </c>
    </row>
    <row r="6662" spans="1:3" x14ac:dyDescent="0.25">
      <c r="A6662" s="1" t="s">
        <v>6661</v>
      </c>
      <c r="C6662" s="3">
        <v>19</v>
      </c>
    </row>
    <row r="6663" spans="1:3" x14ac:dyDescent="0.25">
      <c r="A6663" s="1" t="s">
        <v>6662</v>
      </c>
      <c r="C6663" s="3">
        <v>19</v>
      </c>
    </row>
    <row r="6664" spans="1:3" x14ac:dyDescent="0.25">
      <c r="A6664" s="1" t="s">
        <v>6663</v>
      </c>
      <c r="C6664" s="3">
        <v>19</v>
      </c>
    </row>
    <row r="6665" spans="1:3" x14ac:dyDescent="0.25">
      <c r="A6665" s="1" t="s">
        <v>6664</v>
      </c>
      <c r="C6665" s="3">
        <v>19</v>
      </c>
    </row>
    <row r="6666" spans="1:3" x14ac:dyDescent="0.25">
      <c r="A6666" s="1" t="s">
        <v>6665</v>
      </c>
      <c r="C6666" s="3">
        <v>19</v>
      </c>
    </row>
    <row r="6667" spans="1:3" x14ac:dyDescent="0.25">
      <c r="A6667" s="1" t="s">
        <v>6666</v>
      </c>
      <c r="C6667" s="3">
        <v>19</v>
      </c>
    </row>
    <row r="6668" spans="1:3" x14ac:dyDescent="0.25">
      <c r="A6668" s="1" t="s">
        <v>6667</v>
      </c>
      <c r="C6668" s="3">
        <v>19</v>
      </c>
    </row>
    <row r="6669" spans="1:3" x14ac:dyDescent="0.25">
      <c r="A6669" s="1" t="s">
        <v>6668</v>
      </c>
      <c r="C6669" s="3">
        <v>19</v>
      </c>
    </row>
    <row r="6670" spans="1:3" x14ac:dyDescent="0.25">
      <c r="A6670" s="1" t="s">
        <v>6669</v>
      </c>
      <c r="C6670" s="3">
        <v>19</v>
      </c>
    </row>
    <row r="6671" spans="1:3" x14ac:dyDescent="0.25">
      <c r="A6671" s="1" t="s">
        <v>6670</v>
      </c>
      <c r="C6671" s="3">
        <v>19</v>
      </c>
    </row>
    <row r="6672" spans="1:3" x14ac:dyDescent="0.25">
      <c r="A6672" s="1" t="s">
        <v>6671</v>
      </c>
      <c r="C6672" s="3">
        <v>19</v>
      </c>
    </row>
    <row r="6673" spans="1:3" x14ac:dyDescent="0.25">
      <c r="A6673" s="1" t="s">
        <v>6672</v>
      </c>
      <c r="C6673" s="3">
        <v>19</v>
      </c>
    </row>
    <row r="6674" spans="1:3" x14ac:dyDescent="0.25">
      <c r="A6674" s="1" t="s">
        <v>6673</v>
      </c>
      <c r="C6674" s="3">
        <v>19</v>
      </c>
    </row>
    <row r="6675" spans="1:3" x14ac:dyDescent="0.25">
      <c r="A6675" s="1" t="s">
        <v>6674</v>
      </c>
      <c r="C6675" s="3">
        <v>19</v>
      </c>
    </row>
    <row r="6676" spans="1:3" x14ac:dyDescent="0.25">
      <c r="A6676" s="1" t="s">
        <v>6675</v>
      </c>
      <c r="C6676" s="3">
        <v>19</v>
      </c>
    </row>
    <row r="6677" spans="1:3" x14ac:dyDescent="0.25">
      <c r="A6677" s="1" t="s">
        <v>6676</v>
      </c>
      <c r="C6677" s="3">
        <v>19</v>
      </c>
    </row>
    <row r="6678" spans="1:3" x14ac:dyDescent="0.25">
      <c r="A6678" s="1" t="s">
        <v>6677</v>
      </c>
      <c r="C6678" s="3">
        <v>19</v>
      </c>
    </row>
    <row r="6679" spans="1:3" x14ac:dyDescent="0.25">
      <c r="A6679" s="1" t="s">
        <v>6678</v>
      </c>
      <c r="C6679" s="3">
        <v>19</v>
      </c>
    </row>
    <row r="6680" spans="1:3" x14ac:dyDescent="0.25">
      <c r="A6680" s="1" t="s">
        <v>6679</v>
      </c>
      <c r="C6680" s="3">
        <v>19</v>
      </c>
    </row>
    <row r="6681" spans="1:3" x14ac:dyDescent="0.25">
      <c r="A6681" s="1" t="s">
        <v>6680</v>
      </c>
      <c r="C6681" s="3">
        <v>19</v>
      </c>
    </row>
    <row r="6682" spans="1:3" x14ac:dyDescent="0.25">
      <c r="A6682" s="1" t="s">
        <v>6681</v>
      </c>
      <c r="C6682" s="3">
        <v>19</v>
      </c>
    </row>
    <row r="6683" spans="1:3" x14ac:dyDescent="0.25">
      <c r="A6683" s="1" t="s">
        <v>6682</v>
      </c>
      <c r="C6683" s="3">
        <v>19</v>
      </c>
    </row>
    <row r="6684" spans="1:3" x14ac:dyDescent="0.25">
      <c r="A6684" s="1" t="s">
        <v>6683</v>
      </c>
      <c r="C6684" s="3">
        <v>19</v>
      </c>
    </row>
    <row r="6685" spans="1:3" x14ac:dyDescent="0.25">
      <c r="A6685" s="1" t="s">
        <v>6684</v>
      </c>
      <c r="C6685" s="3">
        <v>19</v>
      </c>
    </row>
    <row r="6686" spans="1:3" x14ac:dyDescent="0.25">
      <c r="A6686" s="1" t="s">
        <v>6685</v>
      </c>
      <c r="C6686" s="3">
        <v>19</v>
      </c>
    </row>
    <row r="6687" spans="1:3" x14ac:dyDescent="0.25">
      <c r="A6687" s="1" t="s">
        <v>6686</v>
      </c>
      <c r="C6687" s="3">
        <v>19</v>
      </c>
    </row>
    <row r="6688" spans="1:3" x14ac:dyDescent="0.25">
      <c r="A6688" s="1" t="s">
        <v>6687</v>
      </c>
      <c r="C6688" s="3">
        <v>19</v>
      </c>
    </row>
    <row r="6689" spans="1:3" x14ac:dyDescent="0.25">
      <c r="A6689" s="1" t="s">
        <v>6688</v>
      </c>
      <c r="C6689" s="3">
        <v>19</v>
      </c>
    </row>
    <row r="6690" spans="1:3" x14ac:dyDescent="0.25">
      <c r="A6690" s="1" t="s">
        <v>6689</v>
      </c>
      <c r="C6690" s="3">
        <v>19</v>
      </c>
    </row>
    <row r="6691" spans="1:3" x14ac:dyDescent="0.25">
      <c r="A6691" s="1" t="s">
        <v>6690</v>
      </c>
      <c r="C6691" s="3">
        <v>19</v>
      </c>
    </row>
    <row r="6692" spans="1:3" x14ac:dyDescent="0.25">
      <c r="A6692" s="1" t="s">
        <v>6691</v>
      </c>
      <c r="C6692" s="3">
        <v>19</v>
      </c>
    </row>
    <row r="6693" spans="1:3" x14ac:dyDescent="0.25">
      <c r="A6693" s="1" t="s">
        <v>6692</v>
      </c>
      <c r="C6693" s="3">
        <v>19</v>
      </c>
    </row>
    <row r="6694" spans="1:3" x14ac:dyDescent="0.25">
      <c r="A6694" s="1" t="s">
        <v>6693</v>
      </c>
      <c r="C6694" s="3">
        <v>19</v>
      </c>
    </row>
    <row r="6695" spans="1:3" x14ac:dyDescent="0.25">
      <c r="A6695" s="1" t="s">
        <v>6694</v>
      </c>
      <c r="C6695" s="3">
        <v>19</v>
      </c>
    </row>
    <row r="6696" spans="1:3" x14ac:dyDescent="0.25">
      <c r="A6696" s="1" t="s">
        <v>6695</v>
      </c>
      <c r="C6696" s="3">
        <v>19</v>
      </c>
    </row>
    <row r="6697" spans="1:3" x14ac:dyDescent="0.25">
      <c r="A6697" s="1" t="s">
        <v>6696</v>
      </c>
      <c r="C6697" s="3">
        <v>19</v>
      </c>
    </row>
    <row r="6698" spans="1:3" x14ac:dyDescent="0.25">
      <c r="A6698" s="1" t="s">
        <v>6697</v>
      </c>
      <c r="C6698" s="3">
        <v>19</v>
      </c>
    </row>
    <row r="6699" spans="1:3" x14ac:dyDescent="0.25">
      <c r="A6699" s="1" t="s">
        <v>6698</v>
      </c>
      <c r="C6699" s="3">
        <v>19</v>
      </c>
    </row>
    <row r="6700" spans="1:3" x14ac:dyDescent="0.25">
      <c r="A6700" s="1" t="s">
        <v>6699</v>
      </c>
      <c r="C6700" s="3">
        <v>19</v>
      </c>
    </row>
    <row r="6701" spans="1:3" x14ac:dyDescent="0.25">
      <c r="A6701" s="1" t="s">
        <v>6700</v>
      </c>
      <c r="C6701" s="3">
        <v>19</v>
      </c>
    </row>
    <row r="6702" spans="1:3" x14ac:dyDescent="0.25">
      <c r="A6702" s="1" t="s">
        <v>6701</v>
      </c>
      <c r="C6702" s="3">
        <v>19</v>
      </c>
    </row>
    <row r="6703" spans="1:3" x14ac:dyDescent="0.25">
      <c r="A6703" s="1" t="s">
        <v>6702</v>
      </c>
      <c r="C6703" s="3">
        <v>19</v>
      </c>
    </row>
    <row r="6704" spans="1:3" x14ac:dyDescent="0.25">
      <c r="A6704" s="1" t="s">
        <v>6703</v>
      </c>
      <c r="C6704" s="3">
        <v>19</v>
      </c>
    </row>
    <row r="6705" spans="1:3" x14ac:dyDescent="0.25">
      <c r="A6705" s="1" t="s">
        <v>6704</v>
      </c>
      <c r="C6705" s="3">
        <v>19</v>
      </c>
    </row>
    <row r="6706" spans="1:3" x14ac:dyDescent="0.25">
      <c r="A6706" s="1" t="s">
        <v>6705</v>
      </c>
      <c r="C6706" s="3">
        <v>19</v>
      </c>
    </row>
    <row r="6707" spans="1:3" x14ac:dyDescent="0.25">
      <c r="A6707" s="1" t="s">
        <v>6706</v>
      </c>
      <c r="C6707" s="3">
        <v>19</v>
      </c>
    </row>
    <row r="6708" spans="1:3" x14ac:dyDescent="0.25">
      <c r="A6708" s="1" t="s">
        <v>6707</v>
      </c>
      <c r="C6708" s="3">
        <v>19</v>
      </c>
    </row>
    <row r="6709" spans="1:3" x14ac:dyDescent="0.25">
      <c r="A6709" s="1" t="s">
        <v>6708</v>
      </c>
      <c r="C6709" s="3">
        <v>19</v>
      </c>
    </row>
    <row r="6710" spans="1:3" x14ac:dyDescent="0.25">
      <c r="A6710" s="1" t="s">
        <v>6709</v>
      </c>
      <c r="C6710" s="3">
        <v>19</v>
      </c>
    </row>
    <row r="6711" spans="1:3" x14ac:dyDescent="0.25">
      <c r="A6711" s="1" t="s">
        <v>6710</v>
      </c>
      <c r="C6711" s="3">
        <v>19</v>
      </c>
    </row>
    <row r="6712" spans="1:3" x14ac:dyDescent="0.25">
      <c r="A6712" s="1" t="s">
        <v>6711</v>
      </c>
      <c r="C6712" s="3">
        <v>19</v>
      </c>
    </row>
    <row r="6713" spans="1:3" x14ac:dyDescent="0.25">
      <c r="A6713" s="1" t="s">
        <v>6712</v>
      </c>
      <c r="C6713" s="3">
        <v>19</v>
      </c>
    </row>
    <row r="6714" spans="1:3" x14ac:dyDescent="0.25">
      <c r="A6714" s="1" t="s">
        <v>6713</v>
      </c>
      <c r="C6714" s="3">
        <v>19</v>
      </c>
    </row>
    <row r="6715" spans="1:3" x14ac:dyDescent="0.25">
      <c r="A6715" s="1" t="s">
        <v>6714</v>
      </c>
      <c r="C6715" s="3">
        <v>19</v>
      </c>
    </row>
    <row r="6716" spans="1:3" x14ac:dyDescent="0.25">
      <c r="A6716" s="1" t="s">
        <v>6715</v>
      </c>
      <c r="C6716" s="3">
        <v>19</v>
      </c>
    </row>
    <row r="6717" spans="1:3" x14ac:dyDescent="0.25">
      <c r="A6717" s="1" t="s">
        <v>6716</v>
      </c>
      <c r="C6717" s="3">
        <v>19</v>
      </c>
    </row>
    <row r="6718" spans="1:3" x14ac:dyDescent="0.25">
      <c r="A6718" s="1" t="s">
        <v>6717</v>
      </c>
      <c r="C6718" s="3">
        <v>19</v>
      </c>
    </row>
    <row r="6719" spans="1:3" x14ac:dyDescent="0.25">
      <c r="A6719" s="1" t="s">
        <v>6718</v>
      </c>
      <c r="C6719" s="3">
        <v>19</v>
      </c>
    </row>
    <row r="6720" spans="1:3" x14ac:dyDescent="0.25">
      <c r="A6720" s="1" t="s">
        <v>6719</v>
      </c>
      <c r="C6720" s="3">
        <v>19</v>
      </c>
    </row>
    <row r="6721" spans="1:3" x14ac:dyDescent="0.25">
      <c r="A6721" s="1" t="s">
        <v>6720</v>
      </c>
      <c r="C6721" s="3">
        <v>19</v>
      </c>
    </row>
    <row r="6722" spans="1:3" x14ac:dyDescent="0.25">
      <c r="A6722" s="1" t="s">
        <v>6721</v>
      </c>
      <c r="C6722" s="3">
        <v>19</v>
      </c>
    </row>
    <row r="6723" spans="1:3" x14ac:dyDescent="0.25">
      <c r="A6723" s="1" t="s">
        <v>6722</v>
      </c>
      <c r="C6723" s="3">
        <v>19</v>
      </c>
    </row>
    <row r="6724" spans="1:3" x14ac:dyDescent="0.25">
      <c r="A6724" s="1" t="s">
        <v>6723</v>
      </c>
      <c r="C6724" s="3">
        <v>19</v>
      </c>
    </row>
    <row r="6725" spans="1:3" x14ac:dyDescent="0.25">
      <c r="A6725" s="1" t="s">
        <v>6724</v>
      </c>
      <c r="C6725" s="3">
        <v>19</v>
      </c>
    </row>
    <row r="6726" spans="1:3" x14ac:dyDescent="0.25">
      <c r="A6726" s="1" t="s">
        <v>6725</v>
      </c>
      <c r="C6726" s="3">
        <v>19</v>
      </c>
    </row>
    <row r="6727" spans="1:3" x14ac:dyDescent="0.25">
      <c r="A6727" s="1" t="s">
        <v>6726</v>
      </c>
      <c r="C6727" s="3">
        <v>19</v>
      </c>
    </row>
    <row r="6728" spans="1:3" x14ac:dyDescent="0.25">
      <c r="A6728" s="1" t="s">
        <v>6727</v>
      </c>
      <c r="C6728" s="3">
        <v>19</v>
      </c>
    </row>
    <row r="6729" spans="1:3" x14ac:dyDescent="0.25">
      <c r="A6729" s="1" t="s">
        <v>6728</v>
      </c>
      <c r="C6729" s="3">
        <v>19</v>
      </c>
    </row>
    <row r="6730" spans="1:3" x14ac:dyDescent="0.25">
      <c r="A6730" s="1" t="s">
        <v>6729</v>
      </c>
      <c r="C6730" s="3">
        <v>19</v>
      </c>
    </row>
    <row r="6731" spans="1:3" x14ac:dyDescent="0.25">
      <c r="A6731" s="1" t="s">
        <v>6730</v>
      </c>
      <c r="C6731" s="3">
        <v>19</v>
      </c>
    </row>
    <row r="6732" spans="1:3" x14ac:dyDescent="0.25">
      <c r="A6732" s="1" t="s">
        <v>6731</v>
      </c>
      <c r="C6732" s="3">
        <v>19</v>
      </c>
    </row>
    <row r="6733" spans="1:3" x14ac:dyDescent="0.25">
      <c r="A6733" s="1" t="s">
        <v>6732</v>
      </c>
      <c r="C6733" s="3">
        <v>19</v>
      </c>
    </row>
    <row r="6734" spans="1:3" x14ac:dyDescent="0.25">
      <c r="A6734" s="1" t="s">
        <v>6733</v>
      </c>
      <c r="C6734" s="3">
        <v>19</v>
      </c>
    </row>
    <row r="6735" spans="1:3" x14ac:dyDescent="0.25">
      <c r="A6735" s="1" t="s">
        <v>6734</v>
      </c>
      <c r="C6735" s="3">
        <v>19</v>
      </c>
    </row>
    <row r="6736" spans="1:3" x14ac:dyDescent="0.25">
      <c r="A6736" s="1" t="s">
        <v>6735</v>
      </c>
      <c r="C6736" s="3">
        <v>19</v>
      </c>
    </row>
    <row r="6737" spans="1:3" x14ac:dyDescent="0.25">
      <c r="A6737" s="1" t="s">
        <v>6736</v>
      </c>
      <c r="C6737" s="3">
        <v>19</v>
      </c>
    </row>
    <row r="6738" spans="1:3" x14ac:dyDescent="0.25">
      <c r="A6738" s="1" t="s">
        <v>6737</v>
      </c>
      <c r="C6738" s="3">
        <v>19</v>
      </c>
    </row>
    <row r="6739" spans="1:3" x14ac:dyDescent="0.25">
      <c r="A6739" s="1" t="s">
        <v>6738</v>
      </c>
      <c r="C6739" s="3">
        <v>19</v>
      </c>
    </row>
    <row r="6740" spans="1:3" x14ac:dyDescent="0.25">
      <c r="A6740" s="1" t="s">
        <v>6739</v>
      </c>
      <c r="C6740" s="3">
        <v>18</v>
      </c>
    </row>
    <row r="6741" spans="1:3" x14ac:dyDescent="0.25">
      <c r="A6741" s="1" t="s">
        <v>6740</v>
      </c>
      <c r="C6741" s="3">
        <v>18</v>
      </c>
    </row>
    <row r="6742" spans="1:3" x14ac:dyDescent="0.25">
      <c r="A6742" s="1" t="s">
        <v>6741</v>
      </c>
      <c r="C6742" s="3">
        <v>18</v>
      </c>
    </row>
    <row r="6743" spans="1:3" x14ac:dyDescent="0.25">
      <c r="A6743" s="1" t="s">
        <v>6742</v>
      </c>
      <c r="C6743" s="3">
        <v>18</v>
      </c>
    </row>
    <row r="6744" spans="1:3" x14ac:dyDescent="0.25">
      <c r="A6744" s="1" t="s">
        <v>6743</v>
      </c>
      <c r="C6744" s="3">
        <v>18</v>
      </c>
    </row>
    <row r="6745" spans="1:3" x14ac:dyDescent="0.25">
      <c r="A6745" s="1" t="s">
        <v>6744</v>
      </c>
      <c r="C6745" s="3">
        <v>18</v>
      </c>
    </row>
    <row r="6746" spans="1:3" x14ac:dyDescent="0.25">
      <c r="A6746" s="1" t="s">
        <v>6745</v>
      </c>
      <c r="C6746" s="3">
        <v>18</v>
      </c>
    </row>
    <row r="6747" spans="1:3" x14ac:dyDescent="0.25">
      <c r="A6747" s="1" t="s">
        <v>6746</v>
      </c>
      <c r="C6747" s="3">
        <v>18</v>
      </c>
    </row>
    <row r="6748" spans="1:3" x14ac:dyDescent="0.25">
      <c r="A6748" s="1" t="s">
        <v>6747</v>
      </c>
      <c r="C6748" s="3">
        <v>18</v>
      </c>
    </row>
    <row r="6749" spans="1:3" x14ac:dyDescent="0.25">
      <c r="A6749" s="1" t="s">
        <v>6748</v>
      </c>
      <c r="C6749" s="3">
        <v>18</v>
      </c>
    </row>
    <row r="6750" spans="1:3" x14ac:dyDescent="0.25">
      <c r="A6750" s="1" t="s">
        <v>6749</v>
      </c>
      <c r="C6750" s="3">
        <v>18</v>
      </c>
    </row>
    <row r="6751" spans="1:3" x14ac:dyDescent="0.25">
      <c r="A6751" s="1" t="s">
        <v>6750</v>
      </c>
      <c r="C6751" s="3">
        <v>18</v>
      </c>
    </row>
    <row r="6752" spans="1:3" x14ac:dyDescent="0.25">
      <c r="A6752" s="1" t="s">
        <v>6751</v>
      </c>
      <c r="C6752" s="3">
        <v>18</v>
      </c>
    </row>
    <row r="6753" spans="1:3" x14ac:dyDescent="0.25">
      <c r="A6753" s="1" t="s">
        <v>6752</v>
      </c>
      <c r="C6753" s="3">
        <v>18</v>
      </c>
    </row>
    <row r="6754" spans="1:3" x14ac:dyDescent="0.25">
      <c r="A6754" s="1" t="s">
        <v>6753</v>
      </c>
      <c r="C6754" s="3">
        <v>18</v>
      </c>
    </row>
    <row r="6755" spans="1:3" x14ac:dyDescent="0.25">
      <c r="A6755" s="1" t="s">
        <v>6754</v>
      </c>
      <c r="C6755" s="3">
        <v>18</v>
      </c>
    </row>
    <row r="6756" spans="1:3" x14ac:dyDescent="0.25">
      <c r="A6756" s="1" t="s">
        <v>6755</v>
      </c>
      <c r="C6756" s="3">
        <v>18</v>
      </c>
    </row>
    <row r="6757" spans="1:3" x14ac:dyDescent="0.25">
      <c r="A6757" s="1" t="s">
        <v>6756</v>
      </c>
      <c r="C6757" s="3">
        <v>18</v>
      </c>
    </row>
    <row r="6758" spans="1:3" x14ac:dyDescent="0.25">
      <c r="A6758" s="1" t="s">
        <v>6757</v>
      </c>
      <c r="C6758" s="3">
        <v>18</v>
      </c>
    </row>
    <row r="6759" spans="1:3" x14ac:dyDescent="0.25">
      <c r="A6759" s="1" t="s">
        <v>6758</v>
      </c>
      <c r="C6759" s="3">
        <v>18</v>
      </c>
    </row>
    <row r="6760" spans="1:3" x14ac:dyDescent="0.25">
      <c r="A6760" s="1" t="s">
        <v>6759</v>
      </c>
      <c r="C6760" s="3">
        <v>18</v>
      </c>
    </row>
    <row r="6761" spans="1:3" x14ac:dyDescent="0.25">
      <c r="A6761" s="1" t="s">
        <v>6760</v>
      </c>
      <c r="C6761" s="3">
        <v>18</v>
      </c>
    </row>
    <row r="6762" spans="1:3" x14ac:dyDescent="0.25">
      <c r="A6762" s="1" t="s">
        <v>6761</v>
      </c>
      <c r="C6762" s="3">
        <v>18</v>
      </c>
    </row>
    <row r="6763" spans="1:3" x14ac:dyDescent="0.25">
      <c r="A6763" s="1" t="s">
        <v>6762</v>
      </c>
      <c r="C6763" s="3">
        <v>18</v>
      </c>
    </row>
    <row r="6764" spans="1:3" x14ac:dyDescent="0.25">
      <c r="A6764" s="1" t="s">
        <v>6763</v>
      </c>
      <c r="C6764" s="3">
        <v>18</v>
      </c>
    </row>
    <row r="6765" spans="1:3" x14ac:dyDescent="0.25">
      <c r="A6765" s="1" t="s">
        <v>6764</v>
      </c>
      <c r="C6765" s="3">
        <v>18</v>
      </c>
    </row>
    <row r="6766" spans="1:3" x14ac:dyDescent="0.25">
      <c r="A6766" s="1" t="s">
        <v>6765</v>
      </c>
      <c r="C6766" s="3">
        <v>18</v>
      </c>
    </row>
    <row r="6767" spans="1:3" x14ac:dyDescent="0.25">
      <c r="A6767" s="1" t="s">
        <v>6766</v>
      </c>
      <c r="C6767" s="3">
        <v>18</v>
      </c>
    </row>
    <row r="6768" spans="1:3" x14ac:dyDescent="0.25">
      <c r="A6768" s="1" t="s">
        <v>6767</v>
      </c>
      <c r="C6768" s="3">
        <v>18</v>
      </c>
    </row>
    <row r="6769" spans="1:3" x14ac:dyDescent="0.25">
      <c r="A6769" s="1" t="s">
        <v>6768</v>
      </c>
      <c r="C6769" s="3">
        <v>18</v>
      </c>
    </row>
    <row r="6770" spans="1:3" x14ac:dyDescent="0.25">
      <c r="A6770" s="1" t="s">
        <v>6769</v>
      </c>
      <c r="C6770" s="3">
        <v>18</v>
      </c>
    </row>
    <row r="6771" spans="1:3" x14ac:dyDescent="0.25">
      <c r="A6771" s="1" t="s">
        <v>6770</v>
      </c>
      <c r="C6771" s="3">
        <v>18</v>
      </c>
    </row>
    <row r="6772" spans="1:3" x14ac:dyDescent="0.25">
      <c r="A6772" s="1" t="s">
        <v>6771</v>
      </c>
      <c r="C6772" s="3">
        <v>18</v>
      </c>
    </row>
    <row r="6773" spans="1:3" x14ac:dyDescent="0.25">
      <c r="A6773" s="1" t="s">
        <v>6772</v>
      </c>
      <c r="C6773" s="3">
        <v>18</v>
      </c>
    </row>
    <row r="6774" spans="1:3" x14ac:dyDescent="0.25">
      <c r="A6774" s="1" t="s">
        <v>6773</v>
      </c>
      <c r="C6774" s="3">
        <v>18</v>
      </c>
    </row>
    <row r="6775" spans="1:3" x14ac:dyDescent="0.25">
      <c r="A6775" s="1" t="s">
        <v>6774</v>
      </c>
      <c r="C6775" s="3">
        <v>18</v>
      </c>
    </row>
    <row r="6776" spans="1:3" x14ac:dyDescent="0.25">
      <c r="A6776" s="1" t="s">
        <v>6775</v>
      </c>
      <c r="C6776" s="3">
        <v>18</v>
      </c>
    </row>
    <row r="6777" spans="1:3" x14ac:dyDescent="0.25">
      <c r="A6777" s="1" t="s">
        <v>6776</v>
      </c>
      <c r="C6777" s="3">
        <v>18</v>
      </c>
    </row>
    <row r="6778" spans="1:3" x14ac:dyDescent="0.25">
      <c r="A6778" s="1" t="s">
        <v>6777</v>
      </c>
      <c r="C6778" s="3">
        <v>18</v>
      </c>
    </row>
    <row r="6779" spans="1:3" x14ac:dyDescent="0.25">
      <c r="A6779" s="1" t="s">
        <v>6778</v>
      </c>
      <c r="C6779" s="3">
        <v>18</v>
      </c>
    </row>
    <row r="6780" spans="1:3" x14ac:dyDescent="0.25">
      <c r="A6780" s="1" t="s">
        <v>6779</v>
      </c>
      <c r="C6780" s="3">
        <v>18</v>
      </c>
    </row>
    <row r="6781" spans="1:3" x14ac:dyDescent="0.25">
      <c r="A6781" s="1" t="s">
        <v>6780</v>
      </c>
      <c r="C6781" s="3">
        <v>18</v>
      </c>
    </row>
    <row r="6782" spans="1:3" x14ac:dyDescent="0.25">
      <c r="A6782" s="1" t="s">
        <v>6781</v>
      </c>
      <c r="C6782" s="3">
        <v>18</v>
      </c>
    </row>
    <row r="6783" spans="1:3" x14ac:dyDescent="0.25">
      <c r="A6783" s="1" t="s">
        <v>6782</v>
      </c>
      <c r="C6783" s="3">
        <v>18</v>
      </c>
    </row>
    <row r="6784" spans="1:3" x14ac:dyDescent="0.25">
      <c r="A6784" s="1" t="s">
        <v>6783</v>
      </c>
      <c r="C6784" s="3">
        <v>18</v>
      </c>
    </row>
    <row r="6785" spans="1:3" x14ac:dyDescent="0.25">
      <c r="A6785" s="1" t="s">
        <v>6784</v>
      </c>
      <c r="C6785" s="3">
        <v>18</v>
      </c>
    </row>
    <row r="6786" spans="1:3" x14ac:dyDescent="0.25">
      <c r="A6786" s="1" t="s">
        <v>6785</v>
      </c>
      <c r="C6786" s="3">
        <v>18</v>
      </c>
    </row>
    <row r="6787" spans="1:3" x14ac:dyDescent="0.25">
      <c r="A6787" s="1" t="s">
        <v>6786</v>
      </c>
      <c r="C6787" s="3">
        <v>18</v>
      </c>
    </row>
    <row r="6788" spans="1:3" x14ac:dyDescent="0.25">
      <c r="A6788" s="1" t="s">
        <v>6787</v>
      </c>
      <c r="C6788" s="3">
        <v>18</v>
      </c>
    </row>
    <row r="6789" spans="1:3" x14ac:dyDescent="0.25">
      <c r="A6789" s="1" t="s">
        <v>6788</v>
      </c>
      <c r="C6789" s="3">
        <v>18</v>
      </c>
    </row>
    <row r="6790" spans="1:3" x14ac:dyDescent="0.25">
      <c r="A6790" s="1" t="s">
        <v>6789</v>
      </c>
      <c r="C6790" s="3">
        <v>18</v>
      </c>
    </row>
    <row r="6791" spans="1:3" x14ac:dyDescent="0.25">
      <c r="A6791" s="1" t="s">
        <v>6790</v>
      </c>
      <c r="C6791" s="3">
        <v>18</v>
      </c>
    </row>
    <row r="6792" spans="1:3" x14ac:dyDescent="0.25">
      <c r="A6792" s="1" t="s">
        <v>6791</v>
      </c>
      <c r="C6792" s="3">
        <v>18</v>
      </c>
    </row>
    <row r="6793" spans="1:3" x14ac:dyDescent="0.25">
      <c r="A6793" s="1" t="s">
        <v>6792</v>
      </c>
      <c r="C6793" s="3">
        <v>18</v>
      </c>
    </row>
    <row r="6794" spans="1:3" x14ac:dyDescent="0.25">
      <c r="A6794" s="1" t="s">
        <v>6793</v>
      </c>
      <c r="C6794" s="3">
        <v>18</v>
      </c>
    </row>
    <row r="6795" spans="1:3" x14ac:dyDescent="0.25">
      <c r="A6795" s="1" t="s">
        <v>6794</v>
      </c>
      <c r="C6795" s="3">
        <v>18</v>
      </c>
    </row>
    <row r="6796" spans="1:3" x14ac:dyDescent="0.25">
      <c r="A6796" s="1" t="s">
        <v>6795</v>
      </c>
      <c r="C6796" s="3">
        <v>18</v>
      </c>
    </row>
    <row r="6797" spans="1:3" x14ac:dyDescent="0.25">
      <c r="A6797" s="1" t="s">
        <v>6796</v>
      </c>
      <c r="C6797" s="3">
        <v>18</v>
      </c>
    </row>
    <row r="6798" spans="1:3" x14ac:dyDescent="0.25">
      <c r="A6798" s="1" t="s">
        <v>6797</v>
      </c>
      <c r="C6798" s="3">
        <v>18</v>
      </c>
    </row>
    <row r="6799" spans="1:3" x14ac:dyDescent="0.25">
      <c r="A6799" s="1" t="s">
        <v>6798</v>
      </c>
      <c r="C6799" s="3">
        <v>18</v>
      </c>
    </row>
    <row r="6800" spans="1:3" x14ac:dyDescent="0.25">
      <c r="A6800" s="1" t="s">
        <v>6799</v>
      </c>
      <c r="C6800" s="3">
        <v>18</v>
      </c>
    </row>
    <row r="6801" spans="1:3" x14ac:dyDescent="0.25">
      <c r="A6801" s="1" t="s">
        <v>6800</v>
      </c>
      <c r="C6801" s="3">
        <v>18</v>
      </c>
    </row>
    <row r="6802" spans="1:3" x14ac:dyDescent="0.25">
      <c r="A6802" s="1" t="s">
        <v>6801</v>
      </c>
      <c r="C6802" s="3">
        <v>18</v>
      </c>
    </row>
    <row r="6803" spans="1:3" x14ac:dyDescent="0.25">
      <c r="A6803" s="1" t="s">
        <v>6802</v>
      </c>
      <c r="C6803" s="3">
        <v>18</v>
      </c>
    </row>
    <row r="6804" spans="1:3" x14ac:dyDescent="0.25">
      <c r="A6804" s="1" t="s">
        <v>6803</v>
      </c>
      <c r="C6804" s="3">
        <v>18</v>
      </c>
    </row>
    <row r="6805" spans="1:3" x14ac:dyDescent="0.25">
      <c r="A6805" s="1" t="s">
        <v>6804</v>
      </c>
      <c r="C6805" s="3">
        <v>18</v>
      </c>
    </row>
    <row r="6806" spans="1:3" x14ac:dyDescent="0.25">
      <c r="A6806" s="1" t="s">
        <v>6805</v>
      </c>
      <c r="C6806" s="3">
        <v>18</v>
      </c>
    </row>
    <row r="6807" spans="1:3" x14ac:dyDescent="0.25">
      <c r="A6807" s="1" t="s">
        <v>6806</v>
      </c>
      <c r="C6807" s="3">
        <v>18</v>
      </c>
    </row>
    <row r="6808" spans="1:3" x14ac:dyDescent="0.25">
      <c r="A6808" s="1" t="s">
        <v>6807</v>
      </c>
      <c r="C6808" s="3">
        <v>18</v>
      </c>
    </row>
    <row r="6809" spans="1:3" x14ac:dyDescent="0.25">
      <c r="A6809" s="1" t="s">
        <v>6808</v>
      </c>
      <c r="C6809" s="3">
        <v>18</v>
      </c>
    </row>
    <row r="6810" spans="1:3" x14ac:dyDescent="0.25">
      <c r="A6810" s="1" t="s">
        <v>6809</v>
      </c>
      <c r="C6810" s="3">
        <v>18</v>
      </c>
    </row>
    <row r="6811" spans="1:3" x14ac:dyDescent="0.25">
      <c r="A6811" s="1" t="s">
        <v>6810</v>
      </c>
      <c r="C6811" s="3">
        <v>18</v>
      </c>
    </row>
    <row r="6812" spans="1:3" x14ac:dyDescent="0.25">
      <c r="A6812" s="1" t="s">
        <v>6811</v>
      </c>
      <c r="C6812" s="3">
        <v>18</v>
      </c>
    </row>
    <row r="6813" spans="1:3" x14ac:dyDescent="0.25">
      <c r="A6813" s="1" t="s">
        <v>6812</v>
      </c>
      <c r="C6813" s="3">
        <v>18</v>
      </c>
    </row>
    <row r="6814" spans="1:3" x14ac:dyDescent="0.25">
      <c r="A6814" s="1" t="s">
        <v>6813</v>
      </c>
      <c r="C6814" s="3">
        <v>18</v>
      </c>
    </row>
    <row r="6815" spans="1:3" x14ac:dyDescent="0.25">
      <c r="A6815" s="1" t="s">
        <v>6814</v>
      </c>
      <c r="C6815" s="3">
        <v>18</v>
      </c>
    </row>
    <row r="6816" spans="1:3" x14ac:dyDescent="0.25">
      <c r="A6816" s="1" t="s">
        <v>6815</v>
      </c>
      <c r="C6816" s="3">
        <v>18</v>
      </c>
    </row>
    <row r="6817" spans="1:3" x14ac:dyDescent="0.25">
      <c r="A6817" s="1" t="s">
        <v>6816</v>
      </c>
      <c r="C6817" s="3">
        <v>18</v>
      </c>
    </row>
    <row r="6818" spans="1:3" x14ac:dyDescent="0.25">
      <c r="A6818" s="1" t="s">
        <v>6817</v>
      </c>
      <c r="C6818" s="3">
        <v>18</v>
      </c>
    </row>
    <row r="6819" spans="1:3" x14ac:dyDescent="0.25">
      <c r="A6819" s="1" t="s">
        <v>6818</v>
      </c>
      <c r="C6819" s="3">
        <v>18</v>
      </c>
    </row>
    <row r="6820" spans="1:3" x14ac:dyDescent="0.25">
      <c r="A6820" s="1" t="s">
        <v>6819</v>
      </c>
      <c r="C6820" s="3">
        <v>18</v>
      </c>
    </row>
    <row r="6821" spans="1:3" x14ac:dyDescent="0.25">
      <c r="A6821" s="1" t="s">
        <v>6820</v>
      </c>
      <c r="C6821" s="3">
        <v>18</v>
      </c>
    </row>
    <row r="6822" spans="1:3" x14ac:dyDescent="0.25">
      <c r="A6822" s="1" t="s">
        <v>6821</v>
      </c>
      <c r="C6822" s="3">
        <v>18</v>
      </c>
    </row>
    <row r="6823" spans="1:3" x14ac:dyDescent="0.25">
      <c r="A6823" s="1" t="s">
        <v>6822</v>
      </c>
      <c r="C6823" s="3">
        <v>18</v>
      </c>
    </row>
    <row r="6824" spans="1:3" x14ac:dyDescent="0.25">
      <c r="A6824" s="1" t="s">
        <v>6823</v>
      </c>
      <c r="C6824" s="3">
        <v>18</v>
      </c>
    </row>
    <row r="6825" spans="1:3" x14ac:dyDescent="0.25">
      <c r="A6825" s="1" t="s">
        <v>6824</v>
      </c>
      <c r="C6825" s="3">
        <v>18</v>
      </c>
    </row>
    <row r="6826" spans="1:3" x14ac:dyDescent="0.25">
      <c r="A6826" s="1" t="s">
        <v>6825</v>
      </c>
      <c r="C6826" s="3">
        <v>18</v>
      </c>
    </row>
    <row r="6827" spans="1:3" x14ac:dyDescent="0.25">
      <c r="A6827" s="1" t="s">
        <v>6826</v>
      </c>
      <c r="C6827" s="3">
        <v>18</v>
      </c>
    </row>
    <row r="6828" spans="1:3" x14ac:dyDescent="0.25">
      <c r="A6828" s="1" t="s">
        <v>6827</v>
      </c>
      <c r="C6828" s="3">
        <v>18</v>
      </c>
    </row>
    <row r="6829" spans="1:3" x14ac:dyDescent="0.25">
      <c r="A6829" s="1" t="s">
        <v>6828</v>
      </c>
      <c r="C6829" s="3">
        <v>18</v>
      </c>
    </row>
    <row r="6830" spans="1:3" x14ac:dyDescent="0.25">
      <c r="A6830" s="1" t="s">
        <v>6829</v>
      </c>
      <c r="C6830" s="3">
        <v>18</v>
      </c>
    </row>
    <row r="6831" spans="1:3" x14ac:dyDescent="0.25">
      <c r="A6831" s="1" t="s">
        <v>6830</v>
      </c>
      <c r="C6831" s="3">
        <v>18</v>
      </c>
    </row>
    <row r="6832" spans="1:3" x14ac:dyDescent="0.25">
      <c r="A6832" s="1" t="s">
        <v>6831</v>
      </c>
      <c r="C6832" s="3">
        <v>18</v>
      </c>
    </row>
    <row r="6833" spans="1:3" x14ac:dyDescent="0.25">
      <c r="A6833" s="1" t="s">
        <v>6832</v>
      </c>
      <c r="C6833" s="3">
        <v>18</v>
      </c>
    </row>
    <row r="6834" spans="1:3" x14ac:dyDescent="0.25">
      <c r="A6834" s="1" t="s">
        <v>6833</v>
      </c>
      <c r="C6834" s="3">
        <v>18</v>
      </c>
    </row>
    <row r="6835" spans="1:3" x14ac:dyDescent="0.25">
      <c r="A6835" s="1" t="s">
        <v>6834</v>
      </c>
      <c r="C6835" s="3">
        <v>18</v>
      </c>
    </row>
    <row r="6836" spans="1:3" x14ac:dyDescent="0.25">
      <c r="A6836" s="1" t="s">
        <v>6835</v>
      </c>
      <c r="C6836" s="3">
        <v>18</v>
      </c>
    </row>
    <row r="6837" spans="1:3" x14ac:dyDescent="0.25">
      <c r="A6837" s="1" t="s">
        <v>6836</v>
      </c>
      <c r="C6837" s="3">
        <v>18</v>
      </c>
    </row>
    <row r="6838" spans="1:3" x14ac:dyDescent="0.25">
      <c r="A6838" s="1" t="s">
        <v>6837</v>
      </c>
      <c r="C6838" s="3">
        <v>18</v>
      </c>
    </row>
    <row r="6839" spans="1:3" x14ac:dyDescent="0.25">
      <c r="A6839" s="1" t="s">
        <v>6838</v>
      </c>
      <c r="C6839" s="3">
        <v>18</v>
      </c>
    </row>
    <row r="6840" spans="1:3" x14ac:dyDescent="0.25">
      <c r="A6840" s="1" t="s">
        <v>6839</v>
      </c>
      <c r="C6840" s="3">
        <v>18</v>
      </c>
    </row>
    <row r="6841" spans="1:3" x14ac:dyDescent="0.25">
      <c r="A6841" s="1" t="s">
        <v>6840</v>
      </c>
      <c r="C6841" s="3">
        <v>18</v>
      </c>
    </row>
    <row r="6842" spans="1:3" x14ac:dyDescent="0.25">
      <c r="A6842" s="1" t="s">
        <v>6841</v>
      </c>
      <c r="C6842" s="3">
        <v>18</v>
      </c>
    </row>
    <row r="6843" spans="1:3" x14ac:dyDescent="0.25">
      <c r="A6843" s="1" t="s">
        <v>6842</v>
      </c>
      <c r="C6843" s="3">
        <v>18</v>
      </c>
    </row>
    <row r="6844" spans="1:3" x14ac:dyDescent="0.25">
      <c r="A6844" s="1" t="s">
        <v>6843</v>
      </c>
      <c r="C6844" s="3">
        <v>18</v>
      </c>
    </row>
    <row r="6845" spans="1:3" x14ac:dyDescent="0.25">
      <c r="A6845" s="1" t="s">
        <v>6844</v>
      </c>
      <c r="C6845" s="3">
        <v>18</v>
      </c>
    </row>
    <row r="6846" spans="1:3" x14ac:dyDescent="0.25">
      <c r="A6846" s="1" t="s">
        <v>6845</v>
      </c>
      <c r="C6846" s="3">
        <v>18</v>
      </c>
    </row>
    <row r="6847" spans="1:3" x14ac:dyDescent="0.25">
      <c r="A6847" s="1" t="s">
        <v>6846</v>
      </c>
      <c r="C6847" s="3">
        <v>18</v>
      </c>
    </row>
    <row r="6848" spans="1:3" x14ac:dyDescent="0.25">
      <c r="A6848" s="1" t="s">
        <v>6847</v>
      </c>
      <c r="C6848" s="3">
        <v>18</v>
      </c>
    </row>
    <row r="6849" spans="1:3" x14ac:dyDescent="0.25">
      <c r="A6849" s="1" t="s">
        <v>6848</v>
      </c>
      <c r="C6849" s="3">
        <v>18</v>
      </c>
    </row>
    <row r="6850" spans="1:3" x14ac:dyDescent="0.25">
      <c r="A6850" s="1" t="s">
        <v>6849</v>
      </c>
      <c r="C6850" s="3">
        <v>18</v>
      </c>
    </row>
    <row r="6851" spans="1:3" x14ac:dyDescent="0.25">
      <c r="A6851" s="1" t="s">
        <v>6850</v>
      </c>
      <c r="C6851" s="3">
        <v>18</v>
      </c>
    </row>
    <row r="6852" spans="1:3" x14ac:dyDescent="0.25">
      <c r="A6852" s="1" t="s">
        <v>6851</v>
      </c>
      <c r="C6852" s="3">
        <v>18</v>
      </c>
    </row>
    <row r="6853" spans="1:3" x14ac:dyDescent="0.25">
      <c r="A6853" s="1" t="s">
        <v>6852</v>
      </c>
      <c r="C6853" s="3">
        <v>18</v>
      </c>
    </row>
    <row r="6854" spans="1:3" x14ac:dyDescent="0.25">
      <c r="A6854" s="1" t="s">
        <v>6853</v>
      </c>
      <c r="C6854" s="3">
        <v>18</v>
      </c>
    </row>
    <row r="6855" spans="1:3" x14ac:dyDescent="0.25">
      <c r="A6855" s="1" t="s">
        <v>6854</v>
      </c>
      <c r="C6855" s="3">
        <v>18</v>
      </c>
    </row>
    <row r="6856" spans="1:3" x14ac:dyDescent="0.25">
      <c r="A6856" s="1" t="s">
        <v>6855</v>
      </c>
      <c r="C6856" s="3">
        <v>18</v>
      </c>
    </row>
    <row r="6857" spans="1:3" x14ac:dyDescent="0.25">
      <c r="A6857" s="1" t="s">
        <v>6856</v>
      </c>
      <c r="C6857" s="3">
        <v>18</v>
      </c>
    </row>
    <row r="6858" spans="1:3" x14ac:dyDescent="0.25">
      <c r="A6858" s="1" t="s">
        <v>6857</v>
      </c>
      <c r="C6858" s="3">
        <v>18</v>
      </c>
    </row>
    <row r="6859" spans="1:3" x14ac:dyDescent="0.25">
      <c r="A6859" s="1" t="s">
        <v>6858</v>
      </c>
      <c r="C6859" s="3">
        <v>18</v>
      </c>
    </row>
    <row r="6860" spans="1:3" x14ac:dyDescent="0.25">
      <c r="A6860" s="1" t="s">
        <v>6859</v>
      </c>
      <c r="C6860" s="3">
        <v>18</v>
      </c>
    </row>
    <row r="6861" spans="1:3" x14ac:dyDescent="0.25">
      <c r="A6861" s="1" t="s">
        <v>6860</v>
      </c>
      <c r="C6861" s="3">
        <v>18</v>
      </c>
    </row>
    <row r="6862" spans="1:3" x14ac:dyDescent="0.25">
      <c r="A6862" s="1" t="s">
        <v>6861</v>
      </c>
      <c r="C6862" s="3">
        <v>18</v>
      </c>
    </row>
    <row r="6863" spans="1:3" x14ac:dyDescent="0.25">
      <c r="A6863" s="1" t="s">
        <v>6862</v>
      </c>
      <c r="C6863" s="3">
        <v>18</v>
      </c>
    </row>
    <row r="6864" spans="1:3" x14ac:dyDescent="0.25">
      <c r="A6864" s="1" t="s">
        <v>6863</v>
      </c>
      <c r="C6864" s="3">
        <v>18</v>
      </c>
    </row>
    <row r="6865" spans="1:3" x14ac:dyDescent="0.25">
      <c r="A6865" s="1" t="s">
        <v>6864</v>
      </c>
      <c r="C6865" s="3">
        <v>18</v>
      </c>
    </row>
    <row r="6866" spans="1:3" x14ac:dyDescent="0.25">
      <c r="A6866" s="1" t="s">
        <v>6865</v>
      </c>
      <c r="C6866" s="3">
        <v>18</v>
      </c>
    </row>
    <row r="6867" spans="1:3" x14ac:dyDescent="0.25">
      <c r="A6867" s="1" t="s">
        <v>6866</v>
      </c>
      <c r="C6867" s="3">
        <v>18</v>
      </c>
    </row>
    <row r="6868" spans="1:3" x14ac:dyDescent="0.25">
      <c r="A6868" s="1" t="s">
        <v>6867</v>
      </c>
      <c r="C6868" s="3">
        <v>18</v>
      </c>
    </row>
    <row r="6869" spans="1:3" x14ac:dyDescent="0.25">
      <c r="A6869" s="1" t="s">
        <v>6868</v>
      </c>
      <c r="C6869" s="3">
        <v>18</v>
      </c>
    </row>
    <row r="6870" spans="1:3" x14ac:dyDescent="0.25">
      <c r="A6870" s="1" t="s">
        <v>6869</v>
      </c>
      <c r="C6870" s="3">
        <v>18</v>
      </c>
    </row>
    <row r="6871" spans="1:3" x14ac:dyDescent="0.25">
      <c r="A6871" s="1" t="s">
        <v>6870</v>
      </c>
      <c r="C6871" s="3">
        <v>18</v>
      </c>
    </row>
    <row r="6872" spans="1:3" x14ac:dyDescent="0.25">
      <c r="A6872" s="1" t="s">
        <v>6871</v>
      </c>
      <c r="C6872" s="3">
        <v>18</v>
      </c>
    </row>
    <row r="6873" spans="1:3" x14ac:dyDescent="0.25">
      <c r="A6873" s="1" t="s">
        <v>6872</v>
      </c>
      <c r="C6873" s="3">
        <v>18</v>
      </c>
    </row>
    <row r="6874" spans="1:3" x14ac:dyDescent="0.25">
      <c r="A6874" s="1" t="s">
        <v>6873</v>
      </c>
      <c r="C6874" s="3">
        <v>18</v>
      </c>
    </row>
    <row r="6875" spans="1:3" x14ac:dyDescent="0.25">
      <c r="A6875" s="1" t="s">
        <v>6874</v>
      </c>
      <c r="C6875" s="3">
        <v>18</v>
      </c>
    </row>
    <row r="6876" spans="1:3" x14ac:dyDescent="0.25">
      <c r="A6876" s="1" t="s">
        <v>6875</v>
      </c>
      <c r="C6876" s="3">
        <v>18</v>
      </c>
    </row>
    <row r="6877" spans="1:3" x14ac:dyDescent="0.25">
      <c r="A6877" s="1" t="s">
        <v>6876</v>
      </c>
      <c r="C6877" s="3">
        <v>18</v>
      </c>
    </row>
    <row r="6878" spans="1:3" x14ac:dyDescent="0.25">
      <c r="A6878" s="1" t="s">
        <v>6877</v>
      </c>
      <c r="C6878" s="3">
        <v>18</v>
      </c>
    </row>
    <row r="6879" spans="1:3" x14ac:dyDescent="0.25">
      <c r="A6879" s="1" t="s">
        <v>6878</v>
      </c>
      <c r="C6879" s="3">
        <v>18</v>
      </c>
    </row>
    <row r="6880" spans="1:3" x14ac:dyDescent="0.25">
      <c r="A6880" s="1" t="s">
        <v>6879</v>
      </c>
      <c r="C6880" s="3">
        <v>18</v>
      </c>
    </row>
    <row r="6881" spans="1:3" x14ac:dyDescent="0.25">
      <c r="A6881" s="1" t="s">
        <v>6880</v>
      </c>
      <c r="C6881" s="3">
        <v>18</v>
      </c>
    </row>
    <row r="6882" spans="1:3" x14ac:dyDescent="0.25">
      <c r="A6882" s="1" t="s">
        <v>6881</v>
      </c>
      <c r="C6882" s="3">
        <v>18</v>
      </c>
    </row>
    <row r="6883" spans="1:3" x14ac:dyDescent="0.25">
      <c r="A6883" s="1" t="s">
        <v>6882</v>
      </c>
      <c r="C6883" s="3">
        <v>18</v>
      </c>
    </row>
    <row r="6884" spans="1:3" x14ac:dyDescent="0.25">
      <c r="A6884" s="1" t="s">
        <v>6883</v>
      </c>
      <c r="C6884" s="3">
        <v>18</v>
      </c>
    </row>
    <row r="6885" spans="1:3" x14ac:dyDescent="0.25">
      <c r="A6885" s="1" t="s">
        <v>6884</v>
      </c>
      <c r="C6885" s="3">
        <v>18</v>
      </c>
    </row>
    <row r="6886" spans="1:3" x14ac:dyDescent="0.25">
      <c r="A6886" s="1" t="s">
        <v>6885</v>
      </c>
      <c r="C6886" s="3">
        <v>18</v>
      </c>
    </row>
    <row r="6887" spans="1:3" x14ac:dyDescent="0.25">
      <c r="A6887" s="1" t="s">
        <v>6886</v>
      </c>
      <c r="C6887" s="3">
        <v>18</v>
      </c>
    </row>
    <row r="6888" spans="1:3" x14ac:dyDescent="0.25">
      <c r="A6888" s="1" t="s">
        <v>6887</v>
      </c>
      <c r="C6888" s="3">
        <v>18</v>
      </c>
    </row>
    <row r="6889" spans="1:3" x14ac:dyDescent="0.25">
      <c r="A6889" s="1" t="s">
        <v>6888</v>
      </c>
      <c r="C6889" s="3">
        <v>18</v>
      </c>
    </row>
    <row r="6890" spans="1:3" x14ac:dyDescent="0.25">
      <c r="A6890" s="1" t="s">
        <v>6889</v>
      </c>
      <c r="C6890" s="3">
        <v>18</v>
      </c>
    </row>
    <row r="6891" spans="1:3" x14ac:dyDescent="0.25">
      <c r="A6891" s="1" t="s">
        <v>6890</v>
      </c>
      <c r="C6891" s="3">
        <v>18</v>
      </c>
    </row>
    <row r="6892" spans="1:3" x14ac:dyDescent="0.25">
      <c r="A6892" s="1" t="s">
        <v>6891</v>
      </c>
      <c r="C6892" s="3">
        <v>18</v>
      </c>
    </row>
    <row r="6893" spans="1:3" x14ac:dyDescent="0.25">
      <c r="A6893" s="1" t="s">
        <v>6892</v>
      </c>
      <c r="C6893" s="3">
        <v>18</v>
      </c>
    </row>
    <row r="6894" spans="1:3" x14ac:dyDescent="0.25">
      <c r="A6894" s="1" t="s">
        <v>6893</v>
      </c>
      <c r="C6894" s="3">
        <v>18</v>
      </c>
    </row>
    <row r="6895" spans="1:3" x14ac:dyDescent="0.25">
      <c r="A6895" s="1" t="s">
        <v>6894</v>
      </c>
      <c r="C6895" s="3">
        <v>18</v>
      </c>
    </row>
    <row r="6896" spans="1:3" x14ac:dyDescent="0.25">
      <c r="A6896" s="1" t="s">
        <v>6895</v>
      </c>
      <c r="C6896" s="3">
        <v>18</v>
      </c>
    </row>
    <row r="6897" spans="1:3" x14ac:dyDescent="0.25">
      <c r="A6897" s="1" t="s">
        <v>6896</v>
      </c>
      <c r="C6897" s="3">
        <v>18</v>
      </c>
    </row>
    <row r="6898" spans="1:3" x14ac:dyDescent="0.25">
      <c r="A6898" s="1" t="s">
        <v>6897</v>
      </c>
      <c r="C6898" s="3">
        <v>18</v>
      </c>
    </row>
    <row r="6899" spans="1:3" x14ac:dyDescent="0.25">
      <c r="A6899" s="1" t="s">
        <v>6898</v>
      </c>
      <c r="C6899" s="3">
        <v>18</v>
      </c>
    </row>
    <row r="6900" spans="1:3" x14ac:dyDescent="0.25">
      <c r="A6900" s="1" t="s">
        <v>6899</v>
      </c>
      <c r="C6900" s="3">
        <v>18</v>
      </c>
    </row>
    <row r="6901" spans="1:3" x14ac:dyDescent="0.25">
      <c r="A6901" s="1" t="s">
        <v>6900</v>
      </c>
      <c r="C6901" s="3">
        <v>18</v>
      </c>
    </row>
    <row r="6902" spans="1:3" x14ac:dyDescent="0.25">
      <c r="A6902" s="1" t="s">
        <v>6901</v>
      </c>
      <c r="C6902" s="3">
        <v>18</v>
      </c>
    </row>
    <row r="6903" spans="1:3" x14ac:dyDescent="0.25">
      <c r="A6903" s="1" t="s">
        <v>6902</v>
      </c>
      <c r="C6903" s="3">
        <v>18</v>
      </c>
    </row>
    <row r="6904" spans="1:3" x14ac:dyDescent="0.25">
      <c r="A6904" s="1" t="s">
        <v>6903</v>
      </c>
      <c r="C6904" s="3">
        <v>18</v>
      </c>
    </row>
    <row r="6905" spans="1:3" x14ac:dyDescent="0.25">
      <c r="A6905" s="1" t="s">
        <v>6904</v>
      </c>
      <c r="C6905" s="3">
        <v>18</v>
      </c>
    </row>
    <row r="6906" spans="1:3" x14ac:dyDescent="0.25">
      <c r="A6906" s="1" t="s">
        <v>6905</v>
      </c>
      <c r="C6906" s="3">
        <v>18</v>
      </c>
    </row>
    <row r="6907" spans="1:3" x14ac:dyDescent="0.25">
      <c r="A6907" s="1" t="s">
        <v>6906</v>
      </c>
      <c r="C6907" s="3">
        <v>18</v>
      </c>
    </row>
    <row r="6908" spans="1:3" x14ac:dyDescent="0.25">
      <c r="A6908" s="1" t="s">
        <v>6907</v>
      </c>
      <c r="C6908" s="3">
        <v>18</v>
      </c>
    </row>
    <row r="6909" spans="1:3" x14ac:dyDescent="0.25">
      <c r="A6909" s="1" t="s">
        <v>6908</v>
      </c>
      <c r="C6909" s="3">
        <v>18</v>
      </c>
    </row>
    <row r="6910" spans="1:3" x14ac:dyDescent="0.25">
      <c r="A6910" s="1" t="s">
        <v>6909</v>
      </c>
      <c r="C6910" s="3">
        <v>18</v>
      </c>
    </row>
    <row r="6911" spans="1:3" x14ac:dyDescent="0.25">
      <c r="A6911" s="1" t="s">
        <v>6910</v>
      </c>
      <c r="C6911" s="3">
        <v>18</v>
      </c>
    </row>
    <row r="6912" spans="1:3" x14ac:dyDescent="0.25">
      <c r="A6912" s="1" t="s">
        <v>6911</v>
      </c>
      <c r="C6912" s="3">
        <v>18</v>
      </c>
    </row>
    <row r="6913" spans="1:3" x14ac:dyDescent="0.25">
      <c r="A6913" s="1" t="s">
        <v>6912</v>
      </c>
      <c r="C6913" s="3">
        <v>18</v>
      </c>
    </row>
    <row r="6914" spans="1:3" x14ac:dyDescent="0.25">
      <c r="A6914" s="1" t="s">
        <v>6913</v>
      </c>
      <c r="C6914" s="3">
        <v>18</v>
      </c>
    </row>
    <row r="6915" spans="1:3" x14ac:dyDescent="0.25">
      <c r="A6915" s="1" t="s">
        <v>6914</v>
      </c>
      <c r="C6915" s="3">
        <v>18</v>
      </c>
    </row>
    <row r="6916" spans="1:3" x14ac:dyDescent="0.25">
      <c r="A6916" s="1" t="s">
        <v>6915</v>
      </c>
      <c r="C6916" s="3">
        <v>18</v>
      </c>
    </row>
    <row r="6917" spans="1:3" x14ac:dyDescent="0.25">
      <c r="A6917" s="1" t="s">
        <v>6916</v>
      </c>
      <c r="C6917" s="3">
        <v>18</v>
      </c>
    </row>
    <row r="6918" spans="1:3" x14ac:dyDescent="0.25">
      <c r="A6918" s="1" t="s">
        <v>6917</v>
      </c>
      <c r="C6918" s="3">
        <v>18</v>
      </c>
    </row>
    <row r="6919" spans="1:3" x14ac:dyDescent="0.25">
      <c r="A6919" s="1" t="s">
        <v>6918</v>
      </c>
      <c r="C6919" s="3">
        <v>18</v>
      </c>
    </row>
    <row r="6920" spans="1:3" x14ac:dyDescent="0.25">
      <c r="A6920" s="1" t="s">
        <v>6919</v>
      </c>
      <c r="C6920" s="3">
        <v>18</v>
      </c>
    </row>
    <row r="6921" spans="1:3" x14ac:dyDescent="0.25">
      <c r="A6921" s="1" t="s">
        <v>6920</v>
      </c>
      <c r="C6921" s="3">
        <v>18</v>
      </c>
    </row>
    <row r="6922" spans="1:3" x14ac:dyDescent="0.25">
      <c r="A6922" s="1" t="s">
        <v>6921</v>
      </c>
      <c r="C6922" s="3">
        <v>18</v>
      </c>
    </row>
    <row r="6923" spans="1:3" x14ac:dyDescent="0.25">
      <c r="A6923" s="1" t="s">
        <v>6922</v>
      </c>
      <c r="C6923" s="3">
        <v>18</v>
      </c>
    </row>
    <row r="6924" spans="1:3" x14ac:dyDescent="0.25">
      <c r="A6924" s="1" t="s">
        <v>6923</v>
      </c>
      <c r="C6924" s="3">
        <v>18</v>
      </c>
    </row>
    <row r="6925" spans="1:3" x14ac:dyDescent="0.25">
      <c r="A6925" s="1" t="s">
        <v>6924</v>
      </c>
      <c r="C6925" s="3">
        <v>18</v>
      </c>
    </row>
    <row r="6926" spans="1:3" x14ac:dyDescent="0.25">
      <c r="A6926" s="1" t="s">
        <v>6925</v>
      </c>
      <c r="C6926" s="3">
        <v>18</v>
      </c>
    </row>
    <row r="6927" spans="1:3" x14ac:dyDescent="0.25">
      <c r="A6927" s="1" t="s">
        <v>6926</v>
      </c>
      <c r="C6927" s="3">
        <v>18</v>
      </c>
    </row>
    <row r="6928" spans="1:3" x14ac:dyDescent="0.25">
      <c r="A6928" s="1" t="s">
        <v>6927</v>
      </c>
      <c r="C6928" s="3">
        <v>18</v>
      </c>
    </row>
    <row r="6929" spans="1:3" x14ac:dyDescent="0.25">
      <c r="A6929" s="1" t="s">
        <v>6928</v>
      </c>
      <c r="C6929" s="3">
        <v>18</v>
      </c>
    </row>
    <row r="6930" spans="1:3" x14ac:dyDescent="0.25">
      <c r="A6930" s="1" t="s">
        <v>6929</v>
      </c>
      <c r="C6930" s="3">
        <v>18</v>
      </c>
    </row>
    <row r="6931" spans="1:3" x14ac:dyDescent="0.25">
      <c r="A6931" s="1" t="s">
        <v>6930</v>
      </c>
      <c r="C6931" s="3">
        <v>18</v>
      </c>
    </row>
    <row r="6932" spans="1:3" x14ac:dyDescent="0.25">
      <c r="A6932" s="1" t="s">
        <v>6931</v>
      </c>
      <c r="C6932" s="3">
        <v>18</v>
      </c>
    </row>
    <row r="6933" spans="1:3" x14ac:dyDescent="0.25">
      <c r="A6933" s="1" t="s">
        <v>6932</v>
      </c>
      <c r="C6933" s="3">
        <v>18</v>
      </c>
    </row>
    <row r="6934" spans="1:3" x14ac:dyDescent="0.25">
      <c r="A6934" s="1" t="s">
        <v>6933</v>
      </c>
      <c r="C6934" s="3">
        <v>18</v>
      </c>
    </row>
    <row r="6935" spans="1:3" x14ac:dyDescent="0.25">
      <c r="A6935" s="1" t="s">
        <v>6934</v>
      </c>
      <c r="C6935" s="3">
        <v>18</v>
      </c>
    </row>
    <row r="6936" spans="1:3" x14ac:dyDescent="0.25">
      <c r="A6936" s="1" t="s">
        <v>6935</v>
      </c>
      <c r="C6936" s="3">
        <v>18</v>
      </c>
    </row>
    <row r="6937" spans="1:3" x14ac:dyDescent="0.25">
      <c r="A6937" s="1" t="s">
        <v>6936</v>
      </c>
      <c r="C6937" s="3">
        <v>18</v>
      </c>
    </row>
    <row r="6938" spans="1:3" x14ac:dyDescent="0.25">
      <c r="A6938" s="1" t="s">
        <v>6937</v>
      </c>
      <c r="C6938" s="3">
        <v>18</v>
      </c>
    </row>
    <row r="6939" spans="1:3" x14ac:dyDescent="0.25">
      <c r="A6939" s="1" t="s">
        <v>6938</v>
      </c>
      <c r="C6939" s="3">
        <v>18</v>
      </c>
    </row>
    <row r="6940" spans="1:3" x14ac:dyDescent="0.25">
      <c r="A6940" s="1" t="s">
        <v>6939</v>
      </c>
      <c r="C6940" s="3">
        <v>18</v>
      </c>
    </row>
    <row r="6941" spans="1:3" x14ac:dyDescent="0.25">
      <c r="A6941" s="1" t="s">
        <v>6940</v>
      </c>
      <c r="C6941" s="3">
        <v>18</v>
      </c>
    </row>
    <row r="6942" spans="1:3" x14ac:dyDescent="0.25">
      <c r="A6942" s="1" t="s">
        <v>6941</v>
      </c>
      <c r="C6942" s="3">
        <v>18</v>
      </c>
    </row>
    <row r="6943" spans="1:3" x14ac:dyDescent="0.25">
      <c r="A6943" s="1" t="s">
        <v>6942</v>
      </c>
      <c r="C6943" s="3">
        <v>18</v>
      </c>
    </row>
    <row r="6944" spans="1:3" x14ac:dyDescent="0.25">
      <c r="A6944" s="1" t="s">
        <v>6943</v>
      </c>
      <c r="C6944" s="3">
        <v>18</v>
      </c>
    </row>
    <row r="6945" spans="1:3" x14ac:dyDescent="0.25">
      <c r="A6945" s="1" t="s">
        <v>6944</v>
      </c>
      <c r="C6945" s="3">
        <v>18</v>
      </c>
    </row>
    <row r="6946" spans="1:3" x14ac:dyDescent="0.25">
      <c r="A6946" s="1" t="s">
        <v>6945</v>
      </c>
      <c r="C6946" s="3">
        <v>18</v>
      </c>
    </row>
    <row r="6947" spans="1:3" x14ac:dyDescent="0.25">
      <c r="A6947" s="1" t="s">
        <v>6946</v>
      </c>
      <c r="C6947" s="3">
        <v>18</v>
      </c>
    </row>
    <row r="6948" spans="1:3" x14ac:dyDescent="0.25">
      <c r="A6948" s="1" t="s">
        <v>6947</v>
      </c>
      <c r="C6948" s="3">
        <v>18</v>
      </c>
    </row>
    <row r="6949" spans="1:3" x14ac:dyDescent="0.25">
      <c r="A6949" s="1" t="s">
        <v>6948</v>
      </c>
      <c r="C6949" s="3">
        <v>18</v>
      </c>
    </row>
    <row r="6950" spans="1:3" x14ac:dyDescent="0.25">
      <c r="A6950" s="1" t="s">
        <v>6949</v>
      </c>
      <c r="C6950" s="3">
        <v>18</v>
      </c>
    </row>
    <row r="6951" spans="1:3" x14ac:dyDescent="0.25">
      <c r="A6951" s="1" t="s">
        <v>6950</v>
      </c>
      <c r="C6951" s="3">
        <v>18</v>
      </c>
    </row>
    <row r="6952" spans="1:3" x14ac:dyDescent="0.25">
      <c r="A6952" s="1" t="s">
        <v>6951</v>
      </c>
      <c r="C6952" s="3">
        <v>18</v>
      </c>
    </row>
    <row r="6953" spans="1:3" x14ac:dyDescent="0.25">
      <c r="A6953" s="1" t="s">
        <v>6952</v>
      </c>
      <c r="C6953" s="3">
        <v>18</v>
      </c>
    </row>
    <row r="6954" spans="1:3" x14ac:dyDescent="0.25">
      <c r="A6954" s="1" t="s">
        <v>6953</v>
      </c>
      <c r="C6954" s="3">
        <v>18</v>
      </c>
    </row>
    <row r="6955" spans="1:3" x14ac:dyDescent="0.25">
      <c r="A6955" s="1" t="s">
        <v>6954</v>
      </c>
      <c r="C6955" s="3">
        <v>18</v>
      </c>
    </row>
    <row r="6956" spans="1:3" x14ac:dyDescent="0.25">
      <c r="A6956" s="1" t="s">
        <v>6955</v>
      </c>
      <c r="C6956" s="3">
        <v>18</v>
      </c>
    </row>
    <row r="6957" spans="1:3" x14ac:dyDescent="0.25">
      <c r="A6957" s="1" t="s">
        <v>6956</v>
      </c>
      <c r="C6957" s="3">
        <v>18</v>
      </c>
    </row>
    <row r="6958" spans="1:3" x14ac:dyDescent="0.25">
      <c r="A6958" s="1" t="s">
        <v>6957</v>
      </c>
      <c r="C6958" s="3">
        <v>18</v>
      </c>
    </row>
    <row r="6959" spans="1:3" x14ac:dyDescent="0.25">
      <c r="A6959" s="1" t="s">
        <v>6958</v>
      </c>
      <c r="C6959" s="3">
        <v>18</v>
      </c>
    </row>
    <row r="6960" spans="1:3" x14ac:dyDescent="0.25">
      <c r="A6960" s="1" t="s">
        <v>6959</v>
      </c>
      <c r="C6960" s="3">
        <v>18</v>
      </c>
    </row>
    <row r="6961" spans="1:3" x14ac:dyDescent="0.25">
      <c r="A6961" s="1" t="s">
        <v>6960</v>
      </c>
      <c r="C6961" s="3">
        <v>18</v>
      </c>
    </row>
    <row r="6962" spans="1:3" x14ac:dyDescent="0.25">
      <c r="A6962" s="1" t="s">
        <v>6961</v>
      </c>
      <c r="C6962" s="3">
        <v>18</v>
      </c>
    </row>
    <row r="6963" spans="1:3" x14ac:dyDescent="0.25">
      <c r="A6963" s="1" t="s">
        <v>6962</v>
      </c>
      <c r="C6963" s="3">
        <v>18</v>
      </c>
    </row>
    <row r="6964" spans="1:3" x14ac:dyDescent="0.25">
      <c r="A6964" s="1" t="s">
        <v>6963</v>
      </c>
      <c r="C6964" s="3">
        <v>18</v>
      </c>
    </row>
    <row r="6965" spans="1:3" x14ac:dyDescent="0.25">
      <c r="A6965" s="1" t="s">
        <v>6964</v>
      </c>
      <c r="C6965" s="3">
        <v>18</v>
      </c>
    </row>
    <row r="6966" spans="1:3" x14ac:dyDescent="0.25">
      <c r="A6966" s="1" t="s">
        <v>6965</v>
      </c>
      <c r="C6966" s="3">
        <v>18</v>
      </c>
    </row>
    <row r="6967" spans="1:3" x14ac:dyDescent="0.25">
      <c r="A6967" s="1" t="s">
        <v>6966</v>
      </c>
      <c r="C6967" s="3">
        <v>18</v>
      </c>
    </row>
    <row r="6968" spans="1:3" x14ac:dyDescent="0.25">
      <c r="A6968" s="1" t="s">
        <v>6967</v>
      </c>
      <c r="C6968" s="3">
        <v>18</v>
      </c>
    </row>
    <row r="6969" spans="1:3" x14ac:dyDescent="0.25">
      <c r="A6969" s="1" t="s">
        <v>6968</v>
      </c>
      <c r="C6969" s="3">
        <v>18</v>
      </c>
    </row>
    <row r="6970" spans="1:3" x14ac:dyDescent="0.25">
      <c r="A6970" s="1" t="s">
        <v>6969</v>
      </c>
      <c r="C6970" s="3">
        <v>18</v>
      </c>
    </row>
    <row r="6971" spans="1:3" x14ac:dyDescent="0.25">
      <c r="A6971" s="1" t="s">
        <v>6970</v>
      </c>
      <c r="C6971" s="3">
        <v>18</v>
      </c>
    </row>
    <row r="6972" spans="1:3" x14ac:dyDescent="0.25">
      <c r="A6972" s="1" t="s">
        <v>6971</v>
      </c>
      <c r="C6972" s="3">
        <v>18</v>
      </c>
    </row>
    <row r="6973" spans="1:3" x14ac:dyDescent="0.25">
      <c r="A6973" s="1" t="s">
        <v>6972</v>
      </c>
      <c r="C6973" s="3">
        <v>18</v>
      </c>
    </row>
    <row r="6974" spans="1:3" x14ac:dyDescent="0.25">
      <c r="A6974" s="1" t="s">
        <v>6973</v>
      </c>
      <c r="C6974" s="3">
        <v>18</v>
      </c>
    </row>
    <row r="6975" spans="1:3" x14ac:dyDescent="0.25">
      <c r="A6975" s="1" t="s">
        <v>6974</v>
      </c>
      <c r="C6975" s="3">
        <v>18</v>
      </c>
    </row>
    <row r="6976" spans="1:3" x14ac:dyDescent="0.25">
      <c r="A6976" s="1" t="s">
        <v>6975</v>
      </c>
      <c r="C6976" s="3">
        <v>18</v>
      </c>
    </row>
    <row r="6977" spans="1:3" x14ac:dyDescent="0.25">
      <c r="A6977" s="1" t="s">
        <v>6976</v>
      </c>
      <c r="C6977" s="3">
        <v>18</v>
      </c>
    </row>
    <row r="6978" spans="1:3" x14ac:dyDescent="0.25">
      <c r="A6978" s="1" t="s">
        <v>6977</v>
      </c>
      <c r="C6978" s="3">
        <v>18</v>
      </c>
    </row>
    <row r="6979" spans="1:3" x14ac:dyDescent="0.25">
      <c r="A6979" s="1" t="s">
        <v>6978</v>
      </c>
      <c r="C6979" s="3">
        <v>18</v>
      </c>
    </row>
    <row r="6980" spans="1:3" x14ac:dyDescent="0.25">
      <c r="A6980" s="1" t="s">
        <v>6979</v>
      </c>
      <c r="C6980" s="3">
        <v>18</v>
      </c>
    </row>
    <row r="6981" spans="1:3" x14ac:dyDescent="0.25">
      <c r="A6981" s="1" t="s">
        <v>6980</v>
      </c>
      <c r="C6981" s="3">
        <v>18</v>
      </c>
    </row>
    <row r="6982" spans="1:3" x14ac:dyDescent="0.25">
      <c r="A6982" s="1" t="s">
        <v>6981</v>
      </c>
      <c r="C6982" s="3">
        <v>18</v>
      </c>
    </row>
    <row r="6983" spans="1:3" x14ac:dyDescent="0.25">
      <c r="A6983" s="1" t="s">
        <v>6982</v>
      </c>
      <c r="C6983" s="3">
        <v>18</v>
      </c>
    </row>
    <row r="6984" spans="1:3" x14ac:dyDescent="0.25">
      <c r="A6984" s="1" t="s">
        <v>6983</v>
      </c>
      <c r="C6984" s="3">
        <v>18</v>
      </c>
    </row>
    <row r="6985" spans="1:3" x14ac:dyDescent="0.25">
      <c r="A6985" s="1" t="s">
        <v>6984</v>
      </c>
      <c r="C6985" s="3">
        <v>18</v>
      </c>
    </row>
    <row r="6986" spans="1:3" x14ac:dyDescent="0.25">
      <c r="A6986" s="1" t="s">
        <v>6985</v>
      </c>
      <c r="C6986" s="3">
        <v>18</v>
      </c>
    </row>
    <row r="6987" spans="1:3" x14ac:dyDescent="0.25">
      <c r="A6987" s="1" t="s">
        <v>6986</v>
      </c>
      <c r="C6987" s="3">
        <v>18</v>
      </c>
    </row>
    <row r="6988" spans="1:3" x14ac:dyDescent="0.25">
      <c r="A6988" s="1" t="s">
        <v>6987</v>
      </c>
      <c r="C6988" s="3">
        <v>18</v>
      </c>
    </row>
    <row r="6989" spans="1:3" x14ac:dyDescent="0.25">
      <c r="A6989" s="1" t="s">
        <v>6988</v>
      </c>
      <c r="C6989" s="3">
        <v>18</v>
      </c>
    </row>
    <row r="6990" spans="1:3" x14ac:dyDescent="0.25">
      <c r="A6990" s="1" t="s">
        <v>6989</v>
      </c>
      <c r="C6990" s="3">
        <v>18</v>
      </c>
    </row>
    <row r="6991" spans="1:3" x14ac:dyDescent="0.25">
      <c r="A6991" s="1" t="s">
        <v>6990</v>
      </c>
      <c r="C6991" s="3">
        <v>18</v>
      </c>
    </row>
    <row r="6992" spans="1:3" x14ac:dyDescent="0.25">
      <c r="A6992" s="1" t="s">
        <v>6991</v>
      </c>
      <c r="C6992" s="3">
        <v>18</v>
      </c>
    </row>
    <row r="6993" spans="1:3" x14ac:dyDescent="0.25">
      <c r="A6993" s="1" t="s">
        <v>6992</v>
      </c>
      <c r="C6993" s="3">
        <v>18</v>
      </c>
    </row>
    <row r="6994" spans="1:3" x14ac:dyDescent="0.25">
      <c r="A6994" s="1" t="s">
        <v>6993</v>
      </c>
      <c r="C6994" s="3">
        <v>18</v>
      </c>
    </row>
    <row r="6995" spans="1:3" x14ac:dyDescent="0.25">
      <c r="A6995" s="1" t="s">
        <v>6994</v>
      </c>
      <c r="C6995" s="3">
        <v>18</v>
      </c>
    </row>
    <row r="6996" spans="1:3" x14ac:dyDescent="0.25">
      <c r="A6996" s="1" t="s">
        <v>6995</v>
      </c>
      <c r="C6996" s="3">
        <v>18</v>
      </c>
    </row>
    <row r="6997" spans="1:3" x14ac:dyDescent="0.25">
      <c r="A6997" s="1" t="s">
        <v>6996</v>
      </c>
      <c r="C6997" s="3">
        <v>18</v>
      </c>
    </row>
    <row r="6998" spans="1:3" x14ac:dyDescent="0.25">
      <c r="A6998" s="1" t="s">
        <v>6997</v>
      </c>
      <c r="C6998" s="3">
        <v>18</v>
      </c>
    </row>
    <row r="6999" spans="1:3" x14ac:dyDescent="0.25">
      <c r="A6999" s="1" t="s">
        <v>6998</v>
      </c>
      <c r="C6999" s="3">
        <v>18</v>
      </c>
    </row>
    <row r="7000" spans="1:3" x14ac:dyDescent="0.25">
      <c r="A7000" s="1" t="s">
        <v>6999</v>
      </c>
      <c r="C7000" s="3">
        <v>18</v>
      </c>
    </row>
    <row r="7001" spans="1:3" x14ac:dyDescent="0.25">
      <c r="A7001" s="1" t="s">
        <v>7000</v>
      </c>
      <c r="C7001" s="3">
        <v>18</v>
      </c>
    </row>
    <row r="7002" spans="1:3" x14ac:dyDescent="0.25">
      <c r="A7002" s="1" t="s">
        <v>7001</v>
      </c>
      <c r="C7002" s="3">
        <v>18</v>
      </c>
    </row>
    <row r="7003" spans="1:3" x14ac:dyDescent="0.25">
      <c r="A7003" s="1" t="s">
        <v>7002</v>
      </c>
      <c r="C7003" s="3">
        <v>18</v>
      </c>
    </row>
    <row r="7004" spans="1:3" x14ac:dyDescent="0.25">
      <c r="A7004" s="1" t="s">
        <v>7003</v>
      </c>
      <c r="C7004" s="3">
        <v>18</v>
      </c>
    </row>
    <row r="7005" spans="1:3" x14ac:dyDescent="0.25">
      <c r="A7005" s="1" t="s">
        <v>7004</v>
      </c>
      <c r="C7005" s="3">
        <v>18</v>
      </c>
    </row>
    <row r="7006" spans="1:3" x14ac:dyDescent="0.25">
      <c r="A7006" s="1" t="s">
        <v>7005</v>
      </c>
      <c r="C7006" s="3">
        <v>18</v>
      </c>
    </row>
    <row r="7007" spans="1:3" x14ac:dyDescent="0.25">
      <c r="A7007" s="1" t="s">
        <v>7006</v>
      </c>
      <c r="C7007" s="3">
        <v>18</v>
      </c>
    </row>
    <row r="7008" spans="1:3" x14ac:dyDescent="0.25">
      <c r="A7008" s="1" t="s">
        <v>7007</v>
      </c>
      <c r="C7008" s="3">
        <v>18</v>
      </c>
    </row>
    <row r="7009" spans="1:3" x14ac:dyDescent="0.25">
      <c r="A7009" s="1" t="s">
        <v>7008</v>
      </c>
      <c r="C7009" s="3">
        <v>18</v>
      </c>
    </row>
    <row r="7010" spans="1:3" x14ac:dyDescent="0.25">
      <c r="A7010" s="1" t="s">
        <v>7009</v>
      </c>
      <c r="C7010" s="3">
        <v>18</v>
      </c>
    </row>
    <row r="7011" spans="1:3" x14ac:dyDescent="0.25">
      <c r="A7011" s="1" t="s">
        <v>7010</v>
      </c>
      <c r="C7011" s="3">
        <v>18</v>
      </c>
    </row>
    <row r="7012" spans="1:3" x14ac:dyDescent="0.25">
      <c r="A7012" s="1" t="s">
        <v>7011</v>
      </c>
      <c r="C7012" s="3">
        <v>18</v>
      </c>
    </row>
    <row r="7013" spans="1:3" x14ac:dyDescent="0.25">
      <c r="A7013" s="1" t="s">
        <v>7012</v>
      </c>
      <c r="C7013" s="3">
        <v>18</v>
      </c>
    </row>
    <row r="7014" spans="1:3" x14ac:dyDescent="0.25">
      <c r="A7014" s="1" t="s">
        <v>7013</v>
      </c>
      <c r="C7014" s="3">
        <v>18</v>
      </c>
    </row>
    <row r="7015" spans="1:3" x14ac:dyDescent="0.25">
      <c r="A7015" s="1" t="s">
        <v>7014</v>
      </c>
      <c r="C7015" s="3">
        <v>18</v>
      </c>
    </row>
    <row r="7016" spans="1:3" x14ac:dyDescent="0.25">
      <c r="A7016" s="1" t="s">
        <v>7015</v>
      </c>
      <c r="C7016" s="3">
        <v>18</v>
      </c>
    </row>
    <row r="7017" spans="1:3" x14ac:dyDescent="0.25">
      <c r="A7017" s="1" t="s">
        <v>7016</v>
      </c>
      <c r="C7017" s="3">
        <v>18</v>
      </c>
    </row>
    <row r="7018" spans="1:3" x14ac:dyDescent="0.25">
      <c r="A7018" s="1" t="s">
        <v>7017</v>
      </c>
      <c r="C7018" s="3">
        <v>18</v>
      </c>
    </row>
    <row r="7019" spans="1:3" x14ac:dyDescent="0.25">
      <c r="A7019" s="1" t="s">
        <v>7018</v>
      </c>
      <c r="C7019" s="3">
        <v>18</v>
      </c>
    </row>
    <row r="7020" spans="1:3" x14ac:dyDescent="0.25">
      <c r="A7020" s="1" t="s">
        <v>7019</v>
      </c>
      <c r="C7020" s="3">
        <v>18</v>
      </c>
    </row>
    <row r="7021" spans="1:3" x14ac:dyDescent="0.25">
      <c r="A7021" s="1" t="s">
        <v>7020</v>
      </c>
      <c r="C7021" s="3">
        <v>18</v>
      </c>
    </row>
    <row r="7022" spans="1:3" x14ac:dyDescent="0.25">
      <c r="A7022" s="1" t="s">
        <v>7021</v>
      </c>
      <c r="C7022" s="3">
        <v>18</v>
      </c>
    </row>
    <row r="7023" spans="1:3" x14ac:dyDescent="0.25">
      <c r="A7023" s="1" t="s">
        <v>7022</v>
      </c>
      <c r="C7023" s="3">
        <v>18</v>
      </c>
    </row>
    <row r="7024" spans="1:3" x14ac:dyDescent="0.25">
      <c r="A7024" s="1" t="s">
        <v>7023</v>
      </c>
      <c r="C7024" s="3">
        <v>18</v>
      </c>
    </row>
    <row r="7025" spans="1:3" x14ac:dyDescent="0.25">
      <c r="A7025" s="1" t="s">
        <v>7024</v>
      </c>
      <c r="C7025" s="3">
        <v>18</v>
      </c>
    </row>
    <row r="7026" spans="1:3" x14ac:dyDescent="0.25">
      <c r="A7026" s="1" t="s">
        <v>7025</v>
      </c>
      <c r="C7026" s="3">
        <v>18</v>
      </c>
    </row>
    <row r="7027" spans="1:3" x14ac:dyDescent="0.25">
      <c r="A7027" s="1" t="s">
        <v>7026</v>
      </c>
      <c r="C7027" s="3">
        <v>18</v>
      </c>
    </row>
    <row r="7028" spans="1:3" x14ac:dyDescent="0.25">
      <c r="A7028" s="1" t="s">
        <v>7027</v>
      </c>
      <c r="C7028" s="3">
        <v>17</v>
      </c>
    </row>
    <row r="7029" spans="1:3" x14ac:dyDescent="0.25">
      <c r="A7029" s="1" t="s">
        <v>7028</v>
      </c>
      <c r="C7029" s="3">
        <v>17</v>
      </c>
    </row>
    <row r="7030" spans="1:3" x14ac:dyDescent="0.25">
      <c r="A7030" s="1" t="s">
        <v>7029</v>
      </c>
      <c r="C7030" s="3">
        <v>17</v>
      </c>
    </row>
    <row r="7031" spans="1:3" x14ac:dyDescent="0.25">
      <c r="A7031" s="1" t="s">
        <v>7030</v>
      </c>
      <c r="C7031" s="3">
        <v>17</v>
      </c>
    </row>
    <row r="7032" spans="1:3" x14ac:dyDescent="0.25">
      <c r="A7032" s="1" t="s">
        <v>7031</v>
      </c>
      <c r="C7032" s="3">
        <v>17</v>
      </c>
    </row>
    <row r="7033" spans="1:3" x14ac:dyDescent="0.25">
      <c r="A7033" s="1" t="s">
        <v>7032</v>
      </c>
      <c r="C7033" s="3">
        <v>17</v>
      </c>
    </row>
    <row r="7034" spans="1:3" x14ac:dyDescent="0.25">
      <c r="A7034" s="1" t="s">
        <v>7033</v>
      </c>
      <c r="C7034" s="3">
        <v>17</v>
      </c>
    </row>
    <row r="7035" spans="1:3" x14ac:dyDescent="0.25">
      <c r="A7035" s="1" t="s">
        <v>7034</v>
      </c>
      <c r="C7035" s="3">
        <v>17</v>
      </c>
    </row>
    <row r="7036" spans="1:3" x14ac:dyDescent="0.25">
      <c r="A7036" s="1" t="s">
        <v>7035</v>
      </c>
      <c r="C7036" s="3">
        <v>17</v>
      </c>
    </row>
    <row r="7037" spans="1:3" x14ac:dyDescent="0.25">
      <c r="A7037" s="1" t="s">
        <v>7036</v>
      </c>
      <c r="C7037" s="3">
        <v>17</v>
      </c>
    </row>
    <row r="7038" spans="1:3" x14ac:dyDescent="0.25">
      <c r="A7038" s="1" t="s">
        <v>7037</v>
      </c>
      <c r="C7038" s="3">
        <v>17</v>
      </c>
    </row>
    <row r="7039" spans="1:3" x14ac:dyDescent="0.25">
      <c r="A7039" s="1" t="s">
        <v>7038</v>
      </c>
      <c r="C7039" s="3">
        <v>17</v>
      </c>
    </row>
    <row r="7040" spans="1:3" x14ac:dyDescent="0.25">
      <c r="A7040" s="1" t="s">
        <v>7039</v>
      </c>
      <c r="C7040" s="3">
        <v>17</v>
      </c>
    </row>
    <row r="7041" spans="1:3" x14ac:dyDescent="0.25">
      <c r="A7041" s="1" t="s">
        <v>7040</v>
      </c>
      <c r="C7041" s="3">
        <v>17</v>
      </c>
    </row>
    <row r="7042" spans="1:3" x14ac:dyDescent="0.25">
      <c r="A7042" s="1" t="s">
        <v>7041</v>
      </c>
      <c r="C7042" s="3">
        <v>17</v>
      </c>
    </row>
    <row r="7043" spans="1:3" x14ac:dyDescent="0.25">
      <c r="A7043" s="1" t="s">
        <v>7042</v>
      </c>
      <c r="C7043" s="3">
        <v>17</v>
      </c>
    </row>
    <row r="7044" spans="1:3" x14ac:dyDescent="0.25">
      <c r="A7044" s="1" t="s">
        <v>7043</v>
      </c>
      <c r="C7044" s="3">
        <v>17</v>
      </c>
    </row>
    <row r="7045" spans="1:3" x14ac:dyDescent="0.25">
      <c r="A7045" s="1" t="s">
        <v>7044</v>
      </c>
      <c r="C7045" s="3">
        <v>17</v>
      </c>
    </row>
    <row r="7046" spans="1:3" x14ac:dyDescent="0.25">
      <c r="A7046" s="1" t="s">
        <v>7045</v>
      </c>
      <c r="C7046" s="3">
        <v>17</v>
      </c>
    </row>
    <row r="7047" spans="1:3" x14ac:dyDescent="0.25">
      <c r="A7047" s="1" t="s">
        <v>7046</v>
      </c>
      <c r="C7047" s="3">
        <v>17</v>
      </c>
    </row>
    <row r="7048" spans="1:3" x14ac:dyDescent="0.25">
      <c r="A7048" s="1" t="s">
        <v>7047</v>
      </c>
      <c r="C7048" s="3">
        <v>17</v>
      </c>
    </row>
    <row r="7049" spans="1:3" x14ac:dyDescent="0.25">
      <c r="A7049" s="1" t="s">
        <v>7048</v>
      </c>
      <c r="C7049" s="3">
        <v>17</v>
      </c>
    </row>
    <row r="7050" spans="1:3" x14ac:dyDescent="0.25">
      <c r="A7050" s="1" t="s">
        <v>7049</v>
      </c>
      <c r="C7050" s="3">
        <v>17</v>
      </c>
    </row>
    <row r="7051" spans="1:3" x14ac:dyDescent="0.25">
      <c r="A7051" s="1" t="s">
        <v>7050</v>
      </c>
      <c r="C7051" s="3">
        <v>17</v>
      </c>
    </row>
    <row r="7052" spans="1:3" x14ac:dyDescent="0.25">
      <c r="A7052" s="1" t="s">
        <v>7051</v>
      </c>
      <c r="C7052" s="3">
        <v>17</v>
      </c>
    </row>
    <row r="7053" spans="1:3" x14ac:dyDescent="0.25">
      <c r="A7053" s="1" t="s">
        <v>7052</v>
      </c>
      <c r="C7053" s="3">
        <v>17</v>
      </c>
    </row>
    <row r="7054" spans="1:3" x14ac:dyDescent="0.25">
      <c r="A7054" s="1" t="s">
        <v>7053</v>
      </c>
      <c r="C7054" s="3">
        <v>17</v>
      </c>
    </row>
    <row r="7055" spans="1:3" x14ac:dyDescent="0.25">
      <c r="A7055" s="1" t="s">
        <v>7054</v>
      </c>
      <c r="C7055" s="3">
        <v>17</v>
      </c>
    </row>
    <row r="7056" spans="1:3" x14ac:dyDescent="0.25">
      <c r="A7056" s="1" t="s">
        <v>7055</v>
      </c>
      <c r="C7056" s="3">
        <v>17</v>
      </c>
    </row>
    <row r="7057" spans="1:3" x14ac:dyDescent="0.25">
      <c r="A7057" s="1" t="s">
        <v>7056</v>
      </c>
      <c r="C7057" s="3">
        <v>17</v>
      </c>
    </row>
    <row r="7058" spans="1:3" x14ac:dyDescent="0.25">
      <c r="A7058" s="1" t="s">
        <v>7057</v>
      </c>
      <c r="C7058" s="3">
        <v>17</v>
      </c>
    </row>
    <row r="7059" spans="1:3" x14ac:dyDescent="0.25">
      <c r="A7059" s="1" t="s">
        <v>7058</v>
      </c>
      <c r="C7059" s="3">
        <v>17</v>
      </c>
    </row>
    <row r="7060" spans="1:3" x14ac:dyDescent="0.25">
      <c r="A7060" s="1" t="s">
        <v>7059</v>
      </c>
      <c r="C7060" s="3">
        <v>17</v>
      </c>
    </row>
    <row r="7061" spans="1:3" x14ac:dyDescent="0.25">
      <c r="A7061" s="1" t="s">
        <v>7060</v>
      </c>
      <c r="C7061" s="3">
        <v>17</v>
      </c>
    </row>
    <row r="7062" spans="1:3" x14ac:dyDescent="0.25">
      <c r="A7062" s="1" t="s">
        <v>7061</v>
      </c>
      <c r="C7062" s="3">
        <v>17</v>
      </c>
    </row>
    <row r="7063" spans="1:3" x14ac:dyDescent="0.25">
      <c r="A7063" s="1" t="s">
        <v>7062</v>
      </c>
      <c r="C7063" s="3">
        <v>17</v>
      </c>
    </row>
    <row r="7064" spans="1:3" x14ac:dyDescent="0.25">
      <c r="A7064" s="1" t="s">
        <v>7063</v>
      </c>
      <c r="C7064" s="3">
        <v>17</v>
      </c>
    </row>
    <row r="7065" spans="1:3" x14ac:dyDescent="0.25">
      <c r="A7065" s="1" t="s">
        <v>7064</v>
      </c>
      <c r="C7065" s="3">
        <v>17</v>
      </c>
    </row>
    <row r="7066" spans="1:3" x14ac:dyDescent="0.25">
      <c r="A7066" s="1" t="s">
        <v>7065</v>
      </c>
      <c r="C7066" s="3">
        <v>17</v>
      </c>
    </row>
    <row r="7067" spans="1:3" x14ac:dyDescent="0.25">
      <c r="A7067" s="1" t="s">
        <v>7066</v>
      </c>
      <c r="C7067" s="3">
        <v>17</v>
      </c>
    </row>
    <row r="7068" spans="1:3" x14ac:dyDescent="0.25">
      <c r="A7068" s="1" t="s">
        <v>7067</v>
      </c>
      <c r="C7068" s="3">
        <v>17</v>
      </c>
    </row>
    <row r="7069" spans="1:3" x14ac:dyDescent="0.25">
      <c r="A7069" s="1" t="s">
        <v>7068</v>
      </c>
      <c r="C7069" s="3">
        <v>17</v>
      </c>
    </row>
    <row r="7070" spans="1:3" x14ac:dyDescent="0.25">
      <c r="A7070" s="1" t="s">
        <v>7069</v>
      </c>
      <c r="C7070" s="3">
        <v>17</v>
      </c>
    </row>
    <row r="7071" spans="1:3" x14ac:dyDescent="0.25">
      <c r="A7071" s="1" t="s">
        <v>7070</v>
      </c>
      <c r="C7071" s="3">
        <v>17</v>
      </c>
    </row>
    <row r="7072" spans="1:3" x14ac:dyDescent="0.25">
      <c r="A7072" s="1" t="s">
        <v>7071</v>
      </c>
      <c r="C7072" s="3">
        <v>17</v>
      </c>
    </row>
    <row r="7073" spans="1:3" x14ac:dyDescent="0.25">
      <c r="A7073" s="1" t="s">
        <v>7072</v>
      </c>
      <c r="C7073" s="3">
        <v>17</v>
      </c>
    </row>
    <row r="7074" spans="1:3" x14ac:dyDescent="0.25">
      <c r="A7074" s="1" t="s">
        <v>7073</v>
      </c>
      <c r="C7074" s="3">
        <v>17</v>
      </c>
    </row>
    <row r="7075" spans="1:3" x14ac:dyDescent="0.25">
      <c r="A7075" s="1" t="s">
        <v>7074</v>
      </c>
      <c r="C7075" s="3">
        <v>17</v>
      </c>
    </row>
    <row r="7076" spans="1:3" x14ac:dyDescent="0.25">
      <c r="A7076" s="1" t="s">
        <v>7075</v>
      </c>
      <c r="C7076" s="3">
        <v>17</v>
      </c>
    </row>
    <row r="7077" spans="1:3" x14ac:dyDescent="0.25">
      <c r="A7077" s="1" t="s">
        <v>7076</v>
      </c>
      <c r="C7077" s="3">
        <v>17</v>
      </c>
    </row>
    <row r="7078" spans="1:3" x14ac:dyDescent="0.25">
      <c r="A7078" s="1" t="s">
        <v>7077</v>
      </c>
      <c r="C7078" s="3">
        <v>17</v>
      </c>
    </row>
    <row r="7079" spans="1:3" x14ac:dyDescent="0.25">
      <c r="A7079" s="1" t="s">
        <v>7078</v>
      </c>
      <c r="C7079" s="3">
        <v>17</v>
      </c>
    </row>
    <row r="7080" spans="1:3" x14ac:dyDescent="0.25">
      <c r="A7080" s="1" t="s">
        <v>7079</v>
      </c>
      <c r="C7080" s="3">
        <v>17</v>
      </c>
    </row>
    <row r="7081" spans="1:3" x14ac:dyDescent="0.25">
      <c r="A7081" s="1" t="s">
        <v>7080</v>
      </c>
      <c r="C7081" s="3">
        <v>17</v>
      </c>
    </row>
    <row r="7082" spans="1:3" x14ac:dyDescent="0.25">
      <c r="A7082" s="1" t="s">
        <v>7081</v>
      </c>
      <c r="C7082" s="3">
        <v>17</v>
      </c>
    </row>
    <row r="7083" spans="1:3" x14ac:dyDescent="0.25">
      <c r="A7083" s="1" t="s">
        <v>7082</v>
      </c>
      <c r="C7083" s="3">
        <v>17</v>
      </c>
    </row>
    <row r="7084" spans="1:3" x14ac:dyDescent="0.25">
      <c r="A7084" s="1" t="s">
        <v>7083</v>
      </c>
      <c r="C7084" s="3">
        <v>17</v>
      </c>
    </row>
    <row r="7085" spans="1:3" x14ac:dyDescent="0.25">
      <c r="A7085" s="1" t="s">
        <v>7084</v>
      </c>
      <c r="C7085" s="3">
        <v>17</v>
      </c>
    </row>
    <row r="7086" spans="1:3" x14ac:dyDescent="0.25">
      <c r="A7086" s="1" t="s">
        <v>7085</v>
      </c>
      <c r="C7086" s="3">
        <v>17</v>
      </c>
    </row>
    <row r="7087" spans="1:3" x14ac:dyDescent="0.25">
      <c r="A7087" s="1" t="s">
        <v>7086</v>
      </c>
      <c r="C7087" s="3">
        <v>17</v>
      </c>
    </row>
    <row r="7088" spans="1:3" x14ac:dyDescent="0.25">
      <c r="A7088" s="1" t="s">
        <v>7087</v>
      </c>
      <c r="C7088" s="3">
        <v>17</v>
      </c>
    </row>
    <row r="7089" spans="1:3" x14ac:dyDescent="0.25">
      <c r="A7089" s="1" t="s">
        <v>7088</v>
      </c>
      <c r="C7089" s="3">
        <v>17</v>
      </c>
    </row>
    <row r="7090" spans="1:3" x14ac:dyDescent="0.25">
      <c r="A7090" s="1" t="s">
        <v>7089</v>
      </c>
      <c r="C7090" s="3">
        <v>17</v>
      </c>
    </row>
    <row r="7091" spans="1:3" x14ac:dyDescent="0.25">
      <c r="A7091" s="1" t="s">
        <v>7090</v>
      </c>
      <c r="C7091" s="3">
        <v>17</v>
      </c>
    </row>
    <row r="7092" spans="1:3" x14ac:dyDescent="0.25">
      <c r="A7092" s="1" t="s">
        <v>7091</v>
      </c>
      <c r="C7092" s="3">
        <v>17</v>
      </c>
    </row>
    <row r="7093" spans="1:3" x14ac:dyDescent="0.25">
      <c r="A7093" s="1" t="s">
        <v>7092</v>
      </c>
      <c r="C7093" s="3">
        <v>17</v>
      </c>
    </row>
    <row r="7094" spans="1:3" x14ac:dyDescent="0.25">
      <c r="A7094" s="1" t="s">
        <v>7093</v>
      </c>
      <c r="C7094" s="3">
        <v>17</v>
      </c>
    </row>
    <row r="7095" spans="1:3" x14ac:dyDescent="0.25">
      <c r="A7095" s="1" t="s">
        <v>7094</v>
      </c>
      <c r="C7095" s="3">
        <v>17</v>
      </c>
    </row>
    <row r="7096" spans="1:3" x14ac:dyDescent="0.25">
      <c r="A7096" s="1" t="s">
        <v>7095</v>
      </c>
      <c r="C7096" s="3">
        <v>17</v>
      </c>
    </row>
    <row r="7097" spans="1:3" x14ac:dyDescent="0.25">
      <c r="A7097" s="1" t="s">
        <v>7096</v>
      </c>
      <c r="C7097" s="3">
        <v>17</v>
      </c>
    </row>
    <row r="7098" spans="1:3" x14ac:dyDescent="0.25">
      <c r="A7098" s="1" t="s">
        <v>7097</v>
      </c>
      <c r="C7098" s="3">
        <v>17</v>
      </c>
    </row>
    <row r="7099" spans="1:3" x14ac:dyDescent="0.25">
      <c r="A7099" s="1" t="s">
        <v>7098</v>
      </c>
      <c r="C7099" s="3">
        <v>17</v>
      </c>
    </row>
    <row r="7100" spans="1:3" x14ac:dyDescent="0.25">
      <c r="A7100" s="1" t="s">
        <v>7099</v>
      </c>
      <c r="C7100" s="3">
        <v>17</v>
      </c>
    </row>
    <row r="7101" spans="1:3" x14ac:dyDescent="0.25">
      <c r="A7101" s="1" t="s">
        <v>7100</v>
      </c>
      <c r="C7101" s="3">
        <v>17</v>
      </c>
    </row>
    <row r="7102" spans="1:3" x14ac:dyDescent="0.25">
      <c r="A7102" s="1" t="s">
        <v>7101</v>
      </c>
      <c r="C7102" s="3">
        <v>17</v>
      </c>
    </row>
    <row r="7103" spans="1:3" x14ac:dyDescent="0.25">
      <c r="A7103" s="1" t="s">
        <v>7102</v>
      </c>
      <c r="C7103" s="3">
        <v>17</v>
      </c>
    </row>
    <row r="7104" spans="1:3" x14ac:dyDescent="0.25">
      <c r="A7104" s="1" t="s">
        <v>7103</v>
      </c>
      <c r="C7104" s="3">
        <v>17</v>
      </c>
    </row>
    <row r="7105" spans="1:3" x14ac:dyDescent="0.25">
      <c r="A7105" s="1" t="s">
        <v>7104</v>
      </c>
      <c r="C7105" s="3">
        <v>17</v>
      </c>
    </row>
    <row r="7106" spans="1:3" x14ac:dyDescent="0.25">
      <c r="A7106" s="1" t="s">
        <v>7105</v>
      </c>
      <c r="C7106" s="3">
        <v>17</v>
      </c>
    </row>
    <row r="7107" spans="1:3" x14ac:dyDescent="0.25">
      <c r="A7107" s="1" t="s">
        <v>7106</v>
      </c>
      <c r="C7107" s="3">
        <v>17</v>
      </c>
    </row>
    <row r="7108" spans="1:3" x14ac:dyDescent="0.25">
      <c r="A7108" s="1" t="s">
        <v>7107</v>
      </c>
      <c r="C7108" s="3">
        <v>17</v>
      </c>
    </row>
    <row r="7109" spans="1:3" x14ac:dyDescent="0.25">
      <c r="A7109" s="1" t="s">
        <v>7108</v>
      </c>
      <c r="C7109" s="3">
        <v>17</v>
      </c>
    </row>
    <row r="7110" spans="1:3" x14ac:dyDescent="0.25">
      <c r="A7110" s="1" t="s">
        <v>7109</v>
      </c>
      <c r="C7110" s="3">
        <v>17</v>
      </c>
    </row>
    <row r="7111" spans="1:3" x14ac:dyDescent="0.25">
      <c r="A7111" s="1" t="s">
        <v>7110</v>
      </c>
      <c r="C7111" s="3">
        <v>17</v>
      </c>
    </row>
    <row r="7112" spans="1:3" x14ac:dyDescent="0.25">
      <c r="A7112" s="1" t="s">
        <v>7111</v>
      </c>
      <c r="C7112" s="3">
        <v>17</v>
      </c>
    </row>
    <row r="7113" spans="1:3" x14ac:dyDescent="0.25">
      <c r="A7113" s="1" t="s">
        <v>7112</v>
      </c>
      <c r="C7113" s="3">
        <v>17</v>
      </c>
    </row>
    <row r="7114" spans="1:3" x14ac:dyDescent="0.25">
      <c r="A7114" s="1" t="s">
        <v>7113</v>
      </c>
      <c r="C7114" s="3">
        <v>17</v>
      </c>
    </row>
    <row r="7115" spans="1:3" x14ac:dyDescent="0.25">
      <c r="A7115" s="1" t="s">
        <v>7114</v>
      </c>
      <c r="C7115" s="3">
        <v>17</v>
      </c>
    </row>
    <row r="7116" spans="1:3" x14ac:dyDescent="0.25">
      <c r="A7116" s="1" t="s">
        <v>7115</v>
      </c>
      <c r="C7116" s="3">
        <v>17</v>
      </c>
    </row>
    <row r="7117" spans="1:3" x14ac:dyDescent="0.25">
      <c r="A7117" s="1" t="s">
        <v>7116</v>
      </c>
      <c r="C7117" s="3">
        <v>17</v>
      </c>
    </row>
    <row r="7118" spans="1:3" x14ac:dyDescent="0.25">
      <c r="A7118" s="1" t="s">
        <v>7117</v>
      </c>
      <c r="C7118" s="3">
        <v>17</v>
      </c>
    </row>
    <row r="7119" spans="1:3" x14ac:dyDescent="0.25">
      <c r="A7119" s="1" t="s">
        <v>7118</v>
      </c>
      <c r="C7119" s="3">
        <v>17</v>
      </c>
    </row>
    <row r="7120" spans="1:3" x14ac:dyDescent="0.25">
      <c r="A7120" s="1" t="s">
        <v>7119</v>
      </c>
      <c r="C7120" s="3">
        <v>17</v>
      </c>
    </row>
    <row r="7121" spans="1:3" x14ac:dyDescent="0.25">
      <c r="A7121" s="1" t="s">
        <v>7120</v>
      </c>
      <c r="C7121" s="3">
        <v>17</v>
      </c>
    </row>
    <row r="7122" spans="1:3" x14ac:dyDescent="0.25">
      <c r="A7122" s="1" t="s">
        <v>7121</v>
      </c>
      <c r="C7122" s="3">
        <v>17</v>
      </c>
    </row>
    <row r="7123" spans="1:3" x14ac:dyDescent="0.25">
      <c r="A7123" s="1" t="s">
        <v>7122</v>
      </c>
      <c r="C7123" s="3">
        <v>17</v>
      </c>
    </row>
    <row r="7124" spans="1:3" x14ac:dyDescent="0.25">
      <c r="A7124" s="1" t="s">
        <v>7123</v>
      </c>
      <c r="C7124" s="3">
        <v>17</v>
      </c>
    </row>
    <row r="7125" spans="1:3" x14ac:dyDescent="0.25">
      <c r="A7125" s="1" t="s">
        <v>7124</v>
      </c>
      <c r="C7125" s="3">
        <v>17</v>
      </c>
    </row>
    <row r="7126" spans="1:3" x14ac:dyDescent="0.25">
      <c r="A7126" s="1" t="s">
        <v>7125</v>
      </c>
      <c r="C7126" s="3">
        <v>17</v>
      </c>
    </row>
    <row r="7127" spans="1:3" x14ac:dyDescent="0.25">
      <c r="A7127" s="1" t="s">
        <v>7126</v>
      </c>
      <c r="C7127" s="3">
        <v>17</v>
      </c>
    </row>
    <row r="7128" spans="1:3" x14ac:dyDescent="0.25">
      <c r="A7128" s="1" t="s">
        <v>7127</v>
      </c>
      <c r="C7128" s="3">
        <v>17</v>
      </c>
    </row>
    <row r="7129" spans="1:3" x14ac:dyDescent="0.25">
      <c r="A7129" s="1" t="s">
        <v>7128</v>
      </c>
      <c r="C7129" s="3">
        <v>17</v>
      </c>
    </row>
    <row r="7130" spans="1:3" x14ac:dyDescent="0.25">
      <c r="A7130" s="1" t="s">
        <v>7129</v>
      </c>
      <c r="C7130" s="3">
        <v>17</v>
      </c>
    </row>
    <row r="7131" spans="1:3" x14ac:dyDescent="0.25">
      <c r="A7131" s="1" t="s">
        <v>7130</v>
      </c>
      <c r="C7131" s="3">
        <v>17</v>
      </c>
    </row>
    <row r="7132" spans="1:3" x14ac:dyDescent="0.25">
      <c r="A7132" s="1" t="s">
        <v>7131</v>
      </c>
      <c r="C7132" s="3">
        <v>17</v>
      </c>
    </row>
    <row r="7133" spans="1:3" x14ac:dyDescent="0.25">
      <c r="A7133" s="1" t="s">
        <v>7132</v>
      </c>
      <c r="C7133" s="3">
        <v>17</v>
      </c>
    </row>
    <row r="7134" spans="1:3" x14ac:dyDescent="0.25">
      <c r="A7134" s="1" t="s">
        <v>7133</v>
      </c>
      <c r="C7134" s="3">
        <v>17</v>
      </c>
    </row>
    <row r="7135" spans="1:3" x14ac:dyDescent="0.25">
      <c r="A7135" s="1" t="s">
        <v>7134</v>
      </c>
      <c r="C7135" s="3">
        <v>17</v>
      </c>
    </row>
    <row r="7136" spans="1:3" x14ac:dyDescent="0.25">
      <c r="A7136" s="1" t="s">
        <v>7135</v>
      </c>
      <c r="C7136" s="3">
        <v>17</v>
      </c>
    </row>
    <row r="7137" spans="1:3" x14ac:dyDescent="0.25">
      <c r="A7137" s="1" t="s">
        <v>7136</v>
      </c>
      <c r="C7137" s="3">
        <v>17</v>
      </c>
    </row>
    <row r="7138" spans="1:3" x14ac:dyDescent="0.25">
      <c r="A7138" s="1" t="s">
        <v>7137</v>
      </c>
      <c r="C7138" s="3">
        <v>17</v>
      </c>
    </row>
    <row r="7139" spans="1:3" x14ac:dyDescent="0.25">
      <c r="A7139" s="1" t="s">
        <v>7138</v>
      </c>
      <c r="C7139" s="3">
        <v>17</v>
      </c>
    </row>
    <row r="7140" spans="1:3" x14ac:dyDescent="0.25">
      <c r="A7140" s="1" t="s">
        <v>7139</v>
      </c>
      <c r="C7140" s="3">
        <v>17</v>
      </c>
    </row>
    <row r="7141" spans="1:3" x14ac:dyDescent="0.25">
      <c r="A7141" s="1" t="s">
        <v>7140</v>
      </c>
      <c r="C7141" s="3">
        <v>17</v>
      </c>
    </row>
    <row r="7142" spans="1:3" x14ac:dyDescent="0.25">
      <c r="A7142" s="1" t="s">
        <v>7141</v>
      </c>
      <c r="C7142" s="3">
        <v>17</v>
      </c>
    </row>
    <row r="7143" spans="1:3" x14ac:dyDescent="0.25">
      <c r="A7143" s="1" t="s">
        <v>7142</v>
      </c>
      <c r="C7143" s="3">
        <v>17</v>
      </c>
    </row>
    <row r="7144" spans="1:3" x14ac:dyDescent="0.25">
      <c r="A7144" s="1" t="s">
        <v>7143</v>
      </c>
      <c r="C7144" s="3">
        <v>17</v>
      </c>
    </row>
    <row r="7145" spans="1:3" x14ac:dyDescent="0.25">
      <c r="A7145" s="1" t="s">
        <v>7144</v>
      </c>
      <c r="C7145" s="3">
        <v>17</v>
      </c>
    </row>
    <row r="7146" spans="1:3" x14ac:dyDescent="0.25">
      <c r="A7146" s="1" t="s">
        <v>7145</v>
      </c>
      <c r="C7146" s="3">
        <v>17</v>
      </c>
    </row>
    <row r="7147" spans="1:3" x14ac:dyDescent="0.25">
      <c r="A7147" s="1" t="s">
        <v>7146</v>
      </c>
      <c r="C7147" s="3">
        <v>17</v>
      </c>
    </row>
    <row r="7148" spans="1:3" x14ac:dyDescent="0.25">
      <c r="A7148" s="1" t="s">
        <v>7147</v>
      </c>
      <c r="C7148" s="3">
        <v>17</v>
      </c>
    </row>
    <row r="7149" spans="1:3" x14ac:dyDescent="0.25">
      <c r="A7149" s="1" t="s">
        <v>7148</v>
      </c>
      <c r="C7149" s="3">
        <v>17</v>
      </c>
    </row>
    <row r="7150" spans="1:3" x14ac:dyDescent="0.25">
      <c r="A7150" s="1" t="s">
        <v>7149</v>
      </c>
      <c r="C7150" s="3">
        <v>17</v>
      </c>
    </row>
    <row r="7151" spans="1:3" x14ac:dyDescent="0.25">
      <c r="A7151" s="1" t="s">
        <v>7150</v>
      </c>
      <c r="C7151" s="3">
        <v>17</v>
      </c>
    </row>
    <row r="7152" spans="1:3" x14ac:dyDescent="0.25">
      <c r="A7152" s="1" t="s">
        <v>7151</v>
      </c>
      <c r="C7152" s="3">
        <v>17</v>
      </c>
    </row>
    <row r="7153" spans="1:3" x14ac:dyDescent="0.25">
      <c r="A7153" s="1" t="s">
        <v>7152</v>
      </c>
      <c r="C7153" s="3">
        <v>17</v>
      </c>
    </row>
    <row r="7154" spans="1:3" x14ac:dyDescent="0.25">
      <c r="A7154" s="1" t="s">
        <v>7153</v>
      </c>
      <c r="C7154" s="3">
        <v>17</v>
      </c>
    </row>
    <row r="7155" spans="1:3" x14ac:dyDescent="0.25">
      <c r="A7155" s="1" t="s">
        <v>7154</v>
      </c>
      <c r="C7155" s="3">
        <v>17</v>
      </c>
    </row>
    <row r="7156" spans="1:3" x14ac:dyDescent="0.25">
      <c r="A7156" s="1" t="s">
        <v>7155</v>
      </c>
      <c r="C7156" s="3">
        <v>17</v>
      </c>
    </row>
    <row r="7157" spans="1:3" x14ac:dyDescent="0.25">
      <c r="A7157" s="1" t="s">
        <v>7156</v>
      </c>
      <c r="C7157" s="3">
        <v>17</v>
      </c>
    </row>
    <row r="7158" spans="1:3" x14ac:dyDescent="0.25">
      <c r="A7158" s="1" t="s">
        <v>7157</v>
      </c>
      <c r="C7158" s="3">
        <v>17</v>
      </c>
    </row>
    <row r="7159" spans="1:3" x14ac:dyDescent="0.25">
      <c r="A7159" s="1" t="s">
        <v>7158</v>
      </c>
      <c r="C7159" s="3">
        <v>17</v>
      </c>
    </row>
    <row r="7160" spans="1:3" x14ac:dyDescent="0.25">
      <c r="A7160" s="1" t="s">
        <v>7159</v>
      </c>
      <c r="C7160" s="3">
        <v>17</v>
      </c>
    </row>
    <row r="7161" spans="1:3" x14ac:dyDescent="0.25">
      <c r="A7161" s="1" t="s">
        <v>7160</v>
      </c>
      <c r="C7161" s="3">
        <v>17</v>
      </c>
    </row>
    <row r="7162" spans="1:3" x14ac:dyDescent="0.25">
      <c r="A7162" s="1" t="s">
        <v>7161</v>
      </c>
      <c r="C7162" s="3">
        <v>17</v>
      </c>
    </row>
    <row r="7163" spans="1:3" x14ac:dyDescent="0.25">
      <c r="A7163" s="1" t="s">
        <v>7162</v>
      </c>
      <c r="C7163" s="3">
        <v>17</v>
      </c>
    </row>
    <row r="7164" spans="1:3" x14ac:dyDescent="0.25">
      <c r="A7164" s="1" t="s">
        <v>7163</v>
      </c>
      <c r="C7164" s="3">
        <v>17</v>
      </c>
    </row>
    <row r="7165" spans="1:3" x14ac:dyDescent="0.25">
      <c r="A7165" s="1" t="s">
        <v>7164</v>
      </c>
      <c r="C7165" s="3">
        <v>17</v>
      </c>
    </row>
    <row r="7166" spans="1:3" x14ac:dyDescent="0.25">
      <c r="A7166" s="1" t="s">
        <v>7165</v>
      </c>
      <c r="C7166" s="3">
        <v>17</v>
      </c>
    </row>
    <row r="7167" spans="1:3" x14ac:dyDescent="0.25">
      <c r="A7167" s="1" t="s">
        <v>7166</v>
      </c>
      <c r="C7167" s="3">
        <v>17</v>
      </c>
    </row>
    <row r="7168" spans="1:3" x14ac:dyDescent="0.25">
      <c r="A7168" s="1" t="s">
        <v>7167</v>
      </c>
      <c r="C7168" s="3">
        <v>17</v>
      </c>
    </row>
    <row r="7169" spans="1:3" x14ac:dyDescent="0.25">
      <c r="A7169" s="1" t="s">
        <v>7168</v>
      </c>
      <c r="C7169" s="3">
        <v>17</v>
      </c>
    </row>
    <row r="7170" spans="1:3" x14ac:dyDescent="0.25">
      <c r="A7170" s="1" t="s">
        <v>7169</v>
      </c>
      <c r="C7170" s="3">
        <v>17</v>
      </c>
    </row>
    <row r="7171" spans="1:3" x14ac:dyDescent="0.25">
      <c r="A7171" s="1" t="s">
        <v>7170</v>
      </c>
      <c r="C7171" s="3">
        <v>17</v>
      </c>
    </row>
    <row r="7172" spans="1:3" x14ac:dyDescent="0.25">
      <c r="A7172" s="1" t="s">
        <v>7171</v>
      </c>
      <c r="C7172" s="3">
        <v>17</v>
      </c>
    </row>
    <row r="7173" spans="1:3" x14ac:dyDescent="0.25">
      <c r="A7173" s="1" t="s">
        <v>7172</v>
      </c>
      <c r="C7173" s="3">
        <v>17</v>
      </c>
    </row>
    <row r="7174" spans="1:3" x14ac:dyDescent="0.25">
      <c r="A7174" s="1" t="s">
        <v>7173</v>
      </c>
      <c r="C7174" s="3">
        <v>17</v>
      </c>
    </row>
    <row r="7175" spans="1:3" x14ac:dyDescent="0.25">
      <c r="A7175" s="1" t="s">
        <v>7174</v>
      </c>
      <c r="C7175" s="3">
        <v>17</v>
      </c>
    </row>
    <row r="7176" spans="1:3" x14ac:dyDescent="0.25">
      <c r="A7176" s="1" t="s">
        <v>7175</v>
      </c>
      <c r="C7176" s="3">
        <v>17</v>
      </c>
    </row>
    <row r="7177" spans="1:3" x14ac:dyDescent="0.25">
      <c r="A7177" s="1" t="s">
        <v>7176</v>
      </c>
      <c r="C7177" s="3">
        <v>17</v>
      </c>
    </row>
    <row r="7178" spans="1:3" x14ac:dyDescent="0.25">
      <c r="A7178" s="1" t="s">
        <v>7177</v>
      </c>
      <c r="C7178" s="3">
        <v>17</v>
      </c>
    </row>
    <row r="7179" spans="1:3" x14ac:dyDescent="0.25">
      <c r="A7179" s="1" t="s">
        <v>7178</v>
      </c>
      <c r="C7179" s="3">
        <v>17</v>
      </c>
    </row>
    <row r="7180" spans="1:3" x14ac:dyDescent="0.25">
      <c r="A7180" s="1" t="s">
        <v>7179</v>
      </c>
      <c r="C7180" s="3">
        <v>17</v>
      </c>
    </row>
    <row r="7181" spans="1:3" x14ac:dyDescent="0.25">
      <c r="A7181" s="1" t="s">
        <v>7180</v>
      </c>
      <c r="C7181" s="3">
        <v>17</v>
      </c>
    </row>
    <row r="7182" spans="1:3" x14ac:dyDescent="0.25">
      <c r="A7182" s="1" t="s">
        <v>7181</v>
      </c>
      <c r="C7182" s="3">
        <v>17</v>
      </c>
    </row>
    <row r="7183" spans="1:3" x14ac:dyDescent="0.25">
      <c r="A7183" s="1" t="s">
        <v>7182</v>
      </c>
      <c r="C7183" s="3">
        <v>17</v>
      </c>
    </row>
    <row r="7184" spans="1:3" x14ac:dyDescent="0.25">
      <c r="A7184" s="1" t="s">
        <v>7183</v>
      </c>
      <c r="C7184" s="3">
        <v>17</v>
      </c>
    </row>
    <row r="7185" spans="1:3" x14ac:dyDescent="0.25">
      <c r="A7185" s="1" t="s">
        <v>7184</v>
      </c>
      <c r="C7185" s="3">
        <v>17</v>
      </c>
    </row>
    <row r="7186" spans="1:3" x14ac:dyDescent="0.25">
      <c r="A7186" s="1" t="s">
        <v>7185</v>
      </c>
      <c r="C7186" s="3">
        <v>17</v>
      </c>
    </row>
    <row r="7187" spans="1:3" x14ac:dyDescent="0.25">
      <c r="A7187" s="1" t="s">
        <v>7186</v>
      </c>
      <c r="C7187" s="3">
        <v>17</v>
      </c>
    </row>
    <row r="7188" spans="1:3" x14ac:dyDescent="0.25">
      <c r="A7188" s="1" t="s">
        <v>7187</v>
      </c>
      <c r="C7188" s="3">
        <v>17</v>
      </c>
    </row>
    <row r="7189" spans="1:3" x14ac:dyDescent="0.25">
      <c r="A7189" s="1" t="s">
        <v>7188</v>
      </c>
      <c r="C7189" s="3">
        <v>17</v>
      </c>
    </row>
    <row r="7190" spans="1:3" x14ac:dyDescent="0.25">
      <c r="A7190" s="1" t="s">
        <v>7189</v>
      </c>
      <c r="C7190" s="3">
        <v>17</v>
      </c>
    </row>
    <row r="7191" spans="1:3" x14ac:dyDescent="0.25">
      <c r="A7191" s="1" t="s">
        <v>7190</v>
      </c>
      <c r="C7191" s="3">
        <v>17</v>
      </c>
    </row>
    <row r="7192" spans="1:3" x14ac:dyDescent="0.25">
      <c r="A7192" s="1" t="s">
        <v>7191</v>
      </c>
      <c r="C7192" s="3">
        <v>17</v>
      </c>
    </row>
    <row r="7193" spans="1:3" x14ac:dyDescent="0.25">
      <c r="A7193" s="1" t="s">
        <v>7192</v>
      </c>
      <c r="C7193" s="3">
        <v>17</v>
      </c>
    </row>
    <row r="7194" spans="1:3" x14ac:dyDescent="0.25">
      <c r="A7194" s="1" t="s">
        <v>7193</v>
      </c>
      <c r="C7194" s="3">
        <v>17</v>
      </c>
    </row>
    <row r="7195" spans="1:3" x14ac:dyDescent="0.25">
      <c r="A7195" s="1" t="s">
        <v>7194</v>
      </c>
      <c r="C7195" s="3">
        <v>17</v>
      </c>
    </row>
    <row r="7196" spans="1:3" x14ac:dyDescent="0.25">
      <c r="A7196" s="1" t="s">
        <v>7195</v>
      </c>
      <c r="C7196" s="3">
        <v>17</v>
      </c>
    </row>
    <row r="7197" spans="1:3" x14ac:dyDescent="0.25">
      <c r="A7197" s="1" t="s">
        <v>7196</v>
      </c>
      <c r="C7197" s="3">
        <v>17</v>
      </c>
    </row>
    <row r="7198" spans="1:3" x14ac:dyDescent="0.25">
      <c r="A7198" s="1" t="s">
        <v>7197</v>
      </c>
      <c r="C7198" s="3">
        <v>17</v>
      </c>
    </row>
    <row r="7199" spans="1:3" x14ac:dyDescent="0.25">
      <c r="A7199" s="1" t="s">
        <v>7198</v>
      </c>
      <c r="C7199" s="3">
        <v>17</v>
      </c>
    </row>
    <row r="7200" spans="1:3" x14ac:dyDescent="0.25">
      <c r="A7200" s="1" t="s">
        <v>7199</v>
      </c>
      <c r="C7200" s="3">
        <v>17</v>
      </c>
    </row>
    <row r="7201" spans="1:3" x14ac:dyDescent="0.25">
      <c r="A7201" s="1" t="s">
        <v>7200</v>
      </c>
      <c r="C7201" s="3">
        <v>17</v>
      </c>
    </row>
    <row r="7202" spans="1:3" x14ac:dyDescent="0.25">
      <c r="A7202" s="1" t="s">
        <v>7201</v>
      </c>
      <c r="C7202" s="3">
        <v>17</v>
      </c>
    </row>
    <row r="7203" spans="1:3" x14ac:dyDescent="0.25">
      <c r="A7203" s="1" t="s">
        <v>7202</v>
      </c>
      <c r="C7203" s="3">
        <v>17</v>
      </c>
    </row>
    <row r="7204" spans="1:3" x14ac:dyDescent="0.25">
      <c r="A7204" s="1" t="s">
        <v>7203</v>
      </c>
      <c r="C7204" s="3">
        <v>17</v>
      </c>
    </row>
    <row r="7205" spans="1:3" x14ac:dyDescent="0.25">
      <c r="A7205" s="1" t="s">
        <v>7204</v>
      </c>
      <c r="C7205" s="3">
        <v>17</v>
      </c>
    </row>
    <row r="7206" spans="1:3" x14ac:dyDescent="0.25">
      <c r="A7206" s="1" t="s">
        <v>7205</v>
      </c>
      <c r="C7206" s="3">
        <v>17</v>
      </c>
    </row>
    <row r="7207" spans="1:3" x14ac:dyDescent="0.25">
      <c r="A7207" s="1" t="s">
        <v>7206</v>
      </c>
      <c r="C7207" s="3">
        <v>17</v>
      </c>
    </row>
    <row r="7208" spans="1:3" x14ac:dyDescent="0.25">
      <c r="A7208" s="1" t="s">
        <v>7207</v>
      </c>
      <c r="C7208" s="3">
        <v>17</v>
      </c>
    </row>
    <row r="7209" spans="1:3" x14ac:dyDescent="0.25">
      <c r="A7209" s="1" t="s">
        <v>7208</v>
      </c>
      <c r="C7209" s="3">
        <v>17</v>
      </c>
    </row>
    <row r="7210" spans="1:3" x14ac:dyDescent="0.25">
      <c r="A7210" s="1" t="s">
        <v>7209</v>
      </c>
      <c r="C7210" s="3">
        <v>17</v>
      </c>
    </row>
    <row r="7211" spans="1:3" x14ac:dyDescent="0.25">
      <c r="A7211" s="1" t="s">
        <v>7210</v>
      </c>
      <c r="C7211" s="3">
        <v>17</v>
      </c>
    </row>
    <row r="7212" spans="1:3" x14ac:dyDescent="0.25">
      <c r="A7212" s="1" t="s">
        <v>7211</v>
      </c>
      <c r="C7212" s="3">
        <v>17</v>
      </c>
    </row>
    <row r="7213" spans="1:3" x14ac:dyDescent="0.25">
      <c r="A7213" s="1" t="s">
        <v>7212</v>
      </c>
      <c r="C7213" s="3">
        <v>17</v>
      </c>
    </row>
    <row r="7214" spans="1:3" x14ac:dyDescent="0.25">
      <c r="A7214" s="1" t="s">
        <v>7213</v>
      </c>
      <c r="C7214" s="3">
        <v>17</v>
      </c>
    </row>
    <row r="7215" spans="1:3" x14ac:dyDescent="0.25">
      <c r="A7215" s="1" t="s">
        <v>7214</v>
      </c>
      <c r="C7215" s="3">
        <v>17</v>
      </c>
    </row>
    <row r="7216" spans="1:3" x14ac:dyDescent="0.25">
      <c r="A7216" s="1" t="s">
        <v>7215</v>
      </c>
      <c r="C7216" s="3">
        <v>17</v>
      </c>
    </row>
    <row r="7217" spans="1:3" x14ac:dyDescent="0.25">
      <c r="A7217" s="1" t="s">
        <v>7216</v>
      </c>
      <c r="C7217" s="3">
        <v>17</v>
      </c>
    </row>
    <row r="7218" spans="1:3" x14ac:dyDescent="0.25">
      <c r="A7218" s="1" t="s">
        <v>7217</v>
      </c>
      <c r="C7218" s="3">
        <v>17</v>
      </c>
    </row>
    <row r="7219" spans="1:3" x14ac:dyDescent="0.25">
      <c r="A7219" s="1" t="s">
        <v>7218</v>
      </c>
      <c r="C7219" s="3">
        <v>17</v>
      </c>
    </row>
    <row r="7220" spans="1:3" x14ac:dyDescent="0.25">
      <c r="A7220" s="1" t="s">
        <v>7219</v>
      </c>
      <c r="C7220" s="3">
        <v>17</v>
      </c>
    </row>
    <row r="7221" spans="1:3" x14ac:dyDescent="0.25">
      <c r="A7221" s="1" t="s">
        <v>7220</v>
      </c>
      <c r="C7221" s="3">
        <v>17</v>
      </c>
    </row>
    <row r="7222" spans="1:3" x14ac:dyDescent="0.25">
      <c r="A7222" s="1" t="s">
        <v>7221</v>
      </c>
      <c r="C7222" s="3">
        <v>17</v>
      </c>
    </row>
    <row r="7223" spans="1:3" x14ac:dyDescent="0.25">
      <c r="A7223" s="1" t="s">
        <v>7222</v>
      </c>
      <c r="C7223" s="3">
        <v>17</v>
      </c>
    </row>
    <row r="7224" spans="1:3" x14ac:dyDescent="0.25">
      <c r="A7224" s="1" t="s">
        <v>7223</v>
      </c>
      <c r="C7224" s="3">
        <v>17</v>
      </c>
    </row>
    <row r="7225" spans="1:3" x14ac:dyDescent="0.25">
      <c r="A7225" s="1" t="s">
        <v>7224</v>
      </c>
      <c r="C7225" s="3">
        <v>17</v>
      </c>
    </row>
    <row r="7226" spans="1:3" x14ac:dyDescent="0.25">
      <c r="A7226" s="1" t="s">
        <v>7225</v>
      </c>
      <c r="C7226" s="3">
        <v>17</v>
      </c>
    </row>
    <row r="7227" spans="1:3" x14ac:dyDescent="0.25">
      <c r="A7227" s="1" t="s">
        <v>7226</v>
      </c>
      <c r="C7227" s="3">
        <v>17</v>
      </c>
    </row>
    <row r="7228" spans="1:3" x14ac:dyDescent="0.25">
      <c r="A7228" s="1" t="s">
        <v>7227</v>
      </c>
      <c r="C7228" s="3">
        <v>17</v>
      </c>
    </row>
    <row r="7229" spans="1:3" x14ac:dyDescent="0.25">
      <c r="A7229" s="1" t="s">
        <v>7228</v>
      </c>
      <c r="C7229" s="3">
        <v>17</v>
      </c>
    </row>
    <row r="7230" spans="1:3" x14ac:dyDescent="0.25">
      <c r="A7230" s="1" t="s">
        <v>7229</v>
      </c>
      <c r="C7230" s="3">
        <v>17</v>
      </c>
    </row>
    <row r="7231" spans="1:3" x14ac:dyDescent="0.25">
      <c r="A7231" s="1" t="s">
        <v>7230</v>
      </c>
      <c r="C7231" s="3">
        <v>17</v>
      </c>
    </row>
    <row r="7232" spans="1:3" x14ac:dyDescent="0.25">
      <c r="A7232" s="1" t="s">
        <v>7231</v>
      </c>
      <c r="C7232" s="3">
        <v>17</v>
      </c>
    </row>
    <row r="7233" spans="1:3" x14ac:dyDescent="0.25">
      <c r="A7233" s="1" t="s">
        <v>7232</v>
      </c>
      <c r="C7233" s="3">
        <v>17</v>
      </c>
    </row>
    <row r="7234" spans="1:3" x14ac:dyDescent="0.25">
      <c r="A7234" s="1" t="s">
        <v>7233</v>
      </c>
      <c r="C7234" s="3">
        <v>17</v>
      </c>
    </row>
    <row r="7235" spans="1:3" x14ac:dyDescent="0.25">
      <c r="A7235" s="1" t="s">
        <v>7234</v>
      </c>
      <c r="C7235" s="3">
        <v>17</v>
      </c>
    </row>
    <row r="7236" spans="1:3" x14ac:dyDescent="0.25">
      <c r="A7236" s="1" t="s">
        <v>7235</v>
      </c>
      <c r="C7236" s="3">
        <v>17</v>
      </c>
    </row>
    <row r="7237" spans="1:3" x14ac:dyDescent="0.25">
      <c r="A7237" s="1" t="s">
        <v>7236</v>
      </c>
      <c r="C7237" s="3">
        <v>17</v>
      </c>
    </row>
    <row r="7238" spans="1:3" x14ac:dyDescent="0.25">
      <c r="A7238" s="1" t="s">
        <v>7237</v>
      </c>
      <c r="C7238" s="3">
        <v>17</v>
      </c>
    </row>
    <row r="7239" spans="1:3" x14ac:dyDescent="0.25">
      <c r="A7239" s="1" t="s">
        <v>7238</v>
      </c>
      <c r="C7239" s="3">
        <v>17</v>
      </c>
    </row>
    <row r="7240" spans="1:3" x14ac:dyDescent="0.25">
      <c r="A7240" s="1" t="s">
        <v>7239</v>
      </c>
      <c r="C7240" s="3">
        <v>17</v>
      </c>
    </row>
    <row r="7241" spans="1:3" x14ac:dyDescent="0.25">
      <c r="A7241" s="1" t="s">
        <v>7240</v>
      </c>
      <c r="C7241" s="3">
        <v>17</v>
      </c>
    </row>
    <row r="7242" spans="1:3" x14ac:dyDescent="0.25">
      <c r="A7242" s="1" t="s">
        <v>7241</v>
      </c>
      <c r="C7242" s="3">
        <v>17</v>
      </c>
    </row>
    <row r="7243" spans="1:3" x14ac:dyDescent="0.25">
      <c r="A7243" s="1" t="s">
        <v>7242</v>
      </c>
      <c r="C7243" s="3">
        <v>17</v>
      </c>
    </row>
    <row r="7244" spans="1:3" x14ac:dyDescent="0.25">
      <c r="A7244" s="1" t="s">
        <v>7243</v>
      </c>
      <c r="C7244" s="3">
        <v>17</v>
      </c>
    </row>
    <row r="7245" spans="1:3" x14ac:dyDescent="0.25">
      <c r="A7245" s="1" t="s">
        <v>7244</v>
      </c>
      <c r="C7245" s="3">
        <v>17</v>
      </c>
    </row>
    <row r="7246" spans="1:3" x14ac:dyDescent="0.25">
      <c r="A7246" s="1" t="s">
        <v>7245</v>
      </c>
      <c r="C7246" s="3">
        <v>17</v>
      </c>
    </row>
    <row r="7247" spans="1:3" x14ac:dyDescent="0.25">
      <c r="A7247" s="1" t="s">
        <v>7246</v>
      </c>
      <c r="C7247" s="3">
        <v>17</v>
      </c>
    </row>
    <row r="7248" spans="1:3" x14ac:dyDescent="0.25">
      <c r="A7248" s="1" t="s">
        <v>7247</v>
      </c>
      <c r="C7248" s="3">
        <v>17</v>
      </c>
    </row>
    <row r="7249" spans="1:3" x14ac:dyDescent="0.25">
      <c r="A7249" s="1" t="s">
        <v>7248</v>
      </c>
      <c r="C7249" s="3">
        <v>17</v>
      </c>
    </row>
    <row r="7250" spans="1:3" x14ac:dyDescent="0.25">
      <c r="A7250" s="1" t="s">
        <v>7249</v>
      </c>
      <c r="C7250" s="3">
        <v>17</v>
      </c>
    </row>
    <row r="7251" spans="1:3" x14ac:dyDescent="0.25">
      <c r="A7251" s="1" t="s">
        <v>7250</v>
      </c>
      <c r="C7251" s="3">
        <v>17</v>
      </c>
    </row>
    <row r="7252" spans="1:3" x14ac:dyDescent="0.25">
      <c r="A7252" s="1" t="s">
        <v>7251</v>
      </c>
      <c r="C7252" s="3">
        <v>17</v>
      </c>
    </row>
    <row r="7253" spans="1:3" x14ac:dyDescent="0.25">
      <c r="A7253" s="1" t="s">
        <v>7252</v>
      </c>
      <c r="C7253" s="3">
        <v>17</v>
      </c>
    </row>
    <row r="7254" spans="1:3" x14ac:dyDescent="0.25">
      <c r="A7254" s="1" t="s">
        <v>7253</v>
      </c>
      <c r="C7254" s="3">
        <v>17</v>
      </c>
    </row>
    <row r="7255" spans="1:3" x14ac:dyDescent="0.25">
      <c r="A7255" s="1" t="s">
        <v>7254</v>
      </c>
      <c r="C7255" s="3">
        <v>17</v>
      </c>
    </row>
    <row r="7256" spans="1:3" x14ac:dyDescent="0.25">
      <c r="A7256" s="1" t="s">
        <v>7255</v>
      </c>
      <c r="C7256" s="3">
        <v>17</v>
      </c>
    </row>
    <row r="7257" spans="1:3" x14ac:dyDescent="0.25">
      <c r="A7257" s="1" t="s">
        <v>7256</v>
      </c>
      <c r="C7257" s="3">
        <v>17</v>
      </c>
    </row>
    <row r="7258" spans="1:3" x14ac:dyDescent="0.25">
      <c r="A7258" s="1" t="s">
        <v>7257</v>
      </c>
      <c r="C7258" s="3">
        <v>17</v>
      </c>
    </row>
    <row r="7259" spans="1:3" x14ac:dyDescent="0.25">
      <c r="A7259" s="1" t="s">
        <v>7258</v>
      </c>
      <c r="C7259" s="3">
        <v>17</v>
      </c>
    </row>
    <row r="7260" spans="1:3" x14ac:dyDescent="0.25">
      <c r="A7260" s="1" t="s">
        <v>7259</v>
      </c>
      <c r="C7260" s="3">
        <v>17</v>
      </c>
    </row>
    <row r="7261" spans="1:3" x14ac:dyDescent="0.25">
      <c r="A7261" s="1" t="s">
        <v>7260</v>
      </c>
      <c r="C7261" s="3">
        <v>17</v>
      </c>
    </row>
    <row r="7262" spans="1:3" x14ac:dyDescent="0.25">
      <c r="A7262" s="1" t="s">
        <v>7261</v>
      </c>
      <c r="C7262" s="3">
        <v>17</v>
      </c>
    </row>
    <row r="7263" spans="1:3" x14ac:dyDescent="0.25">
      <c r="A7263" s="1" t="s">
        <v>7262</v>
      </c>
      <c r="C7263" s="3">
        <v>17</v>
      </c>
    </row>
    <row r="7264" spans="1:3" x14ac:dyDescent="0.25">
      <c r="A7264" s="1" t="s">
        <v>7263</v>
      </c>
      <c r="C7264" s="3">
        <v>17</v>
      </c>
    </row>
    <row r="7265" spans="1:3" x14ac:dyDescent="0.25">
      <c r="A7265" s="1" t="s">
        <v>7264</v>
      </c>
      <c r="C7265" s="3">
        <v>17</v>
      </c>
    </row>
    <row r="7266" spans="1:3" x14ac:dyDescent="0.25">
      <c r="A7266" s="1" t="s">
        <v>7265</v>
      </c>
      <c r="C7266" s="3">
        <v>17</v>
      </c>
    </row>
    <row r="7267" spans="1:3" x14ac:dyDescent="0.25">
      <c r="A7267" s="1" t="s">
        <v>7266</v>
      </c>
      <c r="C7267" s="3">
        <v>17</v>
      </c>
    </row>
    <row r="7268" spans="1:3" x14ac:dyDescent="0.25">
      <c r="A7268" s="1" t="s">
        <v>7267</v>
      </c>
      <c r="C7268" s="3">
        <v>17</v>
      </c>
    </row>
    <row r="7269" spans="1:3" x14ac:dyDescent="0.25">
      <c r="A7269" s="1" t="s">
        <v>7268</v>
      </c>
      <c r="C7269" s="3">
        <v>17</v>
      </c>
    </row>
    <row r="7270" spans="1:3" x14ac:dyDescent="0.25">
      <c r="A7270" s="1" t="s">
        <v>7269</v>
      </c>
      <c r="C7270" s="3">
        <v>17</v>
      </c>
    </row>
    <row r="7271" spans="1:3" x14ac:dyDescent="0.25">
      <c r="A7271" s="1" t="s">
        <v>7270</v>
      </c>
      <c r="C7271" s="3">
        <v>17</v>
      </c>
    </row>
    <row r="7272" spans="1:3" x14ac:dyDescent="0.25">
      <c r="A7272" s="1" t="s">
        <v>7271</v>
      </c>
      <c r="C7272" s="3">
        <v>17</v>
      </c>
    </row>
    <row r="7273" spans="1:3" x14ac:dyDescent="0.25">
      <c r="A7273" s="1" t="s">
        <v>7272</v>
      </c>
      <c r="C7273" s="3">
        <v>17</v>
      </c>
    </row>
    <row r="7274" spans="1:3" x14ac:dyDescent="0.25">
      <c r="A7274" s="1" t="s">
        <v>7273</v>
      </c>
      <c r="C7274" s="3">
        <v>17</v>
      </c>
    </row>
    <row r="7275" spans="1:3" x14ac:dyDescent="0.25">
      <c r="A7275" s="1" t="s">
        <v>7274</v>
      </c>
      <c r="C7275" s="3">
        <v>17</v>
      </c>
    </row>
    <row r="7276" spans="1:3" x14ac:dyDescent="0.25">
      <c r="A7276" s="1" t="s">
        <v>7275</v>
      </c>
      <c r="C7276" s="3">
        <v>17</v>
      </c>
    </row>
    <row r="7277" spans="1:3" x14ac:dyDescent="0.25">
      <c r="A7277" s="1" t="s">
        <v>7276</v>
      </c>
      <c r="C7277" s="3">
        <v>17</v>
      </c>
    </row>
    <row r="7278" spans="1:3" x14ac:dyDescent="0.25">
      <c r="A7278" s="1" t="s">
        <v>7277</v>
      </c>
      <c r="C7278" s="3">
        <v>17</v>
      </c>
    </row>
    <row r="7279" spans="1:3" x14ac:dyDescent="0.25">
      <c r="A7279" s="1" t="s">
        <v>7278</v>
      </c>
      <c r="C7279" s="3">
        <v>17</v>
      </c>
    </row>
    <row r="7280" spans="1:3" x14ac:dyDescent="0.25">
      <c r="A7280" s="1" t="s">
        <v>7279</v>
      </c>
      <c r="C7280" s="3">
        <v>17</v>
      </c>
    </row>
    <row r="7281" spans="1:3" x14ac:dyDescent="0.25">
      <c r="A7281" s="1" t="s">
        <v>7280</v>
      </c>
      <c r="C7281" s="3">
        <v>17</v>
      </c>
    </row>
    <row r="7282" spans="1:3" x14ac:dyDescent="0.25">
      <c r="A7282" s="1" t="s">
        <v>7281</v>
      </c>
      <c r="C7282" s="3">
        <v>17</v>
      </c>
    </row>
    <row r="7283" spans="1:3" x14ac:dyDescent="0.25">
      <c r="A7283" s="1" t="s">
        <v>7282</v>
      </c>
      <c r="C7283" s="3">
        <v>17</v>
      </c>
    </row>
    <row r="7284" spans="1:3" x14ac:dyDescent="0.25">
      <c r="A7284" s="1" t="s">
        <v>7283</v>
      </c>
      <c r="C7284" s="3">
        <v>17</v>
      </c>
    </row>
    <row r="7285" spans="1:3" x14ac:dyDescent="0.25">
      <c r="A7285" s="1" t="s">
        <v>7284</v>
      </c>
      <c r="C7285" s="3">
        <v>17</v>
      </c>
    </row>
    <row r="7286" spans="1:3" x14ac:dyDescent="0.25">
      <c r="A7286" s="1" t="s">
        <v>7285</v>
      </c>
      <c r="C7286" s="3">
        <v>17</v>
      </c>
    </row>
    <row r="7287" spans="1:3" x14ac:dyDescent="0.25">
      <c r="A7287" s="1" t="s">
        <v>7286</v>
      </c>
      <c r="C7287" s="3">
        <v>17</v>
      </c>
    </row>
    <row r="7288" spans="1:3" x14ac:dyDescent="0.25">
      <c r="A7288" s="1" t="s">
        <v>7287</v>
      </c>
      <c r="C7288" s="3">
        <v>17</v>
      </c>
    </row>
    <row r="7289" spans="1:3" x14ac:dyDescent="0.25">
      <c r="A7289" s="1" t="s">
        <v>7288</v>
      </c>
      <c r="C7289" s="3">
        <v>17</v>
      </c>
    </row>
    <row r="7290" spans="1:3" x14ac:dyDescent="0.25">
      <c r="A7290" s="1" t="s">
        <v>7289</v>
      </c>
      <c r="C7290" s="3">
        <v>17</v>
      </c>
    </row>
    <row r="7291" spans="1:3" x14ac:dyDescent="0.25">
      <c r="A7291" s="1" t="s">
        <v>7290</v>
      </c>
      <c r="C7291" s="3">
        <v>17</v>
      </c>
    </row>
    <row r="7292" spans="1:3" x14ac:dyDescent="0.25">
      <c r="A7292" s="1" t="s">
        <v>7291</v>
      </c>
      <c r="C7292" s="3">
        <v>17</v>
      </c>
    </row>
    <row r="7293" spans="1:3" x14ac:dyDescent="0.25">
      <c r="A7293" s="1" t="s">
        <v>7292</v>
      </c>
      <c r="C7293" s="3">
        <v>17</v>
      </c>
    </row>
    <row r="7294" spans="1:3" x14ac:dyDescent="0.25">
      <c r="A7294" s="1" t="s">
        <v>7293</v>
      </c>
      <c r="C7294" s="3">
        <v>17</v>
      </c>
    </row>
    <row r="7295" spans="1:3" x14ac:dyDescent="0.25">
      <c r="A7295" s="1" t="s">
        <v>7294</v>
      </c>
      <c r="C7295" s="3">
        <v>17</v>
      </c>
    </row>
    <row r="7296" spans="1:3" x14ac:dyDescent="0.25">
      <c r="A7296" s="1" t="s">
        <v>7295</v>
      </c>
      <c r="C7296" s="3">
        <v>17</v>
      </c>
    </row>
    <row r="7297" spans="1:3" x14ac:dyDescent="0.25">
      <c r="A7297" s="1" t="s">
        <v>7296</v>
      </c>
      <c r="C7297" s="3">
        <v>17</v>
      </c>
    </row>
    <row r="7298" spans="1:3" x14ac:dyDescent="0.25">
      <c r="A7298" s="1" t="s">
        <v>7297</v>
      </c>
      <c r="C7298" s="3">
        <v>17</v>
      </c>
    </row>
    <row r="7299" spans="1:3" x14ac:dyDescent="0.25">
      <c r="A7299" s="1" t="s">
        <v>7298</v>
      </c>
      <c r="C7299" s="3">
        <v>17</v>
      </c>
    </row>
    <row r="7300" spans="1:3" x14ac:dyDescent="0.25">
      <c r="A7300" s="1" t="s">
        <v>7299</v>
      </c>
      <c r="C7300" s="3">
        <v>17</v>
      </c>
    </row>
    <row r="7301" spans="1:3" x14ac:dyDescent="0.25">
      <c r="A7301" s="1" t="s">
        <v>7300</v>
      </c>
      <c r="C7301" s="3">
        <v>17</v>
      </c>
    </row>
    <row r="7302" spans="1:3" x14ac:dyDescent="0.25">
      <c r="A7302" s="1" t="s">
        <v>7301</v>
      </c>
      <c r="C7302" s="3">
        <v>17</v>
      </c>
    </row>
    <row r="7303" spans="1:3" x14ac:dyDescent="0.25">
      <c r="A7303" s="1" t="s">
        <v>7302</v>
      </c>
      <c r="C7303" s="3">
        <v>17</v>
      </c>
    </row>
    <row r="7304" spans="1:3" x14ac:dyDescent="0.25">
      <c r="A7304" s="1" t="s">
        <v>7303</v>
      </c>
      <c r="C7304" s="3">
        <v>17</v>
      </c>
    </row>
    <row r="7305" spans="1:3" x14ac:dyDescent="0.25">
      <c r="A7305" s="1" t="s">
        <v>7304</v>
      </c>
      <c r="C7305" s="3">
        <v>17</v>
      </c>
    </row>
    <row r="7306" spans="1:3" x14ac:dyDescent="0.25">
      <c r="A7306" s="1" t="s">
        <v>7305</v>
      </c>
      <c r="C7306" s="3">
        <v>17</v>
      </c>
    </row>
    <row r="7307" spans="1:3" x14ac:dyDescent="0.25">
      <c r="A7307" s="1" t="s">
        <v>7306</v>
      </c>
      <c r="C7307" s="3">
        <v>17</v>
      </c>
    </row>
    <row r="7308" spans="1:3" x14ac:dyDescent="0.25">
      <c r="A7308" s="1" t="s">
        <v>7307</v>
      </c>
      <c r="C7308" s="3">
        <v>17</v>
      </c>
    </row>
    <row r="7309" spans="1:3" x14ac:dyDescent="0.25">
      <c r="A7309" s="1" t="s">
        <v>7308</v>
      </c>
      <c r="C7309" s="3">
        <v>17</v>
      </c>
    </row>
    <row r="7310" spans="1:3" x14ac:dyDescent="0.25">
      <c r="A7310" s="1" t="s">
        <v>7309</v>
      </c>
      <c r="C7310" s="3">
        <v>17</v>
      </c>
    </row>
    <row r="7311" spans="1:3" x14ac:dyDescent="0.25">
      <c r="A7311" s="1" t="s">
        <v>7310</v>
      </c>
      <c r="C7311" s="3">
        <v>17</v>
      </c>
    </row>
    <row r="7312" spans="1:3" x14ac:dyDescent="0.25">
      <c r="A7312" s="1" t="s">
        <v>7311</v>
      </c>
      <c r="C7312" s="3">
        <v>17</v>
      </c>
    </row>
    <row r="7313" spans="1:3" x14ac:dyDescent="0.25">
      <c r="A7313" s="1" t="s">
        <v>7312</v>
      </c>
      <c r="C7313" s="3">
        <v>17</v>
      </c>
    </row>
    <row r="7314" spans="1:3" x14ac:dyDescent="0.25">
      <c r="A7314" s="1" t="s">
        <v>7313</v>
      </c>
      <c r="C7314" s="3">
        <v>17</v>
      </c>
    </row>
    <row r="7315" spans="1:3" x14ac:dyDescent="0.25">
      <c r="A7315" s="1" t="s">
        <v>7314</v>
      </c>
      <c r="C7315" s="3">
        <v>17</v>
      </c>
    </row>
    <row r="7316" spans="1:3" x14ac:dyDescent="0.25">
      <c r="A7316" s="1" t="s">
        <v>7315</v>
      </c>
      <c r="C7316" s="3">
        <v>17</v>
      </c>
    </row>
    <row r="7317" spans="1:3" x14ac:dyDescent="0.25">
      <c r="A7317" s="1" t="s">
        <v>7316</v>
      </c>
      <c r="C7317" s="3">
        <v>17</v>
      </c>
    </row>
    <row r="7318" spans="1:3" x14ac:dyDescent="0.25">
      <c r="A7318" s="1" t="s">
        <v>7317</v>
      </c>
      <c r="C7318" s="3">
        <v>17</v>
      </c>
    </row>
    <row r="7319" spans="1:3" x14ac:dyDescent="0.25">
      <c r="A7319" s="1" t="s">
        <v>7318</v>
      </c>
      <c r="C7319" s="3">
        <v>17</v>
      </c>
    </row>
    <row r="7320" spans="1:3" x14ac:dyDescent="0.25">
      <c r="A7320" s="1" t="s">
        <v>7319</v>
      </c>
      <c r="C7320" s="3">
        <v>17</v>
      </c>
    </row>
    <row r="7321" spans="1:3" x14ac:dyDescent="0.25">
      <c r="A7321" s="1" t="s">
        <v>7320</v>
      </c>
      <c r="C7321" s="3">
        <v>17</v>
      </c>
    </row>
    <row r="7322" spans="1:3" x14ac:dyDescent="0.25">
      <c r="A7322" s="1" t="s">
        <v>7321</v>
      </c>
      <c r="C7322" s="3">
        <v>17</v>
      </c>
    </row>
    <row r="7323" spans="1:3" x14ac:dyDescent="0.25">
      <c r="A7323" s="1" t="s">
        <v>7322</v>
      </c>
      <c r="C7323" s="3">
        <v>17</v>
      </c>
    </row>
    <row r="7324" spans="1:3" x14ac:dyDescent="0.25">
      <c r="A7324" s="1" t="s">
        <v>7323</v>
      </c>
      <c r="C7324" s="3">
        <v>17</v>
      </c>
    </row>
    <row r="7325" spans="1:3" x14ac:dyDescent="0.25">
      <c r="A7325" s="1" t="s">
        <v>7324</v>
      </c>
      <c r="C7325" s="3">
        <v>17</v>
      </c>
    </row>
    <row r="7326" spans="1:3" x14ac:dyDescent="0.25">
      <c r="A7326" s="1" t="s">
        <v>7325</v>
      </c>
      <c r="C7326" s="3">
        <v>16</v>
      </c>
    </row>
    <row r="7327" spans="1:3" x14ac:dyDescent="0.25">
      <c r="A7327" s="1" t="s">
        <v>7326</v>
      </c>
      <c r="C7327" s="3">
        <v>16</v>
      </c>
    </row>
    <row r="7328" spans="1:3" x14ac:dyDescent="0.25">
      <c r="A7328" s="1" t="s">
        <v>7327</v>
      </c>
      <c r="C7328" s="3">
        <v>16</v>
      </c>
    </row>
    <row r="7329" spans="1:3" x14ac:dyDescent="0.25">
      <c r="A7329" s="1" t="s">
        <v>7328</v>
      </c>
      <c r="C7329" s="3">
        <v>16</v>
      </c>
    </row>
    <row r="7330" spans="1:3" x14ac:dyDescent="0.25">
      <c r="A7330" s="1" t="s">
        <v>7329</v>
      </c>
      <c r="C7330" s="3">
        <v>16</v>
      </c>
    </row>
    <row r="7331" spans="1:3" x14ac:dyDescent="0.25">
      <c r="A7331" s="1" t="s">
        <v>7330</v>
      </c>
      <c r="C7331" s="3">
        <v>16</v>
      </c>
    </row>
    <row r="7332" spans="1:3" x14ac:dyDescent="0.25">
      <c r="A7332" s="1" t="s">
        <v>7331</v>
      </c>
      <c r="C7332" s="3">
        <v>16</v>
      </c>
    </row>
    <row r="7333" spans="1:3" x14ac:dyDescent="0.25">
      <c r="A7333" s="1" t="s">
        <v>7332</v>
      </c>
      <c r="C7333" s="3">
        <v>16</v>
      </c>
    </row>
    <row r="7334" spans="1:3" x14ac:dyDescent="0.25">
      <c r="A7334" s="1" t="s">
        <v>7333</v>
      </c>
      <c r="C7334" s="3">
        <v>16</v>
      </c>
    </row>
    <row r="7335" spans="1:3" x14ac:dyDescent="0.25">
      <c r="A7335" s="1" t="s">
        <v>7334</v>
      </c>
      <c r="C7335" s="3">
        <v>16</v>
      </c>
    </row>
    <row r="7336" spans="1:3" x14ac:dyDescent="0.25">
      <c r="A7336" s="1" t="s">
        <v>7335</v>
      </c>
      <c r="C7336" s="3">
        <v>16</v>
      </c>
    </row>
    <row r="7337" spans="1:3" x14ac:dyDescent="0.25">
      <c r="A7337" s="1" t="s">
        <v>7336</v>
      </c>
      <c r="C7337" s="3">
        <v>16</v>
      </c>
    </row>
    <row r="7338" spans="1:3" x14ac:dyDescent="0.25">
      <c r="A7338" s="1" t="s">
        <v>7337</v>
      </c>
      <c r="C7338" s="3">
        <v>16</v>
      </c>
    </row>
    <row r="7339" spans="1:3" x14ac:dyDescent="0.25">
      <c r="A7339" s="1" t="s">
        <v>7338</v>
      </c>
      <c r="C7339" s="3">
        <v>16</v>
      </c>
    </row>
    <row r="7340" spans="1:3" x14ac:dyDescent="0.25">
      <c r="A7340" s="1" t="s">
        <v>7339</v>
      </c>
      <c r="C7340" s="3">
        <v>16</v>
      </c>
    </row>
    <row r="7341" spans="1:3" x14ac:dyDescent="0.25">
      <c r="A7341" s="1" t="s">
        <v>7340</v>
      </c>
      <c r="C7341" s="3">
        <v>16</v>
      </c>
    </row>
    <row r="7342" spans="1:3" x14ac:dyDescent="0.25">
      <c r="A7342" s="1" t="s">
        <v>7341</v>
      </c>
      <c r="C7342" s="3">
        <v>16</v>
      </c>
    </row>
    <row r="7343" spans="1:3" x14ac:dyDescent="0.25">
      <c r="A7343" s="1" t="s">
        <v>7342</v>
      </c>
      <c r="C7343" s="3">
        <v>16</v>
      </c>
    </row>
    <row r="7344" spans="1:3" x14ac:dyDescent="0.25">
      <c r="A7344" s="1" t="s">
        <v>7343</v>
      </c>
      <c r="C7344" s="3">
        <v>16</v>
      </c>
    </row>
    <row r="7345" spans="1:3" x14ac:dyDescent="0.25">
      <c r="A7345" s="1" t="s">
        <v>7344</v>
      </c>
      <c r="C7345" s="3">
        <v>16</v>
      </c>
    </row>
    <row r="7346" spans="1:3" x14ac:dyDescent="0.25">
      <c r="A7346" s="1" t="s">
        <v>7345</v>
      </c>
      <c r="C7346" s="3">
        <v>16</v>
      </c>
    </row>
    <row r="7347" spans="1:3" x14ac:dyDescent="0.25">
      <c r="A7347" s="1" t="s">
        <v>7346</v>
      </c>
      <c r="C7347" s="3">
        <v>16</v>
      </c>
    </row>
    <row r="7348" spans="1:3" x14ac:dyDescent="0.25">
      <c r="A7348" s="1" t="s">
        <v>7347</v>
      </c>
      <c r="C7348" s="3">
        <v>16</v>
      </c>
    </row>
    <row r="7349" spans="1:3" x14ac:dyDescent="0.25">
      <c r="A7349" s="1" t="s">
        <v>7348</v>
      </c>
      <c r="C7349" s="3">
        <v>16</v>
      </c>
    </row>
    <row r="7350" spans="1:3" x14ac:dyDescent="0.25">
      <c r="A7350" s="1" t="s">
        <v>7349</v>
      </c>
      <c r="C7350" s="3">
        <v>16</v>
      </c>
    </row>
    <row r="7351" spans="1:3" x14ac:dyDescent="0.25">
      <c r="A7351" s="1" t="s">
        <v>7350</v>
      </c>
      <c r="C7351" s="3">
        <v>16</v>
      </c>
    </row>
    <row r="7352" spans="1:3" x14ac:dyDescent="0.25">
      <c r="A7352" s="1" t="s">
        <v>7351</v>
      </c>
      <c r="C7352" s="3">
        <v>16</v>
      </c>
    </row>
    <row r="7353" spans="1:3" x14ac:dyDescent="0.25">
      <c r="A7353" s="1" t="s">
        <v>7352</v>
      </c>
      <c r="C7353" s="3">
        <v>16</v>
      </c>
    </row>
    <row r="7354" spans="1:3" x14ac:dyDescent="0.25">
      <c r="A7354" s="1" t="s">
        <v>7353</v>
      </c>
      <c r="C7354" s="3">
        <v>16</v>
      </c>
    </row>
    <row r="7355" spans="1:3" x14ac:dyDescent="0.25">
      <c r="A7355" s="1" t="s">
        <v>7354</v>
      </c>
      <c r="C7355" s="3">
        <v>16</v>
      </c>
    </row>
    <row r="7356" spans="1:3" x14ac:dyDescent="0.25">
      <c r="A7356" s="1" t="s">
        <v>7355</v>
      </c>
      <c r="C7356" s="3">
        <v>16</v>
      </c>
    </row>
    <row r="7357" spans="1:3" x14ac:dyDescent="0.25">
      <c r="A7357" s="1" t="s">
        <v>7356</v>
      </c>
      <c r="C7357" s="3">
        <v>16</v>
      </c>
    </row>
    <row r="7358" spans="1:3" x14ac:dyDescent="0.25">
      <c r="A7358" s="1" t="s">
        <v>7357</v>
      </c>
      <c r="C7358" s="3">
        <v>16</v>
      </c>
    </row>
    <row r="7359" spans="1:3" x14ac:dyDescent="0.25">
      <c r="A7359" s="1" t="s">
        <v>7358</v>
      </c>
      <c r="C7359" s="3">
        <v>16</v>
      </c>
    </row>
    <row r="7360" spans="1:3" x14ac:dyDescent="0.25">
      <c r="A7360" s="1" t="s">
        <v>7359</v>
      </c>
      <c r="C7360" s="3">
        <v>16</v>
      </c>
    </row>
    <row r="7361" spans="1:3" x14ac:dyDescent="0.25">
      <c r="A7361" s="1" t="s">
        <v>7360</v>
      </c>
      <c r="C7361" s="3">
        <v>16</v>
      </c>
    </row>
    <row r="7362" spans="1:3" x14ac:dyDescent="0.25">
      <c r="A7362" s="1" t="s">
        <v>7361</v>
      </c>
      <c r="C7362" s="3">
        <v>16</v>
      </c>
    </row>
    <row r="7363" spans="1:3" x14ac:dyDescent="0.25">
      <c r="A7363" s="1" t="s">
        <v>7362</v>
      </c>
      <c r="C7363" s="3">
        <v>16</v>
      </c>
    </row>
    <row r="7364" spans="1:3" x14ac:dyDescent="0.25">
      <c r="A7364" s="1" t="s">
        <v>7363</v>
      </c>
      <c r="C7364" s="3">
        <v>16</v>
      </c>
    </row>
    <row r="7365" spans="1:3" x14ac:dyDescent="0.25">
      <c r="A7365" s="1" t="s">
        <v>7364</v>
      </c>
      <c r="C7365" s="3">
        <v>16</v>
      </c>
    </row>
    <row r="7366" spans="1:3" x14ac:dyDescent="0.25">
      <c r="A7366" s="1" t="s">
        <v>7365</v>
      </c>
      <c r="C7366" s="3">
        <v>16</v>
      </c>
    </row>
    <row r="7367" spans="1:3" x14ac:dyDescent="0.25">
      <c r="A7367" s="1" t="s">
        <v>7366</v>
      </c>
      <c r="C7367" s="3">
        <v>16</v>
      </c>
    </row>
    <row r="7368" spans="1:3" x14ac:dyDescent="0.25">
      <c r="A7368" s="1" t="s">
        <v>7367</v>
      </c>
      <c r="C7368" s="3">
        <v>16</v>
      </c>
    </row>
    <row r="7369" spans="1:3" x14ac:dyDescent="0.25">
      <c r="A7369" s="1" t="s">
        <v>7368</v>
      </c>
      <c r="C7369" s="3">
        <v>16</v>
      </c>
    </row>
    <row r="7370" spans="1:3" x14ac:dyDescent="0.25">
      <c r="A7370" s="1" t="s">
        <v>7369</v>
      </c>
      <c r="C7370" s="3">
        <v>16</v>
      </c>
    </row>
    <row r="7371" spans="1:3" x14ac:dyDescent="0.25">
      <c r="A7371" s="1" t="s">
        <v>7370</v>
      </c>
      <c r="C7371" s="3">
        <v>16</v>
      </c>
    </row>
    <row r="7372" spans="1:3" x14ac:dyDescent="0.25">
      <c r="A7372" s="1" t="s">
        <v>7371</v>
      </c>
      <c r="C7372" s="3">
        <v>16</v>
      </c>
    </row>
    <row r="7373" spans="1:3" x14ac:dyDescent="0.25">
      <c r="A7373" s="1" t="s">
        <v>7372</v>
      </c>
      <c r="C7373" s="3">
        <v>16</v>
      </c>
    </row>
    <row r="7374" spans="1:3" x14ac:dyDescent="0.25">
      <c r="A7374" s="1" t="s">
        <v>7373</v>
      </c>
      <c r="C7374" s="3">
        <v>16</v>
      </c>
    </row>
    <row r="7375" spans="1:3" x14ac:dyDescent="0.25">
      <c r="A7375" s="1" t="s">
        <v>7374</v>
      </c>
      <c r="C7375" s="3">
        <v>16</v>
      </c>
    </row>
    <row r="7376" spans="1:3" x14ac:dyDescent="0.25">
      <c r="A7376" s="1" t="s">
        <v>7375</v>
      </c>
      <c r="C7376" s="3">
        <v>16</v>
      </c>
    </row>
    <row r="7377" spans="1:3" x14ac:dyDescent="0.25">
      <c r="A7377" s="1" t="s">
        <v>7376</v>
      </c>
      <c r="C7377" s="3">
        <v>16</v>
      </c>
    </row>
    <row r="7378" spans="1:3" x14ac:dyDescent="0.25">
      <c r="A7378" s="1" t="s">
        <v>7377</v>
      </c>
      <c r="C7378" s="3">
        <v>16</v>
      </c>
    </row>
    <row r="7379" spans="1:3" x14ac:dyDescent="0.25">
      <c r="A7379" s="1" t="s">
        <v>7378</v>
      </c>
      <c r="C7379" s="3">
        <v>16</v>
      </c>
    </row>
    <row r="7380" spans="1:3" x14ac:dyDescent="0.25">
      <c r="A7380" s="1" t="s">
        <v>7379</v>
      </c>
      <c r="C7380" s="3">
        <v>16</v>
      </c>
    </row>
    <row r="7381" spans="1:3" x14ac:dyDescent="0.25">
      <c r="A7381" s="1" t="s">
        <v>7380</v>
      </c>
      <c r="C7381" s="3">
        <v>16</v>
      </c>
    </row>
    <row r="7382" spans="1:3" x14ac:dyDescent="0.25">
      <c r="A7382" s="1" t="s">
        <v>7381</v>
      </c>
      <c r="C7382" s="3">
        <v>16</v>
      </c>
    </row>
    <row r="7383" spans="1:3" x14ac:dyDescent="0.25">
      <c r="A7383" s="1" t="s">
        <v>7382</v>
      </c>
      <c r="C7383" s="3">
        <v>16</v>
      </c>
    </row>
    <row r="7384" spans="1:3" x14ac:dyDescent="0.25">
      <c r="A7384" s="1" t="s">
        <v>7383</v>
      </c>
      <c r="C7384" s="3">
        <v>16</v>
      </c>
    </row>
    <row r="7385" spans="1:3" x14ac:dyDescent="0.25">
      <c r="A7385" s="1" t="s">
        <v>7384</v>
      </c>
      <c r="C7385" s="3">
        <v>16</v>
      </c>
    </row>
    <row r="7386" spans="1:3" x14ac:dyDescent="0.25">
      <c r="A7386" s="1" t="s">
        <v>7385</v>
      </c>
      <c r="C7386" s="3">
        <v>16</v>
      </c>
    </row>
    <row r="7387" spans="1:3" x14ac:dyDescent="0.25">
      <c r="A7387" s="1" t="s">
        <v>7386</v>
      </c>
      <c r="C7387" s="3">
        <v>16</v>
      </c>
    </row>
    <row r="7388" spans="1:3" x14ac:dyDescent="0.25">
      <c r="A7388" s="1" t="s">
        <v>7387</v>
      </c>
      <c r="C7388" s="3">
        <v>16</v>
      </c>
    </row>
    <row r="7389" spans="1:3" x14ac:dyDescent="0.25">
      <c r="A7389" s="1" t="s">
        <v>7388</v>
      </c>
      <c r="C7389" s="3">
        <v>16</v>
      </c>
    </row>
    <row r="7390" spans="1:3" x14ac:dyDescent="0.25">
      <c r="A7390" s="1" t="s">
        <v>7389</v>
      </c>
      <c r="C7390" s="3">
        <v>16</v>
      </c>
    </row>
    <row r="7391" spans="1:3" x14ac:dyDescent="0.25">
      <c r="A7391" s="1" t="s">
        <v>7390</v>
      </c>
      <c r="C7391" s="3">
        <v>16</v>
      </c>
    </row>
    <row r="7392" spans="1:3" x14ac:dyDescent="0.25">
      <c r="A7392" s="1" t="s">
        <v>7391</v>
      </c>
      <c r="C7392" s="3">
        <v>16</v>
      </c>
    </row>
    <row r="7393" spans="1:3" x14ac:dyDescent="0.25">
      <c r="A7393" s="1" t="s">
        <v>7392</v>
      </c>
      <c r="C7393" s="3">
        <v>16</v>
      </c>
    </row>
    <row r="7394" spans="1:3" x14ac:dyDescent="0.25">
      <c r="A7394" s="1" t="s">
        <v>7393</v>
      </c>
      <c r="C7394" s="3">
        <v>16</v>
      </c>
    </row>
    <row r="7395" spans="1:3" x14ac:dyDescent="0.25">
      <c r="A7395" s="1" t="s">
        <v>7394</v>
      </c>
      <c r="C7395" s="3">
        <v>16</v>
      </c>
    </row>
    <row r="7396" spans="1:3" x14ac:dyDescent="0.25">
      <c r="A7396" s="1" t="s">
        <v>7395</v>
      </c>
      <c r="C7396" s="3">
        <v>16</v>
      </c>
    </row>
    <row r="7397" spans="1:3" x14ac:dyDescent="0.25">
      <c r="A7397" s="1" t="s">
        <v>7396</v>
      </c>
      <c r="C7397" s="3">
        <v>16</v>
      </c>
    </row>
    <row r="7398" spans="1:3" x14ac:dyDescent="0.25">
      <c r="A7398" s="1" t="s">
        <v>7397</v>
      </c>
      <c r="C7398" s="3">
        <v>16</v>
      </c>
    </row>
    <row r="7399" spans="1:3" x14ac:dyDescent="0.25">
      <c r="A7399" s="1" t="s">
        <v>7398</v>
      </c>
      <c r="C7399" s="3">
        <v>16</v>
      </c>
    </row>
    <row r="7400" spans="1:3" x14ac:dyDescent="0.25">
      <c r="A7400" s="1" t="s">
        <v>7399</v>
      </c>
      <c r="C7400" s="3">
        <v>16</v>
      </c>
    </row>
    <row r="7401" spans="1:3" x14ac:dyDescent="0.25">
      <c r="A7401" s="1" t="s">
        <v>7400</v>
      </c>
      <c r="C7401" s="3">
        <v>16</v>
      </c>
    </row>
    <row r="7402" spans="1:3" x14ac:dyDescent="0.25">
      <c r="A7402" s="1" t="s">
        <v>7401</v>
      </c>
      <c r="C7402" s="3">
        <v>16</v>
      </c>
    </row>
    <row r="7403" spans="1:3" x14ac:dyDescent="0.25">
      <c r="A7403" s="1" t="s">
        <v>7402</v>
      </c>
      <c r="C7403" s="3">
        <v>16</v>
      </c>
    </row>
    <row r="7404" spans="1:3" x14ac:dyDescent="0.25">
      <c r="A7404" s="1" t="s">
        <v>7403</v>
      </c>
      <c r="C7404" s="3">
        <v>16</v>
      </c>
    </row>
    <row r="7405" spans="1:3" x14ac:dyDescent="0.25">
      <c r="A7405" s="1" t="s">
        <v>7404</v>
      </c>
      <c r="C7405" s="3">
        <v>16</v>
      </c>
    </row>
    <row r="7406" spans="1:3" x14ac:dyDescent="0.25">
      <c r="A7406" s="1" t="s">
        <v>7405</v>
      </c>
      <c r="C7406" s="3">
        <v>16</v>
      </c>
    </row>
    <row r="7407" spans="1:3" x14ac:dyDescent="0.25">
      <c r="A7407" s="1" t="s">
        <v>7406</v>
      </c>
      <c r="C7407" s="3">
        <v>16</v>
      </c>
    </row>
    <row r="7408" spans="1:3" x14ac:dyDescent="0.25">
      <c r="A7408" s="1" t="s">
        <v>7407</v>
      </c>
      <c r="C7408" s="3">
        <v>16</v>
      </c>
    </row>
    <row r="7409" spans="1:3" x14ac:dyDescent="0.25">
      <c r="A7409" s="1" t="s">
        <v>7408</v>
      </c>
      <c r="C7409" s="3">
        <v>16</v>
      </c>
    </row>
    <row r="7410" spans="1:3" x14ac:dyDescent="0.25">
      <c r="A7410" s="1" t="s">
        <v>7409</v>
      </c>
      <c r="C7410" s="3">
        <v>16</v>
      </c>
    </row>
    <row r="7411" spans="1:3" x14ac:dyDescent="0.25">
      <c r="A7411" s="1" t="s">
        <v>7410</v>
      </c>
      <c r="C7411" s="3">
        <v>16</v>
      </c>
    </row>
    <row r="7412" spans="1:3" x14ac:dyDescent="0.25">
      <c r="A7412" s="1" t="s">
        <v>7411</v>
      </c>
      <c r="C7412" s="3">
        <v>16</v>
      </c>
    </row>
    <row r="7413" spans="1:3" x14ac:dyDescent="0.25">
      <c r="A7413" s="1" t="s">
        <v>7412</v>
      </c>
      <c r="C7413" s="3">
        <v>16</v>
      </c>
    </row>
    <row r="7414" spans="1:3" x14ac:dyDescent="0.25">
      <c r="A7414" s="1" t="s">
        <v>7413</v>
      </c>
      <c r="C7414" s="3">
        <v>16</v>
      </c>
    </row>
    <row r="7415" spans="1:3" x14ac:dyDescent="0.25">
      <c r="A7415" s="1" t="s">
        <v>7414</v>
      </c>
      <c r="C7415" s="3">
        <v>16</v>
      </c>
    </row>
    <row r="7416" spans="1:3" x14ac:dyDescent="0.25">
      <c r="A7416" s="1" t="s">
        <v>7415</v>
      </c>
      <c r="C7416" s="3">
        <v>16</v>
      </c>
    </row>
    <row r="7417" spans="1:3" x14ac:dyDescent="0.25">
      <c r="A7417" s="1" t="s">
        <v>7416</v>
      </c>
      <c r="C7417" s="3">
        <v>16</v>
      </c>
    </row>
    <row r="7418" spans="1:3" x14ac:dyDescent="0.25">
      <c r="A7418" s="1" t="s">
        <v>7417</v>
      </c>
      <c r="C7418" s="3">
        <v>16</v>
      </c>
    </row>
    <row r="7419" spans="1:3" x14ac:dyDescent="0.25">
      <c r="A7419" s="1" t="s">
        <v>7418</v>
      </c>
      <c r="C7419" s="3">
        <v>16</v>
      </c>
    </row>
    <row r="7420" spans="1:3" x14ac:dyDescent="0.25">
      <c r="A7420" s="1" t="s">
        <v>7419</v>
      </c>
      <c r="C7420" s="3">
        <v>16</v>
      </c>
    </row>
    <row r="7421" spans="1:3" x14ac:dyDescent="0.25">
      <c r="A7421" s="1" t="s">
        <v>7420</v>
      </c>
      <c r="C7421" s="3">
        <v>16</v>
      </c>
    </row>
    <row r="7422" spans="1:3" x14ac:dyDescent="0.25">
      <c r="A7422" s="1" t="s">
        <v>7421</v>
      </c>
      <c r="C7422" s="3">
        <v>16</v>
      </c>
    </row>
    <row r="7423" spans="1:3" x14ac:dyDescent="0.25">
      <c r="A7423" s="1" t="s">
        <v>7422</v>
      </c>
      <c r="C7423" s="3">
        <v>16</v>
      </c>
    </row>
    <row r="7424" spans="1:3" x14ac:dyDescent="0.25">
      <c r="A7424" s="1" t="s">
        <v>7423</v>
      </c>
      <c r="C7424" s="3">
        <v>16</v>
      </c>
    </row>
    <row r="7425" spans="1:3" x14ac:dyDescent="0.25">
      <c r="A7425" s="1" t="s">
        <v>7424</v>
      </c>
      <c r="C7425" s="3">
        <v>16</v>
      </c>
    </row>
    <row r="7426" spans="1:3" x14ac:dyDescent="0.25">
      <c r="A7426" s="1" t="s">
        <v>7425</v>
      </c>
      <c r="C7426" s="3">
        <v>16</v>
      </c>
    </row>
    <row r="7427" spans="1:3" x14ac:dyDescent="0.25">
      <c r="A7427" s="1" t="s">
        <v>7426</v>
      </c>
      <c r="C7427" s="3">
        <v>16</v>
      </c>
    </row>
    <row r="7428" spans="1:3" x14ac:dyDescent="0.25">
      <c r="A7428" s="1" t="s">
        <v>7427</v>
      </c>
      <c r="C7428" s="3">
        <v>16</v>
      </c>
    </row>
    <row r="7429" spans="1:3" x14ac:dyDescent="0.25">
      <c r="A7429" s="1" t="s">
        <v>7428</v>
      </c>
      <c r="C7429" s="3">
        <v>16</v>
      </c>
    </row>
    <row r="7430" spans="1:3" x14ac:dyDescent="0.25">
      <c r="A7430" s="1" t="s">
        <v>7429</v>
      </c>
      <c r="C7430" s="3">
        <v>16</v>
      </c>
    </row>
    <row r="7431" spans="1:3" x14ac:dyDescent="0.25">
      <c r="A7431" s="1" t="s">
        <v>7430</v>
      </c>
      <c r="C7431" s="3">
        <v>16</v>
      </c>
    </row>
    <row r="7432" spans="1:3" x14ac:dyDescent="0.25">
      <c r="A7432" s="1" t="s">
        <v>7431</v>
      </c>
      <c r="C7432" s="3">
        <v>16</v>
      </c>
    </row>
    <row r="7433" spans="1:3" x14ac:dyDescent="0.25">
      <c r="A7433" s="1" t="s">
        <v>7432</v>
      </c>
      <c r="C7433" s="3">
        <v>16</v>
      </c>
    </row>
    <row r="7434" spans="1:3" x14ac:dyDescent="0.25">
      <c r="A7434" s="1" t="s">
        <v>7433</v>
      </c>
      <c r="C7434" s="3">
        <v>16</v>
      </c>
    </row>
    <row r="7435" spans="1:3" x14ac:dyDescent="0.25">
      <c r="A7435" s="1" t="s">
        <v>7434</v>
      </c>
      <c r="C7435" s="3">
        <v>16</v>
      </c>
    </row>
    <row r="7436" spans="1:3" x14ac:dyDescent="0.25">
      <c r="A7436" s="1" t="s">
        <v>7435</v>
      </c>
      <c r="C7436" s="3">
        <v>16</v>
      </c>
    </row>
    <row r="7437" spans="1:3" x14ac:dyDescent="0.25">
      <c r="A7437" s="1" t="s">
        <v>7436</v>
      </c>
      <c r="C7437" s="3">
        <v>16</v>
      </c>
    </row>
    <row r="7438" spans="1:3" x14ac:dyDescent="0.25">
      <c r="A7438" s="1" t="s">
        <v>7437</v>
      </c>
      <c r="C7438" s="3">
        <v>16</v>
      </c>
    </row>
    <row r="7439" spans="1:3" x14ac:dyDescent="0.25">
      <c r="A7439" s="1" t="s">
        <v>7438</v>
      </c>
      <c r="C7439" s="3">
        <v>16</v>
      </c>
    </row>
    <row r="7440" spans="1:3" x14ac:dyDescent="0.25">
      <c r="A7440" s="1" t="s">
        <v>7439</v>
      </c>
      <c r="C7440" s="3">
        <v>16</v>
      </c>
    </row>
    <row r="7441" spans="1:3" x14ac:dyDescent="0.25">
      <c r="A7441" s="1" t="s">
        <v>7440</v>
      </c>
      <c r="C7441" s="3">
        <v>16</v>
      </c>
    </row>
    <row r="7442" spans="1:3" x14ac:dyDescent="0.25">
      <c r="A7442" s="1" t="s">
        <v>7441</v>
      </c>
      <c r="C7442" s="3">
        <v>16</v>
      </c>
    </row>
    <row r="7443" spans="1:3" x14ac:dyDescent="0.25">
      <c r="A7443" s="1" t="s">
        <v>7442</v>
      </c>
      <c r="C7443" s="3">
        <v>16</v>
      </c>
    </row>
    <row r="7444" spans="1:3" x14ac:dyDescent="0.25">
      <c r="A7444" s="1" t="s">
        <v>7443</v>
      </c>
      <c r="C7444" s="3">
        <v>16</v>
      </c>
    </row>
    <row r="7445" spans="1:3" x14ac:dyDescent="0.25">
      <c r="A7445" s="1" t="s">
        <v>7444</v>
      </c>
      <c r="C7445" s="3">
        <v>16</v>
      </c>
    </row>
    <row r="7446" spans="1:3" x14ac:dyDescent="0.25">
      <c r="A7446" s="1" t="s">
        <v>7445</v>
      </c>
      <c r="C7446" s="3">
        <v>16</v>
      </c>
    </row>
    <row r="7447" spans="1:3" x14ac:dyDescent="0.25">
      <c r="A7447" s="1" t="s">
        <v>7446</v>
      </c>
      <c r="C7447" s="3">
        <v>16</v>
      </c>
    </row>
    <row r="7448" spans="1:3" x14ac:dyDescent="0.25">
      <c r="A7448" s="1" t="s">
        <v>7447</v>
      </c>
      <c r="C7448" s="3">
        <v>16</v>
      </c>
    </row>
    <row r="7449" spans="1:3" x14ac:dyDescent="0.25">
      <c r="A7449" s="1" t="s">
        <v>7448</v>
      </c>
      <c r="C7449" s="3">
        <v>16</v>
      </c>
    </row>
    <row r="7450" spans="1:3" x14ac:dyDescent="0.25">
      <c r="A7450" s="1" t="s">
        <v>7449</v>
      </c>
      <c r="C7450" s="3">
        <v>16</v>
      </c>
    </row>
    <row r="7451" spans="1:3" x14ac:dyDescent="0.25">
      <c r="A7451" s="1" t="s">
        <v>7450</v>
      </c>
      <c r="C7451" s="3">
        <v>16</v>
      </c>
    </row>
    <row r="7452" spans="1:3" x14ac:dyDescent="0.25">
      <c r="A7452" s="1" t="s">
        <v>7451</v>
      </c>
      <c r="C7452" s="3">
        <v>16</v>
      </c>
    </row>
    <row r="7453" spans="1:3" x14ac:dyDescent="0.25">
      <c r="A7453" s="1" t="s">
        <v>7452</v>
      </c>
      <c r="C7453" s="3">
        <v>16</v>
      </c>
    </row>
    <row r="7454" spans="1:3" x14ac:dyDescent="0.25">
      <c r="A7454" s="1" t="s">
        <v>7453</v>
      </c>
      <c r="C7454" s="3">
        <v>16</v>
      </c>
    </row>
    <row r="7455" spans="1:3" x14ac:dyDescent="0.25">
      <c r="A7455" s="1" t="s">
        <v>7454</v>
      </c>
      <c r="C7455" s="3">
        <v>16</v>
      </c>
    </row>
    <row r="7456" spans="1:3" x14ac:dyDescent="0.25">
      <c r="A7456" s="1" t="s">
        <v>7455</v>
      </c>
      <c r="C7456" s="3">
        <v>16</v>
      </c>
    </row>
    <row r="7457" spans="1:3" x14ac:dyDescent="0.25">
      <c r="A7457" s="1" t="s">
        <v>7456</v>
      </c>
      <c r="C7457" s="3">
        <v>16</v>
      </c>
    </row>
    <row r="7458" spans="1:3" x14ac:dyDescent="0.25">
      <c r="A7458" s="1" t="s">
        <v>7457</v>
      </c>
      <c r="C7458" s="3">
        <v>16</v>
      </c>
    </row>
    <row r="7459" spans="1:3" x14ac:dyDescent="0.25">
      <c r="A7459" s="1" t="s">
        <v>7458</v>
      </c>
      <c r="C7459" s="3">
        <v>16</v>
      </c>
    </row>
    <row r="7460" spans="1:3" x14ac:dyDescent="0.25">
      <c r="A7460" s="1" t="s">
        <v>7459</v>
      </c>
      <c r="C7460" s="3">
        <v>16</v>
      </c>
    </row>
    <row r="7461" spans="1:3" x14ac:dyDescent="0.25">
      <c r="A7461" s="1" t="s">
        <v>7460</v>
      </c>
      <c r="C7461" s="3">
        <v>16</v>
      </c>
    </row>
    <row r="7462" spans="1:3" x14ac:dyDescent="0.25">
      <c r="A7462" s="1" t="s">
        <v>7461</v>
      </c>
      <c r="C7462" s="3">
        <v>16</v>
      </c>
    </row>
    <row r="7463" spans="1:3" x14ac:dyDescent="0.25">
      <c r="A7463" s="1" t="s">
        <v>7462</v>
      </c>
      <c r="C7463" s="3">
        <v>16</v>
      </c>
    </row>
    <row r="7464" spans="1:3" x14ac:dyDescent="0.25">
      <c r="A7464" s="1" t="s">
        <v>7463</v>
      </c>
      <c r="C7464" s="3">
        <v>16</v>
      </c>
    </row>
    <row r="7465" spans="1:3" x14ac:dyDescent="0.25">
      <c r="A7465" s="1" t="s">
        <v>7464</v>
      </c>
      <c r="C7465" s="3">
        <v>16</v>
      </c>
    </row>
    <row r="7466" spans="1:3" x14ac:dyDescent="0.25">
      <c r="A7466" s="1" t="s">
        <v>7465</v>
      </c>
      <c r="C7466" s="3">
        <v>16</v>
      </c>
    </row>
    <row r="7467" spans="1:3" x14ac:dyDescent="0.25">
      <c r="A7467" s="1" t="s">
        <v>7466</v>
      </c>
      <c r="C7467" s="3">
        <v>16</v>
      </c>
    </row>
    <row r="7468" spans="1:3" x14ac:dyDescent="0.25">
      <c r="A7468" s="1" t="s">
        <v>7467</v>
      </c>
      <c r="C7468" s="3">
        <v>16</v>
      </c>
    </row>
    <row r="7469" spans="1:3" x14ac:dyDescent="0.25">
      <c r="A7469" s="1" t="s">
        <v>7468</v>
      </c>
      <c r="C7469" s="3">
        <v>16</v>
      </c>
    </row>
    <row r="7470" spans="1:3" x14ac:dyDescent="0.25">
      <c r="A7470" s="1" t="s">
        <v>7469</v>
      </c>
      <c r="C7470" s="3">
        <v>16</v>
      </c>
    </row>
    <row r="7471" spans="1:3" x14ac:dyDescent="0.25">
      <c r="A7471" s="1" t="s">
        <v>7470</v>
      </c>
      <c r="C7471" s="3">
        <v>16</v>
      </c>
    </row>
    <row r="7472" spans="1:3" x14ac:dyDescent="0.25">
      <c r="A7472" s="1" t="s">
        <v>7471</v>
      </c>
      <c r="C7472" s="3">
        <v>16</v>
      </c>
    </row>
    <row r="7473" spans="1:3" x14ac:dyDescent="0.25">
      <c r="A7473" s="1" t="s">
        <v>7472</v>
      </c>
      <c r="C7473" s="3">
        <v>16</v>
      </c>
    </row>
    <row r="7474" spans="1:3" x14ac:dyDescent="0.25">
      <c r="A7474" s="1" t="s">
        <v>7473</v>
      </c>
      <c r="C7474" s="3">
        <v>16</v>
      </c>
    </row>
    <row r="7475" spans="1:3" x14ac:dyDescent="0.25">
      <c r="A7475" s="1" t="s">
        <v>7474</v>
      </c>
      <c r="C7475" s="3">
        <v>16</v>
      </c>
    </row>
    <row r="7476" spans="1:3" x14ac:dyDescent="0.25">
      <c r="A7476" s="1" t="s">
        <v>7475</v>
      </c>
      <c r="C7476" s="3">
        <v>16</v>
      </c>
    </row>
    <row r="7477" spans="1:3" x14ac:dyDescent="0.25">
      <c r="A7477" s="1" t="s">
        <v>7476</v>
      </c>
      <c r="C7477" s="3">
        <v>16</v>
      </c>
    </row>
    <row r="7478" spans="1:3" x14ac:dyDescent="0.25">
      <c r="A7478" s="1" t="s">
        <v>7477</v>
      </c>
      <c r="C7478" s="3">
        <v>16</v>
      </c>
    </row>
    <row r="7479" spans="1:3" x14ac:dyDescent="0.25">
      <c r="A7479" s="1" t="s">
        <v>7478</v>
      </c>
      <c r="C7479" s="3">
        <v>16</v>
      </c>
    </row>
    <row r="7480" spans="1:3" x14ac:dyDescent="0.25">
      <c r="A7480" s="1" t="s">
        <v>7479</v>
      </c>
      <c r="C7480" s="3">
        <v>16</v>
      </c>
    </row>
    <row r="7481" spans="1:3" x14ac:dyDescent="0.25">
      <c r="A7481" s="1" t="s">
        <v>7480</v>
      </c>
      <c r="C7481" s="3">
        <v>16</v>
      </c>
    </row>
    <row r="7482" spans="1:3" x14ac:dyDescent="0.25">
      <c r="A7482" s="1" t="s">
        <v>7481</v>
      </c>
      <c r="C7482" s="3">
        <v>16</v>
      </c>
    </row>
    <row r="7483" spans="1:3" x14ac:dyDescent="0.25">
      <c r="A7483" s="1" t="s">
        <v>7482</v>
      </c>
      <c r="C7483" s="3">
        <v>16</v>
      </c>
    </row>
    <row r="7484" spans="1:3" x14ac:dyDescent="0.25">
      <c r="A7484" s="1" t="s">
        <v>7483</v>
      </c>
      <c r="C7484" s="3">
        <v>16</v>
      </c>
    </row>
    <row r="7485" spans="1:3" x14ac:dyDescent="0.25">
      <c r="A7485" s="1" t="s">
        <v>7484</v>
      </c>
      <c r="C7485" s="3">
        <v>16</v>
      </c>
    </row>
    <row r="7486" spans="1:3" x14ac:dyDescent="0.25">
      <c r="A7486" s="1" t="s">
        <v>7485</v>
      </c>
      <c r="C7486" s="3">
        <v>16</v>
      </c>
    </row>
    <row r="7487" spans="1:3" x14ac:dyDescent="0.25">
      <c r="A7487" s="1" t="s">
        <v>7486</v>
      </c>
      <c r="C7487" s="3">
        <v>16</v>
      </c>
    </row>
    <row r="7488" spans="1:3" x14ac:dyDescent="0.25">
      <c r="A7488" s="1" t="s">
        <v>7487</v>
      </c>
      <c r="C7488" s="3">
        <v>16</v>
      </c>
    </row>
    <row r="7489" spans="1:3" x14ac:dyDescent="0.25">
      <c r="A7489" s="1" t="s">
        <v>7488</v>
      </c>
      <c r="C7489" s="3">
        <v>16</v>
      </c>
    </row>
    <row r="7490" spans="1:3" x14ac:dyDescent="0.25">
      <c r="A7490" s="1" t="s">
        <v>7489</v>
      </c>
      <c r="C7490" s="3">
        <v>16</v>
      </c>
    </row>
    <row r="7491" spans="1:3" x14ac:dyDescent="0.25">
      <c r="A7491" s="1" t="s">
        <v>7490</v>
      </c>
      <c r="C7491" s="3">
        <v>16</v>
      </c>
    </row>
    <row r="7492" spans="1:3" x14ac:dyDescent="0.25">
      <c r="A7492" s="1" t="s">
        <v>7491</v>
      </c>
      <c r="C7492" s="3">
        <v>16</v>
      </c>
    </row>
    <row r="7493" spans="1:3" x14ac:dyDescent="0.25">
      <c r="A7493" s="1" t="s">
        <v>7492</v>
      </c>
      <c r="C7493" s="3">
        <v>16</v>
      </c>
    </row>
    <row r="7494" spans="1:3" x14ac:dyDescent="0.25">
      <c r="A7494" s="1" t="s">
        <v>7493</v>
      </c>
      <c r="C7494" s="3">
        <v>16</v>
      </c>
    </row>
    <row r="7495" spans="1:3" x14ac:dyDescent="0.25">
      <c r="A7495" s="1" t="s">
        <v>7494</v>
      </c>
      <c r="C7495" s="3">
        <v>16</v>
      </c>
    </row>
    <row r="7496" spans="1:3" x14ac:dyDescent="0.25">
      <c r="A7496" s="1" t="s">
        <v>7495</v>
      </c>
      <c r="C7496" s="3">
        <v>16</v>
      </c>
    </row>
    <row r="7497" spans="1:3" x14ac:dyDescent="0.25">
      <c r="A7497" s="1" t="s">
        <v>7496</v>
      </c>
      <c r="C7497" s="3">
        <v>16</v>
      </c>
    </row>
    <row r="7498" spans="1:3" x14ac:dyDescent="0.25">
      <c r="A7498" s="1" t="s">
        <v>7497</v>
      </c>
      <c r="C7498" s="3">
        <v>16</v>
      </c>
    </row>
    <row r="7499" spans="1:3" x14ac:dyDescent="0.25">
      <c r="A7499" s="1" t="s">
        <v>7498</v>
      </c>
      <c r="C7499" s="3">
        <v>16</v>
      </c>
    </row>
    <row r="7500" spans="1:3" x14ac:dyDescent="0.25">
      <c r="A7500" s="1" t="s">
        <v>7499</v>
      </c>
      <c r="C7500" s="3">
        <v>16</v>
      </c>
    </row>
    <row r="7501" spans="1:3" x14ac:dyDescent="0.25">
      <c r="A7501" s="1" t="s">
        <v>7500</v>
      </c>
      <c r="C7501" s="3">
        <v>16</v>
      </c>
    </row>
    <row r="7502" spans="1:3" x14ac:dyDescent="0.25">
      <c r="A7502" s="1" t="s">
        <v>7501</v>
      </c>
      <c r="C7502" s="3">
        <v>16</v>
      </c>
    </row>
    <row r="7503" spans="1:3" x14ac:dyDescent="0.25">
      <c r="A7503" s="1" t="s">
        <v>7502</v>
      </c>
      <c r="C7503" s="3">
        <v>16</v>
      </c>
    </row>
    <row r="7504" spans="1:3" x14ac:dyDescent="0.25">
      <c r="A7504" s="1" t="s">
        <v>7503</v>
      </c>
      <c r="C7504" s="3">
        <v>16</v>
      </c>
    </row>
    <row r="7505" spans="1:3" x14ac:dyDescent="0.25">
      <c r="A7505" s="1" t="s">
        <v>7504</v>
      </c>
      <c r="C7505" s="3">
        <v>16</v>
      </c>
    </row>
    <row r="7506" spans="1:3" x14ac:dyDescent="0.25">
      <c r="A7506" s="1" t="s">
        <v>7505</v>
      </c>
      <c r="C7506" s="3">
        <v>16</v>
      </c>
    </row>
    <row r="7507" spans="1:3" x14ac:dyDescent="0.25">
      <c r="A7507" s="1" t="s">
        <v>7506</v>
      </c>
      <c r="C7507" s="3">
        <v>16</v>
      </c>
    </row>
    <row r="7508" spans="1:3" x14ac:dyDescent="0.25">
      <c r="A7508" s="1" t="s">
        <v>7507</v>
      </c>
      <c r="C7508" s="3">
        <v>16</v>
      </c>
    </row>
    <row r="7509" spans="1:3" x14ac:dyDescent="0.25">
      <c r="A7509" s="1" t="s">
        <v>7508</v>
      </c>
      <c r="C7509" s="3">
        <v>16</v>
      </c>
    </row>
    <row r="7510" spans="1:3" x14ac:dyDescent="0.25">
      <c r="A7510" s="1" t="s">
        <v>7509</v>
      </c>
      <c r="C7510" s="3">
        <v>16</v>
      </c>
    </row>
    <row r="7511" spans="1:3" x14ac:dyDescent="0.25">
      <c r="A7511" s="1" t="s">
        <v>7510</v>
      </c>
      <c r="C7511" s="3">
        <v>16</v>
      </c>
    </row>
    <row r="7512" spans="1:3" x14ac:dyDescent="0.25">
      <c r="A7512" s="1" t="s">
        <v>7511</v>
      </c>
      <c r="C7512" s="3">
        <v>16</v>
      </c>
    </row>
    <row r="7513" spans="1:3" x14ac:dyDescent="0.25">
      <c r="A7513" s="1" t="s">
        <v>7512</v>
      </c>
      <c r="C7513" s="3">
        <v>16</v>
      </c>
    </row>
    <row r="7514" spans="1:3" x14ac:dyDescent="0.25">
      <c r="A7514" s="1" t="s">
        <v>7513</v>
      </c>
      <c r="C7514" s="3">
        <v>16</v>
      </c>
    </row>
    <row r="7515" spans="1:3" x14ac:dyDescent="0.25">
      <c r="A7515" s="1" t="s">
        <v>7514</v>
      </c>
      <c r="C7515" s="3">
        <v>16</v>
      </c>
    </row>
    <row r="7516" spans="1:3" x14ac:dyDescent="0.25">
      <c r="A7516" s="1" t="s">
        <v>7515</v>
      </c>
      <c r="C7516" s="3">
        <v>16</v>
      </c>
    </row>
    <row r="7517" spans="1:3" x14ac:dyDescent="0.25">
      <c r="A7517" s="1" t="s">
        <v>7516</v>
      </c>
      <c r="C7517" s="3">
        <v>16</v>
      </c>
    </row>
    <row r="7518" spans="1:3" x14ac:dyDescent="0.25">
      <c r="A7518" s="1" t="s">
        <v>7517</v>
      </c>
      <c r="C7518" s="3">
        <v>16</v>
      </c>
    </row>
    <row r="7519" spans="1:3" x14ac:dyDescent="0.25">
      <c r="A7519" s="1" t="s">
        <v>7518</v>
      </c>
      <c r="C7519" s="3">
        <v>16</v>
      </c>
    </row>
    <row r="7520" spans="1:3" x14ac:dyDescent="0.25">
      <c r="A7520" s="1" t="s">
        <v>7519</v>
      </c>
      <c r="C7520" s="3">
        <v>16</v>
      </c>
    </row>
    <row r="7521" spans="1:3" x14ac:dyDescent="0.25">
      <c r="A7521" s="1" t="s">
        <v>7520</v>
      </c>
      <c r="C7521" s="3">
        <v>16</v>
      </c>
    </row>
    <row r="7522" spans="1:3" x14ac:dyDescent="0.25">
      <c r="A7522" s="1" t="s">
        <v>7521</v>
      </c>
      <c r="C7522" s="3">
        <v>16</v>
      </c>
    </row>
    <row r="7523" spans="1:3" x14ac:dyDescent="0.25">
      <c r="A7523" s="1" t="s">
        <v>7522</v>
      </c>
      <c r="C7523" s="3">
        <v>16</v>
      </c>
    </row>
    <row r="7524" spans="1:3" x14ac:dyDescent="0.25">
      <c r="A7524" s="1" t="s">
        <v>7523</v>
      </c>
      <c r="C7524" s="3">
        <v>16</v>
      </c>
    </row>
    <row r="7525" spans="1:3" x14ac:dyDescent="0.25">
      <c r="A7525" s="1" t="s">
        <v>7524</v>
      </c>
      <c r="C7525" s="3">
        <v>16</v>
      </c>
    </row>
    <row r="7526" spans="1:3" x14ac:dyDescent="0.25">
      <c r="A7526" s="1" t="s">
        <v>7525</v>
      </c>
      <c r="C7526" s="3">
        <v>16</v>
      </c>
    </row>
    <row r="7527" spans="1:3" x14ac:dyDescent="0.25">
      <c r="A7527" s="1" t="s">
        <v>7526</v>
      </c>
      <c r="C7527" s="3">
        <v>16</v>
      </c>
    </row>
    <row r="7528" spans="1:3" x14ac:dyDescent="0.25">
      <c r="A7528" s="1" t="s">
        <v>7527</v>
      </c>
      <c r="C7528" s="3">
        <v>16</v>
      </c>
    </row>
    <row r="7529" spans="1:3" x14ac:dyDescent="0.25">
      <c r="A7529" s="1" t="s">
        <v>7528</v>
      </c>
      <c r="C7529" s="3">
        <v>16</v>
      </c>
    </row>
    <row r="7530" spans="1:3" x14ac:dyDescent="0.25">
      <c r="A7530" s="1" t="s">
        <v>7529</v>
      </c>
      <c r="C7530" s="3">
        <v>16</v>
      </c>
    </row>
    <row r="7531" spans="1:3" x14ac:dyDescent="0.25">
      <c r="A7531" s="1" t="s">
        <v>7530</v>
      </c>
      <c r="C7531" s="3">
        <v>16</v>
      </c>
    </row>
    <row r="7532" spans="1:3" x14ac:dyDescent="0.25">
      <c r="A7532" s="1" t="s">
        <v>7531</v>
      </c>
      <c r="C7532" s="3">
        <v>16</v>
      </c>
    </row>
    <row r="7533" spans="1:3" x14ac:dyDescent="0.25">
      <c r="A7533" s="1" t="s">
        <v>7532</v>
      </c>
      <c r="C7533" s="3">
        <v>16</v>
      </c>
    </row>
    <row r="7534" spans="1:3" x14ac:dyDescent="0.25">
      <c r="A7534" s="1" t="s">
        <v>7533</v>
      </c>
      <c r="C7534" s="3">
        <v>16</v>
      </c>
    </row>
    <row r="7535" spans="1:3" x14ac:dyDescent="0.25">
      <c r="A7535" s="1" t="s">
        <v>7534</v>
      </c>
      <c r="C7535" s="3">
        <v>16</v>
      </c>
    </row>
    <row r="7536" spans="1:3" x14ac:dyDescent="0.25">
      <c r="A7536" s="1" t="s">
        <v>7535</v>
      </c>
      <c r="C7536" s="3">
        <v>16</v>
      </c>
    </row>
    <row r="7537" spans="1:3" x14ac:dyDescent="0.25">
      <c r="A7537" s="1" t="s">
        <v>7536</v>
      </c>
      <c r="C7537" s="3">
        <v>16</v>
      </c>
    </row>
    <row r="7538" spans="1:3" x14ac:dyDescent="0.25">
      <c r="A7538" s="1" t="s">
        <v>7537</v>
      </c>
      <c r="C7538" s="3">
        <v>16</v>
      </c>
    </row>
    <row r="7539" spans="1:3" x14ac:dyDescent="0.25">
      <c r="A7539" s="1" t="s">
        <v>7538</v>
      </c>
      <c r="C7539" s="3">
        <v>16</v>
      </c>
    </row>
    <row r="7540" spans="1:3" x14ac:dyDescent="0.25">
      <c r="A7540" s="1" t="s">
        <v>7539</v>
      </c>
      <c r="C7540" s="3">
        <v>16</v>
      </c>
    </row>
    <row r="7541" spans="1:3" x14ac:dyDescent="0.25">
      <c r="A7541" s="1" t="s">
        <v>7540</v>
      </c>
      <c r="C7541" s="3">
        <v>16</v>
      </c>
    </row>
    <row r="7542" spans="1:3" x14ac:dyDescent="0.25">
      <c r="A7542" s="1" t="s">
        <v>7541</v>
      </c>
      <c r="C7542" s="3">
        <v>16</v>
      </c>
    </row>
    <row r="7543" spans="1:3" x14ac:dyDescent="0.25">
      <c r="A7543" s="1" t="s">
        <v>7542</v>
      </c>
      <c r="C7543" s="3">
        <v>16</v>
      </c>
    </row>
    <row r="7544" spans="1:3" x14ac:dyDescent="0.25">
      <c r="A7544" s="1" t="s">
        <v>7543</v>
      </c>
      <c r="C7544" s="3">
        <v>16</v>
      </c>
    </row>
    <row r="7545" spans="1:3" x14ac:dyDescent="0.25">
      <c r="A7545" s="1" t="s">
        <v>7544</v>
      </c>
      <c r="C7545" s="3">
        <v>16</v>
      </c>
    </row>
    <row r="7546" spans="1:3" x14ac:dyDescent="0.25">
      <c r="A7546" s="1" t="s">
        <v>7545</v>
      </c>
      <c r="C7546" s="3">
        <v>16</v>
      </c>
    </row>
    <row r="7547" spans="1:3" x14ac:dyDescent="0.25">
      <c r="A7547" s="1" t="s">
        <v>7546</v>
      </c>
      <c r="C7547" s="3">
        <v>16</v>
      </c>
    </row>
    <row r="7548" spans="1:3" x14ac:dyDescent="0.25">
      <c r="A7548" s="1" t="s">
        <v>7547</v>
      </c>
      <c r="C7548" s="3">
        <v>16</v>
      </c>
    </row>
    <row r="7549" spans="1:3" x14ac:dyDescent="0.25">
      <c r="A7549" s="1" t="s">
        <v>7548</v>
      </c>
      <c r="C7549" s="3">
        <v>16</v>
      </c>
    </row>
    <row r="7550" spans="1:3" x14ac:dyDescent="0.25">
      <c r="A7550" s="1" t="s">
        <v>7549</v>
      </c>
      <c r="C7550" s="3">
        <v>16</v>
      </c>
    </row>
    <row r="7551" spans="1:3" x14ac:dyDescent="0.25">
      <c r="A7551" s="1" t="s">
        <v>7550</v>
      </c>
      <c r="C7551" s="3">
        <v>16</v>
      </c>
    </row>
    <row r="7552" spans="1:3" x14ac:dyDescent="0.25">
      <c r="A7552" s="1" t="s">
        <v>7551</v>
      </c>
      <c r="C7552" s="3">
        <v>16</v>
      </c>
    </row>
    <row r="7553" spans="1:3" x14ac:dyDescent="0.25">
      <c r="A7553" s="1" t="s">
        <v>7552</v>
      </c>
      <c r="C7553" s="3">
        <v>16</v>
      </c>
    </row>
    <row r="7554" spans="1:3" x14ac:dyDescent="0.25">
      <c r="A7554" s="1" t="s">
        <v>7553</v>
      </c>
      <c r="C7554" s="3">
        <v>16</v>
      </c>
    </row>
    <row r="7555" spans="1:3" x14ac:dyDescent="0.25">
      <c r="A7555" s="1" t="s">
        <v>7554</v>
      </c>
      <c r="C7555" s="3">
        <v>16</v>
      </c>
    </row>
    <row r="7556" spans="1:3" x14ac:dyDescent="0.25">
      <c r="A7556" s="1" t="s">
        <v>7555</v>
      </c>
      <c r="C7556" s="3">
        <v>16</v>
      </c>
    </row>
    <row r="7557" spans="1:3" x14ac:dyDescent="0.25">
      <c r="A7557" s="1" t="s">
        <v>7556</v>
      </c>
      <c r="C7557" s="3">
        <v>16</v>
      </c>
    </row>
    <row r="7558" spans="1:3" x14ac:dyDescent="0.25">
      <c r="A7558" s="1" t="s">
        <v>7557</v>
      </c>
      <c r="C7558" s="3">
        <v>16</v>
      </c>
    </row>
    <row r="7559" spans="1:3" x14ac:dyDescent="0.25">
      <c r="A7559" s="1" t="s">
        <v>7558</v>
      </c>
      <c r="C7559" s="3">
        <v>16</v>
      </c>
    </row>
    <row r="7560" spans="1:3" x14ac:dyDescent="0.25">
      <c r="A7560" s="1" t="s">
        <v>7559</v>
      </c>
      <c r="C7560" s="3">
        <v>16</v>
      </c>
    </row>
    <row r="7561" spans="1:3" x14ac:dyDescent="0.25">
      <c r="A7561" s="1" t="s">
        <v>7560</v>
      </c>
      <c r="C7561" s="3">
        <v>16</v>
      </c>
    </row>
    <row r="7562" spans="1:3" x14ac:dyDescent="0.25">
      <c r="A7562" s="1" t="s">
        <v>7561</v>
      </c>
      <c r="C7562" s="3">
        <v>16</v>
      </c>
    </row>
    <row r="7563" spans="1:3" x14ac:dyDescent="0.25">
      <c r="A7563" s="1" t="s">
        <v>7562</v>
      </c>
      <c r="C7563" s="3">
        <v>16</v>
      </c>
    </row>
    <row r="7564" spans="1:3" x14ac:dyDescent="0.25">
      <c r="A7564" s="1" t="s">
        <v>7563</v>
      </c>
      <c r="C7564" s="3">
        <v>16</v>
      </c>
    </row>
    <row r="7565" spans="1:3" x14ac:dyDescent="0.25">
      <c r="A7565" s="1" t="s">
        <v>7564</v>
      </c>
      <c r="C7565" s="3">
        <v>16</v>
      </c>
    </row>
    <row r="7566" spans="1:3" x14ac:dyDescent="0.25">
      <c r="A7566" s="1" t="s">
        <v>7565</v>
      </c>
      <c r="C7566" s="3">
        <v>16</v>
      </c>
    </row>
    <row r="7567" spans="1:3" x14ac:dyDescent="0.25">
      <c r="A7567" s="1" t="s">
        <v>7566</v>
      </c>
      <c r="C7567" s="3">
        <v>16</v>
      </c>
    </row>
    <row r="7568" spans="1:3" x14ac:dyDescent="0.25">
      <c r="A7568" s="1" t="s">
        <v>7567</v>
      </c>
      <c r="C7568" s="3">
        <v>16</v>
      </c>
    </row>
    <row r="7569" spans="1:3" x14ac:dyDescent="0.25">
      <c r="A7569" s="1" t="s">
        <v>7568</v>
      </c>
      <c r="C7569" s="3">
        <v>16</v>
      </c>
    </row>
    <row r="7570" spans="1:3" x14ac:dyDescent="0.25">
      <c r="A7570" s="1" t="s">
        <v>7569</v>
      </c>
      <c r="C7570" s="3">
        <v>16</v>
      </c>
    </row>
    <row r="7571" spans="1:3" x14ac:dyDescent="0.25">
      <c r="A7571" s="1" t="s">
        <v>7570</v>
      </c>
      <c r="C7571" s="3">
        <v>16</v>
      </c>
    </row>
    <row r="7572" spans="1:3" x14ac:dyDescent="0.25">
      <c r="A7572" s="1" t="s">
        <v>7571</v>
      </c>
      <c r="C7572" s="3">
        <v>16</v>
      </c>
    </row>
    <row r="7573" spans="1:3" x14ac:dyDescent="0.25">
      <c r="A7573" s="1" t="s">
        <v>7572</v>
      </c>
      <c r="C7573" s="3">
        <v>16</v>
      </c>
    </row>
    <row r="7574" spans="1:3" x14ac:dyDescent="0.25">
      <c r="A7574" s="1" t="s">
        <v>7573</v>
      </c>
      <c r="C7574" s="3">
        <v>16</v>
      </c>
    </row>
    <row r="7575" spans="1:3" x14ac:dyDescent="0.25">
      <c r="A7575" s="1" t="s">
        <v>7574</v>
      </c>
      <c r="C7575" s="3">
        <v>16</v>
      </c>
    </row>
    <row r="7576" spans="1:3" x14ac:dyDescent="0.25">
      <c r="A7576" s="1" t="s">
        <v>7575</v>
      </c>
      <c r="C7576" s="3">
        <v>16</v>
      </c>
    </row>
    <row r="7577" spans="1:3" x14ac:dyDescent="0.25">
      <c r="A7577" s="1" t="s">
        <v>7576</v>
      </c>
      <c r="C7577" s="3">
        <v>16</v>
      </c>
    </row>
    <row r="7578" spans="1:3" x14ac:dyDescent="0.25">
      <c r="A7578" s="1" t="s">
        <v>7577</v>
      </c>
      <c r="C7578" s="3">
        <v>16</v>
      </c>
    </row>
    <row r="7579" spans="1:3" x14ac:dyDescent="0.25">
      <c r="A7579" s="1" t="s">
        <v>7578</v>
      </c>
      <c r="C7579" s="3">
        <v>16</v>
      </c>
    </row>
    <row r="7580" spans="1:3" x14ac:dyDescent="0.25">
      <c r="A7580" s="1" t="s">
        <v>7579</v>
      </c>
      <c r="C7580" s="3">
        <v>16</v>
      </c>
    </row>
    <row r="7581" spans="1:3" x14ac:dyDescent="0.25">
      <c r="A7581" s="1" t="s">
        <v>7580</v>
      </c>
      <c r="C7581" s="3">
        <v>16</v>
      </c>
    </row>
    <row r="7582" spans="1:3" x14ac:dyDescent="0.25">
      <c r="A7582" s="1" t="s">
        <v>7581</v>
      </c>
      <c r="C7582" s="3">
        <v>16</v>
      </c>
    </row>
    <row r="7583" spans="1:3" x14ac:dyDescent="0.25">
      <c r="A7583" s="1" t="s">
        <v>7582</v>
      </c>
      <c r="C7583" s="3">
        <v>16</v>
      </c>
    </row>
    <row r="7584" spans="1:3" x14ac:dyDescent="0.25">
      <c r="A7584" s="1" t="s">
        <v>7583</v>
      </c>
      <c r="C7584" s="3">
        <v>16</v>
      </c>
    </row>
    <row r="7585" spans="1:3" x14ac:dyDescent="0.25">
      <c r="A7585" s="1" t="s">
        <v>7584</v>
      </c>
      <c r="C7585" s="3">
        <v>16</v>
      </c>
    </row>
    <row r="7586" spans="1:3" x14ac:dyDescent="0.25">
      <c r="A7586" s="1" t="s">
        <v>7585</v>
      </c>
      <c r="C7586" s="3">
        <v>16</v>
      </c>
    </row>
    <row r="7587" spans="1:3" x14ac:dyDescent="0.25">
      <c r="A7587" s="1" t="s">
        <v>7586</v>
      </c>
      <c r="C7587" s="3">
        <v>16</v>
      </c>
    </row>
    <row r="7588" spans="1:3" x14ac:dyDescent="0.25">
      <c r="A7588" s="1" t="s">
        <v>7587</v>
      </c>
      <c r="C7588" s="3">
        <v>16</v>
      </c>
    </row>
    <row r="7589" spans="1:3" x14ac:dyDescent="0.25">
      <c r="A7589" s="1" t="s">
        <v>7588</v>
      </c>
      <c r="C7589" s="3">
        <v>16</v>
      </c>
    </row>
    <row r="7590" spans="1:3" x14ac:dyDescent="0.25">
      <c r="A7590" s="1" t="s">
        <v>7589</v>
      </c>
      <c r="C7590" s="3">
        <v>16</v>
      </c>
    </row>
    <row r="7591" spans="1:3" x14ac:dyDescent="0.25">
      <c r="A7591" s="1" t="s">
        <v>7590</v>
      </c>
      <c r="C7591" s="3">
        <v>16</v>
      </c>
    </row>
    <row r="7592" spans="1:3" x14ac:dyDescent="0.25">
      <c r="A7592" s="1" t="s">
        <v>7591</v>
      </c>
      <c r="C7592" s="3">
        <v>16</v>
      </c>
    </row>
    <row r="7593" spans="1:3" x14ac:dyDescent="0.25">
      <c r="A7593" s="1" t="s">
        <v>7592</v>
      </c>
      <c r="C7593" s="3">
        <v>16</v>
      </c>
    </row>
    <row r="7594" spans="1:3" x14ac:dyDescent="0.25">
      <c r="A7594" s="1" t="s">
        <v>7593</v>
      </c>
      <c r="C7594" s="3">
        <v>16</v>
      </c>
    </row>
    <row r="7595" spans="1:3" x14ac:dyDescent="0.25">
      <c r="A7595" s="1" t="s">
        <v>7594</v>
      </c>
      <c r="C7595" s="3">
        <v>16</v>
      </c>
    </row>
    <row r="7596" spans="1:3" x14ac:dyDescent="0.25">
      <c r="A7596" s="1" t="s">
        <v>7595</v>
      </c>
      <c r="C7596" s="3">
        <v>16</v>
      </c>
    </row>
    <row r="7597" spans="1:3" x14ac:dyDescent="0.25">
      <c r="A7597" s="1" t="s">
        <v>7596</v>
      </c>
      <c r="C7597" s="3">
        <v>16</v>
      </c>
    </row>
    <row r="7598" spans="1:3" x14ac:dyDescent="0.25">
      <c r="A7598" s="1" t="s">
        <v>7597</v>
      </c>
      <c r="C7598" s="3">
        <v>16</v>
      </c>
    </row>
    <row r="7599" spans="1:3" x14ac:dyDescent="0.25">
      <c r="A7599" s="1" t="s">
        <v>7598</v>
      </c>
      <c r="C7599" s="3">
        <v>16</v>
      </c>
    </row>
    <row r="7600" spans="1:3" x14ac:dyDescent="0.25">
      <c r="A7600" s="1" t="s">
        <v>7599</v>
      </c>
      <c r="C7600" s="3">
        <v>16</v>
      </c>
    </row>
    <row r="7601" spans="1:3" x14ac:dyDescent="0.25">
      <c r="A7601" s="1" t="s">
        <v>7600</v>
      </c>
      <c r="C7601" s="3">
        <v>16</v>
      </c>
    </row>
    <row r="7602" spans="1:3" x14ac:dyDescent="0.25">
      <c r="A7602" s="1" t="s">
        <v>7601</v>
      </c>
      <c r="C7602" s="3">
        <v>16</v>
      </c>
    </row>
    <row r="7603" spans="1:3" x14ac:dyDescent="0.25">
      <c r="A7603" s="1" t="s">
        <v>7602</v>
      </c>
      <c r="C7603" s="3">
        <v>16</v>
      </c>
    </row>
    <row r="7604" spans="1:3" x14ac:dyDescent="0.25">
      <c r="A7604" s="1" t="s">
        <v>7603</v>
      </c>
      <c r="C7604" s="3">
        <v>16</v>
      </c>
    </row>
    <row r="7605" spans="1:3" x14ac:dyDescent="0.25">
      <c r="A7605" s="1" t="s">
        <v>7604</v>
      </c>
      <c r="C7605" s="3">
        <v>16</v>
      </c>
    </row>
    <row r="7606" spans="1:3" x14ac:dyDescent="0.25">
      <c r="A7606" s="1" t="s">
        <v>7605</v>
      </c>
      <c r="C7606" s="3">
        <v>16</v>
      </c>
    </row>
    <row r="7607" spans="1:3" x14ac:dyDescent="0.25">
      <c r="A7607" s="1" t="s">
        <v>7606</v>
      </c>
      <c r="C7607" s="3">
        <v>16</v>
      </c>
    </row>
    <row r="7608" spans="1:3" x14ac:dyDescent="0.25">
      <c r="A7608" s="1" t="s">
        <v>7607</v>
      </c>
      <c r="C7608" s="3">
        <v>16</v>
      </c>
    </row>
    <row r="7609" spans="1:3" x14ac:dyDescent="0.25">
      <c r="A7609" s="1" t="s">
        <v>7608</v>
      </c>
      <c r="C7609" s="3">
        <v>16</v>
      </c>
    </row>
    <row r="7610" spans="1:3" x14ac:dyDescent="0.25">
      <c r="A7610" s="1" t="s">
        <v>7609</v>
      </c>
      <c r="C7610" s="3">
        <v>16</v>
      </c>
    </row>
    <row r="7611" spans="1:3" x14ac:dyDescent="0.25">
      <c r="A7611" s="1" t="s">
        <v>7610</v>
      </c>
      <c r="C7611" s="3">
        <v>16</v>
      </c>
    </row>
    <row r="7612" spans="1:3" x14ac:dyDescent="0.25">
      <c r="A7612" s="1" t="s">
        <v>7611</v>
      </c>
      <c r="C7612" s="3">
        <v>16</v>
      </c>
    </row>
    <row r="7613" spans="1:3" x14ac:dyDescent="0.25">
      <c r="A7613" s="1" t="s">
        <v>7612</v>
      </c>
      <c r="C7613" s="3">
        <v>16</v>
      </c>
    </row>
    <row r="7614" spans="1:3" x14ac:dyDescent="0.25">
      <c r="A7614" s="1" t="s">
        <v>7613</v>
      </c>
      <c r="C7614" s="3">
        <v>16</v>
      </c>
    </row>
    <row r="7615" spans="1:3" x14ac:dyDescent="0.25">
      <c r="A7615" s="1" t="s">
        <v>7614</v>
      </c>
      <c r="C7615" s="3">
        <v>16</v>
      </c>
    </row>
    <row r="7616" spans="1:3" x14ac:dyDescent="0.25">
      <c r="A7616" s="1" t="s">
        <v>7615</v>
      </c>
      <c r="C7616" s="3">
        <v>16</v>
      </c>
    </row>
    <row r="7617" spans="1:3" x14ac:dyDescent="0.25">
      <c r="A7617" s="1" t="s">
        <v>7616</v>
      </c>
      <c r="C7617" s="3">
        <v>16</v>
      </c>
    </row>
    <row r="7618" spans="1:3" x14ac:dyDescent="0.25">
      <c r="A7618" s="1" t="s">
        <v>7617</v>
      </c>
      <c r="C7618" s="3">
        <v>16</v>
      </c>
    </row>
    <row r="7619" spans="1:3" x14ac:dyDescent="0.25">
      <c r="A7619" s="1" t="s">
        <v>7618</v>
      </c>
      <c r="C7619" s="3">
        <v>16</v>
      </c>
    </row>
    <row r="7620" spans="1:3" x14ac:dyDescent="0.25">
      <c r="A7620" s="1" t="s">
        <v>7619</v>
      </c>
      <c r="C7620" s="3">
        <v>16</v>
      </c>
    </row>
    <row r="7621" spans="1:3" x14ac:dyDescent="0.25">
      <c r="A7621" s="1" t="s">
        <v>7620</v>
      </c>
      <c r="C7621" s="3">
        <v>16</v>
      </c>
    </row>
    <row r="7622" spans="1:3" x14ac:dyDescent="0.25">
      <c r="A7622" s="1" t="s">
        <v>7621</v>
      </c>
      <c r="C7622" s="3">
        <v>16</v>
      </c>
    </row>
    <row r="7623" spans="1:3" x14ac:dyDescent="0.25">
      <c r="A7623" s="1" t="s">
        <v>7622</v>
      </c>
      <c r="C7623" s="3">
        <v>16</v>
      </c>
    </row>
    <row r="7624" spans="1:3" x14ac:dyDescent="0.25">
      <c r="A7624" s="1" t="s">
        <v>7623</v>
      </c>
      <c r="C7624" s="3">
        <v>16</v>
      </c>
    </row>
    <row r="7625" spans="1:3" x14ac:dyDescent="0.25">
      <c r="A7625" s="1" t="s">
        <v>7624</v>
      </c>
      <c r="C7625" s="3">
        <v>16</v>
      </c>
    </row>
    <row r="7626" spans="1:3" x14ac:dyDescent="0.25">
      <c r="A7626" s="1" t="s">
        <v>7625</v>
      </c>
      <c r="C7626" s="3">
        <v>16</v>
      </c>
    </row>
    <row r="7627" spans="1:3" x14ac:dyDescent="0.25">
      <c r="A7627" s="1" t="s">
        <v>7626</v>
      </c>
      <c r="C7627" s="3">
        <v>16</v>
      </c>
    </row>
    <row r="7628" spans="1:3" x14ac:dyDescent="0.25">
      <c r="A7628" s="1" t="s">
        <v>7627</v>
      </c>
      <c r="C7628" s="3">
        <v>16</v>
      </c>
    </row>
    <row r="7629" spans="1:3" x14ac:dyDescent="0.25">
      <c r="A7629" s="1" t="s">
        <v>7628</v>
      </c>
      <c r="C7629" s="3">
        <v>16</v>
      </c>
    </row>
    <row r="7630" spans="1:3" x14ac:dyDescent="0.25">
      <c r="A7630" s="1" t="s">
        <v>7629</v>
      </c>
      <c r="C7630" s="3">
        <v>16</v>
      </c>
    </row>
    <row r="7631" spans="1:3" x14ac:dyDescent="0.25">
      <c r="A7631" s="1" t="s">
        <v>7630</v>
      </c>
      <c r="C7631" s="3">
        <v>16</v>
      </c>
    </row>
    <row r="7632" spans="1:3" x14ac:dyDescent="0.25">
      <c r="A7632" s="1" t="s">
        <v>7631</v>
      </c>
      <c r="C7632" s="3">
        <v>16</v>
      </c>
    </row>
    <row r="7633" spans="1:3" x14ac:dyDescent="0.25">
      <c r="A7633" s="1" t="s">
        <v>7632</v>
      </c>
      <c r="C7633" s="3">
        <v>16</v>
      </c>
    </row>
    <row r="7634" spans="1:3" x14ac:dyDescent="0.25">
      <c r="A7634" s="1" t="s">
        <v>7633</v>
      </c>
      <c r="C7634" s="3">
        <v>16</v>
      </c>
    </row>
    <row r="7635" spans="1:3" x14ac:dyDescent="0.25">
      <c r="A7635" s="1" t="s">
        <v>7634</v>
      </c>
      <c r="C7635" s="3">
        <v>16</v>
      </c>
    </row>
    <row r="7636" spans="1:3" x14ac:dyDescent="0.25">
      <c r="A7636" s="1" t="s">
        <v>7635</v>
      </c>
      <c r="C7636" s="3">
        <v>16</v>
      </c>
    </row>
    <row r="7637" spans="1:3" x14ac:dyDescent="0.25">
      <c r="A7637" s="1" t="s">
        <v>7636</v>
      </c>
      <c r="C7637" s="3">
        <v>16</v>
      </c>
    </row>
    <row r="7638" spans="1:3" x14ac:dyDescent="0.25">
      <c r="A7638" s="1" t="s">
        <v>7637</v>
      </c>
      <c r="C7638" s="3">
        <v>16</v>
      </c>
    </row>
    <row r="7639" spans="1:3" x14ac:dyDescent="0.25">
      <c r="A7639" s="1" t="s">
        <v>7638</v>
      </c>
      <c r="C7639" s="3">
        <v>16</v>
      </c>
    </row>
    <row r="7640" spans="1:3" x14ac:dyDescent="0.25">
      <c r="A7640" s="1" t="s">
        <v>7639</v>
      </c>
      <c r="C7640" s="3">
        <v>16</v>
      </c>
    </row>
    <row r="7641" spans="1:3" x14ac:dyDescent="0.25">
      <c r="A7641" s="1" t="s">
        <v>7640</v>
      </c>
      <c r="C7641" s="3">
        <v>16</v>
      </c>
    </row>
    <row r="7642" spans="1:3" x14ac:dyDescent="0.25">
      <c r="A7642" s="1" t="s">
        <v>7641</v>
      </c>
      <c r="C7642" s="3">
        <v>16</v>
      </c>
    </row>
    <row r="7643" spans="1:3" x14ac:dyDescent="0.25">
      <c r="A7643" s="1" t="s">
        <v>7642</v>
      </c>
      <c r="C7643" s="3">
        <v>16</v>
      </c>
    </row>
    <row r="7644" spans="1:3" x14ac:dyDescent="0.25">
      <c r="A7644" s="1" t="s">
        <v>7643</v>
      </c>
      <c r="C7644" s="3">
        <v>16</v>
      </c>
    </row>
    <row r="7645" spans="1:3" x14ac:dyDescent="0.25">
      <c r="A7645" s="1" t="s">
        <v>7644</v>
      </c>
      <c r="C7645" s="3">
        <v>16</v>
      </c>
    </row>
    <row r="7646" spans="1:3" x14ac:dyDescent="0.25">
      <c r="A7646" s="1" t="s">
        <v>7645</v>
      </c>
      <c r="C7646" s="3">
        <v>16</v>
      </c>
    </row>
    <row r="7647" spans="1:3" x14ac:dyDescent="0.25">
      <c r="A7647" s="1" t="s">
        <v>7646</v>
      </c>
      <c r="C7647" s="3">
        <v>16</v>
      </c>
    </row>
    <row r="7648" spans="1:3" x14ac:dyDescent="0.25">
      <c r="A7648" s="1" t="s">
        <v>7647</v>
      </c>
      <c r="C7648" s="3">
        <v>16</v>
      </c>
    </row>
    <row r="7649" spans="1:3" x14ac:dyDescent="0.25">
      <c r="A7649" s="1" t="s">
        <v>7648</v>
      </c>
      <c r="C7649" s="3">
        <v>16</v>
      </c>
    </row>
    <row r="7650" spans="1:3" x14ac:dyDescent="0.25">
      <c r="A7650" s="1" t="s">
        <v>7649</v>
      </c>
      <c r="C7650" s="3">
        <v>16</v>
      </c>
    </row>
    <row r="7651" spans="1:3" x14ac:dyDescent="0.25">
      <c r="A7651" s="1" t="s">
        <v>7650</v>
      </c>
      <c r="C7651" s="3">
        <v>16</v>
      </c>
    </row>
    <row r="7652" spans="1:3" x14ac:dyDescent="0.25">
      <c r="A7652" s="1" t="s">
        <v>7651</v>
      </c>
      <c r="C7652" s="3">
        <v>16</v>
      </c>
    </row>
    <row r="7653" spans="1:3" x14ac:dyDescent="0.25">
      <c r="A7653" s="1" t="s">
        <v>7652</v>
      </c>
      <c r="C7653" s="3">
        <v>16</v>
      </c>
    </row>
    <row r="7654" spans="1:3" x14ac:dyDescent="0.25">
      <c r="A7654" s="1" t="s">
        <v>7653</v>
      </c>
      <c r="C7654" s="3">
        <v>16</v>
      </c>
    </row>
    <row r="7655" spans="1:3" x14ac:dyDescent="0.25">
      <c r="A7655" s="1" t="s">
        <v>7654</v>
      </c>
      <c r="C7655" s="3">
        <v>16</v>
      </c>
    </row>
    <row r="7656" spans="1:3" x14ac:dyDescent="0.25">
      <c r="A7656" s="1" t="s">
        <v>7655</v>
      </c>
      <c r="C7656" s="3">
        <v>16</v>
      </c>
    </row>
    <row r="7657" spans="1:3" x14ac:dyDescent="0.25">
      <c r="A7657" s="1" t="s">
        <v>7656</v>
      </c>
      <c r="C7657" s="3">
        <v>16</v>
      </c>
    </row>
    <row r="7658" spans="1:3" x14ac:dyDescent="0.25">
      <c r="A7658" s="1" t="s">
        <v>7657</v>
      </c>
      <c r="C7658" s="3">
        <v>16</v>
      </c>
    </row>
    <row r="7659" spans="1:3" x14ac:dyDescent="0.25">
      <c r="A7659" s="1" t="s">
        <v>7658</v>
      </c>
      <c r="C7659" s="3">
        <v>16</v>
      </c>
    </row>
    <row r="7660" spans="1:3" x14ac:dyDescent="0.25">
      <c r="A7660" s="1" t="s">
        <v>7659</v>
      </c>
      <c r="C7660" s="3">
        <v>16</v>
      </c>
    </row>
    <row r="7661" spans="1:3" x14ac:dyDescent="0.25">
      <c r="A7661" s="1" t="s">
        <v>7660</v>
      </c>
      <c r="C7661" s="3">
        <v>16</v>
      </c>
    </row>
    <row r="7662" spans="1:3" x14ac:dyDescent="0.25">
      <c r="A7662" s="1" t="s">
        <v>7661</v>
      </c>
      <c r="C7662" s="3">
        <v>16</v>
      </c>
    </row>
    <row r="7663" spans="1:3" x14ac:dyDescent="0.25">
      <c r="A7663" s="2" t="s">
        <v>7662</v>
      </c>
      <c r="C7663" s="4">
        <v>15</v>
      </c>
    </row>
    <row r="7664" spans="1:3" x14ac:dyDescent="0.25">
      <c r="A7664" s="1" t="s">
        <v>7663</v>
      </c>
      <c r="C7664" s="3">
        <v>15</v>
      </c>
    </row>
    <row r="7665" spans="1:3" x14ac:dyDescent="0.25">
      <c r="A7665" s="1" t="s">
        <v>7664</v>
      </c>
      <c r="C7665" s="3">
        <v>15</v>
      </c>
    </row>
    <row r="7666" spans="1:3" x14ac:dyDescent="0.25">
      <c r="A7666" s="1" t="s">
        <v>7665</v>
      </c>
      <c r="C7666" s="3">
        <v>15</v>
      </c>
    </row>
    <row r="7667" spans="1:3" x14ac:dyDescent="0.25">
      <c r="A7667" s="1" t="s">
        <v>7666</v>
      </c>
      <c r="C7667" s="3">
        <v>15</v>
      </c>
    </row>
    <row r="7668" spans="1:3" x14ac:dyDescent="0.25">
      <c r="A7668" s="1" t="s">
        <v>7667</v>
      </c>
      <c r="C7668" s="3">
        <v>15</v>
      </c>
    </row>
    <row r="7669" spans="1:3" x14ac:dyDescent="0.25">
      <c r="A7669" s="1" t="s">
        <v>7668</v>
      </c>
      <c r="C7669" s="3">
        <v>15</v>
      </c>
    </row>
    <row r="7670" spans="1:3" x14ac:dyDescent="0.25">
      <c r="A7670" s="1" t="s">
        <v>7669</v>
      </c>
      <c r="C7670" s="3">
        <v>15</v>
      </c>
    </row>
    <row r="7671" spans="1:3" x14ac:dyDescent="0.25">
      <c r="A7671" s="1" t="s">
        <v>7670</v>
      </c>
      <c r="C7671" s="3">
        <v>15</v>
      </c>
    </row>
    <row r="7672" spans="1:3" x14ac:dyDescent="0.25">
      <c r="A7672" s="1" t="s">
        <v>7671</v>
      </c>
      <c r="C7672" s="3">
        <v>15</v>
      </c>
    </row>
    <row r="7673" spans="1:3" x14ac:dyDescent="0.25">
      <c r="A7673" s="1" t="s">
        <v>7672</v>
      </c>
      <c r="C7673" s="3">
        <v>15</v>
      </c>
    </row>
    <row r="7674" spans="1:3" x14ac:dyDescent="0.25">
      <c r="A7674" s="1" t="s">
        <v>7673</v>
      </c>
      <c r="C7674" s="3">
        <v>15</v>
      </c>
    </row>
    <row r="7675" spans="1:3" x14ac:dyDescent="0.25">
      <c r="A7675" s="1" t="s">
        <v>7674</v>
      </c>
      <c r="C7675" s="3">
        <v>15</v>
      </c>
    </row>
    <row r="7676" spans="1:3" x14ac:dyDescent="0.25">
      <c r="A7676" s="1" t="s">
        <v>7675</v>
      </c>
      <c r="C7676" s="3">
        <v>15</v>
      </c>
    </row>
    <row r="7677" spans="1:3" x14ac:dyDescent="0.25">
      <c r="A7677" s="1" t="s">
        <v>7676</v>
      </c>
      <c r="C7677" s="3">
        <v>15</v>
      </c>
    </row>
    <row r="7678" spans="1:3" x14ac:dyDescent="0.25">
      <c r="A7678" s="1" t="s">
        <v>7677</v>
      </c>
      <c r="C7678" s="3">
        <v>15</v>
      </c>
    </row>
    <row r="7679" spans="1:3" x14ac:dyDescent="0.25">
      <c r="A7679" s="1" t="s">
        <v>7678</v>
      </c>
      <c r="C7679" s="3">
        <v>15</v>
      </c>
    </row>
    <row r="7680" spans="1:3" x14ac:dyDescent="0.25">
      <c r="A7680" s="1" t="s">
        <v>7679</v>
      </c>
      <c r="C7680" s="3">
        <v>15</v>
      </c>
    </row>
    <row r="7681" spans="1:3" x14ac:dyDescent="0.25">
      <c r="A7681" s="1" t="s">
        <v>7680</v>
      </c>
      <c r="C7681" s="3">
        <v>15</v>
      </c>
    </row>
    <row r="7682" spans="1:3" x14ac:dyDescent="0.25">
      <c r="A7682" s="1" t="s">
        <v>7681</v>
      </c>
      <c r="C7682" s="3">
        <v>15</v>
      </c>
    </row>
    <row r="7683" spans="1:3" x14ac:dyDescent="0.25">
      <c r="A7683" s="1" t="s">
        <v>7682</v>
      </c>
      <c r="C7683" s="3">
        <v>15</v>
      </c>
    </row>
    <row r="7684" spans="1:3" x14ac:dyDescent="0.25">
      <c r="A7684" s="1" t="s">
        <v>7683</v>
      </c>
      <c r="C7684" s="3">
        <v>15</v>
      </c>
    </row>
    <row r="7685" spans="1:3" x14ac:dyDescent="0.25">
      <c r="A7685" s="1" t="s">
        <v>7684</v>
      </c>
      <c r="C7685" s="3">
        <v>15</v>
      </c>
    </row>
    <row r="7686" spans="1:3" x14ac:dyDescent="0.25">
      <c r="A7686" s="1" t="s">
        <v>7685</v>
      </c>
      <c r="C7686" s="3">
        <v>15</v>
      </c>
    </row>
    <row r="7687" spans="1:3" x14ac:dyDescent="0.25">
      <c r="A7687" s="1" t="s">
        <v>7686</v>
      </c>
      <c r="C7687" s="3">
        <v>15</v>
      </c>
    </row>
    <row r="7688" spans="1:3" x14ac:dyDescent="0.25">
      <c r="A7688" s="1" t="s">
        <v>7687</v>
      </c>
      <c r="C7688" s="3">
        <v>15</v>
      </c>
    </row>
    <row r="7689" spans="1:3" x14ac:dyDescent="0.25">
      <c r="A7689" s="1" t="s">
        <v>7688</v>
      </c>
      <c r="C7689" s="3">
        <v>15</v>
      </c>
    </row>
    <row r="7690" spans="1:3" x14ac:dyDescent="0.25">
      <c r="A7690" s="1" t="s">
        <v>7689</v>
      </c>
      <c r="C7690" s="3">
        <v>15</v>
      </c>
    </row>
    <row r="7691" spans="1:3" x14ac:dyDescent="0.25">
      <c r="A7691" s="1" t="s">
        <v>7690</v>
      </c>
      <c r="C7691" s="3">
        <v>15</v>
      </c>
    </row>
    <row r="7692" spans="1:3" x14ac:dyDescent="0.25">
      <c r="A7692" s="1" t="s">
        <v>7691</v>
      </c>
      <c r="C7692" s="3">
        <v>15</v>
      </c>
    </row>
    <row r="7693" spans="1:3" x14ac:dyDescent="0.25">
      <c r="A7693" s="1" t="s">
        <v>7692</v>
      </c>
      <c r="C7693" s="3">
        <v>15</v>
      </c>
    </row>
    <row r="7694" spans="1:3" x14ac:dyDescent="0.25">
      <c r="A7694" s="1" t="s">
        <v>7693</v>
      </c>
      <c r="C7694" s="3">
        <v>15</v>
      </c>
    </row>
    <row r="7695" spans="1:3" x14ac:dyDescent="0.25">
      <c r="A7695" s="1" t="s">
        <v>7694</v>
      </c>
      <c r="C7695" s="3">
        <v>15</v>
      </c>
    </row>
    <row r="7696" spans="1:3" x14ac:dyDescent="0.25">
      <c r="A7696" s="1" t="s">
        <v>7695</v>
      </c>
      <c r="C7696" s="3">
        <v>15</v>
      </c>
    </row>
    <row r="7697" spans="1:3" x14ac:dyDescent="0.25">
      <c r="A7697" s="1" t="s">
        <v>7696</v>
      </c>
      <c r="C7697" s="3">
        <v>15</v>
      </c>
    </row>
    <row r="7698" spans="1:3" x14ac:dyDescent="0.25">
      <c r="A7698" s="1" t="s">
        <v>7697</v>
      </c>
      <c r="C7698" s="3">
        <v>15</v>
      </c>
    </row>
    <row r="7699" spans="1:3" x14ac:dyDescent="0.25">
      <c r="A7699" s="1" t="s">
        <v>7698</v>
      </c>
      <c r="C7699" s="3">
        <v>15</v>
      </c>
    </row>
    <row r="7700" spans="1:3" x14ac:dyDescent="0.25">
      <c r="A7700" s="1" t="s">
        <v>7699</v>
      </c>
      <c r="C7700" s="3">
        <v>15</v>
      </c>
    </row>
    <row r="7701" spans="1:3" x14ac:dyDescent="0.25">
      <c r="A7701" s="1" t="s">
        <v>7700</v>
      </c>
      <c r="C7701" s="3">
        <v>15</v>
      </c>
    </row>
    <row r="7702" spans="1:3" x14ac:dyDescent="0.25">
      <c r="A7702" s="1" t="s">
        <v>7701</v>
      </c>
      <c r="C7702" s="3">
        <v>15</v>
      </c>
    </row>
    <row r="7703" spans="1:3" x14ac:dyDescent="0.25">
      <c r="A7703" s="1" t="s">
        <v>7702</v>
      </c>
      <c r="C7703" s="3">
        <v>15</v>
      </c>
    </row>
    <row r="7704" spans="1:3" x14ac:dyDescent="0.25">
      <c r="A7704" s="1" t="s">
        <v>7703</v>
      </c>
      <c r="C7704" s="3">
        <v>15</v>
      </c>
    </row>
    <row r="7705" spans="1:3" x14ac:dyDescent="0.25">
      <c r="A7705" s="1" t="s">
        <v>7704</v>
      </c>
      <c r="C7705" s="3">
        <v>15</v>
      </c>
    </row>
    <row r="7706" spans="1:3" x14ac:dyDescent="0.25">
      <c r="A7706" s="1" t="s">
        <v>7705</v>
      </c>
      <c r="C7706" s="3">
        <v>15</v>
      </c>
    </row>
    <row r="7707" spans="1:3" x14ac:dyDescent="0.25">
      <c r="A7707" s="1" t="s">
        <v>7706</v>
      </c>
      <c r="C7707" s="3">
        <v>15</v>
      </c>
    </row>
    <row r="7708" spans="1:3" x14ac:dyDescent="0.25">
      <c r="A7708" s="1" t="s">
        <v>7707</v>
      </c>
      <c r="C7708" s="3">
        <v>15</v>
      </c>
    </row>
    <row r="7709" spans="1:3" x14ac:dyDescent="0.25">
      <c r="A7709" s="1" t="s">
        <v>7708</v>
      </c>
      <c r="C7709" s="3">
        <v>15</v>
      </c>
    </row>
    <row r="7710" spans="1:3" x14ac:dyDescent="0.25">
      <c r="A7710" s="1" t="s">
        <v>7709</v>
      </c>
      <c r="C7710" s="3">
        <v>15</v>
      </c>
    </row>
    <row r="7711" spans="1:3" x14ac:dyDescent="0.25">
      <c r="A7711" s="1" t="s">
        <v>7710</v>
      </c>
      <c r="C7711" s="3">
        <v>15</v>
      </c>
    </row>
    <row r="7712" spans="1:3" x14ac:dyDescent="0.25">
      <c r="A7712" s="1" t="s">
        <v>7711</v>
      </c>
      <c r="C7712" s="3">
        <v>15</v>
      </c>
    </row>
    <row r="7713" spans="1:3" x14ac:dyDescent="0.25">
      <c r="A7713" s="1" t="s">
        <v>7712</v>
      </c>
      <c r="C7713" s="3">
        <v>15</v>
      </c>
    </row>
    <row r="7714" spans="1:3" x14ac:dyDescent="0.25">
      <c r="A7714" s="1" t="s">
        <v>7713</v>
      </c>
      <c r="C7714" s="3">
        <v>15</v>
      </c>
    </row>
    <row r="7715" spans="1:3" x14ac:dyDescent="0.25">
      <c r="A7715" s="1" t="s">
        <v>7714</v>
      </c>
      <c r="C7715" s="3">
        <v>15</v>
      </c>
    </row>
    <row r="7716" spans="1:3" x14ac:dyDescent="0.25">
      <c r="A7716" s="1" t="s">
        <v>7715</v>
      </c>
      <c r="C7716" s="3">
        <v>15</v>
      </c>
    </row>
    <row r="7717" spans="1:3" x14ac:dyDescent="0.25">
      <c r="A7717" s="1" t="s">
        <v>7716</v>
      </c>
      <c r="C7717" s="3">
        <v>15</v>
      </c>
    </row>
    <row r="7718" spans="1:3" x14ac:dyDescent="0.25">
      <c r="A7718" s="1" t="s">
        <v>7717</v>
      </c>
      <c r="C7718" s="3">
        <v>15</v>
      </c>
    </row>
    <row r="7719" spans="1:3" x14ac:dyDescent="0.25">
      <c r="A7719" s="1" t="s">
        <v>7718</v>
      </c>
      <c r="C7719" s="3">
        <v>15</v>
      </c>
    </row>
    <row r="7720" spans="1:3" x14ac:dyDescent="0.25">
      <c r="A7720" s="1" t="s">
        <v>7719</v>
      </c>
      <c r="C7720" s="3">
        <v>15</v>
      </c>
    </row>
    <row r="7721" spans="1:3" x14ac:dyDescent="0.25">
      <c r="A7721" s="1" t="s">
        <v>7720</v>
      </c>
      <c r="C7721" s="3">
        <v>15</v>
      </c>
    </row>
    <row r="7722" spans="1:3" x14ac:dyDescent="0.25">
      <c r="A7722" s="1" t="s">
        <v>7721</v>
      </c>
      <c r="C7722" s="3">
        <v>15</v>
      </c>
    </row>
    <row r="7723" spans="1:3" x14ac:dyDescent="0.25">
      <c r="A7723" s="1" t="s">
        <v>7722</v>
      </c>
      <c r="C7723" s="3">
        <v>15</v>
      </c>
    </row>
    <row r="7724" spans="1:3" x14ac:dyDescent="0.25">
      <c r="A7724" s="1" t="s">
        <v>7723</v>
      </c>
      <c r="C7724" s="3">
        <v>15</v>
      </c>
    </row>
    <row r="7725" spans="1:3" x14ac:dyDescent="0.25">
      <c r="A7725" s="1" t="s">
        <v>7724</v>
      </c>
      <c r="C7725" s="3">
        <v>15</v>
      </c>
    </row>
    <row r="7726" spans="1:3" x14ac:dyDescent="0.25">
      <c r="A7726" s="1" t="s">
        <v>7725</v>
      </c>
      <c r="C7726" s="3">
        <v>15</v>
      </c>
    </row>
    <row r="7727" spans="1:3" x14ac:dyDescent="0.25">
      <c r="A7727" s="1" t="s">
        <v>7726</v>
      </c>
      <c r="C7727" s="3">
        <v>15</v>
      </c>
    </row>
    <row r="7728" spans="1:3" x14ac:dyDescent="0.25">
      <c r="A7728" s="1" t="s">
        <v>7727</v>
      </c>
      <c r="C7728" s="3">
        <v>15</v>
      </c>
    </row>
    <row r="7729" spans="1:3" x14ac:dyDescent="0.25">
      <c r="A7729" s="1" t="s">
        <v>7728</v>
      </c>
      <c r="C7729" s="3">
        <v>15</v>
      </c>
    </row>
    <row r="7730" spans="1:3" x14ac:dyDescent="0.25">
      <c r="A7730" s="1" t="s">
        <v>7729</v>
      </c>
      <c r="C7730" s="3">
        <v>15</v>
      </c>
    </row>
    <row r="7731" spans="1:3" x14ac:dyDescent="0.25">
      <c r="A7731" s="1" t="s">
        <v>7730</v>
      </c>
      <c r="C7731" s="3">
        <v>15</v>
      </c>
    </row>
    <row r="7732" spans="1:3" x14ac:dyDescent="0.25">
      <c r="A7732" s="1" t="s">
        <v>7731</v>
      </c>
      <c r="C7732" s="3">
        <v>15</v>
      </c>
    </row>
    <row r="7733" spans="1:3" x14ac:dyDescent="0.25">
      <c r="A7733" s="1" t="s">
        <v>7732</v>
      </c>
      <c r="C7733" s="3">
        <v>15</v>
      </c>
    </row>
    <row r="7734" spans="1:3" x14ac:dyDescent="0.25">
      <c r="A7734" s="1" t="s">
        <v>7733</v>
      </c>
      <c r="C7734" s="3">
        <v>15</v>
      </c>
    </row>
    <row r="7735" spans="1:3" x14ac:dyDescent="0.25">
      <c r="A7735" s="1" t="s">
        <v>7734</v>
      </c>
      <c r="C7735" s="3">
        <v>15</v>
      </c>
    </row>
    <row r="7736" spans="1:3" x14ac:dyDescent="0.25">
      <c r="A7736" s="1" t="s">
        <v>7735</v>
      </c>
      <c r="C7736" s="3">
        <v>15</v>
      </c>
    </row>
    <row r="7737" spans="1:3" x14ac:dyDescent="0.25">
      <c r="A7737" s="1" t="s">
        <v>7736</v>
      </c>
      <c r="C7737" s="3">
        <v>15</v>
      </c>
    </row>
    <row r="7738" spans="1:3" x14ac:dyDescent="0.25">
      <c r="A7738" s="1" t="s">
        <v>7737</v>
      </c>
      <c r="C7738" s="3">
        <v>15</v>
      </c>
    </row>
    <row r="7739" spans="1:3" x14ac:dyDescent="0.25">
      <c r="A7739" s="1" t="s">
        <v>7738</v>
      </c>
      <c r="C7739" s="3">
        <v>15</v>
      </c>
    </row>
    <row r="7740" spans="1:3" x14ac:dyDescent="0.25">
      <c r="A7740" s="1" t="s">
        <v>7739</v>
      </c>
      <c r="C7740" s="3">
        <v>15</v>
      </c>
    </row>
    <row r="7741" spans="1:3" x14ac:dyDescent="0.25">
      <c r="A7741" s="1" t="s">
        <v>7740</v>
      </c>
      <c r="C7741" s="3">
        <v>15</v>
      </c>
    </row>
    <row r="7742" spans="1:3" x14ac:dyDescent="0.25">
      <c r="A7742" s="1" t="s">
        <v>7741</v>
      </c>
      <c r="C7742" s="3">
        <v>15</v>
      </c>
    </row>
    <row r="7743" spans="1:3" x14ac:dyDescent="0.25">
      <c r="A7743" s="1" t="s">
        <v>7742</v>
      </c>
      <c r="C7743" s="3">
        <v>15</v>
      </c>
    </row>
    <row r="7744" spans="1:3" x14ac:dyDescent="0.25">
      <c r="A7744" s="1" t="s">
        <v>7743</v>
      </c>
      <c r="C7744" s="3">
        <v>15</v>
      </c>
    </row>
    <row r="7745" spans="1:3" x14ac:dyDescent="0.25">
      <c r="A7745" s="1" t="s">
        <v>7744</v>
      </c>
      <c r="C7745" s="3">
        <v>15</v>
      </c>
    </row>
    <row r="7746" spans="1:3" x14ac:dyDescent="0.25">
      <c r="A7746" s="1" t="s">
        <v>7745</v>
      </c>
      <c r="C7746" s="3">
        <v>15</v>
      </c>
    </row>
    <row r="7747" spans="1:3" x14ac:dyDescent="0.25">
      <c r="A7747" s="1" t="s">
        <v>7746</v>
      </c>
      <c r="C7747" s="3">
        <v>15</v>
      </c>
    </row>
    <row r="7748" spans="1:3" x14ac:dyDescent="0.25">
      <c r="A7748" s="1" t="s">
        <v>7747</v>
      </c>
      <c r="C7748" s="3">
        <v>15</v>
      </c>
    </row>
    <row r="7749" spans="1:3" x14ac:dyDescent="0.25">
      <c r="A7749" s="1" t="s">
        <v>7748</v>
      </c>
      <c r="C7749" s="3">
        <v>15</v>
      </c>
    </row>
    <row r="7750" spans="1:3" x14ac:dyDescent="0.25">
      <c r="A7750" s="1" t="s">
        <v>7749</v>
      </c>
      <c r="C7750" s="3">
        <v>15</v>
      </c>
    </row>
    <row r="7751" spans="1:3" x14ac:dyDescent="0.25">
      <c r="A7751" s="1" t="s">
        <v>7750</v>
      </c>
      <c r="C7751" s="3">
        <v>15</v>
      </c>
    </row>
    <row r="7752" spans="1:3" x14ac:dyDescent="0.25">
      <c r="A7752" s="1" t="s">
        <v>7751</v>
      </c>
      <c r="C7752" s="3">
        <v>15</v>
      </c>
    </row>
    <row r="7753" spans="1:3" x14ac:dyDescent="0.25">
      <c r="A7753" s="1" t="s">
        <v>7752</v>
      </c>
      <c r="C7753" s="3">
        <v>15</v>
      </c>
    </row>
    <row r="7754" spans="1:3" x14ac:dyDescent="0.25">
      <c r="A7754" s="1" t="s">
        <v>7753</v>
      </c>
      <c r="C7754" s="3">
        <v>15</v>
      </c>
    </row>
    <row r="7755" spans="1:3" x14ac:dyDescent="0.25">
      <c r="A7755" s="1" t="s">
        <v>7754</v>
      </c>
      <c r="C7755" s="3">
        <v>15</v>
      </c>
    </row>
    <row r="7756" spans="1:3" x14ac:dyDescent="0.25">
      <c r="A7756" s="1" t="s">
        <v>7755</v>
      </c>
      <c r="C7756" s="3">
        <v>15</v>
      </c>
    </row>
    <row r="7757" spans="1:3" x14ac:dyDescent="0.25">
      <c r="A7757" s="1" t="s">
        <v>7756</v>
      </c>
      <c r="C7757" s="3">
        <v>15</v>
      </c>
    </row>
    <row r="7758" spans="1:3" x14ac:dyDescent="0.25">
      <c r="A7758" s="1" t="s">
        <v>7757</v>
      </c>
      <c r="C7758" s="3">
        <v>15</v>
      </c>
    </row>
    <row r="7759" spans="1:3" x14ac:dyDescent="0.25">
      <c r="A7759" s="1" t="s">
        <v>7758</v>
      </c>
      <c r="C7759" s="3">
        <v>15</v>
      </c>
    </row>
    <row r="7760" spans="1:3" x14ac:dyDescent="0.25">
      <c r="A7760" s="1" t="s">
        <v>7759</v>
      </c>
      <c r="C7760" s="3">
        <v>15</v>
      </c>
    </row>
    <row r="7761" spans="1:3" x14ac:dyDescent="0.25">
      <c r="A7761" s="1" t="s">
        <v>7760</v>
      </c>
      <c r="C7761" s="3">
        <v>15</v>
      </c>
    </row>
    <row r="7762" spans="1:3" x14ac:dyDescent="0.25">
      <c r="A7762" s="1" t="s">
        <v>7761</v>
      </c>
      <c r="C7762" s="3">
        <v>15</v>
      </c>
    </row>
    <row r="7763" spans="1:3" x14ac:dyDescent="0.25">
      <c r="A7763" s="1" t="s">
        <v>7762</v>
      </c>
      <c r="C7763" s="3">
        <v>15</v>
      </c>
    </row>
    <row r="7764" spans="1:3" x14ac:dyDescent="0.25">
      <c r="A7764" s="1" t="s">
        <v>7763</v>
      </c>
      <c r="C7764" s="3">
        <v>15</v>
      </c>
    </row>
    <row r="7765" spans="1:3" x14ac:dyDescent="0.25">
      <c r="A7765" s="1" t="s">
        <v>7764</v>
      </c>
      <c r="C7765" s="3">
        <v>15</v>
      </c>
    </row>
    <row r="7766" spans="1:3" x14ac:dyDescent="0.25">
      <c r="A7766" s="1" t="s">
        <v>7765</v>
      </c>
      <c r="C7766" s="3">
        <v>15</v>
      </c>
    </row>
    <row r="7767" spans="1:3" x14ac:dyDescent="0.25">
      <c r="A7767" s="1" t="s">
        <v>7766</v>
      </c>
      <c r="C7767" s="3">
        <v>15</v>
      </c>
    </row>
    <row r="7768" spans="1:3" x14ac:dyDescent="0.25">
      <c r="A7768" s="1" t="s">
        <v>7767</v>
      </c>
      <c r="C7768" s="3">
        <v>15</v>
      </c>
    </row>
    <row r="7769" spans="1:3" x14ac:dyDescent="0.25">
      <c r="A7769" s="1" t="s">
        <v>7768</v>
      </c>
      <c r="C7769" s="3">
        <v>15</v>
      </c>
    </row>
    <row r="7770" spans="1:3" x14ac:dyDescent="0.25">
      <c r="A7770" s="1" t="s">
        <v>7769</v>
      </c>
      <c r="C7770" s="3">
        <v>15</v>
      </c>
    </row>
    <row r="7771" spans="1:3" x14ac:dyDescent="0.25">
      <c r="A7771" s="1" t="s">
        <v>7770</v>
      </c>
      <c r="C7771" s="3">
        <v>15</v>
      </c>
    </row>
    <row r="7772" spans="1:3" x14ac:dyDescent="0.25">
      <c r="A7772" s="1" t="s">
        <v>7771</v>
      </c>
      <c r="C7772" s="3">
        <v>15</v>
      </c>
    </row>
    <row r="7773" spans="1:3" x14ac:dyDescent="0.25">
      <c r="A7773" s="1" t="s">
        <v>7772</v>
      </c>
      <c r="C7773" s="3">
        <v>15</v>
      </c>
    </row>
    <row r="7774" spans="1:3" x14ac:dyDescent="0.25">
      <c r="A7774" s="1" t="s">
        <v>7773</v>
      </c>
      <c r="C7774" s="3">
        <v>15</v>
      </c>
    </row>
    <row r="7775" spans="1:3" x14ac:dyDescent="0.25">
      <c r="A7775" s="1" t="s">
        <v>7774</v>
      </c>
      <c r="C7775" s="3">
        <v>15</v>
      </c>
    </row>
    <row r="7776" spans="1:3" x14ac:dyDescent="0.25">
      <c r="A7776" s="1" t="s">
        <v>7775</v>
      </c>
      <c r="C7776" s="3">
        <v>15</v>
      </c>
    </row>
    <row r="7777" spans="1:3" x14ac:dyDescent="0.25">
      <c r="A7777" s="1" t="s">
        <v>7776</v>
      </c>
      <c r="C7777" s="3">
        <v>15</v>
      </c>
    </row>
    <row r="7778" spans="1:3" x14ac:dyDescent="0.25">
      <c r="A7778" s="1" t="s">
        <v>7777</v>
      </c>
      <c r="C7778" s="3">
        <v>15</v>
      </c>
    </row>
    <row r="7779" spans="1:3" x14ac:dyDescent="0.25">
      <c r="A7779" s="1" t="s">
        <v>7778</v>
      </c>
      <c r="C7779" s="3">
        <v>15</v>
      </c>
    </row>
    <row r="7780" spans="1:3" x14ac:dyDescent="0.25">
      <c r="A7780" s="1" t="s">
        <v>7779</v>
      </c>
      <c r="C7780" s="3">
        <v>15</v>
      </c>
    </row>
    <row r="7781" spans="1:3" x14ac:dyDescent="0.25">
      <c r="A7781" s="1" t="s">
        <v>7780</v>
      </c>
      <c r="C7781" s="3">
        <v>15</v>
      </c>
    </row>
    <row r="7782" spans="1:3" x14ac:dyDescent="0.25">
      <c r="A7782" s="1" t="s">
        <v>7781</v>
      </c>
      <c r="C7782" s="3">
        <v>15</v>
      </c>
    </row>
    <row r="7783" spans="1:3" x14ac:dyDescent="0.25">
      <c r="A7783" s="1" t="s">
        <v>7782</v>
      </c>
      <c r="C7783" s="3">
        <v>15</v>
      </c>
    </row>
    <row r="7784" spans="1:3" x14ac:dyDescent="0.25">
      <c r="A7784" s="1" t="s">
        <v>7783</v>
      </c>
      <c r="C7784" s="3">
        <v>15</v>
      </c>
    </row>
    <row r="7785" spans="1:3" x14ac:dyDescent="0.25">
      <c r="A7785" s="1" t="s">
        <v>7784</v>
      </c>
      <c r="C7785" s="3">
        <v>15</v>
      </c>
    </row>
    <row r="7786" spans="1:3" x14ac:dyDescent="0.25">
      <c r="A7786" s="1" t="s">
        <v>7785</v>
      </c>
      <c r="C7786" s="3">
        <v>15</v>
      </c>
    </row>
    <row r="7787" spans="1:3" x14ac:dyDescent="0.25">
      <c r="A7787" s="1" t="s">
        <v>7786</v>
      </c>
      <c r="C7787" s="3">
        <v>15</v>
      </c>
    </row>
    <row r="7788" spans="1:3" x14ac:dyDescent="0.25">
      <c r="A7788" s="1" t="s">
        <v>7787</v>
      </c>
      <c r="C7788" s="3">
        <v>15</v>
      </c>
    </row>
    <row r="7789" spans="1:3" x14ac:dyDescent="0.25">
      <c r="A7789" s="1" t="s">
        <v>7788</v>
      </c>
      <c r="C7789" s="3">
        <v>15</v>
      </c>
    </row>
    <row r="7790" spans="1:3" x14ac:dyDescent="0.25">
      <c r="A7790" s="1" t="s">
        <v>7789</v>
      </c>
      <c r="C7790" s="3">
        <v>15</v>
      </c>
    </row>
    <row r="7791" spans="1:3" x14ac:dyDescent="0.25">
      <c r="A7791" s="1" t="s">
        <v>7790</v>
      </c>
      <c r="C7791" s="3">
        <v>15</v>
      </c>
    </row>
    <row r="7792" spans="1:3" x14ac:dyDescent="0.25">
      <c r="A7792" s="1" t="s">
        <v>7791</v>
      </c>
      <c r="C7792" s="3">
        <v>15</v>
      </c>
    </row>
    <row r="7793" spans="1:3" x14ac:dyDescent="0.25">
      <c r="A7793" s="1" t="s">
        <v>7792</v>
      </c>
      <c r="C7793" s="3">
        <v>15</v>
      </c>
    </row>
    <row r="7794" spans="1:3" x14ac:dyDescent="0.25">
      <c r="A7794" s="1" t="s">
        <v>7793</v>
      </c>
      <c r="C7794" s="3">
        <v>15</v>
      </c>
    </row>
    <row r="7795" spans="1:3" x14ac:dyDescent="0.25">
      <c r="A7795" s="1" t="s">
        <v>7794</v>
      </c>
      <c r="C7795" s="3">
        <v>15</v>
      </c>
    </row>
    <row r="7796" spans="1:3" x14ac:dyDescent="0.25">
      <c r="A7796" s="1" t="s">
        <v>7795</v>
      </c>
      <c r="C7796" s="3">
        <v>15</v>
      </c>
    </row>
    <row r="7797" spans="1:3" x14ac:dyDescent="0.25">
      <c r="A7797" s="1" t="s">
        <v>7796</v>
      </c>
      <c r="C7797" s="3">
        <v>15</v>
      </c>
    </row>
    <row r="7798" spans="1:3" x14ac:dyDescent="0.25">
      <c r="A7798" s="1" t="s">
        <v>7797</v>
      </c>
      <c r="C7798" s="3">
        <v>15</v>
      </c>
    </row>
    <row r="7799" spans="1:3" x14ac:dyDescent="0.25">
      <c r="A7799" s="1" t="s">
        <v>7798</v>
      </c>
      <c r="C7799" s="3">
        <v>15</v>
      </c>
    </row>
    <row r="7800" spans="1:3" x14ac:dyDescent="0.25">
      <c r="A7800" s="1" t="s">
        <v>7799</v>
      </c>
      <c r="C7800" s="3">
        <v>15</v>
      </c>
    </row>
    <row r="7801" spans="1:3" x14ac:dyDescent="0.25">
      <c r="A7801" s="1" t="s">
        <v>7800</v>
      </c>
      <c r="C7801" s="3">
        <v>15</v>
      </c>
    </row>
    <row r="7802" spans="1:3" x14ac:dyDescent="0.25">
      <c r="A7802" s="1" t="s">
        <v>7801</v>
      </c>
      <c r="C7802" s="3">
        <v>15</v>
      </c>
    </row>
    <row r="7803" spans="1:3" x14ac:dyDescent="0.25">
      <c r="A7803" s="1" t="s">
        <v>7802</v>
      </c>
      <c r="C7803" s="3">
        <v>15</v>
      </c>
    </row>
    <row r="7804" spans="1:3" x14ac:dyDescent="0.25">
      <c r="A7804" s="1" t="s">
        <v>7803</v>
      </c>
      <c r="C7804" s="3">
        <v>15</v>
      </c>
    </row>
    <row r="7805" spans="1:3" x14ac:dyDescent="0.25">
      <c r="A7805" s="1" t="s">
        <v>7804</v>
      </c>
      <c r="C7805" s="3">
        <v>15</v>
      </c>
    </row>
    <row r="7806" spans="1:3" x14ac:dyDescent="0.25">
      <c r="A7806" s="1" t="s">
        <v>7805</v>
      </c>
      <c r="C7806" s="3">
        <v>15</v>
      </c>
    </row>
    <row r="7807" spans="1:3" x14ac:dyDescent="0.25">
      <c r="A7807" s="1" t="s">
        <v>7806</v>
      </c>
      <c r="C7807" s="3">
        <v>15</v>
      </c>
    </row>
    <row r="7808" spans="1:3" x14ac:dyDescent="0.25">
      <c r="A7808" s="1" t="s">
        <v>7807</v>
      </c>
      <c r="C7808" s="3">
        <v>15</v>
      </c>
    </row>
    <row r="7809" spans="1:3" x14ac:dyDescent="0.25">
      <c r="A7809" s="1" t="s">
        <v>7808</v>
      </c>
      <c r="C7809" s="3">
        <v>15</v>
      </c>
    </row>
    <row r="7810" spans="1:3" x14ac:dyDescent="0.25">
      <c r="A7810" s="1" t="s">
        <v>7809</v>
      </c>
      <c r="C7810" s="3">
        <v>15</v>
      </c>
    </row>
    <row r="7811" spans="1:3" x14ac:dyDescent="0.25">
      <c r="A7811" s="1" t="s">
        <v>7810</v>
      </c>
      <c r="C7811" s="3">
        <v>15</v>
      </c>
    </row>
    <row r="7812" spans="1:3" x14ac:dyDescent="0.25">
      <c r="A7812" s="1" t="s">
        <v>7811</v>
      </c>
      <c r="C7812" s="3">
        <v>15</v>
      </c>
    </row>
    <row r="7813" spans="1:3" x14ac:dyDescent="0.25">
      <c r="A7813" s="1" t="s">
        <v>7812</v>
      </c>
      <c r="C7813" s="3">
        <v>15</v>
      </c>
    </row>
    <row r="7814" spans="1:3" x14ac:dyDescent="0.25">
      <c r="A7814" s="1" t="s">
        <v>7813</v>
      </c>
      <c r="C7814" s="3">
        <v>15</v>
      </c>
    </row>
    <row r="7815" spans="1:3" x14ac:dyDescent="0.25">
      <c r="A7815" s="1" t="s">
        <v>7814</v>
      </c>
      <c r="C7815" s="3">
        <v>15</v>
      </c>
    </row>
    <row r="7816" spans="1:3" x14ac:dyDescent="0.25">
      <c r="A7816" s="1" t="s">
        <v>7815</v>
      </c>
      <c r="C7816" s="3">
        <v>15</v>
      </c>
    </row>
    <row r="7817" spans="1:3" x14ac:dyDescent="0.25">
      <c r="A7817" s="1" t="s">
        <v>7816</v>
      </c>
      <c r="C7817" s="3">
        <v>15</v>
      </c>
    </row>
    <row r="7818" spans="1:3" x14ac:dyDescent="0.25">
      <c r="A7818" s="1" t="s">
        <v>7817</v>
      </c>
      <c r="C7818" s="3">
        <v>15</v>
      </c>
    </row>
    <row r="7819" spans="1:3" x14ac:dyDescent="0.25">
      <c r="A7819" s="1" t="s">
        <v>7818</v>
      </c>
      <c r="C7819" s="3">
        <v>15</v>
      </c>
    </row>
    <row r="7820" spans="1:3" x14ac:dyDescent="0.25">
      <c r="A7820" s="1" t="s">
        <v>7819</v>
      </c>
      <c r="C7820" s="3">
        <v>15</v>
      </c>
    </row>
    <row r="7821" spans="1:3" x14ac:dyDescent="0.25">
      <c r="A7821" s="1" t="s">
        <v>7820</v>
      </c>
      <c r="C7821" s="3">
        <v>15</v>
      </c>
    </row>
    <row r="7822" spans="1:3" x14ac:dyDescent="0.25">
      <c r="A7822" s="1" t="s">
        <v>7821</v>
      </c>
      <c r="C7822" s="3">
        <v>15</v>
      </c>
    </row>
    <row r="7823" spans="1:3" x14ac:dyDescent="0.25">
      <c r="A7823" s="1" t="s">
        <v>7822</v>
      </c>
      <c r="C7823" s="3">
        <v>15</v>
      </c>
    </row>
    <row r="7824" spans="1:3" x14ac:dyDescent="0.25">
      <c r="A7824" s="1" t="s">
        <v>7823</v>
      </c>
      <c r="C7824" s="3">
        <v>15</v>
      </c>
    </row>
    <row r="7825" spans="1:3" x14ac:dyDescent="0.25">
      <c r="A7825" s="1" t="s">
        <v>7824</v>
      </c>
      <c r="C7825" s="3">
        <v>15</v>
      </c>
    </row>
    <row r="7826" spans="1:3" x14ac:dyDescent="0.25">
      <c r="A7826" s="1" t="s">
        <v>7825</v>
      </c>
      <c r="C7826" s="3">
        <v>15</v>
      </c>
    </row>
    <row r="7827" spans="1:3" x14ac:dyDescent="0.25">
      <c r="A7827" s="1" t="s">
        <v>7826</v>
      </c>
      <c r="C7827" s="3">
        <v>15</v>
      </c>
    </row>
    <row r="7828" spans="1:3" x14ac:dyDescent="0.25">
      <c r="A7828" s="1" t="s">
        <v>7827</v>
      </c>
      <c r="C7828" s="3">
        <v>15</v>
      </c>
    </row>
    <row r="7829" spans="1:3" x14ac:dyDescent="0.25">
      <c r="A7829" s="1" t="s">
        <v>7828</v>
      </c>
      <c r="C7829" s="3">
        <v>15</v>
      </c>
    </row>
    <row r="7830" spans="1:3" x14ac:dyDescent="0.25">
      <c r="A7830" s="1" t="s">
        <v>7829</v>
      </c>
      <c r="C7830" s="3">
        <v>15</v>
      </c>
    </row>
    <row r="7831" spans="1:3" x14ac:dyDescent="0.25">
      <c r="A7831" s="1" t="s">
        <v>7830</v>
      </c>
      <c r="C7831" s="3">
        <v>15</v>
      </c>
    </row>
    <row r="7832" spans="1:3" x14ac:dyDescent="0.25">
      <c r="A7832" s="1" t="s">
        <v>7831</v>
      </c>
      <c r="C7832" s="3">
        <v>15</v>
      </c>
    </row>
    <row r="7833" spans="1:3" x14ac:dyDescent="0.25">
      <c r="A7833" s="1" t="s">
        <v>7832</v>
      </c>
      <c r="C7833" s="3">
        <v>15</v>
      </c>
    </row>
    <row r="7834" spans="1:3" x14ac:dyDescent="0.25">
      <c r="A7834" s="1" t="s">
        <v>7833</v>
      </c>
      <c r="C7834" s="3">
        <v>15</v>
      </c>
    </row>
    <row r="7835" spans="1:3" x14ac:dyDescent="0.25">
      <c r="A7835" s="1" t="s">
        <v>7834</v>
      </c>
      <c r="C7835" s="3">
        <v>15</v>
      </c>
    </row>
    <row r="7836" spans="1:3" x14ac:dyDescent="0.25">
      <c r="A7836" s="1" t="s">
        <v>7835</v>
      </c>
      <c r="C7836" s="3">
        <v>15</v>
      </c>
    </row>
    <row r="7837" spans="1:3" x14ac:dyDescent="0.25">
      <c r="A7837" s="1" t="s">
        <v>7836</v>
      </c>
      <c r="C7837" s="3">
        <v>15</v>
      </c>
    </row>
    <row r="7838" spans="1:3" x14ac:dyDescent="0.25">
      <c r="A7838" s="1" t="s">
        <v>7837</v>
      </c>
      <c r="C7838" s="3">
        <v>15</v>
      </c>
    </row>
    <row r="7839" spans="1:3" x14ac:dyDescent="0.25">
      <c r="A7839" s="1" t="s">
        <v>7838</v>
      </c>
      <c r="C7839" s="3">
        <v>15</v>
      </c>
    </row>
    <row r="7840" spans="1:3" x14ac:dyDescent="0.25">
      <c r="A7840" s="1" t="s">
        <v>7839</v>
      </c>
      <c r="C7840" s="3">
        <v>15</v>
      </c>
    </row>
    <row r="7841" spans="1:3" x14ac:dyDescent="0.25">
      <c r="A7841" s="1" t="s">
        <v>7840</v>
      </c>
      <c r="C7841" s="3">
        <v>15</v>
      </c>
    </row>
    <row r="7842" spans="1:3" x14ac:dyDescent="0.25">
      <c r="A7842" s="1" t="s">
        <v>7841</v>
      </c>
      <c r="C7842" s="3">
        <v>15</v>
      </c>
    </row>
    <row r="7843" spans="1:3" x14ac:dyDescent="0.25">
      <c r="A7843" s="1" t="s">
        <v>7842</v>
      </c>
      <c r="C7843" s="3">
        <v>15</v>
      </c>
    </row>
    <row r="7844" spans="1:3" x14ac:dyDescent="0.25">
      <c r="A7844" s="1" t="s">
        <v>7843</v>
      </c>
      <c r="C7844" s="3">
        <v>15</v>
      </c>
    </row>
    <row r="7845" spans="1:3" x14ac:dyDescent="0.25">
      <c r="A7845" s="1" t="s">
        <v>7844</v>
      </c>
      <c r="C7845" s="3">
        <v>15</v>
      </c>
    </row>
    <row r="7846" spans="1:3" x14ac:dyDescent="0.25">
      <c r="A7846" s="1" t="s">
        <v>7845</v>
      </c>
      <c r="C7846" s="3">
        <v>15</v>
      </c>
    </row>
    <row r="7847" spans="1:3" x14ac:dyDescent="0.25">
      <c r="A7847" s="1" t="s">
        <v>7846</v>
      </c>
      <c r="C7847" s="3">
        <v>15</v>
      </c>
    </row>
    <row r="7848" spans="1:3" x14ac:dyDescent="0.25">
      <c r="A7848" s="1" t="s">
        <v>7847</v>
      </c>
      <c r="C7848" s="3">
        <v>15</v>
      </c>
    </row>
    <row r="7849" spans="1:3" x14ac:dyDescent="0.25">
      <c r="A7849" s="1" t="s">
        <v>7848</v>
      </c>
      <c r="C7849" s="3">
        <v>15</v>
      </c>
    </row>
    <row r="7850" spans="1:3" x14ac:dyDescent="0.25">
      <c r="A7850" s="1" t="s">
        <v>7849</v>
      </c>
      <c r="C7850" s="3">
        <v>15</v>
      </c>
    </row>
    <row r="7851" spans="1:3" x14ac:dyDescent="0.25">
      <c r="A7851" s="1" t="s">
        <v>7850</v>
      </c>
      <c r="C7851" s="3">
        <v>15</v>
      </c>
    </row>
    <row r="7852" spans="1:3" x14ac:dyDescent="0.25">
      <c r="A7852" s="1" t="s">
        <v>7851</v>
      </c>
      <c r="C7852" s="3">
        <v>15</v>
      </c>
    </row>
    <row r="7853" spans="1:3" x14ac:dyDescent="0.25">
      <c r="A7853" s="1" t="s">
        <v>7852</v>
      </c>
      <c r="C7853" s="3">
        <v>15</v>
      </c>
    </row>
    <row r="7854" spans="1:3" x14ac:dyDescent="0.25">
      <c r="A7854" s="1" t="s">
        <v>7853</v>
      </c>
      <c r="C7854" s="3">
        <v>15</v>
      </c>
    </row>
    <row r="7855" spans="1:3" x14ac:dyDescent="0.25">
      <c r="A7855" s="1" t="s">
        <v>7854</v>
      </c>
      <c r="C7855" s="3">
        <v>15</v>
      </c>
    </row>
    <row r="7856" spans="1:3" x14ac:dyDescent="0.25">
      <c r="A7856" s="1" t="s">
        <v>7855</v>
      </c>
      <c r="C7856" s="3">
        <v>15</v>
      </c>
    </row>
    <row r="7857" spans="1:3" x14ac:dyDescent="0.25">
      <c r="A7857" s="1" t="s">
        <v>7856</v>
      </c>
      <c r="C7857" s="3">
        <v>15</v>
      </c>
    </row>
    <row r="7858" spans="1:3" x14ac:dyDescent="0.25">
      <c r="A7858" s="1" t="s">
        <v>7857</v>
      </c>
      <c r="C7858" s="3">
        <v>15</v>
      </c>
    </row>
    <row r="7859" spans="1:3" x14ac:dyDescent="0.25">
      <c r="A7859" s="1" t="s">
        <v>7858</v>
      </c>
      <c r="C7859" s="3">
        <v>15</v>
      </c>
    </row>
    <row r="7860" spans="1:3" x14ac:dyDescent="0.25">
      <c r="A7860" s="1" t="s">
        <v>7859</v>
      </c>
      <c r="C7860" s="3">
        <v>15</v>
      </c>
    </row>
    <row r="7861" spans="1:3" x14ac:dyDescent="0.25">
      <c r="A7861" s="1" t="s">
        <v>7860</v>
      </c>
      <c r="C7861" s="3">
        <v>15</v>
      </c>
    </row>
    <row r="7862" spans="1:3" x14ac:dyDescent="0.25">
      <c r="A7862" s="1" t="s">
        <v>7861</v>
      </c>
      <c r="C7862" s="3">
        <v>15</v>
      </c>
    </row>
    <row r="7863" spans="1:3" x14ac:dyDescent="0.25">
      <c r="A7863" s="1" t="s">
        <v>7862</v>
      </c>
      <c r="C7863" s="3">
        <v>15</v>
      </c>
    </row>
    <row r="7864" spans="1:3" x14ac:dyDescent="0.25">
      <c r="A7864" s="1" t="s">
        <v>7863</v>
      </c>
      <c r="C7864" s="3">
        <v>15</v>
      </c>
    </row>
    <row r="7865" spans="1:3" x14ac:dyDescent="0.25">
      <c r="A7865" s="1" t="s">
        <v>7864</v>
      </c>
      <c r="C7865" s="3">
        <v>15</v>
      </c>
    </row>
    <row r="7866" spans="1:3" x14ac:dyDescent="0.25">
      <c r="A7866" s="1" t="s">
        <v>7865</v>
      </c>
      <c r="C7866" s="3">
        <v>15</v>
      </c>
    </row>
    <row r="7867" spans="1:3" x14ac:dyDescent="0.25">
      <c r="A7867" s="1" t="s">
        <v>7866</v>
      </c>
      <c r="C7867" s="3">
        <v>15</v>
      </c>
    </row>
    <row r="7868" spans="1:3" x14ac:dyDescent="0.25">
      <c r="A7868" s="1" t="s">
        <v>7867</v>
      </c>
      <c r="C7868" s="3">
        <v>15</v>
      </c>
    </row>
    <row r="7869" spans="1:3" x14ac:dyDescent="0.25">
      <c r="A7869" s="1" t="s">
        <v>7868</v>
      </c>
      <c r="C7869" s="3">
        <v>15</v>
      </c>
    </row>
    <row r="7870" spans="1:3" x14ac:dyDescent="0.25">
      <c r="A7870" s="1" t="s">
        <v>7869</v>
      </c>
      <c r="C7870" s="3">
        <v>15</v>
      </c>
    </row>
    <row r="7871" spans="1:3" x14ac:dyDescent="0.25">
      <c r="A7871" s="1" t="s">
        <v>7870</v>
      </c>
      <c r="C7871" s="3">
        <v>15</v>
      </c>
    </row>
    <row r="7872" spans="1:3" x14ac:dyDescent="0.25">
      <c r="A7872" s="1" t="s">
        <v>7871</v>
      </c>
      <c r="C7872" s="3">
        <v>15</v>
      </c>
    </row>
    <row r="7873" spans="1:3" x14ac:dyDescent="0.25">
      <c r="A7873" s="1" t="s">
        <v>7872</v>
      </c>
      <c r="C7873" s="3">
        <v>15</v>
      </c>
    </row>
    <row r="7874" spans="1:3" x14ac:dyDescent="0.25">
      <c r="A7874" s="1" t="s">
        <v>7873</v>
      </c>
      <c r="C7874" s="3">
        <v>15</v>
      </c>
    </row>
    <row r="7875" spans="1:3" x14ac:dyDescent="0.25">
      <c r="A7875" s="1" t="s">
        <v>7874</v>
      </c>
      <c r="C7875" s="3">
        <v>15</v>
      </c>
    </row>
    <row r="7876" spans="1:3" x14ac:dyDescent="0.25">
      <c r="A7876" s="1" t="s">
        <v>7875</v>
      </c>
      <c r="C7876" s="3">
        <v>15</v>
      </c>
    </row>
    <row r="7877" spans="1:3" x14ac:dyDescent="0.25">
      <c r="A7877" s="1" t="s">
        <v>7876</v>
      </c>
      <c r="C7877" s="3">
        <v>15</v>
      </c>
    </row>
    <row r="7878" spans="1:3" x14ac:dyDescent="0.25">
      <c r="A7878" s="1" t="s">
        <v>7877</v>
      </c>
      <c r="C7878" s="3">
        <v>15</v>
      </c>
    </row>
    <row r="7879" spans="1:3" x14ac:dyDescent="0.25">
      <c r="A7879" s="1" t="s">
        <v>7878</v>
      </c>
      <c r="C7879" s="3">
        <v>15</v>
      </c>
    </row>
    <row r="7880" spans="1:3" x14ac:dyDescent="0.25">
      <c r="A7880" s="1" t="s">
        <v>7879</v>
      </c>
      <c r="C7880" s="3">
        <v>15</v>
      </c>
    </row>
    <row r="7881" spans="1:3" x14ac:dyDescent="0.25">
      <c r="A7881" s="1" t="s">
        <v>7880</v>
      </c>
      <c r="C7881" s="3">
        <v>15</v>
      </c>
    </row>
    <row r="7882" spans="1:3" x14ac:dyDescent="0.25">
      <c r="A7882" s="1" t="s">
        <v>7881</v>
      </c>
      <c r="C7882" s="3">
        <v>15</v>
      </c>
    </row>
    <row r="7883" spans="1:3" x14ac:dyDescent="0.25">
      <c r="A7883" s="1" t="s">
        <v>7882</v>
      </c>
      <c r="C7883" s="3">
        <v>15</v>
      </c>
    </row>
    <row r="7884" spans="1:3" x14ac:dyDescent="0.25">
      <c r="A7884" s="1" t="s">
        <v>7883</v>
      </c>
      <c r="C7884" s="3">
        <v>15</v>
      </c>
    </row>
    <row r="7885" spans="1:3" x14ac:dyDescent="0.25">
      <c r="A7885" s="1" t="s">
        <v>7884</v>
      </c>
      <c r="C7885" s="3">
        <v>15</v>
      </c>
    </row>
    <row r="7886" spans="1:3" x14ac:dyDescent="0.25">
      <c r="A7886" s="1" t="s">
        <v>7885</v>
      </c>
      <c r="C7886" s="3">
        <v>15</v>
      </c>
    </row>
    <row r="7887" spans="1:3" x14ac:dyDescent="0.25">
      <c r="A7887" s="1" t="s">
        <v>7886</v>
      </c>
      <c r="C7887" s="3">
        <v>15</v>
      </c>
    </row>
    <row r="7888" spans="1:3" x14ac:dyDescent="0.25">
      <c r="A7888" s="1" t="s">
        <v>7887</v>
      </c>
      <c r="C7888" s="3">
        <v>15</v>
      </c>
    </row>
    <row r="7889" spans="1:3" x14ac:dyDescent="0.25">
      <c r="A7889" s="1" t="s">
        <v>7888</v>
      </c>
      <c r="C7889" s="3">
        <v>15</v>
      </c>
    </row>
    <row r="7890" spans="1:3" x14ac:dyDescent="0.25">
      <c r="A7890" s="1" t="s">
        <v>7889</v>
      </c>
      <c r="C7890" s="3">
        <v>15</v>
      </c>
    </row>
    <row r="7891" spans="1:3" x14ac:dyDescent="0.25">
      <c r="A7891" s="1" t="s">
        <v>7890</v>
      </c>
      <c r="C7891" s="3">
        <v>15</v>
      </c>
    </row>
    <row r="7892" spans="1:3" x14ac:dyDescent="0.25">
      <c r="A7892" s="1" t="s">
        <v>7891</v>
      </c>
      <c r="C7892" s="3">
        <v>15</v>
      </c>
    </row>
    <row r="7893" spans="1:3" x14ac:dyDescent="0.25">
      <c r="A7893" s="1" t="s">
        <v>7892</v>
      </c>
      <c r="C7893" s="3">
        <v>15</v>
      </c>
    </row>
    <row r="7894" spans="1:3" x14ac:dyDescent="0.25">
      <c r="A7894" s="1" t="s">
        <v>7893</v>
      </c>
      <c r="C7894" s="3">
        <v>15</v>
      </c>
    </row>
    <row r="7895" spans="1:3" x14ac:dyDescent="0.25">
      <c r="A7895" s="1" t="s">
        <v>7894</v>
      </c>
      <c r="C7895" s="3">
        <v>15</v>
      </c>
    </row>
    <row r="7896" spans="1:3" x14ac:dyDescent="0.25">
      <c r="A7896" s="1" t="s">
        <v>7895</v>
      </c>
      <c r="C7896" s="3">
        <v>15</v>
      </c>
    </row>
    <row r="7897" spans="1:3" x14ac:dyDescent="0.25">
      <c r="A7897" s="1" t="s">
        <v>7896</v>
      </c>
      <c r="C7897" s="3">
        <v>15</v>
      </c>
    </row>
    <row r="7898" spans="1:3" x14ac:dyDescent="0.25">
      <c r="A7898" s="1" t="s">
        <v>7897</v>
      </c>
      <c r="C7898" s="3">
        <v>15</v>
      </c>
    </row>
    <row r="7899" spans="1:3" x14ac:dyDescent="0.25">
      <c r="A7899" s="1" t="s">
        <v>7898</v>
      </c>
      <c r="C7899" s="3">
        <v>15</v>
      </c>
    </row>
    <row r="7900" spans="1:3" x14ac:dyDescent="0.25">
      <c r="A7900" s="1" t="s">
        <v>7899</v>
      </c>
      <c r="C7900" s="3">
        <v>15</v>
      </c>
    </row>
    <row r="7901" spans="1:3" x14ac:dyDescent="0.25">
      <c r="A7901" s="1" t="s">
        <v>7900</v>
      </c>
      <c r="C7901" s="3">
        <v>15</v>
      </c>
    </row>
    <row r="7902" spans="1:3" x14ac:dyDescent="0.25">
      <c r="A7902" s="1" t="s">
        <v>7901</v>
      </c>
      <c r="C7902" s="3">
        <v>15</v>
      </c>
    </row>
    <row r="7903" spans="1:3" x14ac:dyDescent="0.25">
      <c r="A7903" s="1" t="s">
        <v>7902</v>
      </c>
      <c r="C7903" s="3">
        <v>15</v>
      </c>
    </row>
    <row r="7904" spans="1:3" x14ac:dyDescent="0.25">
      <c r="A7904" s="1" t="s">
        <v>7903</v>
      </c>
      <c r="C7904" s="3">
        <v>15</v>
      </c>
    </row>
    <row r="7905" spans="1:3" x14ac:dyDescent="0.25">
      <c r="A7905" s="1" t="s">
        <v>7904</v>
      </c>
      <c r="C7905" s="3">
        <v>15</v>
      </c>
    </row>
    <row r="7906" spans="1:3" x14ac:dyDescent="0.25">
      <c r="A7906" s="1" t="s">
        <v>7905</v>
      </c>
      <c r="C7906" s="3">
        <v>15</v>
      </c>
    </row>
    <row r="7907" spans="1:3" x14ac:dyDescent="0.25">
      <c r="A7907" s="1" t="s">
        <v>7906</v>
      </c>
      <c r="C7907" s="3">
        <v>15</v>
      </c>
    </row>
    <row r="7908" spans="1:3" x14ac:dyDescent="0.25">
      <c r="A7908" s="1" t="s">
        <v>7907</v>
      </c>
      <c r="C7908" s="3">
        <v>15</v>
      </c>
    </row>
    <row r="7909" spans="1:3" x14ac:dyDescent="0.25">
      <c r="A7909" s="1" t="s">
        <v>7908</v>
      </c>
      <c r="C7909" s="3">
        <v>15</v>
      </c>
    </row>
    <row r="7910" spans="1:3" x14ac:dyDescent="0.25">
      <c r="A7910" s="1" t="s">
        <v>7909</v>
      </c>
      <c r="C7910" s="3">
        <v>15</v>
      </c>
    </row>
    <row r="7911" spans="1:3" x14ac:dyDescent="0.25">
      <c r="A7911" s="1" t="s">
        <v>7910</v>
      </c>
      <c r="C7911" s="3">
        <v>15</v>
      </c>
    </row>
    <row r="7912" spans="1:3" x14ac:dyDescent="0.25">
      <c r="A7912" s="1" t="s">
        <v>7911</v>
      </c>
      <c r="C7912" s="3">
        <v>15</v>
      </c>
    </row>
    <row r="7913" spans="1:3" x14ac:dyDescent="0.25">
      <c r="A7913" s="1" t="s">
        <v>7912</v>
      </c>
      <c r="C7913" s="3">
        <v>15</v>
      </c>
    </row>
    <row r="7914" spans="1:3" x14ac:dyDescent="0.25">
      <c r="A7914" s="1" t="s">
        <v>7913</v>
      </c>
      <c r="C7914" s="3">
        <v>15</v>
      </c>
    </row>
    <row r="7915" spans="1:3" x14ac:dyDescent="0.25">
      <c r="A7915" s="1" t="s">
        <v>7914</v>
      </c>
      <c r="C7915" s="3">
        <v>15</v>
      </c>
    </row>
    <row r="7916" spans="1:3" x14ac:dyDescent="0.25">
      <c r="A7916" s="1" t="s">
        <v>7915</v>
      </c>
      <c r="C7916" s="3">
        <v>15</v>
      </c>
    </row>
    <row r="7917" spans="1:3" x14ac:dyDescent="0.25">
      <c r="A7917" s="1" t="s">
        <v>7916</v>
      </c>
      <c r="C7917" s="3">
        <v>15</v>
      </c>
    </row>
    <row r="7918" spans="1:3" x14ac:dyDescent="0.25">
      <c r="A7918" s="1" t="s">
        <v>7917</v>
      </c>
      <c r="C7918" s="3">
        <v>15</v>
      </c>
    </row>
    <row r="7919" spans="1:3" x14ac:dyDescent="0.25">
      <c r="A7919" s="1" t="s">
        <v>7918</v>
      </c>
      <c r="C7919" s="3">
        <v>15</v>
      </c>
    </row>
    <row r="7920" spans="1:3" x14ac:dyDescent="0.25">
      <c r="A7920" s="1" t="s">
        <v>7919</v>
      </c>
      <c r="C7920" s="3">
        <v>15</v>
      </c>
    </row>
    <row r="7921" spans="1:3" x14ac:dyDescent="0.25">
      <c r="A7921" s="1" t="s">
        <v>7920</v>
      </c>
      <c r="C7921" s="3">
        <v>15</v>
      </c>
    </row>
    <row r="7922" spans="1:3" x14ac:dyDescent="0.25">
      <c r="A7922" s="1" t="s">
        <v>7921</v>
      </c>
      <c r="C7922" s="3">
        <v>15</v>
      </c>
    </row>
    <row r="7923" spans="1:3" x14ac:dyDescent="0.25">
      <c r="A7923" s="1" t="s">
        <v>7922</v>
      </c>
      <c r="C7923" s="3">
        <v>15</v>
      </c>
    </row>
    <row r="7924" spans="1:3" x14ac:dyDescent="0.25">
      <c r="A7924" s="1" t="s">
        <v>7923</v>
      </c>
      <c r="C7924" s="3">
        <v>15</v>
      </c>
    </row>
    <row r="7925" spans="1:3" x14ac:dyDescent="0.25">
      <c r="A7925" s="1" t="s">
        <v>7924</v>
      </c>
      <c r="C7925" s="3">
        <v>15</v>
      </c>
    </row>
    <row r="7926" spans="1:3" x14ac:dyDescent="0.25">
      <c r="A7926" s="1" t="s">
        <v>7925</v>
      </c>
      <c r="C7926" s="3">
        <v>15</v>
      </c>
    </row>
    <row r="7927" spans="1:3" x14ac:dyDescent="0.25">
      <c r="A7927" s="1" t="s">
        <v>7926</v>
      </c>
      <c r="C7927" s="3">
        <v>15</v>
      </c>
    </row>
    <row r="7928" spans="1:3" x14ac:dyDescent="0.25">
      <c r="A7928" s="1" t="s">
        <v>7927</v>
      </c>
      <c r="C7928" s="3">
        <v>15</v>
      </c>
    </row>
    <row r="7929" spans="1:3" x14ac:dyDescent="0.25">
      <c r="A7929" s="1" t="s">
        <v>7928</v>
      </c>
      <c r="C7929" s="3">
        <v>15</v>
      </c>
    </row>
    <row r="7930" spans="1:3" x14ac:dyDescent="0.25">
      <c r="A7930" s="1" t="s">
        <v>7929</v>
      </c>
      <c r="C7930" s="3">
        <v>15</v>
      </c>
    </row>
    <row r="7931" spans="1:3" x14ac:dyDescent="0.25">
      <c r="A7931" s="1" t="s">
        <v>7930</v>
      </c>
      <c r="C7931" s="3">
        <v>15</v>
      </c>
    </row>
    <row r="7932" spans="1:3" x14ac:dyDescent="0.25">
      <c r="A7932" s="1" t="s">
        <v>7931</v>
      </c>
      <c r="C7932" s="3">
        <v>15</v>
      </c>
    </row>
    <row r="7933" spans="1:3" x14ac:dyDescent="0.25">
      <c r="A7933" s="1" t="s">
        <v>7932</v>
      </c>
      <c r="C7933" s="3">
        <v>15</v>
      </c>
    </row>
    <row r="7934" spans="1:3" x14ac:dyDescent="0.25">
      <c r="A7934" s="1" t="s">
        <v>7933</v>
      </c>
      <c r="C7934" s="3">
        <v>15</v>
      </c>
    </row>
    <row r="7935" spans="1:3" x14ac:dyDescent="0.25">
      <c r="A7935" s="1" t="s">
        <v>7934</v>
      </c>
      <c r="C7935" s="3">
        <v>15</v>
      </c>
    </row>
    <row r="7936" spans="1:3" x14ac:dyDescent="0.25">
      <c r="A7936" s="1" t="s">
        <v>7935</v>
      </c>
      <c r="C7936" s="3">
        <v>15</v>
      </c>
    </row>
    <row r="7937" spans="1:3" x14ac:dyDescent="0.25">
      <c r="A7937" s="1" t="s">
        <v>7936</v>
      </c>
      <c r="C7937" s="3">
        <v>15</v>
      </c>
    </row>
    <row r="7938" spans="1:3" x14ac:dyDescent="0.25">
      <c r="A7938" s="1" t="s">
        <v>7937</v>
      </c>
      <c r="C7938" s="3">
        <v>15</v>
      </c>
    </row>
    <row r="7939" spans="1:3" x14ac:dyDescent="0.25">
      <c r="A7939" s="1" t="s">
        <v>7938</v>
      </c>
      <c r="C7939" s="3">
        <v>15</v>
      </c>
    </row>
    <row r="7940" spans="1:3" x14ac:dyDescent="0.25">
      <c r="A7940" s="1" t="s">
        <v>7939</v>
      </c>
      <c r="C7940" s="3">
        <v>15</v>
      </c>
    </row>
    <row r="7941" spans="1:3" x14ac:dyDescent="0.25">
      <c r="A7941" s="1" t="s">
        <v>7940</v>
      </c>
      <c r="C7941" s="3">
        <v>15</v>
      </c>
    </row>
    <row r="7942" spans="1:3" x14ac:dyDescent="0.25">
      <c r="A7942" s="1" t="s">
        <v>7941</v>
      </c>
      <c r="C7942" s="3">
        <v>15</v>
      </c>
    </row>
    <row r="7943" spans="1:3" x14ac:dyDescent="0.25">
      <c r="A7943" s="1" t="s">
        <v>7942</v>
      </c>
      <c r="C7943" s="3">
        <v>15</v>
      </c>
    </row>
    <row r="7944" spans="1:3" x14ac:dyDescent="0.25">
      <c r="A7944" s="1" t="s">
        <v>7943</v>
      </c>
      <c r="C7944" s="3">
        <v>15</v>
      </c>
    </row>
    <row r="7945" spans="1:3" x14ac:dyDescent="0.25">
      <c r="A7945" s="1" t="s">
        <v>7944</v>
      </c>
      <c r="C7945" s="3">
        <v>15</v>
      </c>
    </row>
    <row r="7946" spans="1:3" x14ac:dyDescent="0.25">
      <c r="A7946" s="1" t="s">
        <v>7945</v>
      </c>
      <c r="C7946" s="3">
        <v>15</v>
      </c>
    </row>
    <row r="7947" spans="1:3" x14ac:dyDescent="0.25">
      <c r="A7947" s="1" t="s">
        <v>7946</v>
      </c>
      <c r="C7947" s="3">
        <v>15</v>
      </c>
    </row>
    <row r="7948" spans="1:3" x14ac:dyDescent="0.25">
      <c r="A7948" s="1" t="s">
        <v>7947</v>
      </c>
      <c r="C7948" s="3">
        <v>15</v>
      </c>
    </row>
    <row r="7949" spans="1:3" x14ac:dyDescent="0.25">
      <c r="A7949" s="1" t="s">
        <v>7948</v>
      </c>
      <c r="C7949" s="3">
        <v>15</v>
      </c>
    </row>
    <row r="7950" spans="1:3" x14ac:dyDescent="0.25">
      <c r="A7950" s="1" t="s">
        <v>7949</v>
      </c>
      <c r="C7950" s="3">
        <v>15</v>
      </c>
    </row>
    <row r="7951" spans="1:3" x14ac:dyDescent="0.25">
      <c r="A7951" s="1" t="s">
        <v>7950</v>
      </c>
      <c r="C7951" s="3">
        <v>15</v>
      </c>
    </row>
    <row r="7952" spans="1:3" x14ac:dyDescent="0.25">
      <c r="A7952" s="1" t="s">
        <v>7951</v>
      </c>
      <c r="C7952" s="3">
        <v>15</v>
      </c>
    </row>
    <row r="7953" spans="1:3" x14ac:dyDescent="0.25">
      <c r="A7953" s="1" t="s">
        <v>7952</v>
      </c>
      <c r="C7953" s="3">
        <v>15</v>
      </c>
    </row>
    <row r="7954" spans="1:3" x14ac:dyDescent="0.25">
      <c r="A7954" s="1" t="s">
        <v>7953</v>
      </c>
      <c r="C7954" s="3">
        <v>15</v>
      </c>
    </row>
    <row r="7955" spans="1:3" x14ac:dyDescent="0.25">
      <c r="A7955" s="1" t="s">
        <v>7954</v>
      </c>
      <c r="C7955" s="3">
        <v>15</v>
      </c>
    </row>
    <row r="7956" spans="1:3" x14ac:dyDescent="0.25">
      <c r="A7956" s="1" t="s">
        <v>7955</v>
      </c>
      <c r="C7956" s="3">
        <v>15</v>
      </c>
    </row>
    <row r="7957" spans="1:3" x14ac:dyDescent="0.25">
      <c r="A7957" s="1" t="s">
        <v>7956</v>
      </c>
      <c r="C7957" s="3">
        <v>15</v>
      </c>
    </row>
    <row r="7958" spans="1:3" x14ac:dyDescent="0.25">
      <c r="A7958" s="1" t="s">
        <v>7957</v>
      </c>
      <c r="C7958" s="3">
        <v>15</v>
      </c>
    </row>
    <row r="7959" spans="1:3" x14ac:dyDescent="0.25">
      <c r="A7959" s="1" t="s">
        <v>7958</v>
      </c>
      <c r="C7959" s="3">
        <v>15</v>
      </c>
    </row>
    <row r="7960" spans="1:3" x14ac:dyDescent="0.25">
      <c r="A7960" s="1" t="s">
        <v>7959</v>
      </c>
      <c r="C7960" s="3">
        <v>15</v>
      </c>
    </row>
    <row r="7961" spans="1:3" x14ac:dyDescent="0.25">
      <c r="A7961" s="1" t="s">
        <v>7960</v>
      </c>
      <c r="C7961" s="3">
        <v>15</v>
      </c>
    </row>
    <row r="7962" spans="1:3" x14ac:dyDescent="0.25">
      <c r="A7962" s="1" t="s">
        <v>7961</v>
      </c>
      <c r="C7962" s="3">
        <v>15</v>
      </c>
    </row>
    <row r="7963" spans="1:3" x14ac:dyDescent="0.25">
      <c r="A7963" s="1" t="s">
        <v>7962</v>
      </c>
      <c r="C7963" s="3">
        <v>15</v>
      </c>
    </row>
    <row r="7964" spans="1:3" x14ac:dyDescent="0.25">
      <c r="A7964" s="1" t="s">
        <v>7963</v>
      </c>
      <c r="C7964" s="3">
        <v>15</v>
      </c>
    </row>
    <row r="7965" spans="1:3" x14ac:dyDescent="0.25">
      <c r="A7965" s="1" t="s">
        <v>7964</v>
      </c>
      <c r="C7965" s="3">
        <v>15</v>
      </c>
    </row>
    <row r="7966" spans="1:3" x14ac:dyDescent="0.25">
      <c r="A7966" s="1" t="s">
        <v>7965</v>
      </c>
      <c r="C7966" s="3">
        <v>15</v>
      </c>
    </row>
    <row r="7967" spans="1:3" x14ac:dyDescent="0.25">
      <c r="A7967" s="1" t="s">
        <v>7966</v>
      </c>
      <c r="C7967" s="3">
        <v>15</v>
      </c>
    </row>
    <row r="7968" spans="1:3" x14ac:dyDescent="0.25">
      <c r="A7968" s="1" t="s">
        <v>7967</v>
      </c>
      <c r="C7968" s="3">
        <v>15</v>
      </c>
    </row>
    <row r="7969" spans="1:3" x14ac:dyDescent="0.25">
      <c r="A7969" s="1" t="s">
        <v>7968</v>
      </c>
      <c r="C7969" s="3">
        <v>15</v>
      </c>
    </row>
    <row r="7970" spans="1:3" x14ac:dyDescent="0.25">
      <c r="A7970" s="1" t="s">
        <v>7969</v>
      </c>
      <c r="C7970" s="3">
        <v>15</v>
      </c>
    </row>
    <row r="7971" spans="1:3" x14ac:dyDescent="0.25">
      <c r="A7971" s="1" t="s">
        <v>7970</v>
      </c>
      <c r="C7971" s="3">
        <v>15</v>
      </c>
    </row>
    <row r="7972" spans="1:3" x14ac:dyDescent="0.25">
      <c r="A7972" s="1" t="s">
        <v>7971</v>
      </c>
      <c r="C7972" s="3">
        <v>15</v>
      </c>
    </row>
    <row r="7973" spans="1:3" x14ac:dyDescent="0.25">
      <c r="A7973" s="1" t="s">
        <v>7972</v>
      </c>
      <c r="C7973" s="3">
        <v>15</v>
      </c>
    </row>
    <row r="7974" spans="1:3" x14ac:dyDescent="0.25">
      <c r="A7974" s="1" t="s">
        <v>7973</v>
      </c>
      <c r="C7974" s="3">
        <v>15</v>
      </c>
    </row>
    <row r="7975" spans="1:3" x14ac:dyDescent="0.25">
      <c r="A7975" s="1" t="s">
        <v>7974</v>
      </c>
      <c r="C7975" s="3">
        <v>15</v>
      </c>
    </row>
    <row r="7976" spans="1:3" x14ac:dyDescent="0.25">
      <c r="A7976" s="1" t="s">
        <v>7975</v>
      </c>
      <c r="C7976" s="3">
        <v>15</v>
      </c>
    </row>
    <row r="7977" spans="1:3" x14ac:dyDescent="0.25">
      <c r="A7977" s="1" t="s">
        <v>7976</v>
      </c>
      <c r="C7977" s="3">
        <v>15</v>
      </c>
    </row>
    <row r="7978" spans="1:3" x14ac:dyDescent="0.25">
      <c r="A7978" s="1" t="s">
        <v>7977</v>
      </c>
      <c r="C7978" s="3">
        <v>15</v>
      </c>
    </row>
    <row r="7979" spans="1:3" x14ac:dyDescent="0.25">
      <c r="A7979" s="1" t="s">
        <v>7978</v>
      </c>
      <c r="C7979" s="3">
        <v>15</v>
      </c>
    </row>
    <row r="7980" spans="1:3" x14ac:dyDescent="0.25">
      <c r="A7980" s="1" t="s">
        <v>7979</v>
      </c>
      <c r="C7980" s="3">
        <v>15</v>
      </c>
    </row>
    <row r="7981" spans="1:3" x14ac:dyDescent="0.25">
      <c r="A7981" s="1" t="s">
        <v>7980</v>
      </c>
      <c r="C7981" s="3">
        <v>15</v>
      </c>
    </row>
    <row r="7982" spans="1:3" x14ac:dyDescent="0.25">
      <c r="A7982" s="1" t="s">
        <v>7981</v>
      </c>
      <c r="C7982" s="3">
        <v>15</v>
      </c>
    </row>
    <row r="7983" spans="1:3" x14ac:dyDescent="0.25">
      <c r="A7983" s="1" t="s">
        <v>7982</v>
      </c>
      <c r="C7983" s="3">
        <v>15</v>
      </c>
    </row>
    <row r="7984" spans="1:3" x14ac:dyDescent="0.25">
      <c r="A7984" s="1" t="s">
        <v>7983</v>
      </c>
      <c r="C7984" s="3">
        <v>15</v>
      </c>
    </row>
    <row r="7985" spans="1:3" x14ac:dyDescent="0.25">
      <c r="A7985" s="1" t="s">
        <v>7984</v>
      </c>
      <c r="C7985" s="3">
        <v>15</v>
      </c>
    </row>
    <row r="7986" spans="1:3" x14ac:dyDescent="0.25">
      <c r="A7986" s="1" t="s">
        <v>7985</v>
      </c>
      <c r="C7986" s="3">
        <v>15</v>
      </c>
    </row>
    <row r="7987" spans="1:3" x14ac:dyDescent="0.25">
      <c r="A7987" s="1" t="s">
        <v>7986</v>
      </c>
      <c r="C7987" s="3">
        <v>15</v>
      </c>
    </row>
    <row r="7988" spans="1:3" x14ac:dyDescent="0.25">
      <c r="A7988" s="1" t="s">
        <v>7987</v>
      </c>
      <c r="C7988" s="3">
        <v>15</v>
      </c>
    </row>
    <row r="7989" spans="1:3" x14ac:dyDescent="0.25">
      <c r="A7989" s="1" t="s">
        <v>7988</v>
      </c>
      <c r="C7989" s="3">
        <v>15</v>
      </c>
    </row>
    <row r="7990" spans="1:3" x14ac:dyDescent="0.25">
      <c r="A7990" s="1" t="s">
        <v>7989</v>
      </c>
      <c r="C7990" s="3">
        <v>15</v>
      </c>
    </row>
    <row r="7991" spans="1:3" x14ac:dyDescent="0.25">
      <c r="A7991" s="1" t="s">
        <v>7990</v>
      </c>
      <c r="C7991" s="3">
        <v>15</v>
      </c>
    </row>
    <row r="7992" spans="1:3" x14ac:dyDescent="0.25">
      <c r="A7992" s="1" t="s">
        <v>7991</v>
      </c>
      <c r="C7992" s="3">
        <v>15</v>
      </c>
    </row>
    <row r="7993" spans="1:3" x14ac:dyDescent="0.25">
      <c r="A7993" s="1" t="s">
        <v>7992</v>
      </c>
      <c r="C7993" s="3">
        <v>15</v>
      </c>
    </row>
    <row r="7994" spans="1:3" x14ac:dyDescent="0.25">
      <c r="A7994" s="1" t="s">
        <v>7993</v>
      </c>
      <c r="C7994" s="3">
        <v>15</v>
      </c>
    </row>
    <row r="7995" spans="1:3" x14ac:dyDescent="0.25">
      <c r="A7995" s="1" t="s">
        <v>7994</v>
      </c>
      <c r="C7995" s="3">
        <v>15</v>
      </c>
    </row>
    <row r="7996" spans="1:3" x14ac:dyDescent="0.25">
      <c r="A7996" s="1" t="s">
        <v>7995</v>
      </c>
      <c r="C7996" s="3">
        <v>15</v>
      </c>
    </row>
    <row r="7997" spans="1:3" x14ac:dyDescent="0.25">
      <c r="A7997" s="1" t="s">
        <v>7996</v>
      </c>
      <c r="C7997" s="3">
        <v>15</v>
      </c>
    </row>
    <row r="7998" spans="1:3" x14ac:dyDescent="0.25">
      <c r="A7998" s="1" t="s">
        <v>7997</v>
      </c>
      <c r="C7998" s="3">
        <v>15</v>
      </c>
    </row>
    <row r="7999" spans="1:3" x14ac:dyDescent="0.25">
      <c r="A7999" s="1" t="s">
        <v>7998</v>
      </c>
      <c r="C7999" s="3">
        <v>15</v>
      </c>
    </row>
    <row r="8000" spans="1:3" x14ac:dyDescent="0.25">
      <c r="A8000" s="1" t="s">
        <v>7999</v>
      </c>
      <c r="C8000" s="3">
        <v>15</v>
      </c>
    </row>
    <row r="8001" spans="1:3" x14ac:dyDescent="0.25">
      <c r="A8001" s="1" t="s">
        <v>8000</v>
      </c>
      <c r="C8001" s="3">
        <v>15</v>
      </c>
    </row>
    <row r="8002" spans="1:3" x14ac:dyDescent="0.25">
      <c r="A8002" s="1" t="s">
        <v>8001</v>
      </c>
      <c r="C8002" s="3">
        <v>15</v>
      </c>
    </row>
    <row r="8003" spans="1:3" x14ac:dyDescent="0.25">
      <c r="A8003" s="1" t="s">
        <v>8002</v>
      </c>
      <c r="C8003" s="3">
        <v>15</v>
      </c>
    </row>
    <row r="8004" spans="1:3" x14ac:dyDescent="0.25">
      <c r="A8004" s="1" t="s">
        <v>8003</v>
      </c>
      <c r="C8004" s="3">
        <v>15</v>
      </c>
    </row>
    <row r="8005" spans="1:3" x14ac:dyDescent="0.25">
      <c r="A8005" s="1" t="s">
        <v>8004</v>
      </c>
      <c r="C8005" s="3">
        <v>15</v>
      </c>
    </row>
    <row r="8006" spans="1:3" x14ac:dyDescent="0.25">
      <c r="A8006" s="1" t="s">
        <v>8005</v>
      </c>
      <c r="C8006" s="3">
        <v>15</v>
      </c>
    </row>
    <row r="8007" spans="1:3" x14ac:dyDescent="0.25">
      <c r="A8007" s="1" t="s">
        <v>8006</v>
      </c>
      <c r="C8007" s="3">
        <v>15</v>
      </c>
    </row>
    <row r="8008" spans="1:3" x14ac:dyDescent="0.25">
      <c r="A8008" s="1" t="s">
        <v>8007</v>
      </c>
      <c r="C8008" s="3">
        <v>15</v>
      </c>
    </row>
    <row r="8009" spans="1:3" x14ac:dyDescent="0.25">
      <c r="A8009" s="1" t="s">
        <v>8008</v>
      </c>
      <c r="C8009" s="3">
        <v>15</v>
      </c>
    </row>
    <row r="8010" spans="1:3" x14ac:dyDescent="0.25">
      <c r="A8010" s="1" t="s">
        <v>8009</v>
      </c>
      <c r="C8010" s="3">
        <v>15</v>
      </c>
    </row>
    <row r="8011" spans="1:3" x14ac:dyDescent="0.25">
      <c r="A8011" s="1" t="s">
        <v>8010</v>
      </c>
      <c r="C8011" s="3">
        <v>15</v>
      </c>
    </row>
    <row r="8012" spans="1:3" x14ac:dyDescent="0.25">
      <c r="A8012" s="1" t="s">
        <v>8011</v>
      </c>
      <c r="C8012" s="3">
        <v>15</v>
      </c>
    </row>
    <row r="8013" spans="1:3" x14ac:dyDescent="0.25">
      <c r="A8013" s="1" t="s">
        <v>8012</v>
      </c>
      <c r="C8013" s="3">
        <v>15</v>
      </c>
    </row>
    <row r="8014" spans="1:3" x14ac:dyDescent="0.25">
      <c r="A8014" s="1" t="s">
        <v>8013</v>
      </c>
      <c r="C8014" s="3">
        <v>15</v>
      </c>
    </row>
    <row r="8015" spans="1:3" x14ac:dyDescent="0.25">
      <c r="A8015" s="1" t="s">
        <v>8014</v>
      </c>
      <c r="C8015" s="3">
        <v>15</v>
      </c>
    </row>
    <row r="8016" spans="1:3" x14ac:dyDescent="0.25">
      <c r="A8016" s="1" t="s">
        <v>8015</v>
      </c>
      <c r="C8016" s="3">
        <v>15</v>
      </c>
    </row>
    <row r="8017" spans="1:3" x14ac:dyDescent="0.25">
      <c r="A8017" s="1" t="s">
        <v>8016</v>
      </c>
      <c r="C8017" s="3">
        <v>15</v>
      </c>
    </row>
    <row r="8018" spans="1:3" x14ac:dyDescent="0.25">
      <c r="A8018" s="1" t="s">
        <v>8017</v>
      </c>
      <c r="C8018" s="3">
        <v>15</v>
      </c>
    </row>
    <row r="8019" spans="1:3" x14ac:dyDescent="0.25">
      <c r="A8019" s="1" t="s">
        <v>8018</v>
      </c>
      <c r="C8019" s="3">
        <v>15</v>
      </c>
    </row>
    <row r="8020" spans="1:3" x14ac:dyDescent="0.25">
      <c r="A8020" s="1" t="s">
        <v>8019</v>
      </c>
      <c r="C8020" s="3">
        <v>15</v>
      </c>
    </row>
    <row r="8021" spans="1:3" x14ac:dyDescent="0.25">
      <c r="A8021" s="1" t="s">
        <v>8020</v>
      </c>
      <c r="C8021" s="3">
        <v>15</v>
      </c>
    </row>
    <row r="8022" spans="1:3" x14ac:dyDescent="0.25">
      <c r="A8022" s="1" t="s">
        <v>8021</v>
      </c>
      <c r="C8022" s="3">
        <v>15</v>
      </c>
    </row>
    <row r="8023" spans="1:3" x14ac:dyDescent="0.25">
      <c r="A8023" s="1" t="s">
        <v>8022</v>
      </c>
      <c r="C8023" s="3">
        <v>15</v>
      </c>
    </row>
    <row r="8024" spans="1:3" x14ac:dyDescent="0.25">
      <c r="A8024" s="1" t="s">
        <v>8023</v>
      </c>
      <c r="C8024" s="3">
        <v>15</v>
      </c>
    </row>
    <row r="8025" spans="1:3" x14ac:dyDescent="0.25">
      <c r="A8025" s="1" t="s">
        <v>8024</v>
      </c>
      <c r="C8025" s="3">
        <v>15</v>
      </c>
    </row>
    <row r="8026" spans="1:3" x14ac:dyDescent="0.25">
      <c r="A8026" s="1" t="s">
        <v>8025</v>
      </c>
      <c r="C8026" s="3">
        <v>15</v>
      </c>
    </row>
    <row r="8027" spans="1:3" x14ac:dyDescent="0.25">
      <c r="A8027" s="1" t="s">
        <v>8026</v>
      </c>
      <c r="C8027" s="3">
        <v>15</v>
      </c>
    </row>
    <row r="8028" spans="1:3" x14ac:dyDescent="0.25">
      <c r="A8028" s="1" t="s">
        <v>8027</v>
      </c>
      <c r="C8028" s="3">
        <v>15</v>
      </c>
    </row>
    <row r="8029" spans="1:3" x14ac:dyDescent="0.25">
      <c r="A8029" s="1" t="s">
        <v>8028</v>
      </c>
      <c r="C8029" s="3">
        <v>15</v>
      </c>
    </row>
    <row r="8030" spans="1:3" x14ac:dyDescent="0.25">
      <c r="A8030" s="1" t="s">
        <v>8029</v>
      </c>
      <c r="C8030" s="3">
        <v>15</v>
      </c>
    </row>
    <row r="8031" spans="1:3" x14ac:dyDescent="0.25">
      <c r="A8031" s="1" t="s">
        <v>8030</v>
      </c>
      <c r="C8031" s="3">
        <v>15</v>
      </c>
    </row>
    <row r="8032" spans="1:3" x14ac:dyDescent="0.25">
      <c r="A8032" s="1" t="s">
        <v>8031</v>
      </c>
      <c r="C8032" s="3">
        <v>15</v>
      </c>
    </row>
    <row r="8033" spans="1:3" x14ac:dyDescent="0.25">
      <c r="A8033" s="1" t="s">
        <v>8032</v>
      </c>
      <c r="C8033" s="3">
        <v>15</v>
      </c>
    </row>
    <row r="8034" spans="1:3" x14ac:dyDescent="0.25">
      <c r="A8034" s="1" t="s">
        <v>8033</v>
      </c>
      <c r="C8034" s="3">
        <v>15</v>
      </c>
    </row>
    <row r="8035" spans="1:3" x14ac:dyDescent="0.25">
      <c r="A8035" s="1" t="s">
        <v>8034</v>
      </c>
      <c r="C8035" s="3">
        <v>15</v>
      </c>
    </row>
    <row r="8036" spans="1:3" x14ac:dyDescent="0.25">
      <c r="A8036" s="1" t="s">
        <v>8035</v>
      </c>
      <c r="C8036" s="3">
        <v>15</v>
      </c>
    </row>
    <row r="8037" spans="1:3" x14ac:dyDescent="0.25">
      <c r="A8037" s="1" t="s">
        <v>8036</v>
      </c>
      <c r="C8037" s="3">
        <v>15</v>
      </c>
    </row>
    <row r="8038" spans="1:3" x14ac:dyDescent="0.25">
      <c r="A8038" s="1" t="s">
        <v>8037</v>
      </c>
      <c r="C8038" s="3">
        <v>15</v>
      </c>
    </row>
    <row r="8039" spans="1:3" x14ac:dyDescent="0.25">
      <c r="A8039" s="1" t="s">
        <v>8038</v>
      </c>
      <c r="C8039" s="3">
        <v>15</v>
      </c>
    </row>
    <row r="8040" spans="1:3" x14ac:dyDescent="0.25">
      <c r="A8040" s="1" t="s">
        <v>8039</v>
      </c>
      <c r="C8040" s="3">
        <v>15</v>
      </c>
    </row>
    <row r="8041" spans="1:3" x14ac:dyDescent="0.25">
      <c r="A8041" s="1" t="s">
        <v>8040</v>
      </c>
      <c r="C8041" s="3">
        <v>15</v>
      </c>
    </row>
    <row r="8042" spans="1:3" x14ac:dyDescent="0.25">
      <c r="A8042" s="1" t="s">
        <v>8041</v>
      </c>
      <c r="C8042" s="3">
        <v>15</v>
      </c>
    </row>
    <row r="8043" spans="1:3" x14ac:dyDescent="0.25">
      <c r="A8043" s="1" t="s">
        <v>8042</v>
      </c>
      <c r="C8043" s="3">
        <v>15</v>
      </c>
    </row>
    <row r="8044" spans="1:3" x14ac:dyDescent="0.25">
      <c r="A8044" s="1" t="s">
        <v>8043</v>
      </c>
      <c r="C8044" s="3">
        <v>15</v>
      </c>
    </row>
    <row r="8045" spans="1:3" x14ac:dyDescent="0.25">
      <c r="A8045" s="1" t="s">
        <v>8044</v>
      </c>
      <c r="C8045" s="3">
        <v>15</v>
      </c>
    </row>
    <row r="8046" spans="1:3" x14ac:dyDescent="0.25">
      <c r="A8046" s="1" t="s">
        <v>8045</v>
      </c>
      <c r="C8046" s="3">
        <v>15</v>
      </c>
    </row>
    <row r="8047" spans="1:3" x14ac:dyDescent="0.25">
      <c r="A8047" s="1" t="s">
        <v>8046</v>
      </c>
      <c r="C8047" s="3">
        <v>15</v>
      </c>
    </row>
    <row r="8048" spans="1:3" x14ac:dyDescent="0.25">
      <c r="A8048" s="1" t="s">
        <v>8047</v>
      </c>
      <c r="C8048" s="3">
        <v>15</v>
      </c>
    </row>
    <row r="8049" spans="1:3" x14ac:dyDescent="0.25">
      <c r="A8049" s="1" t="s">
        <v>8048</v>
      </c>
      <c r="C8049" s="3">
        <v>15</v>
      </c>
    </row>
    <row r="8050" spans="1:3" x14ac:dyDescent="0.25">
      <c r="A8050" s="1" t="s">
        <v>8049</v>
      </c>
      <c r="C8050" s="3">
        <v>15</v>
      </c>
    </row>
    <row r="8051" spans="1:3" x14ac:dyDescent="0.25">
      <c r="A8051" s="1" t="s">
        <v>8050</v>
      </c>
      <c r="C8051" s="3">
        <v>15</v>
      </c>
    </row>
    <row r="8052" spans="1:3" x14ac:dyDescent="0.25">
      <c r="A8052" s="1" t="s">
        <v>8051</v>
      </c>
      <c r="C8052" s="3">
        <v>15</v>
      </c>
    </row>
    <row r="8053" spans="1:3" x14ac:dyDescent="0.25">
      <c r="A8053" s="1" t="s">
        <v>8052</v>
      </c>
      <c r="C8053" s="3">
        <v>15</v>
      </c>
    </row>
    <row r="8054" spans="1:3" x14ac:dyDescent="0.25">
      <c r="A8054" s="1" t="s">
        <v>8053</v>
      </c>
      <c r="C8054" s="3">
        <v>15</v>
      </c>
    </row>
    <row r="8055" spans="1:3" x14ac:dyDescent="0.25">
      <c r="A8055" s="1" t="s">
        <v>8054</v>
      </c>
      <c r="C8055" s="3">
        <v>15</v>
      </c>
    </row>
    <row r="8056" spans="1:3" x14ac:dyDescent="0.25">
      <c r="A8056" s="1" t="s">
        <v>8055</v>
      </c>
      <c r="C8056" s="3">
        <v>15</v>
      </c>
    </row>
    <row r="8057" spans="1:3" x14ac:dyDescent="0.25">
      <c r="A8057" s="1" t="s">
        <v>8056</v>
      </c>
      <c r="C8057" s="3">
        <v>15</v>
      </c>
    </row>
    <row r="8058" spans="1:3" x14ac:dyDescent="0.25">
      <c r="A8058" s="1" t="s">
        <v>8057</v>
      </c>
      <c r="C8058" s="3">
        <v>15</v>
      </c>
    </row>
    <row r="8059" spans="1:3" x14ac:dyDescent="0.25">
      <c r="A8059" s="1" t="s">
        <v>8058</v>
      </c>
      <c r="C8059" s="3">
        <v>15</v>
      </c>
    </row>
    <row r="8060" spans="1:3" x14ac:dyDescent="0.25">
      <c r="A8060" s="1" t="s">
        <v>8059</v>
      </c>
      <c r="C8060" s="3">
        <v>15</v>
      </c>
    </row>
    <row r="8061" spans="1:3" x14ac:dyDescent="0.25">
      <c r="A8061" s="1" t="s">
        <v>8060</v>
      </c>
      <c r="C8061" s="3">
        <v>15</v>
      </c>
    </row>
    <row r="8062" spans="1:3" x14ac:dyDescent="0.25">
      <c r="A8062" s="1" t="s">
        <v>8061</v>
      </c>
      <c r="C8062" s="3">
        <v>15</v>
      </c>
    </row>
    <row r="8063" spans="1:3" x14ac:dyDescent="0.25">
      <c r="A8063" s="1" t="s">
        <v>8062</v>
      </c>
      <c r="C8063" s="3">
        <v>15</v>
      </c>
    </row>
    <row r="8064" spans="1:3" x14ac:dyDescent="0.25">
      <c r="A8064" s="1" t="s">
        <v>8063</v>
      </c>
      <c r="C8064" s="3">
        <v>15</v>
      </c>
    </row>
    <row r="8065" spans="1:3" x14ac:dyDescent="0.25">
      <c r="A8065" s="1" t="s">
        <v>8064</v>
      </c>
      <c r="C8065" s="3">
        <v>15</v>
      </c>
    </row>
    <row r="8066" spans="1:3" x14ac:dyDescent="0.25">
      <c r="A8066" s="1" t="s">
        <v>8065</v>
      </c>
      <c r="C8066" s="3">
        <v>15</v>
      </c>
    </row>
    <row r="8067" spans="1:3" x14ac:dyDescent="0.25">
      <c r="A8067" s="1" t="s">
        <v>8066</v>
      </c>
      <c r="C8067" s="3">
        <v>15</v>
      </c>
    </row>
    <row r="8068" spans="1:3" x14ac:dyDescent="0.25">
      <c r="A8068" s="1" t="s">
        <v>8067</v>
      </c>
      <c r="C8068" s="3">
        <v>15</v>
      </c>
    </row>
    <row r="8069" spans="1:3" x14ac:dyDescent="0.25">
      <c r="A8069" s="1" t="s">
        <v>8068</v>
      </c>
      <c r="C8069" s="3">
        <v>15</v>
      </c>
    </row>
    <row r="8070" spans="1:3" x14ac:dyDescent="0.25">
      <c r="A8070" s="1" t="s">
        <v>8069</v>
      </c>
      <c r="C8070" s="3">
        <v>15</v>
      </c>
    </row>
    <row r="8071" spans="1:3" x14ac:dyDescent="0.25">
      <c r="A8071" s="1" t="s">
        <v>8070</v>
      </c>
      <c r="C8071" s="3">
        <v>14</v>
      </c>
    </row>
    <row r="8072" spans="1:3" x14ac:dyDescent="0.25">
      <c r="A8072" s="1" t="s">
        <v>8071</v>
      </c>
      <c r="C8072" s="3">
        <v>14</v>
      </c>
    </row>
    <row r="8073" spans="1:3" x14ac:dyDescent="0.25">
      <c r="A8073" s="1" t="s">
        <v>8072</v>
      </c>
      <c r="C8073" s="3">
        <v>14</v>
      </c>
    </row>
    <row r="8074" spans="1:3" x14ac:dyDescent="0.25">
      <c r="A8074" s="1" t="s">
        <v>8073</v>
      </c>
      <c r="C8074" s="3">
        <v>14</v>
      </c>
    </row>
    <row r="8075" spans="1:3" x14ac:dyDescent="0.25">
      <c r="A8075" s="1" t="s">
        <v>8074</v>
      </c>
      <c r="C8075" s="3">
        <v>14</v>
      </c>
    </row>
    <row r="8076" spans="1:3" x14ac:dyDescent="0.25">
      <c r="A8076" s="1" t="s">
        <v>8075</v>
      </c>
      <c r="C8076" s="3">
        <v>14</v>
      </c>
    </row>
    <row r="8077" spans="1:3" x14ac:dyDescent="0.25">
      <c r="A8077" s="1" t="s">
        <v>8076</v>
      </c>
      <c r="C8077" s="3">
        <v>14</v>
      </c>
    </row>
    <row r="8078" spans="1:3" x14ac:dyDescent="0.25">
      <c r="A8078" s="1" t="s">
        <v>8077</v>
      </c>
      <c r="C8078" s="3">
        <v>14</v>
      </c>
    </row>
    <row r="8079" spans="1:3" x14ac:dyDescent="0.25">
      <c r="A8079" s="1" t="s">
        <v>8078</v>
      </c>
      <c r="C8079" s="3">
        <v>14</v>
      </c>
    </row>
    <row r="8080" spans="1:3" x14ac:dyDescent="0.25">
      <c r="A8080" s="1" t="s">
        <v>8079</v>
      </c>
      <c r="C8080" s="3">
        <v>14</v>
      </c>
    </row>
    <row r="8081" spans="1:3" x14ac:dyDescent="0.25">
      <c r="A8081" s="1" t="s">
        <v>8080</v>
      </c>
      <c r="C8081" s="3">
        <v>14</v>
      </c>
    </row>
    <row r="8082" spans="1:3" x14ac:dyDescent="0.25">
      <c r="A8082" s="1" t="s">
        <v>8081</v>
      </c>
      <c r="C8082" s="3">
        <v>14</v>
      </c>
    </row>
    <row r="8083" spans="1:3" x14ac:dyDescent="0.25">
      <c r="A8083" s="1" t="s">
        <v>8082</v>
      </c>
      <c r="C8083" s="3">
        <v>14</v>
      </c>
    </row>
    <row r="8084" spans="1:3" x14ac:dyDescent="0.25">
      <c r="A8084" s="1" t="s">
        <v>8083</v>
      </c>
      <c r="C8084" s="3">
        <v>14</v>
      </c>
    </row>
    <row r="8085" spans="1:3" x14ac:dyDescent="0.25">
      <c r="A8085" s="1" t="s">
        <v>8084</v>
      </c>
      <c r="C8085" s="3">
        <v>14</v>
      </c>
    </row>
    <row r="8086" spans="1:3" x14ac:dyDescent="0.25">
      <c r="A8086" s="1" t="s">
        <v>8085</v>
      </c>
      <c r="C8086" s="3">
        <v>14</v>
      </c>
    </row>
    <row r="8087" spans="1:3" x14ac:dyDescent="0.25">
      <c r="A8087" s="1" t="s">
        <v>8086</v>
      </c>
      <c r="C8087" s="3">
        <v>14</v>
      </c>
    </row>
    <row r="8088" spans="1:3" x14ac:dyDescent="0.25">
      <c r="A8088" s="1" t="s">
        <v>8087</v>
      </c>
      <c r="C8088" s="3">
        <v>14</v>
      </c>
    </row>
    <row r="8089" spans="1:3" x14ac:dyDescent="0.25">
      <c r="A8089" s="1" t="s">
        <v>8088</v>
      </c>
      <c r="C8089" s="3">
        <v>14</v>
      </c>
    </row>
    <row r="8090" spans="1:3" x14ac:dyDescent="0.25">
      <c r="A8090" s="1" t="s">
        <v>8089</v>
      </c>
      <c r="C8090" s="3">
        <v>14</v>
      </c>
    </row>
    <row r="8091" spans="1:3" x14ac:dyDescent="0.25">
      <c r="A8091" s="1" t="s">
        <v>8090</v>
      </c>
      <c r="C8091" s="3">
        <v>14</v>
      </c>
    </row>
    <row r="8092" spans="1:3" x14ac:dyDescent="0.25">
      <c r="A8092" s="1" t="s">
        <v>8091</v>
      </c>
      <c r="C8092" s="3">
        <v>14</v>
      </c>
    </row>
    <row r="8093" spans="1:3" x14ac:dyDescent="0.25">
      <c r="A8093" s="1" t="s">
        <v>8092</v>
      </c>
      <c r="C8093" s="3">
        <v>14</v>
      </c>
    </row>
    <row r="8094" spans="1:3" x14ac:dyDescent="0.25">
      <c r="A8094" s="1" t="s">
        <v>8093</v>
      </c>
      <c r="C8094" s="3">
        <v>14</v>
      </c>
    </row>
    <row r="8095" spans="1:3" x14ac:dyDescent="0.25">
      <c r="A8095" s="1" t="s">
        <v>8094</v>
      </c>
      <c r="C8095" s="3">
        <v>14</v>
      </c>
    </row>
    <row r="8096" spans="1:3" x14ac:dyDescent="0.25">
      <c r="A8096" s="1" t="s">
        <v>8095</v>
      </c>
      <c r="C8096" s="3">
        <v>14</v>
      </c>
    </row>
    <row r="8097" spans="1:3" x14ac:dyDescent="0.25">
      <c r="A8097" s="1" t="s">
        <v>8096</v>
      </c>
      <c r="C8097" s="3">
        <v>14</v>
      </c>
    </row>
    <row r="8098" spans="1:3" x14ac:dyDescent="0.25">
      <c r="A8098" s="1" t="s">
        <v>8097</v>
      </c>
      <c r="C8098" s="3">
        <v>14</v>
      </c>
    </row>
    <row r="8099" spans="1:3" x14ac:dyDescent="0.25">
      <c r="A8099" s="1" t="s">
        <v>8098</v>
      </c>
      <c r="C8099" s="3">
        <v>14</v>
      </c>
    </row>
    <row r="8100" spans="1:3" x14ac:dyDescent="0.25">
      <c r="A8100" s="1" t="s">
        <v>8099</v>
      </c>
      <c r="C8100" s="3">
        <v>14</v>
      </c>
    </row>
    <row r="8101" spans="1:3" x14ac:dyDescent="0.25">
      <c r="A8101" s="1" t="s">
        <v>8100</v>
      </c>
      <c r="C8101" s="3">
        <v>14</v>
      </c>
    </row>
    <row r="8102" spans="1:3" x14ac:dyDescent="0.25">
      <c r="A8102" s="1" t="s">
        <v>8101</v>
      </c>
      <c r="C8102" s="3">
        <v>14</v>
      </c>
    </row>
    <row r="8103" spans="1:3" x14ac:dyDescent="0.25">
      <c r="A8103" s="1" t="s">
        <v>8102</v>
      </c>
      <c r="C8103" s="3">
        <v>14</v>
      </c>
    </row>
    <row r="8104" spans="1:3" x14ac:dyDescent="0.25">
      <c r="A8104" s="1" t="s">
        <v>8103</v>
      </c>
      <c r="C8104" s="3">
        <v>14</v>
      </c>
    </row>
    <row r="8105" spans="1:3" x14ac:dyDescent="0.25">
      <c r="A8105" s="1" t="s">
        <v>8104</v>
      </c>
      <c r="C8105" s="3">
        <v>14</v>
      </c>
    </row>
    <row r="8106" spans="1:3" x14ac:dyDescent="0.25">
      <c r="A8106" s="1" t="s">
        <v>8105</v>
      </c>
      <c r="C8106" s="3">
        <v>14</v>
      </c>
    </row>
    <row r="8107" spans="1:3" x14ac:dyDescent="0.25">
      <c r="A8107" s="1" t="s">
        <v>8106</v>
      </c>
      <c r="C8107" s="3">
        <v>14</v>
      </c>
    </row>
    <row r="8108" spans="1:3" x14ac:dyDescent="0.25">
      <c r="A8108" s="1" t="s">
        <v>8107</v>
      </c>
      <c r="C8108" s="3">
        <v>14</v>
      </c>
    </row>
    <row r="8109" spans="1:3" x14ac:dyDescent="0.25">
      <c r="A8109" s="1" t="s">
        <v>8108</v>
      </c>
      <c r="C8109" s="3">
        <v>14</v>
      </c>
    </row>
    <row r="8110" spans="1:3" x14ac:dyDescent="0.25">
      <c r="A8110" s="1" t="s">
        <v>8109</v>
      </c>
      <c r="C8110" s="3">
        <v>14</v>
      </c>
    </row>
    <row r="8111" spans="1:3" x14ac:dyDescent="0.25">
      <c r="A8111" s="1" t="s">
        <v>8110</v>
      </c>
      <c r="C8111" s="3">
        <v>14</v>
      </c>
    </row>
    <row r="8112" spans="1:3" x14ac:dyDescent="0.25">
      <c r="A8112" s="1" t="s">
        <v>8111</v>
      </c>
      <c r="C8112" s="3">
        <v>14</v>
      </c>
    </row>
    <row r="8113" spans="1:3" x14ac:dyDescent="0.25">
      <c r="A8113" s="1" t="s">
        <v>8112</v>
      </c>
      <c r="C8113" s="3">
        <v>14</v>
      </c>
    </row>
    <row r="8114" spans="1:3" x14ac:dyDescent="0.25">
      <c r="A8114" s="1" t="s">
        <v>8113</v>
      </c>
      <c r="C8114" s="3">
        <v>14</v>
      </c>
    </row>
    <row r="8115" spans="1:3" x14ac:dyDescent="0.25">
      <c r="A8115" s="1" t="s">
        <v>8114</v>
      </c>
      <c r="C8115" s="3">
        <v>14</v>
      </c>
    </row>
    <row r="8116" spans="1:3" x14ac:dyDescent="0.25">
      <c r="A8116" s="1" t="s">
        <v>8115</v>
      </c>
      <c r="C8116" s="3">
        <v>14</v>
      </c>
    </row>
    <row r="8117" spans="1:3" x14ac:dyDescent="0.25">
      <c r="A8117" s="1" t="s">
        <v>8116</v>
      </c>
      <c r="C8117" s="3">
        <v>14</v>
      </c>
    </row>
    <row r="8118" spans="1:3" x14ac:dyDescent="0.25">
      <c r="A8118" s="1" t="s">
        <v>8117</v>
      </c>
      <c r="C8118" s="3">
        <v>14</v>
      </c>
    </row>
    <row r="8119" spans="1:3" x14ac:dyDescent="0.25">
      <c r="A8119" s="1" t="s">
        <v>8118</v>
      </c>
      <c r="C8119" s="3">
        <v>14</v>
      </c>
    </row>
    <row r="8120" spans="1:3" x14ac:dyDescent="0.25">
      <c r="A8120" s="1" t="s">
        <v>8119</v>
      </c>
      <c r="C8120" s="3">
        <v>14</v>
      </c>
    </row>
    <row r="8121" spans="1:3" x14ac:dyDescent="0.25">
      <c r="A8121" s="1" t="s">
        <v>8120</v>
      </c>
      <c r="C8121" s="3">
        <v>14</v>
      </c>
    </row>
    <row r="8122" spans="1:3" x14ac:dyDescent="0.25">
      <c r="A8122" s="1" t="s">
        <v>8121</v>
      </c>
      <c r="C8122" s="3">
        <v>14</v>
      </c>
    </row>
    <row r="8123" spans="1:3" x14ac:dyDescent="0.25">
      <c r="A8123" s="1" t="s">
        <v>8122</v>
      </c>
      <c r="C8123" s="3">
        <v>14</v>
      </c>
    </row>
    <row r="8124" spans="1:3" x14ac:dyDescent="0.25">
      <c r="A8124" s="1" t="s">
        <v>8123</v>
      </c>
      <c r="C8124" s="3">
        <v>14</v>
      </c>
    </row>
    <row r="8125" spans="1:3" x14ac:dyDescent="0.25">
      <c r="A8125" s="1" t="s">
        <v>8124</v>
      </c>
      <c r="C8125" s="3">
        <v>14</v>
      </c>
    </row>
    <row r="8126" spans="1:3" x14ac:dyDescent="0.25">
      <c r="A8126" s="1" t="s">
        <v>8125</v>
      </c>
      <c r="C8126" s="3">
        <v>14</v>
      </c>
    </row>
    <row r="8127" spans="1:3" x14ac:dyDescent="0.25">
      <c r="A8127" s="1" t="s">
        <v>8126</v>
      </c>
      <c r="C8127" s="3">
        <v>14</v>
      </c>
    </row>
    <row r="8128" spans="1:3" x14ac:dyDescent="0.25">
      <c r="A8128" s="1" t="s">
        <v>8127</v>
      </c>
      <c r="C8128" s="3">
        <v>14</v>
      </c>
    </row>
    <row r="8129" spans="1:3" x14ac:dyDescent="0.25">
      <c r="A8129" s="1" t="s">
        <v>8128</v>
      </c>
      <c r="C8129" s="3">
        <v>14</v>
      </c>
    </row>
    <row r="8130" spans="1:3" x14ac:dyDescent="0.25">
      <c r="A8130" s="1" t="s">
        <v>8129</v>
      </c>
      <c r="C8130" s="3">
        <v>14</v>
      </c>
    </row>
    <row r="8131" spans="1:3" x14ac:dyDescent="0.25">
      <c r="A8131" s="1" t="s">
        <v>8130</v>
      </c>
      <c r="C8131" s="3">
        <v>14</v>
      </c>
    </row>
    <row r="8132" spans="1:3" x14ac:dyDescent="0.25">
      <c r="A8132" s="1" t="s">
        <v>8131</v>
      </c>
      <c r="C8132" s="3">
        <v>14</v>
      </c>
    </row>
    <row r="8133" spans="1:3" x14ac:dyDescent="0.25">
      <c r="A8133" s="1" t="s">
        <v>8132</v>
      </c>
      <c r="C8133" s="3">
        <v>14</v>
      </c>
    </row>
    <row r="8134" spans="1:3" x14ac:dyDescent="0.25">
      <c r="A8134" s="1" t="s">
        <v>8133</v>
      </c>
      <c r="C8134" s="3">
        <v>14</v>
      </c>
    </row>
    <row r="8135" spans="1:3" x14ac:dyDescent="0.25">
      <c r="A8135" s="1" t="s">
        <v>8134</v>
      </c>
      <c r="C8135" s="3">
        <v>14</v>
      </c>
    </row>
    <row r="8136" spans="1:3" x14ac:dyDescent="0.25">
      <c r="A8136" s="1" t="s">
        <v>8135</v>
      </c>
      <c r="C8136" s="3">
        <v>14</v>
      </c>
    </row>
    <row r="8137" spans="1:3" x14ac:dyDescent="0.25">
      <c r="A8137" s="1" t="s">
        <v>8136</v>
      </c>
      <c r="C8137" s="3">
        <v>14</v>
      </c>
    </row>
    <row r="8138" spans="1:3" x14ac:dyDescent="0.25">
      <c r="A8138" s="1" t="s">
        <v>8137</v>
      </c>
      <c r="C8138" s="3">
        <v>14</v>
      </c>
    </row>
    <row r="8139" spans="1:3" x14ac:dyDescent="0.25">
      <c r="A8139" s="1" t="s">
        <v>8138</v>
      </c>
      <c r="C8139" s="3">
        <v>14</v>
      </c>
    </row>
    <row r="8140" spans="1:3" x14ac:dyDescent="0.25">
      <c r="A8140" s="1" t="s">
        <v>8139</v>
      </c>
      <c r="C8140" s="3">
        <v>14</v>
      </c>
    </row>
    <row r="8141" spans="1:3" x14ac:dyDescent="0.25">
      <c r="A8141" s="1" t="s">
        <v>8140</v>
      </c>
      <c r="C8141" s="3">
        <v>14</v>
      </c>
    </row>
    <row r="8142" spans="1:3" x14ac:dyDescent="0.25">
      <c r="A8142" s="1" t="s">
        <v>8141</v>
      </c>
      <c r="C8142" s="3">
        <v>14</v>
      </c>
    </row>
    <row r="8143" spans="1:3" x14ac:dyDescent="0.25">
      <c r="A8143" s="1" t="s">
        <v>8142</v>
      </c>
      <c r="C8143" s="3">
        <v>14</v>
      </c>
    </row>
    <row r="8144" spans="1:3" x14ac:dyDescent="0.25">
      <c r="A8144" s="1" t="s">
        <v>8143</v>
      </c>
      <c r="C8144" s="3">
        <v>14</v>
      </c>
    </row>
    <row r="8145" spans="1:3" x14ac:dyDescent="0.25">
      <c r="A8145" s="1" t="s">
        <v>8144</v>
      </c>
      <c r="C8145" s="3">
        <v>14</v>
      </c>
    </row>
    <row r="8146" spans="1:3" x14ac:dyDescent="0.25">
      <c r="A8146" s="1" t="s">
        <v>8145</v>
      </c>
      <c r="C8146" s="3">
        <v>14</v>
      </c>
    </row>
    <row r="8147" spans="1:3" x14ac:dyDescent="0.25">
      <c r="A8147" s="1" t="s">
        <v>8146</v>
      </c>
      <c r="C8147" s="3">
        <v>14</v>
      </c>
    </row>
    <row r="8148" spans="1:3" x14ac:dyDescent="0.25">
      <c r="A8148" s="1" t="s">
        <v>8147</v>
      </c>
      <c r="C8148" s="3">
        <v>14</v>
      </c>
    </row>
    <row r="8149" spans="1:3" x14ac:dyDescent="0.25">
      <c r="A8149" s="1" t="s">
        <v>8148</v>
      </c>
      <c r="C8149" s="3">
        <v>14</v>
      </c>
    </row>
    <row r="8150" spans="1:3" x14ac:dyDescent="0.25">
      <c r="A8150" s="1" t="s">
        <v>8149</v>
      </c>
      <c r="C8150" s="3">
        <v>14</v>
      </c>
    </row>
    <row r="8151" spans="1:3" x14ac:dyDescent="0.25">
      <c r="A8151" s="1" t="s">
        <v>8150</v>
      </c>
      <c r="C8151" s="3">
        <v>14</v>
      </c>
    </row>
    <row r="8152" spans="1:3" x14ac:dyDescent="0.25">
      <c r="A8152" s="1" t="s">
        <v>8151</v>
      </c>
      <c r="C8152" s="3">
        <v>14</v>
      </c>
    </row>
    <row r="8153" spans="1:3" x14ac:dyDescent="0.25">
      <c r="A8153" s="1" t="s">
        <v>8152</v>
      </c>
      <c r="C8153" s="3">
        <v>14</v>
      </c>
    </row>
    <row r="8154" spans="1:3" x14ac:dyDescent="0.25">
      <c r="A8154" s="1" t="s">
        <v>8153</v>
      </c>
      <c r="C8154" s="3">
        <v>14</v>
      </c>
    </row>
    <row r="8155" spans="1:3" x14ac:dyDescent="0.25">
      <c r="A8155" s="1" t="s">
        <v>8154</v>
      </c>
      <c r="C8155" s="3">
        <v>14</v>
      </c>
    </row>
    <row r="8156" spans="1:3" x14ac:dyDescent="0.25">
      <c r="A8156" s="1" t="s">
        <v>8155</v>
      </c>
      <c r="C8156" s="3">
        <v>14</v>
      </c>
    </row>
    <row r="8157" spans="1:3" x14ac:dyDescent="0.25">
      <c r="A8157" s="1" t="s">
        <v>8156</v>
      </c>
      <c r="C8157" s="3">
        <v>14</v>
      </c>
    </row>
    <row r="8158" spans="1:3" x14ac:dyDescent="0.25">
      <c r="A8158" s="1" t="s">
        <v>8157</v>
      </c>
      <c r="C8158" s="3">
        <v>14</v>
      </c>
    </row>
    <row r="8159" spans="1:3" x14ac:dyDescent="0.25">
      <c r="A8159" s="1" t="s">
        <v>8158</v>
      </c>
      <c r="C8159" s="3">
        <v>14</v>
      </c>
    </row>
    <row r="8160" spans="1:3" x14ac:dyDescent="0.25">
      <c r="A8160" s="1" t="s">
        <v>8159</v>
      </c>
      <c r="C8160" s="3">
        <v>14</v>
      </c>
    </row>
    <row r="8161" spans="1:3" x14ac:dyDescent="0.25">
      <c r="A8161" s="1" t="s">
        <v>8160</v>
      </c>
      <c r="C8161" s="3">
        <v>14</v>
      </c>
    </row>
    <row r="8162" spans="1:3" x14ac:dyDescent="0.25">
      <c r="A8162" s="1" t="s">
        <v>8161</v>
      </c>
      <c r="C8162" s="3">
        <v>14</v>
      </c>
    </row>
    <row r="8163" spans="1:3" x14ac:dyDescent="0.25">
      <c r="A8163" s="1" t="s">
        <v>8162</v>
      </c>
      <c r="C8163" s="3">
        <v>14</v>
      </c>
    </row>
    <row r="8164" spans="1:3" x14ac:dyDescent="0.25">
      <c r="A8164" s="1" t="s">
        <v>8163</v>
      </c>
      <c r="C8164" s="3">
        <v>14</v>
      </c>
    </row>
    <row r="8165" spans="1:3" x14ac:dyDescent="0.25">
      <c r="A8165" s="1" t="s">
        <v>8164</v>
      </c>
      <c r="C8165" s="3">
        <v>14</v>
      </c>
    </row>
    <row r="8166" spans="1:3" x14ac:dyDescent="0.25">
      <c r="A8166" s="1" t="s">
        <v>8165</v>
      </c>
      <c r="C8166" s="3">
        <v>14</v>
      </c>
    </row>
    <row r="8167" spans="1:3" x14ac:dyDescent="0.25">
      <c r="A8167" s="1" t="s">
        <v>8166</v>
      </c>
      <c r="C8167" s="3">
        <v>14</v>
      </c>
    </row>
    <row r="8168" spans="1:3" x14ac:dyDescent="0.25">
      <c r="A8168" s="1" t="s">
        <v>8167</v>
      </c>
      <c r="C8168" s="3">
        <v>14</v>
      </c>
    </row>
    <row r="8169" spans="1:3" x14ac:dyDescent="0.25">
      <c r="A8169" s="1" t="s">
        <v>8168</v>
      </c>
      <c r="C8169" s="3">
        <v>14</v>
      </c>
    </row>
    <row r="8170" spans="1:3" x14ac:dyDescent="0.25">
      <c r="A8170" s="1" t="s">
        <v>8169</v>
      </c>
      <c r="C8170" s="3">
        <v>14</v>
      </c>
    </row>
    <row r="8171" spans="1:3" x14ac:dyDescent="0.25">
      <c r="A8171" s="1" t="s">
        <v>8170</v>
      </c>
      <c r="C8171" s="3">
        <v>14</v>
      </c>
    </row>
    <row r="8172" spans="1:3" x14ac:dyDescent="0.25">
      <c r="A8172" s="1" t="s">
        <v>8171</v>
      </c>
      <c r="C8172" s="3">
        <v>14</v>
      </c>
    </row>
    <row r="8173" spans="1:3" x14ac:dyDescent="0.25">
      <c r="A8173" s="1" t="s">
        <v>8172</v>
      </c>
      <c r="C8173" s="3">
        <v>14</v>
      </c>
    </row>
    <row r="8174" spans="1:3" x14ac:dyDescent="0.25">
      <c r="A8174" s="1" t="s">
        <v>8173</v>
      </c>
      <c r="C8174" s="3">
        <v>14</v>
      </c>
    </row>
    <row r="8175" spans="1:3" x14ac:dyDescent="0.25">
      <c r="A8175" s="1" t="s">
        <v>8174</v>
      </c>
      <c r="C8175" s="3">
        <v>14</v>
      </c>
    </row>
    <row r="8176" spans="1:3" x14ac:dyDescent="0.25">
      <c r="A8176" s="1" t="s">
        <v>8175</v>
      </c>
      <c r="C8176" s="3">
        <v>14</v>
      </c>
    </row>
    <row r="8177" spans="1:3" x14ac:dyDescent="0.25">
      <c r="A8177" s="1" t="s">
        <v>8176</v>
      </c>
      <c r="C8177" s="3">
        <v>14</v>
      </c>
    </row>
    <row r="8178" spans="1:3" x14ac:dyDescent="0.25">
      <c r="A8178" s="1" t="s">
        <v>8177</v>
      </c>
      <c r="C8178" s="3">
        <v>14</v>
      </c>
    </row>
    <row r="8179" spans="1:3" x14ac:dyDescent="0.25">
      <c r="A8179" s="1" t="s">
        <v>8178</v>
      </c>
      <c r="C8179" s="3">
        <v>14</v>
      </c>
    </row>
    <row r="8180" spans="1:3" x14ac:dyDescent="0.25">
      <c r="A8180" s="1" t="s">
        <v>8179</v>
      </c>
      <c r="C8180" s="3">
        <v>14</v>
      </c>
    </row>
    <row r="8181" spans="1:3" x14ac:dyDescent="0.25">
      <c r="A8181" s="1" t="s">
        <v>8180</v>
      </c>
      <c r="C8181" s="3">
        <v>14</v>
      </c>
    </row>
    <row r="8182" spans="1:3" x14ac:dyDescent="0.25">
      <c r="A8182" s="1" t="s">
        <v>8181</v>
      </c>
      <c r="C8182" s="3">
        <v>14</v>
      </c>
    </row>
    <row r="8183" spans="1:3" x14ac:dyDescent="0.25">
      <c r="A8183" s="1" t="s">
        <v>8182</v>
      </c>
      <c r="C8183" s="3">
        <v>14</v>
      </c>
    </row>
    <row r="8184" spans="1:3" x14ac:dyDescent="0.25">
      <c r="A8184" s="1" t="s">
        <v>8183</v>
      </c>
      <c r="C8184" s="3">
        <v>14</v>
      </c>
    </row>
    <row r="8185" spans="1:3" x14ac:dyDescent="0.25">
      <c r="A8185" s="1" t="s">
        <v>8184</v>
      </c>
      <c r="C8185" s="3">
        <v>14</v>
      </c>
    </row>
    <row r="8186" spans="1:3" x14ac:dyDescent="0.25">
      <c r="A8186" s="1" t="s">
        <v>8185</v>
      </c>
      <c r="C8186" s="3">
        <v>14</v>
      </c>
    </row>
    <row r="8187" spans="1:3" x14ac:dyDescent="0.25">
      <c r="A8187" s="1" t="s">
        <v>8186</v>
      </c>
      <c r="C8187" s="3">
        <v>14</v>
      </c>
    </row>
    <row r="8188" spans="1:3" x14ac:dyDescent="0.25">
      <c r="A8188" s="1" t="s">
        <v>8187</v>
      </c>
      <c r="C8188" s="3">
        <v>14</v>
      </c>
    </row>
    <row r="8189" spans="1:3" x14ac:dyDescent="0.25">
      <c r="A8189" s="1" t="s">
        <v>8188</v>
      </c>
      <c r="C8189" s="3">
        <v>14</v>
      </c>
    </row>
    <row r="8190" spans="1:3" x14ac:dyDescent="0.25">
      <c r="A8190" s="1" t="s">
        <v>8189</v>
      </c>
      <c r="C8190" s="3">
        <v>14</v>
      </c>
    </row>
    <row r="8191" spans="1:3" x14ac:dyDescent="0.25">
      <c r="A8191" s="1" t="s">
        <v>8190</v>
      </c>
      <c r="C8191" s="3">
        <v>14</v>
      </c>
    </row>
    <row r="8192" spans="1:3" x14ac:dyDescent="0.25">
      <c r="A8192" s="1" t="s">
        <v>8191</v>
      </c>
      <c r="C8192" s="3">
        <v>14</v>
      </c>
    </row>
    <row r="8193" spans="1:3" x14ac:dyDescent="0.25">
      <c r="A8193" s="1" t="s">
        <v>8192</v>
      </c>
      <c r="C8193" s="3">
        <v>14</v>
      </c>
    </row>
    <row r="8194" spans="1:3" x14ac:dyDescent="0.25">
      <c r="A8194" s="1" t="s">
        <v>8193</v>
      </c>
      <c r="C8194" s="3">
        <v>14</v>
      </c>
    </row>
    <row r="8195" spans="1:3" x14ac:dyDescent="0.25">
      <c r="A8195" s="1" t="s">
        <v>8194</v>
      </c>
      <c r="C8195" s="3">
        <v>14</v>
      </c>
    </row>
    <row r="8196" spans="1:3" x14ac:dyDescent="0.25">
      <c r="A8196" s="1" t="s">
        <v>8195</v>
      </c>
      <c r="C8196" s="3">
        <v>14</v>
      </c>
    </row>
    <row r="8197" spans="1:3" x14ac:dyDescent="0.25">
      <c r="A8197" s="1" t="s">
        <v>8196</v>
      </c>
      <c r="C8197" s="3">
        <v>14</v>
      </c>
    </row>
    <row r="8198" spans="1:3" x14ac:dyDescent="0.25">
      <c r="A8198" s="1" t="s">
        <v>8197</v>
      </c>
      <c r="C8198" s="3">
        <v>14</v>
      </c>
    </row>
    <row r="8199" spans="1:3" x14ac:dyDescent="0.25">
      <c r="A8199" s="1" t="s">
        <v>8198</v>
      </c>
      <c r="C8199" s="3">
        <v>14</v>
      </c>
    </row>
    <row r="8200" spans="1:3" x14ac:dyDescent="0.25">
      <c r="A8200" s="1" t="s">
        <v>8199</v>
      </c>
      <c r="C8200" s="3">
        <v>14</v>
      </c>
    </row>
    <row r="8201" spans="1:3" x14ac:dyDescent="0.25">
      <c r="A8201" s="1" t="s">
        <v>8200</v>
      </c>
      <c r="C8201" s="3">
        <v>14</v>
      </c>
    </row>
    <row r="8202" spans="1:3" x14ac:dyDescent="0.25">
      <c r="A8202" s="1" t="s">
        <v>8201</v>
      </c>
      <c r="C8202" s="3">
        <v>14</v>
      </c>
    </row>
    <row r="8203" spans="1:3" x14ac:dyDescent="0.25">
      <c r="A8203" s="1" t="s">
        <v>8202</v>
      </c>
      <c r="C8203" s="3">
        <v>14</v>
      </c>
    </row>
    <row r="8204" spans="1:3" x14ac:dyDescent="0.25">
      <c r="A8204" s="1" t="s">
        <v>8203</v>
      </c>
      <c r="C8204" s="3">
        <v>14</v>
      </c>
    </row>
    <row r="8205" spans="1:3" x14ac:dyDescent="0.25">
      <c r="A8205" s="1" t="s">
        <v>8204</v>
      </c>
      <c r="C8205" s="3">
        <v>14</v>
      </c>
    </row>
    <row r="8206" spans="1:3" x14ac:dyDescent="0.25">
      <c r="A8206" s="1" t="s">
        <v>8205</v>
      </c>
      <c r="C8206" s="3">
        <v>14</v>
      </c>
    </row>
    <row r="8207" spans="1:3" x14ac:dyDescent="0.25">
      <c r="A8207" s="1" t="s">
        <v>8206</v>
      </c>
      <c r="C8207" s="3">
        <v>14</v>
      </c>
    </row>
    <row r="8208" spans="1:3" x14ac:dyDescent="0.25">
      <c r="A8208" s="1" t="s">
        <v>8207</v>
      </c>
      <c r="C8208" s="3">
        <v>14</v>
      </c>
    </row>
    <row r="8209" spans="1:3" x14ac:dyDescent="0.25">
      <c r="A8209" s="1" t="s">
        <v>8208</v>
      </c>
      <c r="C8209" s="3">
        <v>14</v>
      </c>
    </row>
    <row r="8210" spans="1:3" x14ac:dyDescent="0.25">
      <c r="A8210" s="1" t="s">
        <v>8209</v>
      </c>
      <c r="C8210" s="3">
        <v>14</v>
      </c>
    </row>
    <row r="8211" spans="1:3" x14ac:dyDescent="0.25">
      <c r="A8211" s="1" t="s">
        <v>8210</v>
      </c>
      <c r="C8211" s="3">
        <v>14</v>
      </c>
    </row>
    <row r="8212" spans="1:3" x14ac:dyDescent="0.25">
      <c r="A8212" s="1" t="s">
        <v>8211</v>
      </c>
      <c r="C8212" s="3">
        <v>14</v>
      </c>
    </row>
    <row r="8213" spans="1:3" x14ac:dyDescent="0.25">
      <c r="A8213" s="1" t="s">
        <v>8212</v>
      </c>
      <c r="C8213" s="3">
        <v>14</v>
      </c>
    </row>
    <row r="8214" spans="1:3" x14ac:dyDescent="0.25">
      <c r="A8214" s="1" t="s">
        <v>8213</v>
      </c>
      <c r="C8214" s="3">
        <v>14</v>
      </c>
    </row>
    <row r="8215" spans="1:3" x14ac:dyDescent="0.25">
      <c r="A8215" s="1" t="s">
        <v>8214</v>
      </c>
      <c r="C8215" s="3">
        <v>14</v>
      </c>
    </row>
    <row r="8216" spans="1:3" x14ac:dyDescent="0.25">
      <c r="A8216" s="1" t="s">
        <v>8215</v>
      </c>
      <c r="C8216" s="3">
        <v>14</v>
      </c>
    </row>
    <row r="8217" spans="1:3" x14ac:dyDescent="0.25">
      <c r="A8217" s="1" t="s">
        <v>8216</v>
      </c>
      <c r="C8217" s="3">
        <v>14</v>
      </c>
    </row>
    <row r="8218" spans="1:3" x14ac:dyDescent="0.25">
      <c r="A8218" s="1" t="s">
        <v>8217</v>
      </c>
      <c r="C8218" s="3">
        <v>14</v>
      </c>
    </row>
    <row r="8219" spans="1:3" x14ac:dyDescent="0.25">
      <c r="A8219" s="1" t="s">
        <v>8218</v>
      </c>
      <c r="C8219" s="3">
        <v>14</v>
      </c>
    </row>
    <row r="8220" spans="1:3" x14ac:dyDescent="0.25">
      <c r="A8220" s="1" t="s">
        <v>8219</v>
      </c>
      <c r="C8220" s="3">
        <v>14</v>
      </c>
    </row>
    <row r="8221" spans="1:3" x14ac:dyDescent="0.25">
      <c r="A8221" s="1" t="s">
        <v>8220</v>
      </c>
      <c r="C8221" s="3">
        <v>14</v>
      </c>
    </row>
    <row r="8222" spans="1:3" x14ac:dyDescent="0.25">
      <c r="A8222" s="1" t="s">
        <v>8221</v>
      </c>
      <c r="C8222" s="3">
        <v>14</v>
      </c>
    </row>
    <row r="8223" spans="1:3" x14ac:dyDescent="0.25">
      <c r="A8223" s="1" t="s">
        <v>8222</v>
      </c>
      <c r="C8223" s="3">
        <v>14</v>
      </c>
    </row>
    <row r="8224" spans="1:3" x14ac:dyDescent="0.25">
      <c r="A8224" s="1" t="s">
        <v>8223</v>
      </c>
      <c r="C8224" s="3">
        <v>14</v>
      </c>
    </row>
    <row r="8225" spans="1:3" x14ac:dyDescent="0.25">
      <c r="A8225" s="1" t="s">
        <v>8224</v>
      </c>
      <c r="C8225" s="3">
        <v>14</v>
      </c>
    </row>
    <row r="8226" spans="1:3" x14ac:dyDescent="0.25">
      <c r="A8226" s="1" t="s">
        <v>8225</v>
      </c>
      <c r="C8226" s="3">
        <v>14</v>
      </c>
    </row>
    <row r="8227" spans="1:3" x14ac:dyDescent="0.25">
      <c r="A8227" s="1" t="s">
        <v>8226</v>
      </c>
      <c r="C8227" s="3">
        <v>14</v>
      </c>
    </row>
    <row r="8228" spans="1:3" x14ac:dyDescent="0.25">
      <c r="A8228" s="1" t="s">
        <v>8227</v>
      </c>
      <c r="C8228" s="3">
        <v>14</v>
      </c>
    </row>
    <row r="8229" spans="1:3" x14ac:dyDescent="0.25">
      <c r="A8229" s="1" t="s">
        <v>8228</v>
      </c>
      <c r="C8229" s="3">
        <v>14</v>
      </c>
    </row>
    <row r="8230" spans="1:3" x14ac:dyDescent="0.25">
      <c r="A8230" s="1" t="s">
        <v>8229</v>
      </c>
      <c r="C8230" s="3">
        <v>14</v>
      </c>
    </row>
    <row r="8231" spans="1:3" x14ac:dyDescent="0.25">
      <c r="A8231" s="1" t="s">
        <v>8230</v>
      </c>
      <c r="C8231" s="3">
        <v>14</v>
      </c>
    </row>
    <row r="8232" spans="1:3" x14ac:dyDescent="0.25">
      <c r="A8232" s="1" t="s">
        <v>8231</v>
      </c>
      <c r="C8232" s="3">
        <v>14</v>
      </c>
    </row>
    <row r="8233" spans="1:3" x14ac:dyDescent="0.25">
      <c r="A8233" s="1" t="s">
        <v>8232</v>
      </c>
      <c r="C8233" s="3">
        <v>14</v>
      </c>
    </row>
    <row r="8234" spans="1:3" x14ac:dyDescent="0.25">
      <c r="A8234" s="1" t="s">
        <v>8233</v>
      </c>
      <c r="C8234" s="3">
        <v>14</v>
      </c>
    </row>
    <row r="8235" spans="1:3" x14ac:dyDescent="0.25">
      <c r="A8235" s="1" t="s">
        <v>8234</v>
      </c>
      <c r="C8235" s="3">
        <v>14</v>
      </c>
    </row>
    <row r="8236" spans="1:3" x14ac:dyDescent="0.25">
      <c r="A8236" s="1" t="s">
        <v>8235</v>
      </c>
      <c r="C8236" s="3">
        <v>14</v>
      </c>
    </row>
    <row r="8237" spans="1:3" x14ac:dyDescent="0.25">
      <c r="A8237" s="1" t="s">
        <v>8236</v>
      </c>
      <c r="C8237" s="3">
        <v>14</v>
      </c>
    </row>
    <row r="8238" spans="1:3" x14ac:dyDescent="0.25">
      <c r="A8238" s="1" t="s">
        <v>8237</v>
      </c>
      <c r="C8238" s="3">
        <v>14</v>
      </c>
    </row>
    <row r="8239" spans="1:3" x14ac:dyDescent="0.25">
      <c r="A8239" s="1" t="s">
        <v>8238</v>
      </c>
      <c r="C8239" s="3">
        <v>14</v>
      </c>
    </row>
    <row r="8240" spans="1:3" x14ac:dyDescent="0.25">
      <c r="A8240" s="1" t="s">
        <v>8239</v>
      </c>
      <c r="C8240" s="3">
        <v>14</v>
      </c>
    </row>
    <row r="8241" spans="1:3" x14ac:dyDescent="0.25">
      <c r="A8241" s="1" t="s">
        <v>8240</v>
      </c>
      <c r="C8241" s="3">
        <v>14</v>
      </c>
    </row>
    <row r="8242" spans="1:3" x14ac:dyDescent="0.25">
      <c r="A8242" s="1" t="s">
        <v>8241</v>
      </c>
      <c r="C8242" s="3">
        <v>14</v>
      </c>
    </row>
    <row r="8243" spans="1:3" x14ac:dyDescent="0.25">
      <c r="A8243" s="1" t="s">
        <v>8242</v>
      </c>
      <c r="C8243" s="3">
        <v>14</v>
      </c>
    </row>
    <row r="8244" spans="1:3" x14ac:dyDescent="0.25">
      <c r="A8244" s="1" t="s">
        <v>8243</v>
      </c>
      <c r="C8244" s="3">
        <v>14</v>
      </c>
    </row>
    <row r="8245" spans="1:3" x14ac:dyDescent="0.25">
      <c r="A8245" s="1" t="s">
        <v>8244</v>
      </c>
      <c r="C8245" s="3">
        <v>14</v>
      </c>
    </row>
    <row r="8246" spans="1:3" x14ac:dyDescent="0.25">
      <c r="A8246" s="1" t="s">
        <v>8245</v>
      </c>
      <c r="C8246" s="3">
        <v>14</v>
      </c>
    </row>
    <row r="8247" spans="1:3" x14ac:dyDescent="0.25">
      <c r="A8247" s="1" t="s">
        <v>8246</v>
      </c>
      <c r="C8247" s="3">
        <v>14</v>
      </c>
    </row>
    <row r="8248" spans="1:3" x14ac:dyDescent="0.25">
      <c r="A8248" s="1" t="s">
        <v>8247</v>
      </c>
      <c r="C8248" s="3">
        <v>14</v>
      </c>
    </row>
    <row r="8249" spans="1:3" x14ac:dyDescent="0.25">
      <c r="A8249" s="1" t="s">
        <v>8248</v>
      </c>
      <c r="C8249" s="3">
        <v>14</v>
      </c>
    </row>
    <row r="8250" spans="1:3" x14ac:dyDescent="0.25">
      <c r="A8250" s="1" t="s">
        <v>8249</v>
      </c>
      <c r="C8250" s="3">
        <v>14</v>
      </c>
    </row>
    <row r="8251" spans="1:3" x14ac:dyDescent="0.25">
      <c r="A8251" s="1" t="s">
        <v>8250</v>
      </c>
      <c r="C8251" s="3">
        <v>14</v>
      </c>
    </row>
    <row r="8252" spans="1:3" x14ac:dyDescent="0.25">
      <c r="A8252" s="1" t="s">
        <v>8251</v>
      </c>
      <c r="C8252" s="3">
        <v>14</v>
      </c>
    </row>
    <row r="8253" spans="1:3" x14ac:dyDescent="0.25">
      <c r="A8253" s="1" t="s">
        <v>8252</v>
      </c>
      <c r="C8253" s="3">
        <v>14</v>
      </c>
    </row>
    <row r="8254" spans="1:3" x14ac:dyDescent="0.25">
      <c r="A8254" s="1" t="s">
        <v>8253</v>
      </c>
      <c r="C8254" s="3">
        <v>14</v>
      </c>
    </row>
    <row r="8255" spans="1:3" x14ac:dyDescent="0.25">
      <c r="A8255" s="1" t="s">
        <v>8254</v>
      </c>
      <c r="C8255" s="3">
        <v>14</v>
      </c>
    </row>
    <row r="8256" spans="1:3" x14ac:dyDescent="0.25">
      <c r="A8256" s="1" t="s">
        <v>8255</v>
      </c>
      <c r="C8256" s="3">
        <v>14</v>
      </c>
    </row>
    <row r="8257" spans="1:3" x14ac:dyDescent="0.25">
      <c r="A8257" s="1" t="s">
        <v>8256</v>
      </c>
      <c r="C8257" s="3">
        <v>14</v>
      </c>
    </row>
    <row r="8258" spans="1:3" x14ac:dyDescent="0.25">
      <c r="A8258" s="1" t="s">
        <v>8257</v>
      </c>
      <c r="C8258" s="3">
        <v>14</v>
      </c>
    </row>
    <row r="8259" spans="1:3" x14ac:dyDescent="0.25">
      <c r="A8259" s="1" t="s">
        <v>8258</v>
      </c>
      <c r="C8259" s="3">
        <v>14</v>
      </c>
    </row>
    <row r="8260" spans="1:3" x14ac:dyDescent="0.25">
      <c r="A8260" s="1" t="s">
        <v>8259</v>
      </c>
      <c r="C8260" s="3">
        <v>14</v>
      </c>
    </row>
    <row r="8261" spans="1:3" x14ac:dyDescent="0.25">
      <c r="A8261" s="1" t="s">
        <v>8260</v>
      </c>
      <c r="C8261" s="3">
        <v>14</v>
      </c>
    </row>
    <row r="8262" spans="1:3" x14ac:dyDescent="0.25">
      <c r="A8262" s="1" t="s">
        <v>8261</v>
      </c>
      <c r="C8262" s="3">
        <v>14</v>
      </c>
    </row>
    <row r="8263" spans="1:3" x14ac:dyDescent="0.25">
      <c r="A8263" s="1" t="s">
        <v>8262</v>
      </c>
      <c r="C8263" s="3">
        <v>14</v>
      </c>
    </row>
    <row r="8264" spans="1:3" x14ac:dyDescent="0.25">
      <c r="A8264" s="1" t="s">
        <v>8263</v>
      </c>
      <c r="C8264" s="3">
        <v>14</v>
      </c>
    </row>
    <row r="8265" spans="1:3" x14ac:dyDescent="0.25">
      <c r="A8265" s="1" t="s">
        <v>8264</v>
      </c>
      <c r="C8265" s="3">
        <v>14</v>
      </c>
    </row>
    <row r="8266" spans="1:3" x14ac:dyDescent="0.25">
      <c r="A8266" s="1" t="s">
        <v>8265</v>
      </c>
      <c r="C8266" s="3">
        <v>14</v>
      </c>
    </row>
    <row r="8267" spans="1:3" x14ac:dyDescent="0.25">
      <c r="A8267" s="1" t="s">
        <v>8266</v>
      </c>
      <c r="C8267" s="3">
        <v>14</v>
      </c>
    </row>
    <row r="8268" spans="1:3" x14ac:dyDescent="0.25">
      <c r="A8268" s="1" t="s">
        <v>8267</v>
      </c>
      <c r="C8268" s="3">
        <v>14</v>
      </c>
    </row>
    <row r="8269" spans="1:3" x14ac:dyDescent="0.25">
      <c r="A8269" s="1" t="s">
        <v>8268</v>
      </c>
      <c r="C8269" s="3">
        <v>14</v>
      </c>
    </row>
    <row r="8270" spans="1:3" x14ac:dyDescent="0.25">
      <c r="A8270" s="1" t="s">
        <v>8269</v>
      </c>
      <c r="C8270" s="3">
        <v>14</v>
      </c>
    </row>
    <row r="8271" spans="1:3" x14ac:dyDescent="0.25">
      <c r="A8271" s="1" t="s">
        <v>8270</v>
      </c>
      <c r="C8271" s="3">
        <v>14</v>
      </c>
    </row>
    <row r="8272" spans="1:3" x14ac:dyDescent="0.25">
      <c r="A8272" s="1" t="s">
        <v>8271</v>
      </c>
      <c r="C8272" s="3">
        <v>14</v>
      </c>
    </row>
    <row r="8273" spans="1:3" x14ac:dyDescent="0.25">
      <c r="A8273" s="1" t="s">
        <v>8272</v>
      </c>
      <c r="C8273" s="3">
        <v>14</v>
      </c>
    </row>
    <row r="8274" spans="1:3" x14ac:dyDescent="0.25">
      <c r="A8274" s="1" t="s">
        <v>8273</v>
      </c>
      <c r="C8274" s="3">
        <v>14</v>
      </c>
    </row>
    <row r="8275" spans="1:3" x14ac:dyDescent="0.25">
      <c r="A8275" s="1" t="s">
        <v>8274</v>
      </c>
      <c r="C8275" s="3">
        <v>14</v>
      </c>
    </row>
    <row r="8276" spans="1:3" x14ac:dyDescent="0.25">
      <c r="A8276" s="1" t="s">
        <v>8275</v>
      </c>
      <c r="C8276" s="3">
        <v>14</v>
      </c>
    </row>
    <row r="8277" spans="1:3" x14ac:dyDescent="0.25">
      <c r="A8277" s="1" t="s">
        <v>8276</v>
      </c>
      <c r="C8277" s="3">
        <v>14</v>
      </c>
    </row>
    <row r="8278" spans="1:3" x14ac:dyDescent="0.25">
      <c r="A8278" s="1" t="s">
        <v>8277</v>
      </c>
      <c r="C8278" s="3">
        <v>14</v>
      </c>
    </row>
    <row r="8279" spans="1:3" x14ac:dyDescent="0.25">
      <c r="A8279" s="1" t="s">
        <v>8278</v>
      </c>
      <c r="C8279" s="3">
        <v>14</v>
      </c>
    </row>
    <row r="8280" spans="1:3" x14ac:dyDescent="0.25">
      <c r="A8280" s="1" t="s">
        <v>8279</v>
      </c>
      <c r="C8280" s="3">
        <v>14</v>
      </c>
    </row>
    <row r="8281" spans="1:3" x14ac:dyDescent="0.25">
      <c r="A8281" s="1" t="s">
        <v>8280</v>
      </c>
      <c r="C8281" s="3">
        <v>14</v>
      </c>
    </row>
    <row r="8282" spans="1:3" x14ac:dyDescent="0.25">
      <c r="A8282" s="1" t="s">
        <v>8281</v>
      </c>
      <c r="C8282" s="3">
        <v>14</v>
      </c>
    </row>
    <row r="8283" spans="1:3" x14ac:dyDescent="0.25">
      <c r="A8283" s="1" t="s">
        <v>8282</v>
      </c>
      <c r="C8283" s="3">
        <v>14</v>
      </c>
    </row>
    <row r="8284" spans="1:3" x14ac:dyDescent="0.25">
      <c r="A8284" s="1" t="s">
        <v>8283</v>
      </c>
      <c r="C8284" s="3">
        <v>14</v>
      </c>
    </row>
    <row r="8285" spans="1:3" x14ac:dyDescent="0.25">
      <c r="A8285" s="1" t="s">
        <v>8284</v>
      </c>
      <c r="C8285" s="3">
        <v>14</v>
      </c>
    </row>
    <row r="8286" spans="1:3" x14ac:dyDescent="0.25">
      <c r="A8286" s="1" t="s">
        <v>8285</v>
      </c>
      <c r="C8286" s="3">
        <v>14</v>
      </c>
    </row>
    <row r="8287" spans="1:3" x14ac:dyDescent="0.25">
      <c r="A8287" s="1" t="s">
        <v>8286</v>
      </c>
      <c r="C8287" s="3">
        <v>14</v>
      </c>
    </row>
    <row r="8288" spans="1:3" x14ac:dyDescent="0.25">
      <c r="A8288" s="1" t="s">
        <v>8287</v>
      </c>
      <c r="C8288" s="3">
        <v>14</v>
      </c>
    </row>
    <row r="8289" spans="1:3" x14ac:dyDescent="0.25">
      <c r="A8289" s="1" t="s">
        <v>8288</v>
      </c>
      <c r="C8289" s="3">
        <v>14</v>
      </c>
    </row>
    <row r="8290" spans="1:3" x14ac:dyDescent="0.25">
      <c r="A8290" s="1" t="s">
        <v>8289</v>
      </c>
      <c r="C8290" s="3">
        <v>14</v>
      </c>
    </row>
    <row r="8291" spans="1:3" x14ac:dyDescent="0.25">
      <c r="A8291" s="1" t="s">
        <v>8290</v>
      </c>
      <c r="C8291" s="3">
        <v>14</v>
      </c>
    </row>
    <row r="8292" spans="1:3" x14ac:dyDescent="0.25">
      <c r="A8292" s="1" t="s">
        <v>8291</v>
      </c>
      <c r="C8292" s="3">
        <v>14</v>
      </c>
    </row>
    <row r="8293" spans="1:3" x14ac:dyDescent="0.25">
      <c r="A8293" s="1" t="s">
        <v>8292</v>
      </c>
      <c r="C8293" s="3">
        <v>14</v>
      </c>
    </row>
    <row r="8294" spans="1:3" x14ac:dyDescent="0.25">
      <c r="A8294" s="1" t="s">
        <v>8293</v>
      </c>
      <c r="C8294" s="3">
        <v>14</v>
      </c>
    </row>
    <row r="8295" spans="1:3" x14ac:dyDescent="0.25">
      <c r="A8295" s="1" t="s">
        <v>8294</v>
      </c>
      <c r="C8295" s="3">
        <v>14</v>
      </c>
    </row>
    <row r="8296" spans="1:3" x14ac:dyDescent="0.25">
      <c r="A8296" s="1" t="s">
        <v>8295</v>
      </c>
      <c r="C8296" s="3">
        <v>14</v>
      </c>
    </row>
    <row r="8297" spans="1:3" x14ac:dyDescent="0.25">
      <c r="A8297" s="1" t="s">
        <v>8296</v>
      </c>
      <c r="C8297" s="3">
        <v>14</v>
      </c>
    </row>
    <row r="8298" spans="1:3" x14ac:dyDescent="0.25">
      <c r="A8298" s="1" t="s">
        <v>8297</v>
      </c>
      <c r="C8298" s="3">
        <v>14</v>
      </c>
    </row>
    <row r="8299" spans="1:3" x14ac:dyDescent="0.25">
      <c r="A8299" s="1" t="s">
        <v>8298</v>
      </c>
      <c r="C8299" s="3">
        <v>14</v>
      </c>
    </row>
    <row r="8300" spans="1:3" x14ac:dyDescent="0.25">
      <c r="A8300" s="1" t="s">
        <v>8299</v>
      </c>
      <c r="C8300" s="3">
        <v>14</v>
      </c>
    </row>
    <row r="8301" spans="1:3" x14ac:dyDescent="0.25">
      <c r="A8301" s="1" t="s">
        <v>8300</v>
      </c>
      <c r="C8301" s="3">
        <v>14</v>
      </c>
    </row>
    <row r="8302" spans="1:3" x14ac:dyDescent="0.25">
      <c r="A8302" s="1" t="s">
        <v>8301</v>
      </c>
      <c r="C8302" s="3">
        <v>14</v>
      </c>
    </row>
    <row r="8303" spans="1:3" x14ac:dyDescent="0.25">
      <c r="A8303" s="1" t="s">
        <v>8302</v>
      </c>
      <c r="C8303" s="3">
        <v>14</v>
      </c>
    </row>
    <row r="8304" spans="1:3" x14ac:dyDescent="0.25">
      <c r="A8304" s="1" t="s">
        <v>8303</v>
      </c>
      <c r="C8304" s="3">
        <v>14</v>
      </c>
    </row>
    <row r="8305" spans="1:3" x14ac:dyDescent="0.25">
      <c r="A8305" s="1" t="s">
        <v>8304</v>
      </c>
      <c r="C8305" s="3">
        <v>14</v>
      </c>
    </row>
    <row r="8306" spans="1:3" x14ac:dyDescent="0.25">
      <c r="A8306" s="1" t="s">
        <v>8305</v>
      </c>
      <c r="C8306" s="3">
        <v>14</v>
      </c>
    </row>
    <row r="8307" spans="1:3" x14ac:dyDescent="0.25">
      <c r="A8307" s="1" t="s">
        <v>8306</v>
      </c>
      <c r="C8307" s="3">
        <v>14</v>
      </c>
    </row>
    <row r="8308" spans="1:3" x14ac:dyDescent="0.25">
      <c r="A8308" s="1" t="s">
        <v>8307</v>
      </c>
      <c r="C8308" s="3">
        <v>14</v>
      </c>
    </row>
    <row r="8309" spans="1:3" x14ac:dyDescent="0.25">
      <c r="A8309" s="1" t="s">
        <v>8308</v>
      </c>
      <c r="C8309" s="3">
        <v>14</v>
      </c>
    </row>
    <row r="8310" spans="1:3" x14ac:dyDescent="0.25">
      <c r="A8310" s="1" t="s">
        <v>8309</v>
      </c>
      <c r="C8310" s="3">
        <v>14</v>
      </c>
    </row>
    <row r="8311" spans="1:3" x14ac:dyDescent="0.25">
      <c r="A8311" s="1" t="s">
        <v>8310</v>
      </c>
      <c r="C8311" s="3">
        <v>14</v>
      </c>
    </row>
    <row r="8312" spans="1:3" x14ac:dyDescent="0.25">
      <c r="A8312" s="1" t="s">
        <v>8311</v>
      </c>
      <c r="C8312" s="3">
        <v>14</v>
      </c>
    </row>
    <row r="8313" spans="1:3" x14ac:dyDescent="0.25">
      <c r="A8313" s="1" t="s">
        <v>8312</v>
      </c>
      <c r="C8313" s="3">
        <v>14</v>
      </c>
    </row>
    <row r="8314" spans="1:3" x14ac:dyDescent="0.25">
      <c r="A8314" s="1" t="s">
        <v>8313</v>
      </c>
      <c r="C8314" s="3">
        <v>14</v>
      </c>
    </row>
    <row r="8315" spans="1:3" x14ac:dyDescent="0.25">
      <c r="A8315" s="1" t="s">
        <v>8314</v>
      </c>
      <c r="C8315" s="3">
        <v>14</v>
      </c>
    </row>
    <row r="8316" spans="1:3" x14ac:dyDescent="0.25">
      <c r="A8316" s="1" t="s">
        <v>8315</v>
      </c>
      <c r="C8316" s="3">
        <v>14</v>
      </c>
    </row>
    <row r="8317" spans="1:3" x14ac:dyDescent="0.25">
      <c r="A8317" s="1" t="s">
        <v>8316</v>
      </c>
      <c r="C8317" s="3">
        <v>14</v>
      </c>
    </row>
    <row r="8318" spans="1:3" x14ac:dyDescent="0.25">
      <c r="A8318" s="1" t="s">
        <v>8317</v>
      </c>
      <c r="C8318" s="3">
        <v>14</v>
      </c>
    </row>
    <row r="8319" spans="1:3" x14ac:dyDescent="0.25">
      <c r="A8319" s="1" t="s">
        <v>8318</v>
      </c>
      <c r="C8319" s="3">
        <v>14</v>
      </c>
    </row>
    <row r="8320" spans="1:3" x14ac:dyDescent="0.25">
      <c r="A8320" s="1" t="s">
        <v>8319</v>
      </c>
      <c r="C8320" s="3">
        <v>14</v>
      </c>
    </row>
    <row r="8321" spans="1:3" x14ac:dyDescent="0.25">
      <c r="A8321" s="1" t="s">
        <v>8320</v>
      </c>
      <c r="C8321" s="3">
        <v>14</v>
      </c>
    </row>
    <row r="8322" spans="1:3" x14ac:dyDescent="0.25">
      <c r="A8322" s="1" t="s">
        <v>8321</v>
      </c>
      <c r="C8322" s="3">
        <v>14</v>
      </c>
    </row>
    <row r="8323" spans="1:3" x14ac:dyDescent="0.25">
      <c r="A8323" s="1" t="s">
        <v>8322</v>
      </c>
      <c r="C8323" s="3">
        <v>14</v>
      </c>
    </row>
    <row r="8324" spans="1:3" x14ac:dyDescent="0.25">
      <c r="A8324" s="1" t="s">
        <v>8323</v>
      </c>
      <c r="C8324" s="3">
        <v>14</v>
      </c>
    </row>
    <row r="8325" spans="1:3" x14ac:dyDescent="0.25">
      <c r="A8325" s="1" t="s">
        <v>8324</v>
      </c>
      <c r="C8325" s="3">
        <v>14</v>
      </c>
    </row>
    <row r="8326" spans="1:3" x14ac:dyDescent="0.25">
      <c r="A8326" s="1" t="s">
        <v>8325</v>
      </c>
      <c r="C8326" s="3">
        <v>14</v>
      </c>
    </row>
    <row r="8327" spans="1:3" x14ac:dyDescent="0.25">
      <c r="A8327" s="1" t="s">
        <v>8326</v>
      </c>
      <c r="C8327" s="3">
        <v>14</v>
      </c>
    </row>
    <row r="8328" spans="1:3" x14ac:dyDescent="0.25">
      <c r="A8328" s="1" t="s">
        <v>8327</v>
      </c>
      <c r="C8328" s="3">
        <v>14</v>
      </c>
    </row>
    <row r="8329" spans="1:3" x14ac:dyDescent="0.25">
      <c r="A8329" s="1" t="s">
        <v>8328</v>
      </c>
      <c r="C8329" s="3">
        <v>14</v>
      </c>
    </row>
    <row r="8330" spans="1:3" x14ac:dyDescent="0.25">
      <c r="A8330" s="1" t="s">
        <v>8329</v>
      </c>
      <c r="C8330" s="3">
        <v>14</v>
      </c>
    </row>
    <row r="8331" spans="1:3" x14ac:dyDescent="0.25">
      <c r="A8331" s="1" t="s">
        <v>8330</v>
      </c>
      <c r="C8331" s="3">
        <v>14</v>
      </c>
    </row>
    <row r="8332" spans="1:3" x14ac:dyDescent="0.25">
      <c r="A8332" s="1" t="s">
        <v>8331</v>
      </c>
      <c r="C8332" s="3">
        <v>14</v>
      </c>
    </row>
    <row r="8333" spans="1:3" x14ac:dyDescent="0.25">
      <c r="A8333" s="1" t="s">
        <v>8332</v>
      </c>
      <c r="C8333" s="3">
        <v>14</v>
      </c>
    </row>
    <row r="8334" spans="1:3" x14ac:dyDescent="0.25">
      <c r="A8334" s="1" t="s">
        <v>8333</v>
      </c>
      <c r="C8334" s="3">
        <v>14</v>
      </c>
    </row>
    <row r="8335" spans="1:3" x14ac:dyDescent="0.25">
      <c r="A8335" s="1" t="s">
        <v>8334</v>
      </c>
      <c r="C8335" s="3">
        <v>14</v>
      </c>
    </row>
    <row r="8336" spans="1:3" x14ac:dyDescent="0.25">
      <c r="A8336" s="1" t="s">
        <v>8335</v>
      </c>
      <c r="C8336" s="3">
        <v>14</v>
      </c>
    </row>
    <row r="8337" spans="1:3" x14ac:dyDescent="0.25">
      <c r="A8337" s="1" t="s">
        <v>8336</v>
      </c>
      <c r="C8337" s="3">
        <v>14</v>
      </c>
    </row>
    <row r="8338" spans="1:3" x14ac:dyDescent="0.25">
      <c r="A8338" s="1" t="s">
        <v>8337</v>
      </c>
      <c r="C8338" s="3">
        <v>14</v>
      </c>
    </row>
    <row r="8339" spans="1:3" x14ac:dyDescent="0.25">
      <c r="A8339" s="1" t="s">
        <v>8338</v>
      </c>
      <c r="C8339" s="3">
        <v>14</v>
      </c>
    </row>
    <row r="8340" spans="1:3" x14ac:dyDescent="0.25">
      <c r="A8340" s="1" t="s">
        <v>8339</v>
      </c>
      <c r="C8340" s="3">
        <v>14</v>
      </c>
    </row>
    <row r="8341" spans="1:3" x14ac:dyDescent="0.25">
      <c r="A8341" s="1" t="s">
        <v>8340</v>
      </c>
      <c r="C8341" s="3">
        <v>14</v>
      </c>
    </row>
    <row r="8342" spans="1:3" x14ac:dyDescent="0.25">
      <c r="A8342" s="1" t="s">
        <v>8341</v>
      </c>
      <c r="C8342" s="3">
        <v>14</v>
      </c>
    </row>
    <row r="8343" spans="1:3" x14ac:dyDescent="0.25">
      <c r="A8343" s="1" t="s">
        <v>8342</v>
      </c>
      <c r="C8343" s="3">
        <v>14</v>
      </c>
    </row>
    <row r="8344" spans="1:3" x14ac:dyDescent="0.25">
      <c r="A8344" s="1" t="s">
        <v>8343</v>
      </c>
      <c r="C8344" s="3">
        <v>14</v>
      </c>
    </row>
    <row r="8345" spans="1:3" x14ac:dyDescent="0.25">
      <c r="A8345" s="1" t="s">
        <v>8344</v>
      </c>
      <c r="C8345" s="3">
        <v>14</v>
      </c>
    </row>
    <row r="8346" spans="1:3" x14ac:dyDescent="0.25">
      <c r="A8346" s="1" t="s">
        <v>8345</v>
      </c>
      <c r="C8346" s="3">
        <v>14</v>
      </c>
    </row>
    <row r="8347" spans="1:3" x14ac:dyDescent="0.25">
      <c r="A8347" s="1" t="s">
        <v>8346</v>
      </c>
      <c r="C8347" s="3">
        <v>14</v>
      </c>
    </row>
    <row r="8348" spans="1:3" x14ac:dyDescent="0.25">
      <c r="A8348" s="1" t="s">
        <v>8347</v>
      </c>
      <c r="C8348" s="3">
        <v>14</v>
      </c>
    </row>
    <row r="8349" spans="1:3" x14ac:dyDescent="0.25">
      <c r="A8349" s="1" t="s">
        <v>8348</v>
      </c>
      <c r="C8349" s="3">
        <v>14</v>
      </c>
    </row>
    <row r="8350" spans="1:3" x14ac:dyDescent="0.25">
      <c r="A8350" s="1" t="s">
        <v>8349</v>
      </c>
      <c r="C8350" s="3">
        <v>14</v>
      </c>
    </row>
    <row r="8351" spans="1:3" x14ac:dyDescent="0.25">
      <c r="A8351" s="1" t="s">
        <v>8350</v>
      </c>
      <c r="C8351" s="3">
        <v>14</v>
      </c>
    </row>
    <row r="8352" spans="1:3" x14ac:dyDescent="0.25">
      <c r="A8352" s="1" t="s">
        <v>8351</v>
      </c>
      <c r="C8352" s="3">
        <v>14</v>
      </c>
    </row>
    <row r="8353" spans="1:3" x14ac:dyDescent="0.25">
      <c r="A8353" s="1" t="s">
        <v>8352</v>
      </c>
      <c r="C8353" s="3">
        <v>14</v>
      </c>
    </row>
    <row r="8354" spans="1:3" x14ac:dyDescent="0.25">
      <c r="A8354" s="1" t="s">
        <v>8353</v>
      </c>
      <c r="C8354" s="3">
        <v>14</v>
      </c>
    </row>
    <row r="8355" spans="1:3" x14ac:dyDescent="0.25">
      <c r="A8355" s="1" t="s">
        <v>8354</v>
      </c>
      <c r="C8355" s="3">
        <v>14</v>
      </c>
    </row>
    <row r="8356" spans="1:3" x14ac:dyDescent="0.25">
      <c r="A8356" s="1" t="s">
        <v>8355</v>
      </c>
      <c r="C8356" s="3">
        <v>14</v>
      </c>
    </row>
    <row r="8357" spans="1:3" x14ac:dyDescent="0.25">
      <c r="A8357" s="1" t="s">
        <v>8356</v>
      </c>
      <c r="C8357" s="3">
        <v>14</v>
      </c>
    </row>
    <row r="8358" spans="1:3" x14ac:dyDescent="0.25">
      <c r="A8358" s="1" t="s">
        <v>8357</v>
      </c>
      <c r="C8358" s="3">
        <v>14</v>
      </c>
    </row>
    <row r="8359" spans="1:3" x14ac:dyDescent="0.25">
      <c r="A8359" s="1" t="s">
        <v>8358</v>
      </c>
      <c r="C8359" s="3">
        <v>14</v>
      </c>
    </row>
    <row r="8360" spans="1:3" x14ac:dyDescent="0.25">
      <c r="A8360" s="1" t="s">
        <v>8359</v>
      </c>
      <c r="C8360" s="3">
        <v>14</v>
      </c>
    </row>
    <row r="8361" spans="1:3" x14ac:dyDescent="0.25">
      <c r="A8361" s="1" t="s">
        <v>8360</v>
      </c>
      <c r="C8361" s="3">
        <v>14</v>
      </c>
    </row>
    <row r="8362" spans="1:3" x14ac:dyDescent="0.25">
      <c r="A8362" s="1" t="s">
        <v>8361</v>
      </c>
      <c r="C8362" s="3">
        <v>14</v>
      </c>
    </row>
    <row r="8363" spans="1:3" x14ac:dyDescent="0.25">
      <c r="A8363" s="1" t="s">
        <v>8362</v>
      </c>
      <c r="C8363" s="3">
        <v>14</v>
      </c>
    </row>
    <row r="8364" spans="1:3" x14ac:dyDescent="0.25">
      <c r="A8364" s="1" t="s">
        <v>8363</v>
      </c>
      <c r="C8364" s="3">
        <v>14</v>
      </c>
    </row>
    <row r="8365" spans="1:3" x14ac:dyDescent="0.25">
      <c r="A8365" s="1" t="s">
        <v>8364</v>
      </c>
      <c r="C8365" s="3">
        <v>14</v>
      </c>
    </row>
    <row r="8366" spans="1:3" x14ac:dyDescent="0.25">
      <c r="A8366" s="1" t="s">
        <v>8365</v>
      </c>
      <c r="C8366" s="3">
        <v>14</v>
      </c>
    </row>
    <row r="8367" spans="1:3" x14ac:dyDescent="0.25">
      <c r="A8367" s="1" t="s">
        <v>8366</v>
      </c>
      <c r="C8367" s="3">
        <v>14</v>
      </c>
    </row>
    <row r="8368" spans="1:3" x14ac:dyDescent="0.25">
      <c r="A8368" s="1" t="s">
        <v>8367</v>
      </c>
      <c r="C8368" s="3">
        <v>14</v>
      </c>
    </row>
    <row r="8369" spans="1:3" x14ac:dyDescent="0.25">
      <c r="A8369" s="1" t="s">
        <v>8368</v>
      </c>
      <c r="C8369" s="3">
        <v>14</v>
      </c>
    </row>
    <row r="8370" spans="1:3" x14ac:dyDescent="0.25">
      <c r="A8370" s="1" t="s">
        <v>8369</v>
      </c>
      <c r="C8370" s="3">
        <v>14</v>
      </c>
    </row>
    <row r="8371" spans="1:3" x14ac:dyDescent="0.25">
      <c r="A8371" s="1" t="s">
        <v>8370</v>
      </c>
      <c r="C8371" s="3">
        <v>14</v>
      </c>
    </row>
    <row r="8372" spans="1:3" x14ac:dyDescent="0.25">
      <c r="A8372" s="1" t="s">
        <v>8371</v>
      </c>
      <c r="C8372" s="3">
        <v>14</v>
      </c>
    </row>
    <row r="8373" spans="1:3" x14ac:dyDescent="0.25">
      <c r="A8373" s="1" t="s">
        <v>8372</v>
      </c>
      <c r="C8373" s="3">
        <v>14</v>
      </c>
    </row>
    <row r="8374" spans="1:3" x14ac:dyDescent="0.25">
      <c r="A8374" s="1" t="s">
        <v>8373</v>
      </c>
      <c r="C8374" s="3">
        <v>14</v>
      </c>
    </row>
    <row r="8375" spans="1:3" x14ac:dyDescent="0.25">
      <c r="A8375" s="1" t="s">
        <v>8374</v>
      </c>
      <c r="C8375" s="3">
        <v>14</v>
      </c>
    </row>
    <row r="8376" spans="1:3" x14ac:dyDescent="0.25">
      <c r="A8376" s="1" t="s">
        <v>8375</v>
      </c>
      <c r="C8376" s="3">
        <v>14</v>
      </c>
    </row>
    <row r="8377" spans="1:3" x14ac:dyDescent="0.25">
      <c r="A8377" s="1" t="s">
        <v>8376</v>
      </c>
      <c r="C8377" s="3">
        <v>14</v>
      </c>
    </row>
    <row r="8378" spans="1:3" x14ac:dyDescent="0.25">
      <c r="A8378" s="1" t="s">
        <v>8377</v>
      </c>
      <c r="C8378" s="3">
        <v>14</v>
      </c>
    </row>
    <row r="8379" spans="1:3" x14ac:dyDescent="0.25">
      <c r="A8379" s="1" t="s">
        <v>8378</v>
      </c>
      <c r="C8379" s="3">
        <v>14</v>
      </c>
    </row>
    <row r="8380" spans="1:3" x14ac:dyDescent="0.25">
      <c r="A8380" s="1" t="s">
        <v>8379</v>
      </c>
      <c r="C8380" s="3">
        <v>14</v>
      </c>
    </row>
    <row r="8381" spans="1:3" x14ac:dyDescent="0.25">
      <c r="A8381" s="1" t="s">
        <v>8380</v>
      </c>
      <c r="C8381" s="3">
        <v>14</v>
      </c>
    </row>
    <row r="8382" spans="1:3" x14ac:dyDescent="0.25">
      <c r="A8382" s="1" t="s">
        <v>8381</v>
      </c>
      <c r="C8382" s="3">
        <v>14</v>
      </c>
    </row>
    <row r="8383" spans="1:3" x14ac:dyDescent="0.25">
      <c r="A8383" s="1" t="s">
        <v>8382</v>
      </c>
      <c r="C8383" s="3">
        <v>14</v>
      </c>
    </row>
    <row r="8384" spans="1:3" x14ac:dyDescent="0.25">
      <c r="A8384" s="1" t="s">
        <v>8383</v>
      </c>
      <c r="C8384" s="3">
        <v>14</v>
      </c>
    </row>
    <row r="8385" spans="1:3" x14ac:dyDescent="0.25">
      <c r="A8385" s="1" t="s">
        <v>8384</v>
      </c>
      <c r="C8385" s="3">
        <v>14</v>
      </c>
    </row>
    <row r="8386" spans="1:3" x14ac:dyDescent="0.25">
      <c r="A8386" s="1" t="s">
        <v>8385</v>
      </c>
      <c r="C8386" s="3">
        <v>14</v>
      </c>
    </row>
    <row r="8387" spans="1:3" x14ac:dyDescent="0.25">
      <c r="A8387" s="1" t="s">
        <v>8386</v>
      </c>
      <c r="C8387" s="3">
        <v>14</v>
      </c>
    </row>
    <row r="8388" spans="1:3" x14ac:dyDescent="0.25">
      <c r="A8388" s="1" t="s">
        <v>8387</v>
      </c>
      <c r="C8388" s="3">
        <v>14</v>
      </c>
    </row>
    <row r="8389" spans="1:3" x14ac:dyDescent="0.25">
      <c r="A8389" s="1" t="s">
        <v>8388</v>
      </c>
      <c r="C8389" s="3">
        <v>14</v>
      </c>
    </row>
    <row r="8390" spans="1:3" x14ac:dyDescent="0.25">
      <c r="A8390" s="1" t="s">
        <v>8389</v>
      </c>
      <c r="C8390" s="3">
        <v>14</v>
      </c>
    </row>
    <row r="8391" spans="1:3" x14ac:dyDescent="0.25">
      <c r="A8391" s="1" t="s">
        <v>8390</v>
      </c>
      <c r="C8391" s="3">
        <v>14</v>
      </c>
    </row>
    <row r="8392" spans="1:3" x14ac:dyDescent="0.25">
      <c r="A8392" s="1" t="s">
        <v>8391</v>
      </c>
      <c r="C8392" s="3">
        <v>14</v>
      </c>
    </row>
    <row r="8393" spans="1:3" x14ac:dyDescent="0.25">
      <c r="A8393" s="1" t="s">
        <v>8392</v>
      </c>
      <c r="C8393" s="3">
        <v>14</v>
      </c>
    </row>
    <row r="8394" spans="1:3" x14ac:dyDescent="0.25">
      <c r="A8394" s="1" t="s">
        <v>8393</v>
      </c>
      <c r="C8394" s="3">
        <v>14</v>
      </c>
    </row>
    <row r="8395" spans="1:3" x14ac:dyDescent="0.25">
      <c r="A8395" s="1" t="s">
        <v>8394</v>
      </c>
      <c r="C8395" s="3">
        <v>14</v>
      </c>
    </row>
    <row r="8396" spans="1:3" x14ac:dyDescent="0.25">
      <c r="A8396" s="1" t="s">
        <v>8395</v>
      </c>
      <c r="C8396" s="3">
        <v>14</v>
      </c>
    </row>
    <row r="8397" spans="1:3" x14ac:dyDescent="0.25">
      <c r="A8397" s="1" t="s">
        <v>8396</v>
      </c>
      <c r="C8397" s="3">
        <v>14</v>
      </c>
    </row>
    <row r="8398" spans="1:3" x14ac:dyDescent="0.25">
      <c r="A8398" s="1" t="s">
        <v>8397</v>
      </c>
      <c r="C8398" s="3">
        <v>14</v>
      </c>
    </row>
    <row r="8399" spans="1:3" x14ac:dyDescent="0.25">
      <c r="A8399" s="1" t="s">
        <v>8398</v>
      </c>
      <c r="C8399" s="3">
        <v>14</v>
      </c>
    </row>
    <row r="8400" spans="1:3" x14ac:dyDescent="0.25">
      <c r="A8400" s="1" t="s">
        <v>8399</v>
      </c>
      <c r="C8400" s="3">
        <v>14</v>
      </c>
    </row>
    <row r="8401" spans="1:3" x14ac:dyDescent="0.25">
      <c r="A8401" s="1" t="s">
        <v>8400</v>
      </c>
      <c r="C8401" s="3">
        <v>14</v>
      </c>
    </row>
    <row r="8402" spans="1:3" x14ac:dyDescent="0.25">
      <c r="A8402" s="1" t="s">
        <v>8401</v>
      </c>
      <c r="C8402" s="3">
        <v>14</v>
      </c>
    </row>
    <row r="8403" spans="1:3" x14ac:dyDescent="0.25">
      <c r="A8403" s="1" t="s">
        <v>8402</v>
      </c>
      <c r="C8403" s="3">
        <v>14</v>
      </c>
    </row>
    <row r="8404" spans="1:3" x14ac:dyDescent="0.25">
      <c r="A8404" s="1" t="s">
        <v>8403</v>
      </c>
      <c r="C8404" s="3">
        <v>14</v>
      </c>
    </row>
    <row r="8405" spans="1:3" x14ac:dyDescent="0.25">
      <c r="A8405" s="1" t="s">
        <v>8404</v>
      </c>
      <c r="C8405" s="3">
        <v>14</v>
      </c>
    </row>
    <row r="8406" spans="1:3" x14ac:dyDescent="0.25">
      <c r="A8406" s="1" t="s">
        <v>8405</v>
      </c>
      <c r="C8406" s="3">
        <v>14</v>
      </c>
    </row>
    <row r="8407" spans="1:3" x14ac:dyDescent="0.25">
      <c r="A8407" s="1" t="s">
        <v>8406</v>
      </c>
      <c r="C8407" s="3">
        <v>14</v>
      </c>
    </row>
    <row r="8408" spans="1:3" x14ac:dyDescent="0.25">
      <c r="A8408" s="1" t="s">
        <v>8407</v>
      </c>
      <c r="C8408" s="3">
        <v>14</v>
      </c>
    </row>
    <row r="8409" spans="1:3" x14ac:dyDescent="0.25">
      <c r="A8409" s="1" t="s">
        <v>8408</v>
      </c>
      <c r="C8409" s="3">
        <v>14</v>
      </c>
    </row>
    <row r="8410" spans="1:3" x14ac:dyDescent="0.25">
      <c r="A8410" s="1" t="s">
        <v>8409</v>
      </c>
      <c r="C8410" s="3">
        <v>14</v>
      </c>
    </row>
    <row r="8411" spans="1:3" x14ac:dyDescent="0.25">
      <c r="A8411" s="1" t="s">
        <v>8410</v>
      </c>
      <c r="C8411" s="3">
        <v>14</v>
      </c>
    </row>
    <row r="8412" spans="1:3" x14ac:dyDescent="0.25">
      <c r="A8412" s="1" t="s">
        <v>8411</v>
      </c>
      <c r="C8412" s="3">
        <v>14</v>
      </c>
    </row>
    <row r="8413" spans="1:3" x14ac:dyDescent="0.25">
      <c r="A8413" s="1" t="s">
        <v>8412</v>
      </c>
      <c r="C8413" s="3">
        <v>14</v>
      </c>
    </row>
    <row r="8414" spans="1:3" x14ac:dyDescent="0.25">
      <c r="A8414" s="1" t="s">
        <v>8413</v>
      </c>
      <c r="C8414" s="3">
        <v>14</v>
      </c>
    </row>
    <row r="8415" spans="1:3" x14ac:dyDescent="0.25">
      <c r="A8415" s="1" t="s">
        <v>8414</v>
      </c>
      <c r="C8415" s="3">
        <v>14</v>
      </c>
    </row>
    <row r="8416" spans="1:3" x14ac:dyDescent="0.25">
      <c r="A8416" s="1" t="s">
        <v>8415</v>
      </c>
      <c r="C8416" s="3">
        <v>14</v>
      </c>
    </row>
    <row r="8417" spans="1:3" x14ac:dyDescent="0.25">
      <c r="A8417" s="1" t="s">
        <v>8416</v>
      </c>
      <c r="C8417" s="3">
        <v>14</v>
      </c>
    </row>
    <row r="8418" spans="1:3" x14ac:dyDescent="0.25">
      <c r="A8418" s="1" t="s">
        <v>8417</v>
      </c>
      <c r="C8418" s="3">
        <v>14</v>
      </c>
    </row>
    <row r="8419" spans="1:3" x14ac:dyDescent="0.25">
      <c r="A8419" s="1" t="s">
        <v>8418</v>
      </c>
      <c r="C8419" s="3">
        <v>14</v>
      </c>
    </row>
    <row r="8420" spans="1:3" x14ac:dyDescent="0.25">
      <c r="A8420" s="1" t="s">
        <v>8419</v>
      </c>
      <c r="C8420" s="3">
        <v>14</v>
      </c>
    </row>
    <row r="8421" spans="1:3" x14ac:dyDescent="0.25">
      <c r="A8421" s="1" t="s">
        <v>8420</v>
      </c>
      <c r="C8421" s="3">
        <v>14</v>
      </c>
    </row>
    <row r="8422" spans="1:3" x14ac:dyDescent="0.25">
      <c r="A8422" s="1" t="s">
        <v>8421</v>
      </c>
      <c r="C8422" s="3">
        <v>14</v>
      </c>
    </row>
    <row r="8423" spans="1:3" x14ac:dyDescent="0.25">
      <c r="A8423" s="1" t="s">
        <v>8422</v>
      </c>
      <c r="C8423" s="3">
        <v>14</v>
      </c>
    </row>
    <row r="8424" spans="1:3" x14ac:dyDescent="0.25">
      <c r="A8424" s="1" t="s">
        <v>8423</v>
      </c>
      <c r="C8424" s="3">
        <v>14</v>
      </c>
    </row>
    <row r="8425" spans="1:3" x14ac:dyDescent="0.25">
      <c r="A8425" s="1" t="s">
        <v>8424</v>
      </c>
      <c r="C8425" s="3">
        <v>14</v>
      </c>
    </row>
    <row r="8426" spans="1:3" x14ac:dyDescent="0.25">
      <c r="A8426" s="1" t="s">
        <v>8425</v>
      </c>
      <c r="C8426" s="3">
        <v>14</v>
      </c>
    </row>
    <row r="8427" spans="1:3" x14ac:dyDescent="0.25">
      <c r="A8427" s="1" t="s">
        <v>8426</v>
      </c>
      <c r="C8427" s="3">
        <v>14</v>
      </c>
    </row>
    <row r="8428" spans="1:3" x14ac:dyDescent="0.25">
      <c r="A8428" s="1" t="s">
        <v>8427</v>
      </c>
      <c r="C8428" s="3">
        <v>14</v>
      </c>
    </row>
    <row r="8429" spans="1:3" x14ac:dyDescent="0.25">
      <c r="A8429" s="1" t="s">
        <v>8428</v>
      </c>
      <c r="C8429" s="3">
        <v>14</v>
      </c>
    </row>
    <row r="8430" spans="1:3" x14ac:dyDescent="0.25">
      <c r="A8430" s="1" t="s">
        <v>8429</v>
      </c>
      <c r="C8430" s="3">
        <v>14</v>
      </c>
    </row>
    <row r="8431" spans="1:3" x14ac:dyDescent="0.25">
      <c r="A8431" s="1" t="s">
        <v>8430</v>
      </c>
      <c r="C8431" s="3">
        <v>14</v>
      </c>
    </row>
    <row r="8432" spans="1:3" x14ac:dyDescent="0.25">
      <c r="A8432" s="1" t="s">
        <v>8431</v>
      </c>
      <c r="C8432" s="3">
        <v>14</v>
      </c>
    </row>
    <row r="8433" spans="1:3" x14ac:dyDescent="0.25">
      <c r="A8433" s="1" t="s">
        <v>8432</v>
      </c>
      <c r="C8433" s="3">
        <v>14</v>
      </c>
    </row>
    <row r="8434" spans="1:3" x14ac:dyDescent="0.25">
      <c r="A8434" s="1" t="s">
        <v>8433</v>
      </c>
      <c r="C8434" s="3">
        <v>14</v>
      </c>
    </row>
    <row r="8435" spans="1:3" x14ac:dyDescent="0.25">
      <c r="A8435" s="1" t="s">
        <v>8434</v>
      </c>
      <c r="C8435" s="3">
        <v>14</v>
      </c>
    </row>
    <row r="8436" spans="1:3" x14ac:dyDescent="0.25">
      <c r="A8436" s="1" t="s">
        <v>8435</v>
      </c>
      <c r="C8436" s="3">
        <v>14</v>
      </c>
    </row>
    <row r="8437" spans="1:3" x14ac:dyDescent="0.25">
      <c r="A8437" s="1" t="s">
        <v>8436</v>
      </c>
      <c r="C8437" s="3">
        <v>14</v>
      </c>
    </row>
    <row r="8438" spans="1:3" x14ac:dyDescent="0.25">
      <c r="A8438" s="1" t="s">
        <v>8437</v>
      </c>
      <c r="C8438" s="3">
        <v>14</v>
      </c>
    </row>
    <row r="8439" spans="1:3" x14ac:dyDescent="0.25">
      <c r="A8439" s="1" t="s">
        <v>8438</v>
      </c>
      <c r="C8439" s="3">
        <v>14</v>
      </c>
    </row>
    <row r="8440" spans="1:3" x14ac:dyDescent="0.25">
      <c r="A8440" s="1" t="s">
        <v>8439</v>
      </c>
      <c r="C8440" s="3">
        <v>14</v>
      </c>
    </row>
    <row r="8441" spans="1:3" x14ac:dyDescent="0.25">
      <c r="A8441" s="1" t="s">
        <v>8440</v>
      </c>
      <c r="C8441" s="3">
        <v>14</v>
      </c>
    </row>
    <row r="8442" spans="1:3" x14ac:dyDescent="0.25">
      <c r="A8442" s="1" t="s">
        <v>8441</v>
      </c>
      <c r="C8442" s="3">
        <v>14</v>
      </c>
    </row>
    <row r="8443" spans="1:3" x14ac:dyDescent="0.25">
      <c r="A8443" s="1" t="s">
        <v>8442</v>
      </c>
      <c r="C8443" s="3">
        <v>14</v>
      </c>
    </row>
    <row r="8444" spans="1:3" x14ac:dyDescent="0.25">
      <c r="A8444" s="1" t="s">
        <v>8443</v>
      </c>
      <c r="C8444" s="3">
        <v>14</v>
      </c>
    </row>
    <row r="8445" spans="1:3" x14ac:dyDescent="0.25">
      <c r="A8445" s="1" t="s">
        <v>8444</v>
      </c>
      <c r="C8445" s="3">
        <v>14</v>
      </c>
    </row>
    <row r="8446" spans="1:3" x14ac:dyDescent="0.25">
      <c r="A8446" s="1" t="s">
        <v>8445</v>
      </c>
      <c r="C8446" s="3">
        <v>14</v>
      </c>
    </row>
    <row r="8447" spans="1:3" x14ac:dyDescent="0.25">
      <c r="A8447" s="1" t="s">
        <v>8446</v>
      </c>
      <c r="C8447" s="3">
        <v>14</v>
      </c>
    </row>
    <row r="8448" spans="1:3" x14ac:dyDescent="0.25">
      <c r="A8448" s="1" t="s">
        <v>8447</v>
      </c>
      <c r="C8448" s="3">
        <v>14</v>
      </c>
    </row>
    <row r="8449" spans="1:3" x14ac:dyDescent="0.25">
      <c r="A8449" s="1" t="s">
        <v>8448</v>
      </c>
      <c r="C8449" s="3">
        <v>14</v>
      </c>
    </row>
    <row r="8450" spans="1:3" x14ac:dyDescent="0.25">
      <c r="A8450" s="1" t="s">
        <v>8449</v>
      </c>
      <c r="C8450" s="3">
        <v>14</v>
      </c>
    </row>
    <row r="8451" spans="1:3" x14ac:dyDescent="0.25">
      <c r="A8451" s="1" t="s">
        <v>8450</v>
      </c>
      <c r="C8451" s="3">
        <v>14</v>
      </c>
    </row>
    <row r="8452" spans="1:3" x14ac:dyDescent="0.25">
      <c r="A8452" s="1" t="s">
        <v>8451</v>
      </c>
      <c r="C8452" s="3">
        <v>14</v>
      </c>
    </row>
    <row r="8453" spans="1:3" x14ac:dyDescent="0.25">
      <c r="A8453" s="1" t="s">
        <v>8452</v>
      </c>
      <c r="C8453" s="3">
        <v>14</v>
      </c>
    </row>
    <row r="8454" spans="1:3" x14ac:dyDescent="0.25">
      <c r="A8454" s="1" t="s">
        <v>8453</v>
      </c>
      <c r="C8454" s="3">
        <v>14</v>
      </c>
    </row>
    <row r="8455" spans="1:3" x14ac:dyDescent="0.25">
      <c r="A8455" s="1" t="s">
        <v>8454</v>
      </c>
      <c r="C8455" s="3">
        <v>13</v>
      </c>
    </row>
    <row r="8456" spans="1:3" x14ac:dyDescent="0.25">
      <c r="A8456" s="1" t="s">
        <v>8455</v>
      </c>
      <c r="C8456" s="3">
        <v>13</v>
      </c>
    </row>
    <row r="8457" spans="1:3" x14ac:dyDescent="0.25">
      <c r="A8457" s="1" t="s">
        <v>8456</v>
      </c>
      <c r="C8457" s="3">
        <v>13</v>
      </c>
    </row>
    <row r="8458" spans="1:3" x14ac:dyDescent="0.25">
      <c r="A8458" s="1" t="s">
        <v>8457</v>
      </c>
      <c r="C8458" s="3">
        <v>13</v>
      </c>
    </row>
    <row r="8459" spans="1:3" x14ac:dyDescent="0.25">
      <c r="A8459" s="1" t="s">
        <v>8458</v>
      </c>
      <c r="C8459" s="3">
        <v>13</v>
      </c>
    </row>
    <row r="8460" spans="1:3" x14ac:dyDescent="0.25">
      <c r="A8460" s="1" t="s">
        <v>8459</v>
      </c>
      <c r="C8460" s="3">
        <v>13</v>
      </c>
    </row>
    <row r="8461" spans="1:3" x14ac:dyDescent="0.25">
      <c r="A8461" s="1" t="s">
        <v>8460</v>
      </c>
      <c r="C8461" s="3">
        <v>13</v>
      </c>
    </row>
    <row r="8462" spans="1:3" x14ac:dyDescent="0.25">
      <c r="A8462" s="1" t="s">
        <v>8461</v>
      </c>
      <c r="C8462" s="3">
        <v>13</v>
      </c>
    </row>
    <row r="8463" spans="1:3" x14ac:dyDescent="0.25">
      <c r="A8463" s="1" t="s">
        <v>8462</v>
      </c>
      <c r="C8463" s="3">
        <v>13</v>
      </c>
    </row>
    <row r="8464" spans="1:3" x14ac:dyDescent="0.25">
      <c r="A8464" s="1" t="s">
        <v>8463</v>
      </c>
      <c r="C8464" s="3">
        <v>13</v>
      </c>
    </row>
    <row r="8465" spans="1:3" x14ac:dyDescent="0.25">
      <c r="A8465" s="1" t="s">
        <v>8464</v>
      </c>
      <c r="C8465" s="3">
        <v>13</v>
      </c>
    </row>
    <row r="8466" spans="1:3" x14ac:dyDescent="0.25">
      <c r="A8466" s="1" t="s">
        <v>8465</v>
      </c>
      <c r="C8466" s="3">
        <v>13</v>
      </c>
    </row>
    <row r="8467" spans="1:3" x14ac:dyDescent="0.25">
      <c r="A8467" s="1" t="s">
        <v>8466</v>
      </c>
      <c r="C8467" s="3">
        <v>13</v>
      </c>
    </row>
    <row r="8468" spans="1:3" x14ac:dyDescent="0.25">
      <c r="A8468" s="1" t="s">
        <v>8467</v>
      </c>
      <c r="C8468" s="3">
        <v>13</v>
      </c>
    </row>
    <row r="8469" spans="1:3" x14ac:dyDescent="0.25">
      <c r="A8469" s="1" t="s">
        <v>8468</v>
      </c>
      <c r="C8469" s="3">
        <v>13</v>
      </c>
    </row>
    <row r="8470" spans="1:3" x14ac:dyDescent="0.25">
      <c r="A8470" s="1" t="s">
        <v>8469</v>
      </c>
      <c r="C8470" s="3">
        <v>13</v>
      </c>
    </row>
    <row r="8471" spans="1:3" x14ac:dyDescent="0.25">
      <c r="A8471" s="1" t="s">
        <v>8470</v>
      </c>
      <c r="C8471" s="3">
        <v>13</v>
      </c>
    </row>
    <row r="8472" spans="1:3" x14ac:dyDescent="0.25">
      <c r="A8472" s="1" t="s">
        <v>8471</v>
      </c>
      <c r="C8472" s="3">
        <v>13</v>
      </c>
    </row>
    <row r="8473" spans="1:3" x14ac:dyDescent="0.25">
      <c r="A8473" s="1" t="s">
        <v>8472</v>
      </c>
      <c r="C8473" s="3">
        <v>13</v>
      </c>
    </row>
    <row r="8474" spans="1:3" x14ac:dyDescent="0.25">
      <c r="A8474" s="1" t="s">
        <v>8473</v>
      </c>
      <c r="C8474" s="3">
        <v>13</v>
      </c>
    </row>
    <row r="8475" spans="1:3" x14ac:dyDescent="0.25">
      <c r="A8475" s="1" t="s">
        <v>8474</v>
      </c>
      <c r="C8475" s="3">
        <v>13</v>
      </c>
    </row>
    <row r="8476" spans="1:3" x14ac:dyDescent="0.25">
      <c r="A8476" s="1" t="s">
        <v>8475</v>
      </c>
      <c r="C8476" s="3">
        <v>13</v>
      </c>
    </row>
    <row r="8477" spans="1:3" x14ac:dyDescent="0.25">
      <c r="A8477" s="1" t="s">
        <v>8476</v>
      </c>
      <c r="C8477" s="3">
        <v>13</v>
      </c>
    </row>
    <row r="8478" spans="1:3" x14ac:dyDescent="0.25">
      <c r="A8478" s="1" t="s">
        <v>8477</v>
      </c>
      <c r="C8478" s="3">
        <v>13</v>
      </c>
    </row>
    <row r="8479" spans="1:3" x14ac:dyDescent="0.25">
      <c r="A8479" s="1" t="s">
        <v>8478</v>
      </c>
      <c r="C8479" s="3">
        <v>13</v>
      </c>
    </row>
    <row r="8480" spans="1:3" x14ac:dyDescent="0.25">
      <c r="A8480" s="1" t="s">
        <v>8479</v>
      </c>
      <c r="C8480" s="3">
        <v>13</v>
      </c>
    </row>
    <row r="8481" spans="1:3" x14ac:dyDescent="0.25">
      <c r="A8481" s="1" t="s">
        <v>8480</v>
      </c>
      <c r="C8481" s="3">
        <v>13</v>
      </c>
    </row>
    <row r="8482" spans="1:3" x14ac:dyDescent="0.25">
      <c r="A8482" s="1" t="s">
        <v>8481</v>
      </c>
      <c r="C8482" s="3">
        <v>13</v>
      </c>
    </row>
    <row r="8483" spans="1:3" x14ac:dyDescent="0.25">
      <c r="A8483" s="1" t="s">
        <v>8482</v>
      </c>
      <c r="C8483" s="3">
        <v>13</v>
      </c>
    </row>
    <row r="8484" spans="1:3" x14ac:dyDescent="0.25">
      <c r="A8484" s="1" t="s">
        <v>8483</v>
      </c>
      <c r="C8484" s="3">
        <v>13</v>
      </c>
    </row>
    <row r="8485" spans="1:3" x14ac:dyDescent="0.25">
      <c r="A8485" s="1" t="s">
        <v>8484</v>
      </c>
      <c r="C8485" s="3">
        <v>13</v>
      </c>
    </row>
    <row r="8486" spans="1:3" x14ac:dyDescent="0.25">
      <c r="A8486" s="1" t="s">
        <v>8485</v>
      </c>
      <c r="C8486" s="3">
        <v>13</v>
      </c>
    </row>
    <row r="8487" spans="1:3" x14ac:dyDescent="0.25">
      <c r="A8487" s="1" t="s">
        <v>8486</v>
      </c>
      <c r="C8487" s="3">
        <v>13</v>
      </c>
    </row>
    <row r="8488" spans="1:3" x14ac:dyDescent="0.25">
      <c r="A8488" s="1" t="s">
        <v>8487</v>
      </c>
      <c r="C8488" s="3">
        <v>13</v>
      </c>
    </row>
    <row r="8489" spans="1:3" x14ac:dyDescent="0.25">
      <c r="A8489" s="1" t="s">
        <v>8488</v>
      </c>
      <c r="C8489" s="3">
        <v>13</v>
      </c>
    </row>
    <row r="8490" spans="1:3" x14ac:dyDescent="0.25">
      <c r="A8490" s="1" t="s">
        <v>8489</v>
      </c>
      <c r="C8490" s="3">
        <v>13</v>
      </c>
    </row>
    <row r="8491" spans="1:3" x14ac:dyDescent="0.25">
      <c r="A8491" s="1" t="s">
        <v>8490</v>
      </c>
      <c r="C8491" s="3">
        <v>13</v>
      </c>
    </row>
    <row r="8492" spans="1:3" x14ac:dyDescent="0.25">
      <c r="A8492" s="1" t="s">
        <v>8491</v>
      </c>
      <c r="C8492" s="3">
        <v>13</v>
      </c>
    </row>
    <row r="8493" spans="1:3" x14ac:dyDescent="0.25">
      <c r="A8493" s="1" t="s">
        <v>8492</v>
      </c>
      <c r="C8493" s="3">
        <v>13</v>
      </c>
    </row>
    <row r="8494" spans="1:3" x14ac:dyDescent="0.25">
      <c r="A8494" s="1" t="s">
        <v>8493</v>
      </c>
      <c r="C8494" s="3">
        <v>13</v>
      </c>
    </row>
    <row r="8495" spans="1:3" x14ac:dyDescent="0.25">
      <c r="A8495" s="1" t="s">
        <v>8494</v>
      </c>
      <c r="C8495" s="3">
        <v>13</v>
      </c>
    </row>
    <row r="8496" spans="1:3" x14ac:dyDescent="0.25">
      <c r="A8496" s="1" t="s">
        <v>8495</v>
      </c>
      <c r="C8496" s="3">
        <v>13</v>
      </c>
    </row>
    <row r="8497" spans="1:3" x14ac:dyDescent="0.25">
      <c r="A8497" s="1" t="s">
        <v>8496</v>
      </c>
      <c r="C8497" s="3">
        <v>13</v>
      </c>
    </row>
    <row r="8498" spans="1:3" x14ac:dyDescent="0.25">
      <c r="A8498" s="1" t="s">
        <v>8497</v>
      </c>
      <c r="C8498" s="3">
        <v>13</v>
      </c>
    </row>
    <row r="8499" spans="1:3" x14ac:dyDescent="0.25">
      <c r="A8499" s="1" t="s">
        <v>8498</v>
      </c>
      <c r="C8499" s="3">
        <v>13</v>
      </c>
    </row>
    <row r="8500" spans="1:3" x14ac:dyDescent="0.25">
      <c r="A8500" s="1" t="s">
        <v>8499</v>
      </c>
      <c r="C8500" s="3">
        <v>13</v>
      </c>
    </row>
    <row r="8501" spans="1:3" x14ac:dyDescent="0.25">
      <c r="A8501" s="1" t="s">
        <v>8500</v>
      </c>
      <c r="C8501" s="3">
        <v>13</v>
      </c>
    </row>
    <row r="8502" spans="1:3" x14ac:dyDescent="0.25">
      <c r="A8502" s="1" t="s">
        <v>8501</v>
      </c>
      <c r="C8502" s="3">
        <v>13</v>
      </c>
    </row>
    <row r="8503" spans="1:3" x14ac:dyDescent="0.25">
      <c r="A8503" s="1" t="s">
        <v>8502</v>
      </c>
      <c r="C8503" s="3">
        <v>13</v>
      </c>
    </row>
    <row r="8504" spans="1:3" x14ac:dyDescent="0.25">
      <c r="A8504" s="1" t="s">
        <v>8503</v>
      </c>
      <c r="C8504" s="3">
        <v>13</v>
      </c>
    </row>
    <row r="8505" spans="1:3" x14ac:dyDescent="0.25">
      <c r="A8505" s="1" t="s">
        <v>8504</v>
      </c>
      <c r="C8505" s="3">
        <v>13</v>
      </c>
    </row>
    <row r="8506" spans="1:3" x14ac:dyDescent="0.25">
      <c r="A8506" s="1" t="s">
        <v>8505</v>
      </c>
      <c r="C8506" s="3">
        <v>13</v>
      </c>
    </row>
    <row r="8507" spans="1:3" x14ac:dyDescent="0.25">
      <c r="A8507" s="1" t="s">
        <v>8506</v>
      </c>
      <c r="C8507" s="3">
        <v>13</v>
      </c>
    </row>
    <row r="8508" spans="1:3" x14ac:dyDescent="0.25">
      <c r="A8508" s="1" t="s">
        <v>8507</v>
      </c>
      <c r="C8508" s="3">
        <v>13</v>
      </c>
    </row>
    <row r="8509" spans="1:3" x14ac:dyDescent="0.25">
      <c r="A8509" s="1" t="s">
        <v>8508</v>
      </c>
      <c r="C8509" s="3">
        <v>13</v>
      </c>
    </row>
    <row r="8510" spans="1:3" x14ac:dyDescent="0.25">
      <c r="A8510" s="1" t="s">
        <v>8509</v>
      </c>
      <c r="C8510" s="3">
        <v>13</v>
      </c>
    </row>
    <row r="8511" spans="1:3" x14ac:dyDescent="0.25">
      <c r="A8511" s="1" t="s">
        <v>8510</v>
      </c>
      <c r="C8511" s="3">
        <v>13</v>
      </c>
    </row>
    <row r="8512" spans="1:3" x14ac:dyDescent="0.25">
      <c r="A8512" s="1" t="s">
        <v>8511</v>
      </c>
      <c r="C8512" s="3">
        <v>13</v>
      </c>
    </row>
    <row r="8513" spans="1:3" x14ac:dyDescent="0.25">
      <c r="A8513" s="1" t="s">
        <v>8512</v>
      </c>
      <c r="C8513" s="3">
        <v>13</v>
      </c>
    </row>
    <row r="8514" spans="1:3" x14ac:dyDescent="0.25">
      <c r="A8514" s="1" t="s">
        <v>8513</v>
      </c>
      <c r="C8514" s="3">
        <v>13</v>
      </c>
    </row>
    <row r="8515" spans="1:3" x14ac:dyDescent="0.25">
      <c r="A8515" s="1" t="s">
        <v>8514</v>
      </c>
      <c r="C8515" s="3">
        <v>13</v>
      </c>
    </row>
    <row r="8516" spans="1:3" x14ac:dyDescent="0.25">
      <c r="A8516" s="1" t="s">
        <v>8515</v>
      </c>
      <c r="C8516" s="3">
        <v>13</v>
      </c>
    </row>
    <row r="8517" spans="1:3" x14ac:dyDescent="0.25">
      <c r="A8517" s="1" t="s">
        <v>8516</v>
      </c>
      <c r="C8517" s="3">
        <v>13</v>
      </c>
    </row>
    <row r="8518" spans="1:3" x14ac:dyDescent="0.25">
      <c r="A8518" s="1" t="s">
        <v>8517</v>
      </c>
      <c r="C8518" s="3">
        <v>13</v>
      </c>
    </row>
    <row r="8519" spans="1:3" x14ac:dyDescent="0.25">
      <c r="A8519" s="1" t="s">
        <v>8518</v>
      </c>
      <c r="C8519" s="3">
        <v>13</v>
      </c>
    </row>
    <row r="8520" spans="1:3" x14ac:dyDescent="0.25">
      <c r="A8520" s="1" t="s">
        <v>8519</v>
      </c>
      <c r="C8520" s="3">
        <v>13</v>
      </c>
    </row>
    <row r="8521" spans="1:3" x14ac:dyDescent="0.25">
      <c r="A8521" s="1" t="s">
        <v>8520</v>
      </c>
      <c r="C8521" s="3">
        <v>13</v>
      </c>
    </row>
    <row r="8522" spans="1:3" x14ac:dyDescent="0.25">
      <c r="A8522" s="1" t="s">
        <v>8521</v>
      </c>
      <c r="C8522" s="3">
        <v>13</v>
      </c>
    </row>
    <row r="8523" spans="1:3" x14ac:dyDescent="0.25">
      <c r="A8523" s="1" t="s">
        <v>8522</v>
      </c>
      <c r="C8523" s="3">
        <v>13</v>
      </c>
    </row>
    <row r="8524" spans="1:3" x14ac:dyDescent="0.25">
      <c r="A8524" s="1" t="s">
        <v>8523</v>
      </c>
      <c r="C8524" s="3">
        <v>13</v>
      </c>
    </row>
    <row r="8525" spans="1:3" x14ac:dyDescent="0.25">
      <c r="A8525" s="1" t="s">
        <v>8524</v>
      </c>
      <c r="C8525" s="3">
        <v>13</v>
      </c>
    </row>
    <row r="8526" spans="1:3" x14ac:dyDescent="0.25">
      <c r="A8526" s="1" t="s">
        <v>8525</v>
      </c>
      <c r="C8526" s="3">
        <v>13</v>
      </c>
    </row>
    <row r="8527" spans="1:3" x14ac:dyDescent="0.25">
      <c r="A8527" s="1" t="s">
        <v>8526</v>
      </c>
      <c r="C8527" s="3">
        <v>13</v>
      </c>
    </row>
    <row r="8528" spans="1:3" x14ac:dyDescent="0.25">
      <c r="A8528" s="1" t="s">
        <v>8527</v>
      </c>
      <c r="C8528" s="3">
        <v>13</v>
      </c>
    </row>
    <row r="8529" spans="1:3" x14ac:dyDescent="0.25">
      <c r="A8529" s="1" t="s">
        <v>8528</v>
      </c>
      <c r="C8529" s="3">
        <v>13</v>
      </c>
    </row>
    <row r="8530" spans="1:3" x14ac:dyDescent="0.25">
      <c r="A8530" s="1" t="s">
        <v>8529</v>
      </c>
      <c r="C8530" s="3">
        <v>13</v>
      </c>
    </row>
    <row r="8531" spans="1:3" x14ac:dyDescent="0.25">
      <c r="A8531" s="1" t="s">
        <v>8530</v>
      </c>
      <c r="C8531" s="3">
        <v>13</v>
      </c>
    </row>
    <row r="8532" spans="1:3" x14ac:dyDescent="0.25">
      <c r="A8532" s="1" t="s">
        <v>8531</v>
      </c>
      <c r="C8532" s="3">
        <v>13</v>
      </c>
    </row>
    <row r="8533" spans="1:3" x14ac:dyDescent="0.25">
      <c r="A8533" s="1" t="s">
        <v>8532</v>
      </c>
      <c r="C8533" s="3">
        <v>13</v>
      </c>
    </row>
    <row r="8534" spans="1:3" x14ac:dyDescent="0.25">
      <c r="A8534" s="1" t="s">
        <v>8533</v>
      </c>
      <c r="C8534" s="3">
        <v>13</v>
      </c>
    </row>
    <row r="8535" spans="1:3" x14ac:dyDescent="0.25">
      <c r="A8535" s="1" t="s">
        <v>8534</v>
      </c>
      <c r="C8535" s="3">
        <v>13</v>
      </c>
    </row>
    <row r="8536" spans="1:3" x14ac:dyDescent="0.25">
      <c r="A8536" s="1" t="s">
        <v>8535</v>
      </c>
      <c r="C8536" s="3">
        <v>13</v>
      </c>
    </row>
    <row r="8537" spans="1:3" x14ac:dyDescent="0.25">
      <c r="A8537" s="1" t="s">
        <v>8536</v>
      </c>
      <c r="C8537" s="3">
        <v>13</v>
      </c>
    </row>
    <row r="8538" spans="1:3" x14ac:dyDescent="0.25">
      <c r="A8538" s="1" t="s">
        <v>8537</v>
      </c>
      <c r="C8538" s="3">
        <v>13</v>
      </c>
    </row>
    <row r="8539" spans="1:3" x14ac:dyDescent="0.25">
      <c r="A8539" s="1" t="s">
        <v>8538</v>
      </c>
      <c r="C8539" s="3">
        <v>13</v>
      </c>
    </row>
    <row r="8540" spans="1:3" x14ac:dyDescent="0.25">
      <c r="A8540" s="1" t="s">
        <v>8539</v>
      </c>
      <c r="C8540" s="3">
        <v>13</v>
      </c>
    </row>
    <row r="8541" spans="1:3" x14ac:dyDescent="0.25">
      <c r="A8541" s="1" t="s">
        <v>8540</v>
      </c>
      <c r="C8541" s="3">
        <v>13</v>
      </c>
    </row>
    <row r="8542" spans="1:3" x14ac:dyDescent="0.25">
      <c r="A8542" s="1" t="s">
        <v>8541</v>
      </c>
      <c r="C8542" s="3">
        <v>13</v>
      </c>
    </row>
    <row r="8543" spans="1:3" x14ac:dyDescent="0.25">
      <c r="A8543" s="1" t="s">
        <v>8542</v>
      </c>
      <c r="C8543" s="3">
        <v>13</v>
      </c>
    </row>
    <row r="8544" spans="1:3" x14ac:dyDescent="0.25">
      <c r="A8544" s="1" t="s">
        <v>8543</v>
      </c>
      <c r="C8544" s="3">
        <v>13</v>
      </c>
    </row>
    <row r="8545" spans="1:3" x14ac:dyDescent="0.25">
      <c r="A8545" s="1" t="s">
        <v>8544</v>
      </c>
      <c r="C8545" s="3">
        <v>13</v>
      </c>
    </row>
    <row r="8546" spans="1:3" x14ac:dyDescent="0.25">
      <c r="A8546" s="1" t="s">
        <v>8545</v>
      </c>
      <c r="C8546" s="3">
        <v>13</v>
      </c>
    </row>
    <row r="8547" spans="1:3" x14ac:dyDescent="0.25">
      <c r="A8547" s="1" t="s">
        <v>8546</v>
      </c>
      <c r="C8547" s="3">
        <v>13</v>
      </c>
    </row>
    <row r="8548" spans="1:3" x14ac:dyDescent="0.25">
      <c r="A8548" s="1" t="s">
        <v>8547</v>
      </c>
      <c r="C8548" s="3">
        <v>13</v>
      </c>
    </row>
    <row r="8549" spans="1:3" x14ac:dyDescent="0.25">
      <c r="A8549" s="1" t="s">
        <v>8548</v>
      </c>
      <c r="C8549" s="3">
        <v>13</v>
      </c>
    </row>
    <row r="8550" spans="1:3" x14ac:dyDescent="0.25">
      <c r="A8550" s="1" t="s">
        <v>8549</v>
      </c>
      <c r="C8550" s="3">
        <v>13</v>
      </c>
    </row>
    <row r="8551" spans="1:3" x14ac:dyDescent="0.25">
      <c r="A8551" s="1" t="s">
        <v>8550</v>
      </c>
      <c r="C8551" s="3">
        <v>13</v>
      </c>
    </row>
    <row r="8552" spans="1:3" x14ac:dyDescent="0.25">
      <c r="A8552" s="1" t="s">
        <v>8551</v>
      </c>
      <c r="C8552" s="3">
        <v>13</v>
      </c>
    </row>
    <row r="8553" spans="1:3" x14ac:dyDescent="0.25">
      <c r="A8553" s="1" t="s">
        <v>8552</v>
      </c>
      <c r="C8553" s="3">
        <v>13</v>
      </c>
    </row>
    <row r="8554" spans="1:3" x14ac:dyDescent="0.25">
      <c r="A8554" s="1" t="s">
        <v>8553</v>
      </c>
      <c r="C8554" s="3">
        <v>13</v>
      </c>
    </row>
    <row r="8555" spans="1:3" x14ac:dyDescent="0.25">
      <c r="A8555" s="1" t="s">
        <v>8554</v>
      </c>
      <c r="C8555" s="3">
        <v>13</v>
      </c>
    </row>
    <row r="8556" spans="1:3" x14ac:dyDescent="0.25">
      <c r="A8556" s="1" t="s">
        <v>8555</v>
      </c>
      <c r="C8556" s="3">
        <v>13</v>
      </c>
    </row>
    <row r="8557" spans="1:3" x14ac:dyDescent="0.25">
      <c r="A8557" s="1" t="s">
        <v>8556</v>
      </c>
      <c r="C8557" s="3">
        <v>13</v>
      </c>
    </row>
    <row r="8558" spans="1:3" x14ac:dyDescent="0.25">
      <c r="A8558" s="1" t="s">
        <v>8557</v>
      </c>
      <c r="C8558" s="3">
        <v>13</v>
      </c>
    </row>
    <row r="8559" spans="1:3" x14ac:dyDescent="0.25">
      <c r="A8559" s="1" t="s">
        <v>8558</v>
      </c>
      <c r="C8559" s="3">
        <v>13</v>
      </c>
    </row>
    <row r="8560" spans="1:3" x14ac:dyDescent="0.25">
      <c r="A8560" s="1" t="s">
        <v>8559</v>
      </c>
      <c r="C8560" s="3">
        <v>13</v>
      </c>
    </row>
    <row r="8561" spans="1:3" x14ac:dyDescent="0.25">
      <c r="A8561" s="1" t="s">
        <v>8560</v>
      </c>
      <c r="C8561" s="3">
        <v>13</v>
      </c>
    </row>
    <row r="8562" spans="1:3" x14ac:dyDescent="0.25">
      <c r="A8562" s="1" t="s">
        <v>8561</v>
      </c>
      <c r="C8562" s="3">
        <v>13</v>
      </c>
    </row>
    <row r="8563" spans="1:3" x14ac:dyDescent="0.25">
      <c r="A8563" s="1" t="s">
        <v>8562</v>
      </c>
      <c r="C8563" s="3">
        <v>13</v>
      </c>
    </row>
    <row r="8564" spans="1:3" x14ac:dyDescent="0.25">
      <c r="A8564" s="1" t="s">
        <v>8563</v>
      </c>
      <c r="C8564" s="3">
        <v>13</v>
      </c>
    </row>
    <row r="8565" spans="1:3" x14ac:dyDescent="0.25">
      <c r="A8565" s="1" t="s">
        <v>8564</v>
      </c>
      <c r="C8565" s="3">
        <v>13</v>
      </c>
    </row>
    <row r="8566" spans="1:3" x14ac:dyDescent="0.25">
      <c r="A8566" s="1" t="s">
        <v>8565</v>
      </c>
      <c r="C8566" s="3">
        <v>13</v>
      </c>
    </row>
    <row r="8567" spans="1:3" x14ac:dyDescent="0.25">
      <c r="A8567" s="1" t="s">
        <v>8566</v>
      </c>
      <c r="C8567" s="3">
        <v>13</v>
      </c>
    </row>
    <row r="8568" spans="1:3" x14ac:dyDescent="0.25">
      <c r="A8568" s="1" t="s">
        <v>8567</v>
      </c>
      <c r="C8568" s="3">
        <v>13</v>
      </c>
    </row>
    <row r="8569" spans="1:3" x14ac:dyDescent="0.25">
      <c r="A8569" s="1" t="s">
        <v>8568</v>
      </c>
      <c r="C8569" s="3">
        <v>13</v>
      </c>
    </row>
    <row r="8570" spans="1:3" x14ac:dyDescent="0.25">
      <c r="A8570" s="1" t="s">
        <v>8569</v>
      </c>
      <c r="C8570" s="3">
        <v>13</v>
      </c>
    </row>
    <row r="8571" spans="1:3" x14ac:dyDescent="0.25">
      <c r="A8571" s="1" t="s">
        <v>8570</v>
      </c>
      <c r="C8571" s="3">
        <v>13</v>
      </c>
    </row>
    <row r="8572" spans="1:3" x14ac:dyDescent="0.25">
      <c r="A8572" s="1" t="s">
        <v>8571</v>
      </c>
      <c r="C8572" s="3">
        <v>13</v>
      </c>
    </row>
    <row r="8573" spans="1:3" x14ac:dyDescent="0.25">
      <c r="A8573" s="1" t="s">
        <v>8572</v>
      </c>
      <c r="C8573" s="3">
        <v>13</v>
      </c>
    </row>
    <row r="8574" spans="1:3" x14ac:dyDescent="0.25">
      <c r="A8574" s="1" t="s">
        <v>8573</v>
      </c>
      <c r="C8574" s="3">
        <v>13</v>
      </c>
    </row>
    <row r="8575" spans="1:3" x14ac:dyDescent="0.25">
      <c r="A8575" s="1" t="s">
        <v>8574</v>
      </c>
      <c r="C8575" s="3">
        <v>13</v>
      </c>
    </row>
    <row r="8576" spans="1:3" x14ac:dyDescent="0.25">
      <c r="A8576" s="1" t="s">
        <v>8575</v>
      </c>
      <c r="C8576" s="3">
        <v>13</v>
      </c>
    </row>
    <row r="8577" spans="1:3" x14ac:dyDescent="0.25">
      <c r="A8577" s="1" t="s">
        <v>8576</v>
      </c>
      <c r="C8577" s="3">
        <v>13</v>
      </c>
    </row>
    <row r="8578" spans="1:3" x14ac:dyDescent="0.25">
      <c r="A8578" s="1" t="s">
        <v>8577</v>
      </c>
      <c r="C8578" s="3">
        <v>13</v>
      </c>
    </row>
    <row r="8579" spans="1:3" x14ac:dyDescent="0.25">
      <c r="A8579" s="1" t="s">
        <v>8578</v>
      </c>
      <c r="C8579" s="3">
        <v>13</v>
      </c>
    </row>
    <row r="8580" spans="1:3" x14ac:dyDescent="0.25">
      <c r="A8580" s="1" t="s">
        <v>8579</v>
      </c>
      <c r="C8580" s="3">
        <v>13</v>
      </c>
    </row>
    <row r="8581" spans="1:3" x14ac:dyDescent="0.25">
      <c r="A8581" s="1" t="s">
        <v>8580</v>
      </c>
      <c r="C8581" s="3">
        <v>13</v>
      </c>
    </row>
    <row r="8582" spans="1:3" x14ac:dyDescent="0.25">
      <c r="A8582" s="1" t="s">
        <v>8581</v>
      </c>
      <c r="C8582" s="3">
        <v>13</v>
      </c>
    </row>
    <row r="8583" spans="1:3" x14ac:dyDescent="0.25">
      <c r="A8583" s="1" t="s">
        <v>8582</v>
      </c>
      <c r="C8583" s="3">
        <v>13</v>
      </c>
    </row>
    <row r="8584" spans="1:3" x14ac:dyDescent="0.25">
      <c r="A8584" s="1" t="s">
        <v>8583</v>
      </c>
      <c r="C8584" s="3">
        <v>13</v>
      </c>
    </row>
    <row r="8585" spans="1:3" x14ac:dyDescent="0.25">
      <c r="A8585" s="1" t="s">
        <v>8584</v>
      </c>
      <c r="C8585" s="3">
        <v>13</v>
      </c>
    </row>
    <row r="8586" spans="1:3" x14ac:dyDescent="0.25">
      <c r="A8586" s="1" t="s">
        <v>8585</v>
      </c>
      <c r="C8586" s="3">
        <v>13</v>
      </c>
    </row>
    <row r="8587" spans="1:3" x14ac:dyDescent="0.25">
      <c r="A8587" s="1" t="s">
        <v>8586</v>
      </c>
      <c r="C8587" s="3">
        <v>13</v>
      </c>
    </row>
    <row r="8588" spans="1:3" x14ac:dyDescent="0.25">
      <c r="A8588" s="1" t="s">
        <v>8587</v>
      </c>
      <c r="C8588" s="3">
        <v>13</v>
      </c>
    </row>
    <row r="8589" spans="1:3" x14ac:dyDescent="0.25">
      <c r="A8589" s="1" t="s">
        <v>8588</v>
      </c>
      <c r="C8589" s="3">
        <v>13</v>
      </c>
    </row>
    <row r="8590" spans="1:3" x14ac:dyDescent="0.25">
      <c r="A8590" s="1" t="s">
        <v>8589</v>
      </c>
      <c r="C8590" s="3">
        <v>13</v>
      </c>
    </row>
    <row r="8591" spans="1:3" x14ac:dyDescent="0.25">
      <c r="A8591" s="1" t="s">
        <v>8590</v>
      </c>
      <c r="C8591" s="3">
        <v>13</v>
      </c>
    </row>
    <row r="8592" spans="1:3" x14ac:dyDescent="0.25">
      <c r="A8592" s="1" t="s">
        <v>8591</v>
      </c>
      <c r="C8592" s="3">
        <v>13</v>
      </c>
    </row>
    <row r="8593" spans="1:3" x14ac:dyDescent="0.25">
      <c r="A8593" s="1" t="s">
        <v>8592</v>
      </c>
      <c r="C8593" s="3">
        <v>13</v>
      </c>
    </row>
    <row r="8594" spans="1:3" x14ac:dyDescent="0.25">
      <c r="A8594" s="1" t="s">
        <v>8593</v>
      </c>
      <c r="C8594" s="3">
        <v>13</v>
      </c>
    </row>
    <row r="8595" spans="1:3" x14ac:dyDescent="0.25">
      <c r="A8595" s="1" t="s">
        <v>8594</v>
      </c>
      <c r="C8595" s="3">
        <v>13</v>
      </c>
    </row>
    <row r="8596" spans="1:3" x14ac:dyDescent="0.25">
      <c r="A8596" s="1" t="s">
        <v>8595</v>
      </c>
      <c r="C8596" s="3">
        <v>13</v>
      </c>
    </row>
    <row r="8597" spans="1:3" x14ac:dyDescent="0.25">
      <c r="A8597" s="1" t="s">
        <v>8596</v>
      </c>
      <c r="C8597" s="3">
        <v>13</v>
      </c>
    </row>
    <row r="8598" spans="1:3" x14ac:dyDescent="0.25">
      <c r="A8598" s="1" t="s">
        <v>8597</v>
      </c>
      <c r="C8598" s="3">
        <v>13</v>
      </c>
    </row>
    <row r="8599" spans="1:3" x14ac:dyDescent="0.25">
      <c r="A8599" s="1" t="s">
        <v>8598</v>
      </c>
      <c r="C8599" s="3">
        <v>13</v>
      </c>
    </row>
    <row r="8600" spans="1:3" x14ac:dyDescent="0.25">
      <c r="A8600" s="1" t="s">
        <v>8599</v>
      </c>
      <c r="C8600" s="3">
        <v>13</v>
      </c>
    </row>
    <row r="8601" spans="1:3" x14ac:dyDescent="0.25">
      <c r="A8601" s="1" t="s">
        <v>8600</v>
      </c>
      <c r="C8601" s="3">
        <v>13</v>
      </c>
    </row>
    <row r="8602" spans="1:3" x14ac:dyDescent="0.25">
      <c r="A8602" s="1" t="s">
        <v>8601</v>
      </c>
      <c r="C8602" s="3">
        <v>13</v>
      </c>
    </row>
    <row r="8603" spans="1:3" x14ac:dyDescent="0.25">
      <c r="A8603" s="1" t="s">
        <v>8602</v>
      </c>
      <c r="C8603" s="3">
        <v>13</v>
      </c>
    </row>
    <row r="8604" spans="1:3" x14ac:dyDescent="0.25">
      <c r="A8604" s="1" t="s">
        <v>8603</v>
      </c>
      <c r="C8604" s="3">
        <v>13</v>
      </c>
    </row>
    <row r="8605" spans="1:3" x14ac:dyDescent="0.25">
      <c r="A8605" s="1" t="s">
        <v>8604</v>
      </c>
      <c r="C8605" s="3">
        <v>13</v>
      </c>
    </row>
    <row r="8606" spans="1:3" x14ac:dyDescent="0.25">
      <c r="A8606" s="1" t="s">
        <v>8605</v>
      </c>
      <c r="C8606" s="3">
        <v>13</v>
      </c>
    </row>
    <row r="8607" spans="1:3" x14ac:dyDescent="0.25">
      <c r="A8607" s="1" t="s">
        <v>8606</v>
      </c>
      <c r="C8607" s="3">
        <v>13</v>
      </c>
    </row>
    <row r="8608" spans="1:3" x14ac:dyDescent="0.25">
      <c r="A8608" s="1" t="s">
        <v>8607</v>
      </c>
      <c r="C8608" s="3">
        <v>13</v>
      </c>
    </row>
    <row r="8609" spans="1:3" x14ac:dyDescent="0.25">
      <c r="A8609" s="1" t="s">
        <v>8608</v>
      </c>
      <c r="C8609" s="3">
        <v>13</v>
      </c>
    </row>
    <row r="8610" spans="1:3" x14ac:dyDescent="0.25">
      <c r="A8610" s="1" t="s">
        <v>8609</v>
      </c>
      <c r="C8610" s="3">
        <v>13</v>
      </c>
    </row>
    <row r="8611" spans="1:3" x14ac:dyDescent="0.25">
      <c r="A8611" s="1" t="s">
        <v>8610</v>
      </c>
      <c r="C8611" s="3">
        <v>13</v>
      </c>
    </row>
    <row r="8612" spans="1:3" x14ac:dyDescent="0.25">
      <c r="A8612" s="1" t="s">
        <v>8611</v>
      </c>
      <c r="C8612" s="3">
        <v>13</v>
      </c>
    </row>
    <row r="8613" spans="1:3" x14ac:dyDescent="0.25">
      <c r="A8613" s="1" t="s">
        <v>8612</v>
      </c>
      <c r="C8613" s="3">
        <v>13</v>
      </c>
    </row>
    <row r="8614" spans="1:3" x14ac:dyDescent="0.25">
      <c r="A8614" s="1" t="s">
        <v>8613</v>
      </c>
      <c r="C8614" s="3">
        <v>13</v>
      </c>
    </row>
    <row r="8615" spans="1:3" x14ac:dyDescent="0.25">
      <c r="A8615" s="1" t="s">
        <v>8614</v>
      </c>
      <c r="C8615" s="3">
        <v>13</v>
      </c>
    </row>
    <row r="8616" spans="1:3" x14ac:dyDescent="0.25">
      <c r="A8616" s="1" t="s">
        <v>8615</v>
      </c>
      <c r="C8616" s="3">
        <v>13</v>
      </c>
    </row>
    <row r="8617" spans="1:3" x14ac:dyDescent="0.25">
      <c r="A8617" s="1" t="s">
        <v>8616</v>
      </c>
      <c r="C8617" s="3">
        <v>13</v>
      </c>
    </row>
    <row r="8618" spans="1:3" x14ac:dyDescent="0.25">
      <c r="A8618" s="1" t="s">
        <v>8617</v>
      </c>
      <c r="C8618" s="3">
        <v>13</v>
      </c>
    </row>
    <row r="8619" spans="1:3" x14ac:dyDescent="0.25">
      <c r="A8619" s="1" t="s">
        <v>8618</v>
      </c>
      <c r="C8619" s="3">
        <v>13</v>
      </c>
    </row>
    <row r="8620" spans="1:3" x14ac:dyDescent="0.25">
      <c r="A8620" s="1" t="s">
        <v>8619</v>
      </c>
      <c r="C8620" s="3">
        <v>13</v>
      </c>
    </row>
    <row r="8621" spans="1:3" x14ac:dyDescent="0.25">
      <c r="A8621" s="1" t="s">
        <v>8620</v>
      </c>
      <c r="C8621" s="3">
        <v>13</v>
      </c>
    </row>
    <row r="8622" spans="1:3" x14ac:dyDescent="0.25">
      <c r="A8622" s="1" t="s">
        <v>8621</v>
      </c>
      <c r="C8622" s="3">
        <v>13</v>
      </c>
    </row>
    <row r="8623" spans="1:3" x14ac:dyDescent="0.25">
      <c r="A8623" s="1" t="s">
        <v>8622</v>
      </c>
      <c r="C8623" s="3">
        <v>13</v>
      </c>
    </row>
    <row r="8624" spans="1:3" x14ac:dyDescent="0.25">
      <c r="A8624" s="1" t="s">
        <v>8623</v>
      </c>
      <c r="C8624" s="3">
        <v>13</v>
      </c>
    </row>
    <row r="8625" spans="1:3" x14ac:dyDescent="0.25">
      <c r="A8625" s="1" t="s">
        <v>8624</v>
      </c>
      <c r="C8625" s="3">
        <v>13</v>
      </c>
    </row>
    <row r="8626" spans="1:3" x14ac:dyDescent="0.25">
      <c r="A8626" s="1" t="s">
        <v>8625</v>
      </c>
      <c r="C8626" s="3">
        <v>13</v>
      </c>
    </row>
    <row r="8627" spans="1:3" x14ac:dyDescent="0.25">
      <c r="A8627" s="1" t="s">
        <v>8626</v>
      </c>
      <c r="C8627" s="3">
        <v>13</v>
      </c>
    </row>
    <row r="8628" spans="1:3" x14ac:dyDescent="0.25">
      <c r="A8628" s="1" t="s">
        <v>8627</v>
      </c>
      <c r="C8628" s="3">
        <v>13</v>
      </c>
    </row>
    <row r="8629" spans="1:3" x14ac:dyDescent="0.25">
      <c r="A8629" s="1" t="s">
        <v>8628</v>
      </c>
      <c r="C8629" s="3">
        <v>13</v>
      </c>
    </row>
    <row r="8630" spans="1:3" x14ac:dyDescent="0.25">
      <c r="A8630" s="1" t="s">
        <v>8629</v>
      </c>
      <c r="C8630" s="3">
        <v>13</v>
      </c>
    </row>
    <row r="8631" spans="1:3" x14ac:dyDescent="0.25">
      <c r="A8631" s="1" t="s">
        <v>8630</v>
      </c>
      <c r="C8631" s="3">
        <v>13</v>
      </c>
    </row>
    <row r="8632" spans="1:3" x14ac:dyDescent="0.25">
      <c r="A8632" s="1" t="s">
        <v>8631</v>
      </c>
      <c r="C8632" s="3">
        <v>13</v>
      </c>
    </row>
    <row r="8633" spans="1:3" x14ac:dyDescent="0.25">
      <c r="A8633" s="1" t="s">
        <v>8632</v>
      </c>
      <c r="C8633" s="3">
        <v>13</v>
      </c>
    </row>
    <row r="8634" spans="1:3" x14ac:dyDescent="0.25">
      <c r="A8634" s="1" t="s">
        <v>8633</v>
      </c>
      <c r="C8634" s="3">
        <v>13</v>
      </c>
    </row>
    <row r="8635" spans="1:3" x14ac:dyDescent="0.25">
      <c r="A8635" s="1" t="s">
        <v>8634</v>
      </c>
      <c r="C8635" s="3">
        <v>13</v>
      </c>
    </row>
    <row r="8636" spans="1:3" x14ac:dyDescent="0.25">
      <c r="A8636" s="1" t="s">
        <v>8635</v>
      </c>
      <c r="C8636" s="3">
        <v>13</v>
      </c>
    </row>
    <row r="8637" spans="1:3" x14ac:dyDescent="0.25">
      <c r="A8637" s="1" t="s">
        <v>8636</v>
      </c>
      <c r="C8637" s="3">
        <v>13</v>
      </c>
    </row>
    <row r="8638" spans="1:3" x14ac:dyDescent="0.25">
      <c r="A8638" s="1" t="s">
        <v>8637</v>
      </c>
      <c r="C8638" s="3">
        <v>13</v>
      </c>
    </row>
    <row r="8639" spans="1:3" x14ac:dyDescent="0.25">
      <c r="A8639" s="1" t="s">
        <v>8638</v>
      </c>
      <c r="C8639" s="3">
        <v>13</v>
      </c>
    </row>
    <row r="8640" spans="1:3" x14ac:dyDescent="0.25">
      <c r="A8640" s="1" t="s">
        <v>8639</v>
      </c>
      <c r="C8640" s="3">
        <v>13</v>
      </c>
    </row>
    <row r="8641" spans="1:3" x14ac:dyDescent="0.25">
      <c r="A8641" s="1" t="s">
        <v>8640</v>
      </c>
      <c r="C8641" s="3">
        <v>13</v>
      </c>
    </row>
    <row r="8642" spans="1:3" x14ac:dyDescent="0.25">
      <c r="A8642" s="1" t="s">
        <v>8641</v>
      </c>
      <c r="C8642" s="3">
        <v>13</v>
      </c>
    </row>
    <row r="8643" spans="1:3" x14ac:dyDescent="0.25">
      <c r="A8643" s="1" t="s">
        <v>8642</v>
      </c>
      <c r="C8643" s="3">
        <v>13</v>
      </c>
    </row>
    <row r="8644" spans="1:3" x14ac:dyDescent="0.25">
      <c r="A8644" s="1" t="s">
        <v>8643</v>
      </c>
      <c r="C8644" s="3">
        <v>13</v>
      </c>
    </row>
    <row r="8645" spans="1:3" x14ac:dyDescent="0.25">
      <c r="A8645" s="1" t="s">
        <v>8644</v>
      </c>
      <c r="C8645" s="3">
        <v>13</v>
      </c>
    </row>
    <row r="8646" spans="1:3" x14ac:dyDescent="0.25">
      <c r="A8646" s="1" t="s">
        <v>8645</v>
      </c>
      <c r="C8646" s="3">
        <v>13</v>
      </c>
    </row>
    <row r="8647" spans="1:3" x14ac:dyDescent="0.25">
      <c r="A8647" s="1" t="s">
        <v>8646</v>
      </c>
      <c r="C8647" s="3">
        <v>13</v>
      </c>
    </row>
    <row r="8648" spans="1:3" x14ac:dyDescent="0.25">
      <c r="A8648" s="1" t="s">
        <v>8647</v>
      </c>
      <c r="C8648" s="3">
        <v>13</v>
      </c>
    </row>
    <row r="8649" spans="1:3" x14ac:dyDescent="0.25">
      <c r="A8649" s="1" t="s">
        <v>8648</v>
      </c>
      <c r="C8649" s="3">
        <v>13</v>
      </c>
    </row>
    <row r="8650" spans="1:3" x14ac:dyDescent="0.25">
      <c r="A8650" s="1" t="s">
        <v>8649</v>
      </c>
      <c r="C8650" s="3">
        <v>13</v>
      </c>
    </row>
    <row r="8651" spans="1:3" x14ac:dyDescent="0.25">
      <c r="A8651" s="1" t="s">
        <v>8650</v>
      </c>
      <c r="C8651" s="3">
        <v>13</v>
      </c>
    </row>
    <row r="8652" spans="1:3" x14ac:dyDescent="0.25">
      <c r="A8652" s="1" t="s">
        <v>8651</v>
      </c>
      <c r="C8652" s="3">
        <v>13</v>
      </c>
    </row>
    <row r="8653" spans="1:3" x14ac:dyDescent="0.25">
      <c r="A8653" s="1" t="s">
        <v>8652</v>
      </c>
      <c r="C8653" s="3">
        <v>13</v>
      </c>
    </row>
    <row r="8654" spans="1:3" x14ac:dyDescent="0.25">
      <c r="A8654" s="1" t="s">
        <v>8653</v>
      </c>
      <c r="C8654" s="3">
        <v>13</v>
      </c>
    </row>
    <row r="8655" spans="1:3" x14ac:dyDescent="0.25">
      <c r="A8655" s="1" t="s">
        <v>8654</v>
      </c>
      <c r="C8655" s="3">
        <v>13</v>
      </c>
    </row>
    <row r="8656" spans="1:3" x14ac:dyDescent="0.25">
      <c r="A8656" s="1" t="s">
        <v>8655</v>
      </c>
      <c r="C8656" s="3">
        <v>13</v>
      </c>
    </row>
    <row r="8657" spans="1:3" x14ac:dyDescent="0.25">
      <c r="A8657" s="1" t="s">
        <v>8656</v>
      </c>
      <c r="C8657" s="3">
        <v>13</v>
      </c>
    </row>
    <row r="8658" spans="1:3" x14ac:dyDescent="0.25">
      <c r="A8658" s="1" t="s">
        <v>8657</v>
      </c>
      <c r="C8658" s="3">
        <v>13</v>
      </c>
    </row>
    <row r="8659" spans="1:3" x14ac:dyDescent="0.25">
      <c r="A8659" s="1" t="s">
        <v>8658</v>
      </c>
      <c r="C8659" s="3">
        <v>13</v>
      </c>
    </row>
    <row r="8660" spans="1:3" x14ac:dyDescent="0.25">
      <c r="A8660" s="1" t="s">
        <v>8659</v>
      </c>
      <c r="C8660" s="3">
        <v>13</v>
      </c>
    </row>
    <row r="8661" spans="1:3" x14ac:dyDescent="0.25">
      <c r="A8661" s="1" t="s">
        <v>8660</v>
      </c>
      <c r="C8661" s="3">
        <v>13</v>
      </c>
    </row>
    <row r="8662" spans="1:3" x14ac:dyDescent="0.25">
      <c r="A8662" s="1" t="s">
        <v>8661</v>
      </c>
      <c r="C8662" s="3">
        <v>13</v>
      </c>
    </row>
    <row r="8663" spans="1:3" x14ac:dyDescent="0.25">
      <c r="A8663" s="1" t="s">
        <v>8662</v>
      </c>
      <c r="C8663" s="3">
        <v>13</v>
      </c>
    </row>
    <row r="8664" spans="1:3" x14ac:dyDescent="0.25">
      <c r="A8664" s="1" t="s">
        <v>8663</v>
      </c>
      <c r="C8664" s="3">
        <v>13</v>
      </c>
    </row>
    <row r="8665" spans="1:3" x14ac:dyDescent="0.25">
      <c r="A8665" s="1" t="s">
        <v>8664</v>
      </c>
      <c r="C8665" s="3">
        <v>13</v>
      </c>
    </row>
    <row r="8666" spans="1:3" x14ac:dyDescent="0.25">
      <c r="A8666" s="1" t="s">
        <v>8665</v>
      </c>
      <c r="C8666" s="3">
        <v>13</v>
      </c>
    </row>
    <row r="8667" spans="1:3" x14ac:dyDescent="0.25">
      <c r="A8667" s="1" t="s">
        <v>8666</v>
      </c>
      <c r="C8667" s="3">
        <v>13</v>
      </c>
    </row>
    <row r="8668" spans="1:3" x14ac:dyDescent="0.25">
      <c r="A8668" s="1" t="s">
        <v>8667</v>
      </c>
      <c r="C8668" s="3">
        <v>13</v>
      </c>
    </row>
    <row r="8669" spans="1:3" x14ac:dyDescent="0.25">
      <c r="A8669" s="1" t="s">
        <v>8668</v>
      </c>
      <c r="C8669" s="3">
        <v>13</v>
      </c>
    </row>
    <row r="8670" spans="1:3" x14ac:dyDescent="0.25">
      <c r="A8670" s="1" t="s">
        <v>8669</v>
      </c>
      <c r="C8670" s="3">
        <v>13</v>
      </c>
    </row>
    <row r="8671" spans="1:3" x14ac:dyDescent="0.25">
      <c r="A8671" s="1" t="s">
        <v>8670</v>
      </c>
      <c r="C8671" s="3">
        <v>13</v>
      </c>
    </row>
    <row r="8672" spans="1:3" x14ac:dyDescent="0.25">
      <c r="A8672" s="1" t="s">
        <v>8671</v>
      </c>
      <c r="C8672" s="3">
        <v>13</v>
      </c>
    </row>
    <row r="8673" spans="1:3" x14ac:dyDescent="0.25">
      <c r="A8673" s="1" t="s">
        <v>8672</v>
      </c>
      <c r="C8673" s="3">
        <v>13</v>
      </c>
    </row>
    <row r="8674" spans="1:3" x14ac:dyDescent="0.25">
      <c r="A8674" s="1" t="s">
        <v>8673</v>
      </c>
      <c r="C8674" s="3">
        <v>13</v>
      </c>
    </row>
    <row r="8675" spans="1:3" x14ac:dyDescent="0.25">
      <c r="A8675" s="1" t="s">
        <v>8674</v>
      </c>
      <c r="C8675" s="3">
        <v>13</v>
      </c>
    </row>
    <row r="8676" spans="1:3" x14ac:dyDescent="0.25">
      <c r="A8676" s="1" t="s">
        <v>8675</v>
      </c>
      <c r="C8676" s="3">
        <v>13</v>
      </c>
    </row>
    <row r="8677" spans="1:3" x14ac:dyDescent="0.25">
      <c r="A8677" s="1" t="s">
        <v>8676</v>
      </c>
      <c r="C8677" s="3">
        <v>13</v>
      </c>
    </row>
    <row r="8678" spans="1:3" x14ac:dyDescent="0.25">
      <c r="A8678" s="1" t="s">
        <v>8677</v>
      </c>
      <c r="C8678" s="3">
        <v>13</v>
      </c>
    </row>
    <row r="8679" spans="1:3" x14ac:dyDescent="0.25">
      <c r="A8679" s="1" t="s">
        <v>8678</v>
      </c>
      <c r="C8679" s="3">
        <v>13</v>
      </c>
    </row>
    <row r="8680" spans="1:3" x14ac:dyDescent="0.25">
      <c r="A8680" s="1" t="s">
        <v>8679</v>
      </c>
      <c r="C8680" s="3">
        <v>13</v>
      </c>
    </row>
    <row r="8681" spans="1:3" x14ac:dyDescent="0.25">
      <c r="A8681" s="1" t="s">
        <v>8680</v>
      </c>
      <c r="C8681" s="3">
        <v>13</v>
      </c>
    </row>
    <row r="8682" spans="1:3" x14ac:dyDescent="0.25">
      <c r="A8682" s="1" t="s">
        <v>8681</v>
      </c>
      <c r="C8682" s="3">
        <v>13</v>
      </c>
    </row>
    <row r="8683" spans="1:3" x14ac:dyDescent="0.25">
      <c r="A8683" s="1" t="s">
        <v>8682</v>
      </c>
      <c r="C8683" s="3">
        <v>13</v>
      </c>
    </row>
    <row r="8684" spans="1:3" x14ac:dyDescent="0.25">
      <c r="A8684" s="1" t="s">
        <v>8683</v>
      </c>
      <c r="C8684" s="3">
        <v>13</v>
      </c>
    </row>
    <row r="8685" spans="1:3" x14ac:dyDescent="0.25">
      <c r="A8685" s="1" t="s">
        <v>8684</v>
      </c>
      <c r="C8685" s="3">
        <v>13</v>
      </c>
    </row>
    <row r="8686" spans="1:3" x14ac:dyDescent="0.25">
      <c r="A8686" s="1" t="s">
        <v>8685</v>
      </c>
      <c r="C8686" s="3">
        <v>13</v>
      </c>
    </row>
    <row r="8687" spans="1:3" x14ac:dyDescent="0.25">
      <c r="A8687" s="1" t="s">
        <v>8686</v>
      </c>
      <c r="C8687" s="3">
        <v>13</v>
      </c>
    </row>
    <row r="8688" spans="1:3" x14ac:dyDescent="0.25">
      <c r="A8688" s="1" t="s">
        <v>8687</v>
      </c>
      <c r="C8688" s="3">
        <v>13</v>
      </c>
    </row>
    <row r="8689" spans="1:3" x14ac:dyDescent="0.25">
      <c r="A8689" s="1" t="s">
        <v>8688</v>
      </c>
      <c r="C8689" s="3">
        <v>13</v>
      </c>
    </row>
    <row r="8690" spans="1:3" x14ac:dyDescent="0.25">
      <c r="A8690" s="1" t="s">
        <v>8689</v>
      </c>
      <c r="C8690" s="3">
        <v>13</v>
      </c>
    </row>
    <row r="8691" spans="1:3" x14ac:dyDescent="0.25">
      <c r="A8691" s="1" t="s">
        <v>8690</v>
      </c>
      <c r="C8691" s="3">
        <v>13</v>
      </c>
    </row>
    <row r="8692" spans="1:3" x14ac:dyDescent="0.25">
      <c r="A8692" s="1" t="s">
        <v>8691</v>
      </c>
      <c r="C8692" s="3">
        <v>13</v>
      </c>
    </row>
    <row r="8693" spans="1:3" x14ac:dyDescent="0.25">
      <c r="A8693" s="1" t="s">
        <v>8692</v>
      </c>
      <c r="C8693" s="3">
        <v>13</v>
      </c>
    </row>
    <row r="8694" spans="1:3" x14ac:dyDescent="0.25">
      <c r="A8694" s="1" t="s">
        <v>8693</v>
      </c>
      <c r="C8694" s="3">
        <v>13</v>
      </c>
    </row>
    <row r="8695" spans="1:3" x14ac:dyDescent="0.25">
      <c r="A8695" s="1" t="s">
        <v>8694</v>
      </c>
      <c r="C8695" s="3">
        <v>13</v>
      </c>
    </row>
    <row r="8696" spans="1:3" x14ac:dyDescent="0.25">
      <c r="A8696" s="1" t="s">
        <v>8695</v>
      </c>
      <c r="C8696" s="3">
        <v>13</v>
      </c>
    </row>
    <row r="8697" spans="1:3" x14ac:dyDescent="0.25">
      <c r="A8697" s="1" t="s">
        <v>8696</v>
      </c>
      <c r="C8697" s="3">
        <v>13</v>
      </c>
    </row>
    <row r="8698" spans="1:3" x14ac:dyDescent="0.25">
      <c r="A8698" s="1" t="s">
        <v>8697</v>
      </c>
      <c r="C8698" s="3">
        <v>13</v>
      </c>
    </row>
    <row r="8699" spans="1:3" x14ac:dyDescent="0.25">
      <c r="A8699" s="1" t="s">
        <v>8698</v>
      </c>
      <c r="C8699" s="3">
        <v>13</v>
      </c>
    </row>
    <row r="8700" spans="1:3" x14ac:dyDescent="0.25">
      <c r="A8700" s="1" t="s">
        <v>8699</v>
      </c>
      <c r="C8700" s="3">
        <v>13</v>
      </c>
    </row>
    <row r="8701" spans="1:3" x14ac:dyDescent="0.25">
      <c r="A8701" s="1" t="s">
        <v>8700</v>
      </c>
      <c r="C8701" s="3">
        <v>13</v>
      </c>
    </row>
    <row r="8702" spans="1:3" x14ac:dyDescent="0.25">
      <c r="A8702" s="1" t="s">
        <v>8701</v>
      </c>
      <c r="C8702" s="3">
        <v>13</v>
      </c>
    </row>
    <row r="8703" spans="1:3" x14ac:dyDescent="0.25">
      <c r="A8703" s="1" t="s">
        <v>8702</v>
      </c>
      <c r="C8703" s="3">
        <v>13</v>
      </c>
    </row>
    <row r="8704" spans="1:3" x14ac:dyDescent="0.25">
      <c r="A8704" s="1" t="s">
        <v>8703</v>
      </c>
      <c r="C8704" s="3">
        <v>13</v>
      </c>
    </row>
    <row r="8705" spans="1:3" x14ac:dyDescent="0.25">
      <c r="A8705" s="1" t="s">
        <v>8704</v>
      </c>
      <c r="C8705" s="3">
        <v>13</v>
      </c>
    </row>
    <row r="8706" spans="1:3" x14ac:dyDescent="0.25">
      <c r="A8706" s="1" t="s">
        <v>8705</v>
      </c>
      <c r="C8706" s="3">
        <v>13</v>
      </c>
    </row>
    <row r="8707" spans="1:3" x14ac:dyDescent="0.25">
      <c r="A8707" s="1" t="s">
        <v>8706</v>
      </c>
      <c r="C8707" s="3">
        <v>13</v>
      </c>
    </row>
    <row r="8708" spans="1:3" x14ac:dyDescent="0.25">
      <c r="A8708" s="1" t="s">
        <v>8707</v>
      </c>
      <c r="C8708" s="3">
        <v>13</v>
      </c>
    </row>
    <row r="8709" spans="1:3" x14ac:dyDescent="0.25">
      <c r="A8709" s="1" t="s">
        <v>8708</v>
      </c>
      <c r="C8709" s="3">
        <v>13</v>
      </c>
    </row>
    <row r="8710" spans="1:3" x14ac:dyDescent="0.25">
      <c r="A8710" s="1" t="s">
        <v>8709</v>
      </c>
      <c r="C8710" s="3">
        <v>13</v>
      </c>
    </row>
    <row r="8711" spans="1:3" x14ac:dyDescent="0.25">
      <c r="A8711" s="1" t="s">
        <v>8710</v>
      </c>
      <c r="C8711" s="3">
        <v>13</v>
      </c>
    </row>
    <row r="8712" spans="1:3" x14ac:dyDescent="0.25">
      <c r="A8712" s="1" t="s">
        <v>8711</v>
      </c>
      <c r="C8712" s="3">
        <v>13</v>
      </c>
    </row>
    <row r="8713" spans="1:3" x14ac:dyDescent="0.25">
      <c r="A8713" s="1" t="s">
        <v>8712</v>
      </c>
      <c r="C8713" s="3">
        <v>13</v>
      </c>
    </row>
    <row r="8714" spans="1:3" x14ac:dyDescent="0.25">
      <c r="A8714" s="1" t="s">
        <v>8713</v>
      </c>
      <c r="C8714" s="3">
        <v>13</v>
      </c>
    </row>
    <row r="8715" spans="1:3" x14ac:dyDescent="0.25">
      <c r="A8715" s="1" t="s">
        <v>8714</v>
      </c>
      <c r="C8715" s="3">
        <v>13</v>
      </c>
    </row>
    <row r="8716" spans="1:3" x14ac:dyDescent="0.25">
      <c r="A8716" s="1" t="s">
        <v>8715</v>
      </c>
      <c r="C8716" s="3">
        <v>13</v>
      </c>
    </row>
    <row r="8717" spans="1:3" x14ac:dyDescent="0.25">
      <c r="A8717" s="1" t="s">
        <v>8716</v>
      </c>
      <c r="C8717" s="3">
        <v>13</v>
      </c>
    </row>
    <row r="8718" spans="1:3" x14ac:dyDescent="0.25">
      <c r="A8718" s="1" t="s">
        <v>8717</v>
      </c>
      <c r="C8718" s="3">
        <v>13</v>
      </c>
    </row>
    <row r="8719" spans="1:3" x14ac:dyDescent="0.25">
      <c r="A8719" s="1" t="s">
        <v>8718</v>
      </c>
      <c r="C8719" s="3">
        <v>13</v>
      </c>
    </row>
    <row r="8720" spans="1:3" x14ac:dyDescent="0.25">
      <c r="A8720" s="1" t="s">
        <v>8719</v>
      </c>
      <c r="C8720" s="3">
        <v>13</v>
      </c>
    </row>
    <row r="8721" spans="1:3" x14ac:dyDescent="0.25">
      <c r="A8721" s="1" t="s">
        <v>8720</v>
      </c>
      <c r="C8721" s="3">
        <v>13</v>
      </c>
    </row>
    <row r="8722" spans="1:3" x14ac:dyDescent="0.25">
      <c r="A8722" s="1" t="s">
        <v>8721</v>
      </c>
      <c r="C8722" s="3">
        <v>13</v>
      </c>
    </row>
    <row r="8723" spans="1:3" x14ac:dyDescent="0.25">
      <c r="A8723" s="1" t="s">
        <v>8722</v>
      </c>
      <c r="C8723" s="3">
        <v>13</v>
      </c>
    </row>
    <row r="8724" spans="1:3" x14ac:dyDescent="0.25">
      <c r="A8724" s="1" t="s">
        <v>8723</v>
      </c>
      <c r="C8724" s="3">
        <v>13</v>
      </c>
    </row>
    <row r="8725" spans="1:3" x14ac:dyDescent="0.25">
      <c r="A8725" s="1" t="s">
        <v>8724</v>
      </c>
      <c r="C8725" s="3">
        <v>13</v>
      </c>
    </row>
    <row r="8726" spans="1:3" x14ac:dyDescent="0.25">
      <c r="A8726" s="1" t="s">
        <v>8725</v>
      </c>
      <c r="C8726" s="3">
        <v>13</v>
      </c>
    </row>
    <row r="8727" spans="1:3" x14ac:dyDescent="0.25">
      <c r="A8727" s="1" t="s">
        <v>8726</v>
      </c>
      <c r="C8727" s="3">
        <v>13</v>
      </c>
    </row>
    <row r="8728" spans="1:3" x14ac:dyDescent="0.25">
      <c r="A8728" s="1" t="s">
        <v>8727</v>
      </c>
      <c r="C8728" s="3">
        <v>13</v>
      </c>
    </row>
    <row r="8729" spans="1:3" x14ac:dyDescent="0.25">
      <c r="A8729" s="1" t="s">
        <v>8728</v>
      </c>
      <c r="C8729" s="3">
        <v>13</v>
      </c>
    </row>
    <row r="8730" spans="1:3" x14ac:dyDescent="0.25">
      <c r="A8730" s="1" t="s">
        <v>8729</v>
      </c>
      <c r="C8730" s="3">
        <v>13</v>
      </c>
    </row>
    <row r="8731" spans="1:3" x14ac:dyDescent="0.25">
      <c r="A8731" s="1" t="s">
        <v>8730</v>
      </c>
      <c r="C8731" s="3">
        <v>13</v>
      </c>
    </row>
    <row r="8732" spans="1:3" x14ac:dyDescent="0.25">
      <c r="A8732" s="1" t="s">
        <v>8731</v>
      </c>
      <c r="C8732" s="3">
        <v>13</v>
      </c>
    </row>
    <row r="8733" spans="1:3" x14ac:dyDescent="0.25">
      <c r="A8733" s="1" t="s">
        <v>8732</v>
      </c>
      <c r="C8733" s="3">
        <v>13</v>
      </c>
    </row>
    <row r="8734" spans="1:3" x14ac:dyDescent="0.25">
      <c r="A8734" s="1" t="s">
        <v>8733</v>
      </c>
      <c r="C8734" s="3">
        <v>13</v>
      </c>
    </row>
    <row r="8735" spans="1:3" x14ac:dyDescent="0.25">
      <c r="A8735" s="1" t="s">
        <v>8734</v>
      </c>
      <c r="C8735" s="3">
        <v>13</v>
      </c>
    </row>
    <row r="8736" spans="1:3" x14ac:dyDescent="0.25">
      <c r="A8736" s="1" t="s">
        <v>8735</v>
      </c>
      <c r="C8736" s="3">
        <v>13</v>
      </c>
    </row>
    <row r="8737" spans="1:3" x14ac:dyDescent="0.25">
      <c r="A8737" s="1" t="s">
        <v>8736</v>
      </c>
      <c r="C8737" s="3">
        <v>13</v>
      </c>
    </row>
    <row r="8738" spans="1:3" x14ac:dyDescent="0.25">
      <c r="A8738" s="1" t="s">
        <v>8737</v>
      </c>
      <c r="C8738" s="3">
        <v>13</v>
      </c>
    </row>
    <row r="8739" spans="1:3" x14ac:dyDescent="0.25">
      <c r="A8739" s="1" t="s">
        <v>8738</v>
      </c>
      <c r="C8739" s="3">
        <v>13</v>
      </c>
    </row>
    <row r="8740" spans="1:3" x14ac:dyDescent="0.25">
      <c r="A8740" s="1" t="s">
        <v>8739</v>
      </c>
      <c r="C8740" s="3">
        <v>13</v>
      </c>
    </row>
    <row r="8741" spans="1:3" x14ac:dyDescent="0.25">
      <c r="A8741" s="1" t="s">
        <v>8740</v>
      </c>
      <c r="C8741" s="3">
        <v>13</v>
      </c>
    </row>
    <row r="8742" spans="1:3" x14ac:dyDescent="0.25">
      <c r="A8742" s="1" t="s">
        <v>8741</v>
      </c>
      <c r="C8742" s="3">
        <v>13</v>
      </c>
    </row>
    <row r="8743" spans="1:3" x14ac:dyDescent="0.25">
      <c r="A8743" s="1" t="s">
        <v>8742</v>
      </c>
      <c r="C8743" s="3">
        <v>13</v>
      </c>
    </row>
    <row r="8744" spans="1:3" x14ac:dyDescent="0.25">
      <c r="A8744" s="1" t="s">
        <v>8743</v>
      </c>
      <c r="C8744" s="3">
        <v>13</v>
      </c>
    </row>
    <row r="8745" spans="1:3" x14ac:dyDescent="0.25">
      <c r="A8745" s="1" t="s">
        <v>8744</v>
      </c>
      <c r="C8745" s="3">
        <v>13</v>
      </c>
    </row>
    <row r="8746" spans="1:3" x14ac:dyDescent="0.25">
      <c r="A8746" s="1" t="s">
        <v>8745</v>
      </c>
      <c r="C8746" s="3">
        <v>13</v>
      </c>
    </row>
    <row r="8747" spans="1:3" x14ac:dyDescent="0.25">
      <c r="A8747" s="1" t="s">
        <v>8746</v>
      </c>
      <c r="C8747" s="3">
        <v>13</v>
      </c>
    </row>
    <row r="8748" spans="1:3" x14ac:dyDescent="0.25">
      <c r="A8748" s="1" t="s">
        <v>8747</v>
      </c>
      <c r="C8748" s="3">
        <v>13</v>
      </c>
    </row>
    <row r="8749" spans="1:3" x14ac:dyDescent="0.25">
      <c r="A8749" s="1" t="s">
        <v>8748</v>
      </c>
      <c r="C8749" s="3">
        <v>13</v>
      </c>
    </row>
    <row r="8750" spans="1:3" x14ac:dyDescent="0.25">
      <c r="A8750" s="1" t="s">
        <v>8749</v>
      </c>
      <c r="C8750" s="3">
        <v>13</v>
      </c>
    </row>
    <row r="8751" spans="1:3" x14ac:dyDescent="0.25">
      <c r="A8751" s="1" t="s">
        <v>8750</v>
      </c>
      <c r="C8751" s="3">
        <v>13</v>
      </c>
    </row>
    <row r="8752" spans="1:3" x14ac:dyDescent="0.25">
      <c r="A8752" s="1" t="s">
        <v>8751</v>
      </c>
      <c r="C8752" s="3">
        <v>13</v>
      </c>
    </row>
    <row r="8753" spans="1:3" x14ac:dyDescent="0.25">
      <c r="A8753" s="1" t="s">
        <v>8752</v>
      </c>
      <c r="C8753" s="3">
        <v>13</v>
      </c>
    </row>
    <row r="8754" spans="1:3" x14ac:dyDescent="0.25">
      <c r="A8754" s="1" t="s">
        <v>8753</v>
      </c>
      <c r="C8754" s="3">
        <v>13</v>
      </c>
    </row>
    <row r="8755" spans="1:3" x14ac:dyDescent="0.25">
      <c r="A8755" s="1" t="s">
        <v>8754</v>
      </c>
      <c r="C8755" s="3">
        <v>13</v>
      </c>
    </row>
    <row r="8756" spans="1:3" x14ac:dyDescent="0.25">
      <c r="A8756" s="1" t="s">
        <v>8755</v>
      </c>
      <c r="C8756" s="3">
        <v>13</v>
      </c>
    </row>
    <row r="8757" spans="1:3" x14ac:dyDescent="0.25">
      <c r="A8757" s="1" t="s">
        <v>8756</v>
      </c>
      <c r="C8757" s="3">
        <v>13</v>
      </c>
    </row>
    <row r="8758" spans="1:3" x14ac:dyDescent="0.25">
      <c r="A8758" s="1" t="s">
        <v>8757</v>
      </c>
      <c r="C8758" s="3">
        <v>13</v>
      </c>
    </row>
    <row r="8759" spans="1:3" x14ac:dyDescent="0.25">
      <c r="A8759" s="1" t="s">
        <v>8758</v>
      </c>
      <c r="C8759" s="3">
        <v>13</v>
      </c>
    </row>
    <row r="8760" spans="1:3" x14ac:dyDescent="0.25">
      <c r="A8760" s="1" t="s">
        <v>8759</v>
      </c>
      <c r="C8760" s="3">
        <v>13</v>
      </c>
    </row>
    <row r="8761" spans="1:3" x14ac:dyDescent="0.25">
      <c r="A8761" s="1" t="s">
        <v>8760</v>
      </c>
      <c r="C8761" s="3">
        <v>13</v>
      </c>
    </row>
    <row r="8762" spans="1:3" x14ac:dyDescent="0.25">
      <c r="A8762" s="1" t="s">
        <v>8761</v>
      </c>
      <c r="C8762" s="3">
        <v>13</v>
      </c>
    </row>
    <row r="8763" spans="1:3" x14ac:dyDescent="0.25">
      <c r="A8763" s="1" t="s">
        <v>8762</v>
      </c>
      <c r="C8763" s="3">
        <v>13</v>
      </c>
    </row>
    <row r="8764" spans="1:3" x14ac:dyDescent="0.25">
      <c r="A8764" s="1" t="s">
        <v>8763</v>
      </c>
      <c r="C8764" s="3">
        <v>13</v>
      </c>
    </row>
    <row r="8765" spans="1:3" x14ac:dyDescent="0.25">
      <c r="A8765" s="1" t="s">
        <v>8764</v>
      </c>
      <c r="C8765" s="3">
        <v>13</v>
      </c>
    </row>
    <row r="8766" spans="1:3" x14ac:dyDescent="0.25">
      <c r="A8766" s="1" t="s">
        <v>8765</v>
      </c>
      <c r="C8766" s="3">
        <v>13</v>
      </c>
    </row>
    <row r="8767" spans="1:3" x14ac:dyDescent="0.25">
      <c r="A8767" s="1" t="s">
        <v>8766</v>
      </c>
      <c r="C8767" s="3">
        <v>13</v>
      </c>
    </row>
    <row r="8768" spans="1:3" x14ac:dyDescent="0.25">
      <c r="A8768" s="1" t="s">
        <v>8767</v>
      </c>
      <c r="C8768" s="3">
        <v>13</v>
      </c>
    </row>
    <row r="8769" spans="1:3" x14ac:dyDescent="0.25">
      <c r="A8769" s="1" t="s">
        <v>8768</v>
      </c>
      <c r="C8769" s="3">
        <v>13</v>
      </c>
    </row>
    <row r="8770" spans="1:3" x14ac:dyDescent="0.25">
      <c r="A8770" s="1" t="s">
        <v>8769</v>
      </c>
      <c r="C8770" s="3">
        <v>13</v>
      </c>
    </row>
    <row r="8771" spans="1:3" x14ac:dyDescent="0.25">
      <c r="A8771" s="1" t="s">
        <v>8770</v>
      </c>
      <c r="C8771" s="3">
        <v>13</v>
      </c>
    </row>
    <row r="8772" spans="1:3" x14ac:dyDescent="0.25">
      <c r="A8772" s="1" t="s">
        <v>8771</v>
      </c>
      <c r="C8772" s="3">
        <v>13</v>
      </c>
    </row>
    <row r="8773" spans="1:3" x14ac:dyDescent="0.25">
      <c r="A8773" s="1" t="s">
        <v>8772</v>
      </c>
      <c r="C8773" s="3">
        <v>13</v>
      </c>
    </row>
    <row r="8774" spans="1:3" x14ac:dyDescent="0.25">
      <c r="A8774" s="1" t="s">
        <v>8773</v>
      </c>
      <c r="C8774" s="3">
        <v>13</v>
      </c>
    </row>
    <row r="8775" spans="1:3" x14ac:dyDescent="0.25">
      <c r="A8775" s="1" t="s">
        <v>8774</v>
      </c>
      <c r="C8775" s="3">
        <v>13</v>
      </c>
    </row>
    <row r="8776" spans="1:3" x14ac:dyDescent="0.25">
      <c r="A8776" s="1" t="s">
        <v>8775</v>
      </c>
      <c r="C8776" s="3">
        <v>13</v>
      </c>
    </row>
    <row r="8777" spans="1:3" x14ac:dyDescent="0.25">
      <c r="A8777" s="1" t="s">
        <v>8776</v>
      </c>
      <c r="C8777" s="3">
        <v>13</v>
      </c>
    </row>
    <row r="8778" spans="1:3" x14ac:dyDescent="0.25">
      <c r="A8778" s="1" t="s">
        <v>8777</v>
      </c>
      <c r="C8778" s="3">
        <v>13</v>
      </c>
    </row>
    <row r="8779" spans="1:3" x14ac:dyDescent="0.25">
      <c r="A8779" s="1" t="s">
        <v>8778</v>
      </c>
      <c r="C8779" s="3">
        <v>13</v>
      </c>
    </row>
    <row r="8780" spans="1:3" x14ac:dyDescent="0.25">
      <c r="A8780" s="1" t="s">
        <v>8779</v>
      </c>
      <c r="C8780" s="3">
        <v>13</v>
      </c>
    </row>
    <row r="8781" spans="1:3" x14ac:dyDescent="0.25">
      <c r="A8781" s="1" t="s">
        <v>8780</v>
      </c>
      <c r="C8781" s="3">
        <v>13</v>
      </c>
    </row>
    <row r="8782" spans="1:3" x14ac:dyDescent="0.25">
      <c r="A8782" s="1" t="s">
        <v>8781</v>
      </c>
      <c r="C8782" s="3">
        <v>13</v>
      </c>
    </row>
    <row r="8783" spans="1:3" x14ac:dyDescent="0.25">
      <c r="A8783" s="1" t="s">
        <v>8782</v>
      </c>
      <c r="C8783" s="3">
        <v>13</v>
      </c>
    </row>
    <row r="8784" spans="1:3" x14ac:dyDescent="0.25">
      <c r="A8784" s="1" t="s">
        <v>8783</v>
      </c>
      <c r="C8784" s="3">
        <v>13</v>
      </c>
    </row>
    <row r="8785" spans="1:3" x14ac:dyDescent="0.25">
      <c r="A8785" s="1" t="s">
        <v>8784</v>
      </c>
      <c r="C8785" s="3">
        <v>13</v>
      </c>
    </row>
    <row r="8786" spans="1:3" x14ac:dyDescent="0.25">
      <c r="A8786" s="1" t="s">
        <v>8785</v>
      </c>
      <c r="C8786" s="3">
        <v>13</v>
      </c>
    </row>
    <row r="8787" spans="1:3" x14ac:dyDescent="0.25">
      <c r="A8787" s="1" t="s">
        <v>8786</v>
      </c>
      <c r="C8787" s="3">
        <v>13</v>
      </c>
    </row>
    <row r="8788" spans="1:3" x14ac:dyDescent="0.25">
      <c r="A8788" s="1" t="s">
        <v>8787</v>
      </c>
      <c r="C8788" s="3">
        <v>13</v>
      </c>
    </row>
    <row r="8789" spans="1:3" x14ac:dyDescent="0.25">
      <c r="A8789" s="1" t="s">
        <v>8788</v>
      </c>
      <c r="C8789" s="3">
        <v>13</v>
      </c>
    </row>
    <row r="8790" spans="1:3" x14ac:dyDescent="0.25">
      <c r="A8790" s="1" t="s">
        <v>8789</v>
      </c>
      <c r="C8790" s="3">
        <v>13</v>
      </c>
    </row>
    <row r="8791" spans="1:3" x14ac:dyDescent="0.25">
      <c r="A8791" s="1" t="s">
        <v>8790</v>
      </c>
      <c r="C8791" s="3">
        <v>13</v>
      </c>
    </row>
    <row r="8792" spans="1:3" x14ac:dyDescent="0.25">
      <c r="A8792" s="1" t="s">
        <v>8791</v>
      </c>
      <c r="C8792" s="3">
        <v>13</v>
      </c>
    </row>
    <row r="8793" spans="1:3" x14ac:dyDescent="0.25">
      <c r="A8793" s="1" t="s">
        <v>8792</v>
      </c>
      <c r="C8793" s="3">
        <v>13</v>
      </c>
    </row>
    <row r="8794" spans="1:3" x14ac:dyDescent="0.25">
      <c r="A8794" s="1" t="s">
        <v>8793</v>
      </c>
      <c r="C8794" s="3">
        <v>13</v>
      </c>
    </row>
    <row r="8795" spans="1:3" x14ac:dyDescent="0.25">
      <c r="A8795" s="1" t="s">
        <v>8794</v>
      </c>
      <c r="C8795" s="3">
        <v>13</v>
      </c>
    </row>
    <row r="8796" spans="1:3" x14ac:dyDescent="0.25">
      <c r="A8796" s="1" t="s">
        <v>8795</v>
      </c>
      <c r="C8796" s="3">
        <v>13</v>
      </c>
    </row>
    <row r="8797" spans="1:3" x14ac:dyDescent="0.25">
      <c r="A8797" s="1" t="s">
        <v>8796</v>
      </c>
      <c r="C8797" s="3">
        <v>13</v>
      </c>
    </row>
    <row r="8798" spans="1:3" x14ac:dyDescent="0.25">
      <c r="A8798" s="1" t="s">
        <v>8797</v>
      </c>
      <c r="C8798" s="3">
        <v>13</v>
      </c>
    </row>
    <row r="8799" spans="1:3" x14ac:dyDescent="0.25">
      <c r="A8799" s="1" t="s">
        <v>8798</v>
      </c>
      <c r="C8799" s="3">
        <v>13</v>
      </c>
    </row>
    <row r="8800" spans="1:3" x14ac:dyDescent="0.25">
      <c r="A8800" s="1" t="s">
        <v>8799</v>
      </c>
      <c r="C8800" s="3">
        <v>13</v>
      </c>
    </row>
    <row r="8801" spans="1:3" x14ac:dyDescent="0.25">
      <c r="A8801" s="1" t="s">
        <v>8800</v>
      </c>
      <c r="C8801" s="3">
        <v>13</v>
      </c>
    </row>
    <row r="8802" spans="1:3" x14ac:dyDescent="0.25">
      <c r="A8802" s="1" t="s">
        <v>8801</v>
      </c>
      <c r="C8802" s="3">
        <v>13</v>
      </c>
    </row>
    <row r="8803" spans="1:3" x14ac:dyDescent="0.25">
      <c r="A8803" s="1" t="s">
        <v>8802</v>
      </c>
      <c r="C8803" s="3">
        <v>13</v>
      </c>
    </row>
    <row r="8804" spans="1:3" x14ac:dyDescent="0.25">
      <c r="A8804" s="1" t="s">
        <v>8803</v>
      </c>
      <c r="C8804" s="3">
        <v>13</v>
      </c>
    </row>
    <row r="8805" spans="1:3" x14ac:dyDescent="0.25">
      <c r="A8805" s="1" t="s">
        <v>8804</v>
      </c>
      <c r="C8805" s="3">
        <v>13</v>
      </c>
    </row>
    <row r="8806" spans="1:3" x14ac:dyDescent="0.25">
      <c r="A8806" s="1" t="s">
        <v>8805</v>
      </c>
      <c r="C8806" s="3">
        <v>13</v>
      </c>
    </row>
    <row r="8807" spans="1:3" x14ac:dyDescent="0.25">
      <c r="A8807" s="1" t="s">
        <v>8806</v>
      </c>
      <c r="C8807" s="3">
        <v>13</v>
      </c>
    </row>
    <row r="8808" spans="1:3" x14ac:dyDescent="0.25">
      <c r="A8808" s="1" t="s">
        <v>8807</v>
      </c>
      <c r="C8808" s="3">
        <v>13</v>
      </c>
    </row>
    <row r="8809" spans="1:3" x14ac:dyDescent="0.25">
      <c r="A8809" s="1" t="s">
        <v>8808</v>
      </c>
      <c r="C8809" s="3">
        <v>13</v>
      </c>
    </row>
    <row r="8810" spans="1:3" x14ac:dyDescent="0.25">
      <c r="A8810" s="1" t="s">
        <v>8809</v>
      </c>
      <c r="C8810" s="3">
        <v>13</v>
      </c>
    </row>
    <row r="8811" spans="1:3" x14ac:dyDescent="0.25">
      <c r="A8811" s="1" t="s">
        <v>8810</v>
      </c>
      <c r="C8811" s="3">
        <v>13</v>
      </c>
    </row>
    <row r="8812" spans="1:3" x14ac:dyDescent="0.25">
      <c r="A8812" s="1" t="s">
        <v>8811</v>
      </c>
      <c r="C8812" s="3">
        <v>13</v>
      </c>
    </row>
    <row r="8813" spans="1:3" x14ac:dyDescent="0.25">
      <c r="A8813" s="1" t="s">
        <v>8812</v>
      </c>
      <c r="C8813" s="3">
        <v>13</v>
      </c>
    </row>
    <row r="8814" spans="1:3" x14ac:dyDescent="0.25">
      <c r="A8814" s="1" t="s">
        <v>8813</v>
      </c>
      <c r="C8814" s="3">
        <v>13</v>
      </c>
    </row>
    <row r="8815" spans="1:3" x14ac:dyDescent="0.25">
      <c r="A8815" s="1" t="s">
        <v>8814</v>
      </c>
      <c r="C8815" s="3">
        <v>13</v>
      </c>
    </row>
    <row r="8816" spans="1:3" x14ac:dyDescent="0.25">
      <c r="A8816" s="1" t="s">
        <v>8815</v>
      </c>
      <c r="C8816" s="3">
        <v>13</v>
      </c>
    </row>
    <row r="8817" spans="1:3" x14ac:dyDescent="0.25">
      <c r="A8817" s="1" t="s">
        <v>8816</v>
      </c>
      <c r="C8817" s="3">
        <v>13</v>
      </c>
    </row>
    <row r="8818" spans="1:3" x14ac:dyDescent="0.25">
      <c r="A8818" s="1" t="s">
        <v>8817</v>
      </c>
      <c r="C8818" s="3">
        <v>13</v>
      </c>
    </row>
    <row r="8819" spans="1:3" x14ac:dyDescent="0.25">
      <c r="A8819" s="1" t="s">
        <v>8818</v>
      </c>
      <c r="C8819" s="3">
        <v>13</v>
      </c>
    </row>
    <row r="8820" spans="1:3" x14ac:dyDescent="0.25">
      <c r="A8820" s="1" t="s">
        <v>8819</v>
      </c>
      <c r="C8820" s="3">
        <v>13</v>
      </c>
    </row>
    <row r="8821" spans="1:3" x14ac:dyDescent="0.25">
      <c r="A8821" s="1" t="s">
        <v>8820</v>
      </c>
      <c r="C8821" s="3">
        <v>13</v>
      </c>
    </row>
    <row r="8822" spans="1:3" x14ac:dyDescent="0.25">
      <c r="A8822" s="1" t="s">
        <v>8821</v>
      </c>
      <c r="C8822" s="3">
        <v>13</v>
      </c>
    </row>
    <row r="8823" spans="1:3" x14ac:dyDescent="0.25">
      <c r="A8823" s="1" t="s">
        <v>8822</v>
      </c>
      <c r="C8823" s="3">
        <v>13</v>
      </c>
    </row>
    <row r="8824" spans="1:3" x14ac:dyDescent="0.25">
      <c r="A8824" s="1" t="s">
        <v>8823</v>
      </c>
      <c r="C8824" s="3">
        <v>13</v>
      </c>
    </row>
    <row r="8825" spans="1:3" x14ac:dyDescent="0.25">
      <c r="A8825" s="1" t="s">
        <v>8824</v>
      </c>
      <c r="C8825" s="3">
        <v>13</v>
      </c>
    </row>
    <row r="8826" spans="1:3" x14ac:dyDescent="0.25">
      <c r="A8826" s="1" t="s">
        <v>8825</v>
      </c>
      <c r="C8826" s="3">
        <v>13</v>
      </c>
    </row>
    <row r="8827" spans="1:3" x14ac:dyDescent="0.25">
      <c r="A8827" s="1" t="s">
        <v>8826</v>
      </c>
      <c r="C8827" s="3">
        <v>13</v>
      </c>
    </row>
    <row r="8828" spans="1:3" x14ac:dyDescent="0.25">
      <c r="A8828" s="1" t="s">
        <v>8827</v>
      </c>
      <c r="C8828" s="3">
        <v>13</v>
      </c>
    </row>
    <row r="8829" spans="1:3" x14ac:dyDescent="0.25">
      <c r="A8829" s="1" t="s">
        <v>8828</v>
      </c>
      <c r="C8829" s="3">
        <v>13</v>
      </c>
    </row>
    <row r="8830" spans="1:3" x14ac:dyDescent="0.25">
      <c r="A8830" s="1" t="s">
        <v>8829</v>
      </c>
      <c r="C8830" s="3">
        <v>13</v>
      </c>
    </row>
    <row r="8831" spans="1:3" x14ac:dyDescent="0.25">
      <c r="A8831" s="1" t="s">
        <v>8830</v>
      </c>
      <c r="C8831" s="3">
        <v>13</v>
      </c>
    </row>
    <row r="8832" spans="1:3" x14ac:dyDescent="0.25">
      <c r="A8832" s="1" t="s">
        <v>8831</v>
      </c>
      <c r="C8832" s="3">
        <v>13</v>
      </c>
    </row>
    <row r="8833" spans="1:3" x14ac:dyDescent="0.25">
      <c r="A8833" s="1" t="s">
        <v>8832</v>
      </c>
      <c r="C8833" s="3">
        <v>13</v>
      </c>
    </row>
    <row r="8834" spans="1:3" x14ac:dyDescent="0.25">
      <c r="A8834" s="1" t="s">
        <v>8833</v>
      </c>
      <c r="C8834" s="3">
        <v>13</v>
      </c>
    </row>
    <row r="8835" spans="1:3" x14ac:dyDescent="0.25">
      <c r="A8835" s="1" t="s">
        <v>8834</v>
      </c>
      <c r="C8835" s="3">
        <v>13</v>
      </c>
    </row>
    <row r="8836" spans="1:3" x14ac:dyDescent="0.25">
      <c r="A8836" s="1" t="s">
        <v>8835</v>
      </c>
      <c r="C8836" s="3">
        <v>13</v>
      </c>
    </row>
    <row r="8837" spans="1:3" x14ac:dyDescent="0.25">
      <c r="A8837" s="1" t="s">
        <v>8836</v>
      </c>
      <c r="C8837" s="3">
        <v>13</v>
      </c>
    </row>
    <row r="8838" spans="1:3" x14ac:dyDescent="0.25">
      <c r="A8838" s="1" t="s">
        <v>8837</v>
      </c>
      <c r="C8838" s="3">
        <v>13</v>
      </c>
    </row>
    <row r="8839" spans="1:3" x14ac:dyDescent="0.25">
      <c r="A8839" s="1" t="s">
        <v>8838</v>
      </c>
      <c r="C8839" s="3">
        <v>13</v>
      </c>
    </row>
    <row r="8840" spans="1:3" x14ac:dyDescent="0.25">
      <c r="A8840" s="1" t="s">
        <v>8839</v>
      </c>
      <c r="C8840" s="3">
        <v>13</v>
      </c>
    </row>
    <row r="8841" spans="1:3" x14ac:dyDescent="0.25">
      <c r="A8841" s="1" t="s">
        <v>8840</v>
      </c>
      <c r="C8841" s="3">
        <v>13</v>
      </c>
    </row>
    <row r="8842" spans="1:3" x14ac:dyDescent="0.25">
      <c r="A8842" s="1" t="s">
        <v>8841</v>
      </c>
      <c r="C8842" s="3">
        <v>13</v>
      </c>
    </row>
    <row r="8843" spans="1:3" x14ac:dyDescent="0.25">
      <c r="A8843" s="1" t="s">
        <v>8842</v>
      </c>
      <c r="C8843" s="3">
        <v>13</v>
      </c>
    </row>
    <row r="8844" spans="1:3" x14ac:dyDescent="0.25">
      <c r="A8844" s="1" t="s">
        <v>8843</v>
      </c>
      <c r="C8844" s="3">
        <v>13</v>
      </c>
    </row>
    <row r="8845" spans="1:3" x14ac:dyDescent="0.25">
      <c r="A8845" s="1" t="s">
        <v>8844</v>
      </c>
      <c r="C8845" s="3">
        <v>13</v>
      </c>
    </row>
    <row r="8846" spans="1:3" x14ac:dyDescent="0.25">
      <c r="A8846" s="1" t="s">
        <v>8845</v>
      </c>
      <c r="C8846" s="3">
        <v>13</v>
      </c>
    </row>
    <row r="8847" spans="1:3" x14ac:dyDescent="0.25">
      <c r="A8847" s="1" t="s">
        <v>8846</v>
      </c>
      <c r="C8847" s="3">
        <v>13</v>
      </c>
    </row>
    <row r="8848" spans="1:3" x14ac:dyDescent="0.25">
      <c r="A8848" s="1" t="s">
        <v>8847</v>
      </c>
      <c r="C8848" s="3">
        <v>13</v>
      </c>
    </row>
    <row r="8849" spans="1:3" x14ac:dyDescent="0.25">
      <c r="A8849" s="1" t="s">
        <v>8848</v>
      </c>
      <c r="C8849" s="3">
        <v>13</v>
      </c>
    </row>
    <row r="8850" spans="1:3" x14ac:dyDescent="0.25">
      <c r="A8850" s="1" t="s">
        <v>8849</v>
      </c>
      <c r="C8850" s="3">
        <v>13</v>
      </c>
    </row>
    <row r="8851" spans="1:3" x14ac:dyDescent="0.25">
      <c r="A8851" s="1" t="s">
        <v>8850</v>
      </c>
      <c r="C8851" s="3">
        <v>13</v>
      </c>
    </row>
    <row r="8852" spans="1:3" x14ac:dyDescent="0.25">
      <c r="A8852" s="1" t="s">
        <v>8851</v>
      </c>
      <c r="C8852" s="3">
        <v>13</v>
      </c>
    </row>
    <row r="8853" spans="1:3" x14ac:dyDescent="0.25">
      <c r="A8853" s="1" t="s">
        <v>8852</v>
      </c>
      <c r="C8853" s="3">
        <v>13</v>
      </c>
    </row>
    <row r="8854" spans="1:3" x14ac:dyDescent="0.25">
      <c r="A8854" s="1" t="s">
        <v>8853</v>
      </c>
      <c r="C8854" s="3">
        <v>13</v>
      </c>
    </row>
    <row r="8855" spans="1:3" x14ac:dyDescent="0.25">
      <c r="A8855" s="1" t="s">
        <v>8854</v>
      </c>
      <c r="C8855" s="3">
        <v>13</v>
      </c>
    </row>
    <row r="8856" spans="1:3" x14ac:dyDescent="0.25">
      <c r="A8856" s="1" t="s">
        <v>8855</v>
      </c>
      <c r="C8856" s="3">
        <v>13</v>
      </c>
    </row>
    <row r="8857" spans="1:3" x14ac:dyDescent="0.25">
      <c r="A8857" s="1" t="s">
        <v>8856</v>
      </c>
      <c r="C8857" s="3">
        <v>13</v>
      </c>
    </row>
    <row r="8858" spans="1:3" x14ac:dyDescent="0.25">
      <c r="A8858" s="1" t="s">
        <v>8857</v>
      </c>
      <c r="C8858" s="3">
        <v>13</v>
      </c>
    </row>
    <row r="8859" spans="1:3" x14ac:dyDescent="0.25">
      <c r="A8859" s="1" t="s">
        <v>8858</v>
      </c>
      <c r="C8859" s="3">
        <v>13</v>
      </c>
    </row>
    <row r="8860" spans="1:3" x14ac:dyDescent="0.25">
      <c r="A8860" s="1" t="s">
        <v>8859</v>
      </c>
      <c r="C8860" s="3">
        <v>13</v>
      </c>
    </row>
    <row r="8861" spans="1:3" x14ac:dyDescent="0.25">
      <c r="A8861" s="1" t="s">
        <v>8860</v>
      </c>
      <c r="C8861" s="3">
        <v>13</v>
      </c>
    </row>
    <row r="8862" spans="1:3" x14ac:dyDescent="0.25">
      <c r="A8862" s="1" t="s">
        <v>8861</v>
      </c>
      <c r="C8862" s="3">
        <v>13</v>
      </c>
    </row>
    <row r="8863" spans="1:3" x14ac:dyDescent="0.25">
      <c r="A8863" s="1" t="s">
        <v>8862</v>
      </c>
      <c r="C8863" s="3">
        <v>13</v>
      </c>
    </row>
    <row r="8864" spans="1:3" x14ac:dyDescent="0.25">
      <c r="A8864" s="1" t="s">
        <v>8863</v>
      </c>
      <c r="C8864" s="3">
        <v>13</v>
      </c>
    </row>
    <row r="8865" spans="1:3" x14ac:dyDescent="0.25">
      <c r="A8865" s="1" t="s">
        <v>8864</v>
      </c>
      <c r="C8865" s="3">
        <v>13</v>
      </c>
    </row>
    <row r="8866" spans="1:3" x14ac:dyDescent="0.25">
      <c r="A8866" s="1" t="s">
        <v>8865</v>
      </c>
      <c r="C8866" s="3">
        <v>13</v>
      </c>
    </row>
    <row r="8867" spans="1:3" x14ac:dyDescent="0.25">
      <c r="A8867" s="1" t="s">
        <v>8866</v>
      </c>
      <c r="C8867" s="3">
        <v>13</v>
      </c>
    </row>
    <row r="8868" spans="1:3" x14ac:dyDescent="0.25">
      <c r="A8868" s="1" t="s">
        <v>8867</v>
      </c>
      <c r="C8868" s="3">
        <v>13</v>
      </c>
    </row>
    <row r="8869" spans="1:3" x14ac:dyDescent="0.25">
      <c r="A8869" s="1" t="s">
        <v>8868</v>
      </c>
      <c r="C8869" s="3">
        <v>13</v>
      </c>
    </row>
    <row r="8870" spans="1:3" x14ac:dyDescent="0.25">
      <c r="A8870" s="1" t="s">
        <v>8869</v>
      </c>
      <c r="C8870" s="3">
        <v>13</v>
      </c>
    </row>
    <row r="8871" spans="1:3" x14ac:dyDescent="0.25">
      <c r="A8871" s="1" t="s">
        <v>8870</v>
      </c>
      <c r="C8871" s="3">
        <v>13</v>
      </c>
    </row>
    <row r="8872" spans="1:3" x14ac:dyDescent="0.25">
      <c r="A8872" s="1" t="s">
        <v>8871</v>
      </c>
      <c r="C8872" s="3">
        <v>13</v>
      </c>
    </row>
    <row r="8873" spans="1:3" x14ac:dyDescent="0.25">
      <c r="A8873" s="1" t="s">
        <v>8872</v>
      </c>
      <c r="C8873" s="3">
        <v>13</v>
      </c>
    </row>
    <row r="8874" spans="1:3" x14ac:dyDescent="0.25">
      <c r="A8874" s="1" t="s">
        <v>8873</v>
      </c>
      <c r="C8874" s="3">
        <v>13</v>
      </c>
    </row>
    <row r="8875" spans="1:3" x14ac:dyDescent="0.25">
      <c r="A8875" s="1" t="s">
        <v>8874</v>
      </c>
      <c r="C8875" s="3">
        <v>13</v>
      </c>
    </row>
    <row r="8876" spans="1:3" x14ac:dyDescent="0.25">
      <c r="A8876" s="1" t="s">
        <v>8875</v>
      </c>
      <c r="C8876" s="3">
        <v>13</v>
      </c>
    </row>
    <row r="8877" spans="1:3" x14ac:dyDescent="0.25">
      <c r="A8877" s="1" t="s">
        <v>8876</v>
      </c>
      <c r="C8877" s="3">
        <v>13</v>
      </c>
    </row>
    <row r="8878" spans="1:3" x14ac:dyDescent="0.25">
      <c r="A8878" s="1" t="s">
        <v>8877</v>
      </c>
      <c r="C8878" s="3">
        <v>12</v>
      </c>
    </row>
    <row r="8879" spans="1:3" x14ac:dyDescent="0.25">
      <c r="A8879" s="1" t="s">
        <v>8878</v>
      </c>
      <c r="C8879" s="3">
        <v>12</v>
      </c>
    </row>
    <row r="8880" spans="1:3" x14ac:dyDescent="0.25">
      <c r="A8880" s="1" t="s">
        <v>8879</v>
      </c>
      <c r="C8880" s="3">
        <v>12</v>
      </c>
    </row>
    <row r="8881" spans="1:3" x14ac:dyDescent="0.25">
      <c r="A8881" s="1" t="s">
        <v>8880</v>
      </c>
      <c r="C8881" s="3">
        <v>12</v>
      </c>
    </row>
    <row r="8882" spans="1:3" x14ac:dyDescent="0.25">
      <c r="A8882" s="1" t="s">
        <v>8881</v>
      </c>
      <c r="C8882" s="3">
        <v>12</v>
      </c>
    </row>
    <row r="8883" spans="1:3" x14ac:dyDescent="0.25">
      <c r="A8883" s="1" t="s">
        <v>8882</v>
      </c>
      <c r="C8883" s="3">
        <v>12</v>
      </c>
    </row>
    <row r="8884" spans="1:3" x14ac:dyDescent="0.25">
      <c r="A8884" s="1" t="s">
        <v>8883</v>
      </c>
      <c r="C8884" s="3">
        <v>12</v>
      </c>
    </row>
    <row r="8885" spans="1:3" x14ac:dyDescent="0.25">
      <c r="A8885" s="1" t="s">
        <v>8884</v>
      </c>
      <c r="C8885" s="3">
        <v>12</v>
      </c>
    </row>
    <row r="8886" spans="1:3" x14ac:dyDescent="0.25">
      <c r="A8886" s="1" t="s">
        <v>8885</v>
      </c>
      <c r="C8886" s="3">
        <v>12</v>
      </c>
    </row>
    <row r="8887" spans="1:3" x14ac:dyDescent="0.25">
      <c r="A8887" s="1" t="s">
        <v>8886</v>
      </c>
      <c r="C8887" s="3">
        <v>12</v>
      </c>
    </row>
    <row r="8888" spans="1:3" x14ac:dyDescent="0.25">
      <c r="A8888" s="1" t="s">
        <v>8887</v>
      </c>
      <c r="C8888" s="3">
        <v>12</v>
      </c>
    </row>
    <row r="8889" spans="1:3" x14ac:dyDescent="0.25">
      <c r="A8889" s="1" t="s">
        <v>8888</v>
      </c>
      <c r="C8889" s="3">
        <v>12</v>
      </c>
    </row>
    <row r="8890" spans="1:3" x14ac:dyDescent="0.25">
      <c r="A8890" s="1" t="s">
        <v>8889</v>
      </c>
      <c r="C8890" s="3">
        <v>12</v>
      </c>
    </row>
    <row r="8891" spans="1:3" x14ac:dyDescent="0.25">
      <c r="A8891" s="1" t="s">
        <v>8890</v>
      </c>
      <c r="C8891" s="3">
        <v>12</v>
      </c>
    </row>
    <row r="8892" spans="1:3" x14ac:dyDescent="0.25">
      <c r="A8892" s="1" t="s">
        <v>8891</v>
      </c>
      <c r="C8892" s="3">
        <v>12</v>
      </c>
    </row>
    <row r="8893" spans="1:3" x14ac:dyDescent="0.25">
      <c r="A8893" s="1" t="s">
        <v>8892</v>
      </c>
      <c r="C8893" s="3">
        <v>12</v>
      </c>
    </row>
    <row r="8894" spans="1:3" x14ac:dyDescent="0.25">
      <c r="A8894" s="1" t="s">
        <v>8893</v>
      </c>
      <c r="C8894" s="3">
        <v>12</v>
      </c>
    </row>
    <row r="8895" spans="1:3" x14ac:dyDescent="0.25">
      <c r="A8895" s="1" t="s">
        <v>8894</v>
      </c>
      <c r="C8895" s="3">
        <v>12</v>
      </c>
    </row>
    <row r="8896" spans="1:3" x14ac:dyDescent="0.25">
      <c r="A8896" s="1" t="s">
        <v>8895</v>
      </c>
      <c r="C8896" s="3">
        <v>12</v>
      </c>
    </row>
    <row r="8897" spans="1:3" x14ac:dyDescent="0.25">
      <c r="A8897" s="1" t="s">
        <v>8896</v>
      </c>
      <c r="C8897" s="3">
        <v>12</v>
      </c>
    </row>
    <row r="8898" spans="1:3" x14ac:dyDescent="0.25">
      <c r="A8898" s="1" t="s">
        <v>8897</v>
      </c>
      <c r="C8898" s="3">
        <v>12</v>
      </c>
    </row>
    <row r="8899" spans="1:3" x14ac:dyDescent="0.25">
      <c r="A8899" s="1" t="s">
        <v>8898</v>
      </c>
      <c r="C8899" s="3">
        <v>12</v>
      </c>
    </row>
    <row r="8900" spans="1:3" x14ac:dyDescent="0.25">
      <c r="A8900" s="1" t="s">
        <v>8899</v>
      </c>
      <c r="C8900" s="3">
        <v>12</v>
      </c>
    </row>
    <row r="8901" spans="1:3" x14ac:dyDescent="0.25">
      <c r="A8901" s="1" t="s">
        <v>8900</v>
      </c>
      <c r="C8901" s="3">
        <v>12</v>
      </c>
    </row>
    <row r="8902" spans="1:3" x14ac:dyDescent="0.25">
      <c r="A8902" s="1" t="s">
        <v>8901</v>
      </c>
      <c r="C8902" s="3">
        <v>12</v>
      </c>
    </row>
    <row r="8903" spans="1:3" x14ac:dyDescent="0.25">
      <c r="A8903" s="1" t="s">
        <v>8902</v>
      </c>
      <c r="C8903" s="3">
        <v>12</v>
      </c>
    </row>
    <row r="8904" spans="1:3" x14ac:dyDescent="0.25">
      <c r="A8904" s="1" t="s">
        <v>8903</v>
      </c>
      <c r="C8904" s="3">
        <v>12</v>
      </c>
    </row>
    <row r="8905" spans="1:3" x14ac:dyDescent="0.25">
      <c r="A8905" s="1" t="s">
        <v>8904</v>
      </c>
      <c r="C8905" s="3">
        <v>12</v>
      </c>
    </row>
    <row r="8906" spans="1:3" x14ac:dyDescent="0.25">
      <c r="A8906" s="1" t="s">
        <v>8905</v>
      </c>
      <c r="C8906" s="3">
        <v>12</v>
      </c>
    </row>
    <row r="8907" spans="1:3" x14ac:dyDescent="0.25">
      <c r="A8907" s="1" t="s">
        <v>8906</v>
      </c>
      <c r="C8907" s="3">
        <v>12</v>
      </c>
    </row>
    <row r="8908" spans="1:3" x14ac:dyDescent="0.25">
      <c r="A8908" s="1" t="s">
        <v>8907</v>
      </c>
      <c r="C8908" s="3">
        <v>12</v>
      </c>
    </row>
    <row r="8909" spans="1:3" x14ac:dyDescent="0.25">
      <c r="A8909" s="1" t="s">
        <v>8908</v>
      </c>
      <c r="C8909" s="3">
        <v>12</v>
      </c>
    </row>
    <row r="8910" spans="1:3" x14ac:dyDescent="0.25">
      <c r="A8910" s="1" t="s">
        <v>8909</v>
      </c>
      <c r="C8910" s="3">
        <v>12</v>
      </c>
    </row>
    <row r="8911" spans="1:3" x14ac:dyDescent="0.25">
      <c r="A8911" s="1" t="s">
        <v>8910</v>
      </c>
      <c r="C8911" s="3">
        <v>12</v>
      </c>
    </row>
    <row r="8912" spans="1:3" x14ac:dyDescent="0.25">
      <c r="A8912" s="1" t="s">
        <v>8911</v>
      </c>
      <c r="C8912" s="3">
        <v>12</v>
      </c>
    </row>
    <row r="8913" spans="1:3" x14ac:dyDescent="0.25">
      <c r="A8913" s="1" t="s">
        <v>8912</v>
      </c>
      <c r="C8913" s="3">
        <v>12</v>
      </c>
    </row>
    <row r="8914" spans="1:3" x14ac:dyDescent="0.25">
      <c r="A8914" s="1" t="s">
        <v>8913</v>
      </c>
      <c r="C8914" s="3">
        <v>12</v>
      </c>
    </row>
    <row r="8915" spans="1:3" x14ac:dyDescent="0.25">
      <c r="A8915" s="1" t="s">
        <v>8914</v>
      </c>
      <c r="C8915" s="3">
        <v>12</v>
      </c>
    </row>
    <row r="8916" spans="1:3" x14ac:dyDescent="0.25">
      <c r="A8916" s="1" t="s">
        <v>8915</v>
      </c>
      <c r="C8916" s="3">
        <v>12</v>
      </c>
    </row>
    <row r="8917" spans="1:3" x14ac:dyDescent="0.25">
      <c r="A8917" s="1" t="s">
        <v>8916</v>
      </c>
      <c r="C8917" s="3">
        <v>12</v>
      </c>
    </row>
    <row r="8918" spans="1:3" x14ac:dyDescent="0.25">
      <c r="A8918" s="1" t="s">
        <v>8917</v>
      </c>
      <c r="C8918" s="3">
        <v>12</v>
      </c>
    </row>
    <row r="8919" spans="1:3" x14ac:dyDescent="0.25">
      <c r="A8919" s="1" t="s">
        <v>8918</v>
      </c>
      <c r="C8919" s="3">
        <v>12</v>
      </c>
    </row>
    <row r="8920" spans="1:3" x14ac:dyDescent="0.25">
      <c r="A8920" s="1" t="s">
        <v>8919</v>
      </c>
      <c r="C8920" s="3">
        <v>12</v>
      </c>
    </row>
    <row r="8921" spans="1:3" x14ac:dyDescent="0.25">
      <c r="A8921" s="1" t="s">
        <v>8920</v>
      </c>
      <c r="C8921" s="3">
        <v>12</v>
      </c>
    </row>
    <row r="8922" spans="1:3" x14ac:dyDescent="0.25">
      <c r="A8922" s="1" t="s">
        <v>8921</v>
      </c>
      <c r="C8922" s="3">
        <v>12</v>
      </c>
    </row>
    <row r="8923" spans="1:3" x14ac:dyDescent="0.25">
      <c r="A8923" s="1" t="s">
        <v>8922</v>
      </c>
      <c r="C8923" s="3">
        <v>12</v>
      </c>
    </row>
    <row r="8924" spans="1:3" x14ac:dyDescent="0.25">
      <c r="A8924" s="1" t="s">
        <v>8923</v>
      </c>
      <c r="C8924" s="3">
        <v>12</v>
      </c>
    </row>
    <row r="8925" spans="1:3" x14ac:dyDescent="0.25">
      <c r="A8925" s="1" t="s">
        <v>8924</v>
      </c>
      <c r="C8925" s="3">
        <v>12</v>
      </c>
    </row>
    <row r="8926" spans="1:3" x14ac:dyDescent="0.25">
      <c r="A8926" s="1" t="s">
        <v>8925</v>
      </c>
      <c r="C8926" s="3">
        <v>12</v>
      </c>
    </row>
    <row r="8927" spans="1:3" x14ac:dyDescent="0.25">
      <c r="A8927" s="1" t="s">
        <v>8926</v>
      </c>
      <c r="C8927" s="3">
        <v>12</v>
      </c>
    </row>
    <row r="8928" spans="1:3" x14ac:dyDescent="0.25">
      <c r="A8928" s="1" t="s">
        <v>8927</v>
      </c>
      <c r="C8928" s="3">
        <v>12</v>
      </c>
    </row>
    <row r="8929" spans="1:3" x14ac:dyDescent="0.25">
      <c r="A8929" s="1" t="s">
        <v>8928</v>
      </c>
      <c r="C8929" s="3">
        <v>12</v>
      </c>
    </row>
    <row r="8930" spans="1:3" x14ac:dyDescent="0.25">
      <c r="A8930" s="1" t="s">
        <v>8929</v>
      </c>
      <c r="C8930" s="3">
        <v>12</v>
      </c>
    </row>
    <row r="8931" spans="1:3" x14ac:dyDescent="0.25">
      <c r="A8931" s="1" t="s">
        <v>8930</v>
      </c>
      <c r="C8931" s="3">
        <v>12</v>
      </c>
    </row>
    <row r="8932" spans="1:3" x14ac:dyDescent="0.25">
      <c r="A8932" s="1" t="s">
        <v>8931</v>
      </c>
      <c r="C8932" s="3">
        <v>12</v>
      </c>
    </row>
    <row r="8933" spans="1:3" x14ac:dyDescent="0.25">
      <c r="A8933" s="1" t="s">
        <v>8932</v>
      </c>
      <c r="C8933" s="3">
        <v>12</v>
      </c>
    </row>
    <row r="8934" spans="1:3" x14ac:dyDescent="0.25">
      <c r="A8934" s="1" t="s">
        <v>8933</v>
      </c>
      <c r="C8934" s="3">
        <v>12</v>
      </c>
    </row>
    <row r="8935" spans="1:3" x14ac:dyDescent="0.25">
      <c r="A8935" s="1" t="s">
        <v>8934</v>
      </c>
      <c r="C8935" s="3">
        <v>12</v>
      </c>
    </row>
    <row r="8936" spans="1:3" x14ac:dyDescent="0.25">
      <c r="A8936" s="1" t="s">
        <v>8935</v>
      </c>
      <c r="C8936" s="3">
        <v>12</v>
      </c>
    </row>
    <row r="8937" spans="1:3" x14ac:dyDescent="0.25">
      <c r="A8937" s="1" t="s">
        <v>8936</v>
      </c>
      <c r="C8937" s="3">
        <v>12</v>
      </c>
    </row>
    <row r="8938" spans="1:3" x14ac:dyDescent="0.25">
      <c r="A8938" s="1" t="s">
        <v>8937</v>
      </c>
      <c r="C8938" s="3">
        <v>12</v>
      </c>
    </row>
    <row r="8939" spans="1:3" x14ac:dyDescent="0.25">
      <c r="A8939" s="1" t="s">
        <v>8938</v>
      </c>
      <c r="C8939" s="3">
        <v>12</v>
      </c>
    </row>
    <row r="8940" spans="1:3" x14ac:dyDescent="0.25">
      <c r="A8940" s="1" t="s">
        <v>8939</v>
      </c>
      <c r="C8940" s="3">
        <v>12</v>
      </c>
    </row>
    <row r="8941" spans="1:3" x14ac:dyDescent="0.25">
      <c r="A8941" s="1" t="s">
        <v>8940</v>
      </c>
      <c r="C8941" s="3">
        <v>12</v>
      </c>
    </row>
    <row r="8942" spans="1:3" x14ac:dyDescent="0.25">
      <c r="A8942" s="1" t="s">
        <v>8941</v>
      </c>
      <c r="C8942" s="3">
        <v>12</v>
      </c>
    </row>
    <row r="8943" spans="1:3" x14ac:dyDescent="0.25">
      <c r="A8943" s="1" t="s">
        <v>8942</v>
      </c>
      <c r="C8943" s="3">
        <v>12</v>
      </c>
    </row>
    <row r="8944" spans="1:3" x14ac:dyDescent="0.25">
      <c r="A8944" s="1" t="s">
        <v>8943</v>
      </c>
      <c r="C8944" s="3">
        <v>12</v>
      </c>
    </row>
    <row r="8945" spans="1:3" x14ac:dyDescent="0.25">
      <c r="A8945" s="1" t="s">
        <v>8944</v>
      </c>
      <c r="C8945" s="3">
        <v>12</v>
      </c>
    </row>
    <row r="8946" spans="1:3" x14ac:dyDescent="0.25">
      <c r="A8946" s="1" t="s">
        <v>8945</v>
      </c>
      <c r="C8946" s="3">
        <v>12</v>
      </c>
    </row>
    <row r="8947" spans="1:3" x14ac:dyDescent="0.25">
      <c r="A8947" s="1" t="s">
        <v>8946</v>
      </c>
      <c r="C8947" s="3">
        <v>12</v>
      </c>
    </row>
    <row r="8948" spans="1:3" x14ac:dyDescent="0.25">
      <c r="A8948" s="1" t="s">
        <v>8947</v>
      </c>
      <c r="C8948" s="3">
        <v>12</v>
      </c>
    </row>
    <row r="8949" spans="1:3" x14ac:dyDescent="0.25">
      <c r="A8949" s="1" t="s">
        <v>8948</v>
      </c>
      <c r="C8949" s="3">
        <v>12</v>
      </c>
    </row>
    <row r="8950" spans="1:3" x14ac:dyDescent="0.25">
      <c r="A8950" s="1" t="s">
        <v>8949</v>
      </c>
      <c r="C8950" s="3">
        <v>12</v>
      </c>
    </row>
    <row r="8951" spans="1:3" x14ac:dyDescent="0.25">
      <c r="A8951" s="1" t="s">
        <v>8950</v>
      </c>
      <c r="C8951" s="3">
        <v>12</v>
      </c>
    </row>
    <row r="8952" spans="1:3" x14ac:dyDescent="0.25">
      <c r="A8952" s="1" t="s">
        <v>8951</v>
      </c>
      <c r="C8952" s="3">
        <v>12</v>
      </c>
    </row>
    <row r="8953" spans="1:3" x14ac:dyDescent="0.25">
      <c r="A8953" s="1" t="s">
        <v>8952</v>
      </c>
      <c r="C8953" s="3">
        <v>12</v>
      </c>
    </row>
    <row r="8954" spans="1:3" x14ac:dyDescent="0.25">
      <c r="A8954" s="1" t="s">
        <v>8953</v>
      </c>
      <c r="C8954" s="3">
        <v>12</v>
      </c>
    </row>
    <row r="8955" spans="1:3" x14ac:dyDescent="0.25">
      <c r="A8955" s="1" t="s">
        <v>8954</v>
      </c>
      <c r="C8955" s="3">
        <v>12</v>
      </c>
    </row>
    <row r="8956" spans="1:3" x14ac:dyDescent="0.25">
      <c r="A8956" s="1" t="s">
        <v>8955</v>
      </c>
      <c r="C8956" s="3">
        <v>12</v>
      </c>
    </row>
    <row r="8957" spans="1:3" x14ac:dyDescent="0.25">
      <c r="A8957" s="1" t="s">
        <v>8956</v>
      </c>
      <c r="C8957" s="3">
        <v>12</v>
      </c>
    </row>
    <row r="8958" spans="1:3" x14ac:dyDescent="0.25">
      <c r="A8958" s="1" t="s">
        <v>8957</v>
      </c>
      <c r="C8958" s="3">
        <v>12</v>
      </c>
    </row>
    <row r="8959" spans="1:3" x14ac:dyDescent="0.25">
      <c r="A8959" s="1" t="s">
        <v>8958</v>
      </c>
      <c r="C8959" s="3">
        <v>12</v>
      </c>
    </row>
    <row r="8960" spans="1:3" x14ac:dyDescent="0.25">
      <c r="A8960" s="1" t="s">
        <v>8959</v>
      </c>
      <c r="C8960" s="3">
        <v>12</v>
      </c>
    </row>
    <row r="8961" spans="1:3" x14ac:dyDescent="0.25">
      <c r="A8961" s="1" t="s">
        <v>8960</v>
      </c>
      <c r="C8961" s="3">
        <v>12</v>
      </c>
    </row>
    <row r="8962" spans="1:3" x14ac:dyDescent="0.25">
      <c r="A8962" s="1" t="s">
        <v>8961</v>
      </c>
      <c r="C8962" s="3">
        <v>12</v>
      </c>
    </row>
    <row r="8963" spans="1:3" x14ac:dyDescent="0.25">
      <c r="A8963" s="1" t="s">
        <v>8962</v>
      </c>
      <c r="C8963" s="3">
        <v>12</v>
      </c>
    </row>
    <row r="8964" spans="1:3" x14ac:dyDescent="0.25">
      <c r="A8964" s="1" t="s">
        <v>8963</v>
      </c>
      <c r="C8964" s="3">
        <v>12</v>
      </c>
    </row>
    <row r="8965" spans="1:3" x14ac:dyDescent="0.25">
      <c r="A8965" s="1" t="s">
        <v>8964</v>
      </c>
      <c r="C8965" s="3">
        <v>12</v>
      </c>
    </row>
    <row r="8966" spans="1:3" x14ac:dyDescent="0.25">
      <c r="A8966" s="1" t="s">
        <v>8965</v>
      </c>
      <c r="C8966" s="3">
        <v>12</v>
      </c>
    </row>
    <row r="8967" spans="1:3" x14ac:dyDescent="0.25">
      <c r="A8967" s="1" t="s">
        <v>8966</v>
      </c>
      <c r="C8967" s="3">
        <v>12</v>
      </c>
    </row>
    <row r="8968" spans="1:3" x14ac:dyDescent="0.25">
      <c r="A8968" s="1" t="s">
        <v>8967</v>
      </c>
      <c r="C8968" s="3">
        <v>12</v>
      </c>
    </row>
    <row r="8969" spans="1:3" x14ac:dyDescent="0.25">
      <c r="A8969" s="1" t="s">
        <v>8968</v>
      </c>
      <c r="C8969" s="3">
        <v>12</v>
      </c>
    </row>
    <row r="8970" spans="1:3" x14ac:dyDescent="0.25">
      <c r="A8970" s="1" t="s">
        <v>8969</v>
      </c>
      <c r="C8970" s="3">
        <v>12</v>
      </c>
    </row>
    <row r="8971" spans="1:3" x14ac:dyDescent="0.25">
      <c r="A8971" s="1" t="s">
        <v>8970</v>
      </c>
      <c r="C8971" s="3">
        <v>12</v>
      </c>
    </row>
    <row r="8972" spans="1:3" x14ac:dyDescent="0.25">
      <c r="A8972" s="1" t="s">
        <v>8971</v>
      </c>
      <c r="C8972" s="3">
        <v>12</v>
      </c>
    </row>
    <row r="8973" spans="1:3" x14ac:dyDescent="0.25">
      <c r="A8973" s="1" t="s">
        <v>8972</v>
      </c>
      <c r="C8973" s="3">
        <v>12</v>
      </c>
    </row>
    <row r="8974" spans="1:3" x14ac:dyDescent="0.25">
      <c r="A8974" s="1" t="s">
        <v>8973</v>
      </c>
      <c r="C8974" s="3">
        <v>12</v>
      </c>
    </row>
    <row r="8975" spans="1:3" x14ac:dyDescent="0.25">
      <c r="A8975" s="1" t="s">
        <v>8974</v>
      </c>
      <c r="C8975" s="3">
        <v>12</v>
      </c>
    </row>
    <row r="8976" spans="1:3" x14ac:dyDescent="0.25">
      <c r="A8976" s="1" t="s">
        <v>8975</v>
      </c>
      <c r="C8976" s="3">
        <v>12</v>
      </c>
    </row>
    <row r="8977" spans="1:3" x14ac:dyDescent="0.25">
      <c r="A8977" s="1" t="s">
        <v>8976</v>
      </c>
      <c r="C8977" s="3">
        <v>12</v>
      </c>
    </row>
    <row r="8978" spans="1:3" x14ac:dyDescent="0.25">
      <c r="A8978" s="1" t="s">
        <v>8977</v>
      </c>
      <c r="C8978" s="3">
        <v>12</v>
      </c>
    </row>
    <row r="8979" spans="1:3" x14ac:dyDescent="0.25">
      <c r="A8979" s="1" t="s">
        <v>8978</v>
      </c>
      <c r="C8979" s="3">
        <v>12</v>
      </c>
    </row>
    <row r="8980" spans="1:3" x14ac:dyDescent="0.25">
      <c r="A8980" s="1" t="s">
        <v>8979</v>
      </c>
      <c r="C8980" s="3">
        <v>12</v>
      </c>
    </row>
    <row r="8981" spans="1:3" x14ac:dyDescent="0.25">
      <c r="A8981" s="1" t="s">
        <v>8980</v>
      </c>
      <c r="C8981" s="3">
        <v>12</v>
      </c>
    </row>
    <row r="8982" spans="1:3" x14ac:dyDescent="0.25">
      <c r="A8982" s="1" t="s">
        <v>8981</v>
      </c>
      <c r="C8982" s="3">
        <v>12</v>
      </c>
    </row>
    <row r="8983" spans="1:3" x14ac:dyDescent="0.25">
      <c r="A8983" s="1" t="s">
        <v>8982</v>
      </c>
      <c r="C8983" s="3">
        <v>12</v>
      </c>
    </row>
    <row r="8984" spans="1:3" x14ac:dyDescent="0.25">
      <c r="A8984" s="1" t="s">
        <v>8983</v>
      </c>
      <c r="C8984" s="3">
        <v>12</v>
      </c>
    </row>
    <row r="8985" spans="1:3" x14ac:dyDescent="0.25">
      <c r="A8985" s="1" t="s">
        <v>8984</v>
      </c>
      <c r="C8985" s="3">
        <v>12</v>
      </c>
    </row>
    <row r="8986" spans="1:3" x14ac:dyDescent="0.25">
      <c r="A8986" s="1" t="s">
        <v>8985</v>
      </c>
      <c r="C8986" s="3">
        <v>12</v>
      </c>
    </row>
    <row r="8987" spans="1:3" x14ac:dyDescent="0.25">
      <c r="A8987" s="1" t="s">
        <v>8986</v>
      </c>
      <c r="C8987" s="3">
        <v>12</v>
      </c>
    </row>
    <row r="8988" spans="1:3" x14ac:dyDescent="0.25">
      <c r="A8988" s="1" t="s">
        <v>8987</v>
      </c>
      <c r="C8988" s="3">
        <v>12</v>
      </c>
    </row>
    <row r="8989" spans="1:3" x14ac:dyDescent="0.25">
      <c r="A8989" s="1" t="s">
        <v>8988</v>
      </c>
      <c r="C8989" s="3">
        <v>12</v>
      </c>
    </row>
    <row r="8990" spans="1:3" x14ac:dyDescent="0.25">
      <c r="A8990" s="1" t="s">
        <v>8989</v>
      </c>
      <c r="C8990" s="3">
        <v>12</v>
      </c>
    </row>
    <row r="8991" spans="1:3" x14ac:dyDescent="0.25">
      <c r="A8991" s="1" t="s">
        <v>8990</v>
      </c>
      <c r="C8991" s="3">
        <v>12</v>
      </c>
    </row>
    <row r="8992" spans="1:3" x14ac:dyDescent="0.25">
      <c r="A8992" s="1" t="s">
        <v>8991</v>
      </c>
      <c r="C8992" s="3">
        <v>12</v>
      </c>
    </row>
    <row r="8993" spans="1:3" x14ac:dyDescent="0.25">
      <c r="A8993" s="1" t="s">
        <v>8992</v>
      </c>
      <c r="C8993" s="3">
        <v>12</v>
      </c>
    </row>
    <row r="8994" spans="1:3" x14ac:dyDescent="0.25">
      <c r="A8994" s="1" t="s">
        <v>8993</v>
      </c>
      <c r="C8994" s="3">
        <v>12</v>
      </c>
    </row>
    <row r="8995" spans="1:3" x14ac:dyDescent="0.25">
      <c r="A8995" s="1" t="s">
        <v>8994</v>
      </c>
      <c r="C8995" s="3">
        <v>12</v>
      </c>
    </row>
    <row r="8996" spans="1:3" x14ac:dyDescent="0.25">
      <c r="A8996" s="1" t="s">
        <v>8995</v>
      </c>
      <c r="C8996" s="3">
        <v>12</v>
      </c>
    </row>
    <row r="8997" spans="1:3" x14ac:dyDescent="0.25">
      <c r="A8997" s="1" t="s">
        <v>8996</v>
      </c>
      <c r="C8997" s="3">
        <v>12</v>
      </c>
    </row>
    <row r="8998" spans="1:3" x14ac:dyDescent="0.25">
      <c r="A8998" s="1" t="s">
        <v>8997</v>
      </c>
      <c r="C8998" s="3">
        <v>12</v>
      </c>
    </row>
    <row r="8999" spans="1:3" x14ac:dyDescent="0.25">
      <c r="A8999" s="1" t="s">
        <v>8998</v>
      </c>
      <c r="C8999" s="3">
        <v>12</v>
      </c>
    </row>
    <row r="9000" spans="1:3" x14ac:dyDescent="0.25">
      <c r="A9000" s="1" t="s">
        <v>8999</v>
      </c>
      <c r="C9000" s="3">
        <v>12</v>
      </c>
    </row>
    <row r="9001" spans="1:3" x14ac:dyDescent="0.25">
      <c r="A9001" s="1" t="s">
        <v>9000</v>
      </c>
      <c r="C9001" s="3">
        <v>12</v>
      </c>
    </row>
    <row r="9002" spans="1:3" x14ac:dyDescent="0.25">
      <c r="A9002" s="1" t="s">
        <v>9001</v>
      </c>
      <c r="C9002" s="3">
        <v>12</v>
      </c>
    </row>
    <row r="9003" spans="1:3" x14ac:dyDescent="0.25">
      <c r="A9003" s="1" t="s">
        <v>9002</v>
      </c>
      <c r="C9003" s="3">
        <v>12</v>
      </c>
    </row>
    <row r="9004" spans="1:3" x14ac:dyDescent="0.25">
      <c r="A9004" s="1" t="s">
        <v>9003</v>
      </c>
      <c r="C9004" s="3">
        <v>12</v>
      </c>
    </row>
    <row r="9005" spans="1:3" x14ac:dyDescent="0.25">
      <c r="A9005" s="1" t="s">
        <v>9004</v>
      </c>
      <c r="C9005" s="3">
        <v>12</v>
      </c>
    </row>
    <row r="9006" spans="1:3" x14ac:dyDescent="0.25">
      <c r="A9006" s="1" t="s">
        <v>9005</v>
      </c>
      <c r="C9006" s="3">
        <v>12</v>
      </c>
    </row>
    <row r="9007" spans="1:3" x14ac:dyDescent="0.25">
      <c r="A9007" s="1" t="s">
        <v>9006</v>
      </c>
      <c r="C9007" s="3">
        <v>12</v>
      </c>
    </row>
    <row r="9008" spans="1:3" x14ac:dyDescent="0.25">
      <c r="A9008" s="1" t="s">
        <v>9007</v>
      </c>
      <c r="C9008" s="3">
        <v>12</v>
      </c>
    </row>
    <row r="9009" spans="1:3" x14ac:dyDescent="0.25">
      <c r="A9009" s="1" t="s">
        <v>9008</v>
      </c>
      <c r="C9009" s="3">
        <v>12</v>
      </c>
    </row>
    <row r="9010" spans="1:3" x14ac:dyDescent="0.25">
      <c r="A9010" s="1" t="s">
        <v>9009</v>
      </c>
      <c r="C9010" s="3">
        <v>12</v>
      </c>
    </row>
    <row r="9011" spans="1:3" x14ac:dyDescent="0.25">
      <c r="A9011" s="1" t="s">
        <v>9010</v>
      </c>
      <c r="C9011" s="3">
        <v>12</v>
      </c>
    </row>
    <row r="9012" spans="1:3" x14ac:dyDescent="0.25">
      <c r="A9012" s="1" t="s">
        <v>9011</v>
      </c>
      <c r="C9012" s="3">
        <v>12</v>
      </c>
    </row>
    <row r="9013" spans="1:3" x14ac:dyDescent="0.25">
      <c r="A9013" s="1" t="s">
        <v>9012</v>
      </c>
      <c r="C9013" s="3">
        <v>12</v>
      </c>
    </row>
    <row r="9014" spans="1:3" x14ac:dyDescent="0.25">
      <c r="A9014" s="1" t="s">
        <v>9013</v>
      </c>
      <c r="C9014" s="3">
        <v>12</v>
      </c>
    </row>
    <row r="9015" spans="1:3" x14ac:dyDescent="0.25">
      <c r="A9015" s="1" t="s">
        <v>9014</v>
      </c>
      <c r="C9015" s="3">
        <v>12</v>
      </c>
    </row>
    <row r="9016" spans="1:3" x14ac:dyDescent="0.25">
      <c r="A9016" s="1" t="s">
        <v>9015</v>
      </c>
      <c r="C9016" s="3">
        <v>12</v>
      </c>
    </row>
    <row r="9017" spans="1:3" x14ac:dyDescent="0.25">
      <c r="A9017" s="1" t="s">
        <v>9016</v>
      </c>
      <c r="C9017" s="3">
        <v>12</v>
      </c>
    </row>
    <row r="9018" spans="1:3" x14ac:dyDescent="0.25">
      <c r="A9018" s="1" t="s">
        <v>9017</v>
      </c>
      <c r="C9018" s="3">
        <v>12</v>
      </c>
    </row>
    <row r="9019" spans="1:3" x14ac:dyDescent="0.25">
      <c r="A9019" s="1" t="s">
        <v>9018</v>
      </c>
      <c r="C9019" s="3">
        <v>12</v>
      </c>
    </row>
    <row r="9020" spans="1:3" x14ac:dyDescent="0.25">
      <c r="A9020" s="1" t="s">
        <v>9019</v>
      </c>
      <c r="C9020" s="3">
        <v>12</v>
      </c>
    </row>
    <row r="9021" spans="1:3" x14ac:dyDescent="0.25">
      <c r="A9021" s="1" t="s">
        <v>9020</v>
      </c>
      <c r="C9021" s="3">
        <v>12</v>
      </c>
    </row>
    <row r="9022" spans="1:3" x14ac:dyDescent="0.25">
      <c r="A9022" s="1" t="s">
        <v>9021</v>
      </c>
      <c r="C9022" s="3">
        <v>12</v>
      </c>
    </row>
    <row r="9023" spans="1:3" x14ac:dyDescent="0.25">
      <c r="A9023" s="1" t="s">
        <v>9022</v>
      </c>
      <c r="C9023" s="3">
        <v>12</v>
      </c>
    </row>
    <row r="9024" spans="1:3" x14ac:dyDescent="0.25">
      <c r="A9024" s="1" t="s">
        <v>9023</v>
      </c>
      <c r="C9024" s="3">
        <v>12</v>
      </c>
    </row>
    <row r="9025" spans="1:3" x14ac:dyDescent="0.25">
      <c r="A9025" s="1" t="s">
        <v>9024</v>
      </c>
      <c r="C9025" s="3">
        <v>12</v>
      </c>
    </row>
    <row r="9026" spans="1:3" x14ac:dyDescent="0.25">
      <c r="A9026" s="1" t="s">
        <v>9025</v>
      </c>
      <c r="C9026" s="3">
        <v>12</v>
      </c>
    </row>
    <row r="9027" spans="1:3" x14ac:dyDescent="0.25">
      <c r="A9027" s="1" t="s">
        <v>9026</v>
      </c>
      <c r="C9027" s="3">
        <v>12</v>
      </c>
    </row>
    <row r="9028" spans="1:3" x14ac:dyDescent="0.25">
      <c r="A9028" s="1" t="s">
        <v>9027</v>
      </c>
      <c r="C9028" s="3">
        <v>12</v>
      </c>
    </row>
    <row r="9029" spans="1:3" x14ac:dyDescent="0.25">
      <c r="A9029" s="1" t="s">
        <v>9028</v>
      </c>
      <c r="C9029" s="3">
        <v>12</v>
      </c>
    </row>
    <row r="9030" spans="1:3" x14ac:dyDescent="0.25">
      <c r="A9030" s="1" t="s">
        <v>9029</v>
      </c>
      <c r="C9030" s="3">
        <v>12</v>
      </c>
    </row>
    <row r="9031" spans="1:3" x14ac:dyDescent="0.25">
      <c r="A9031" s="1" t="s">
        <v>9030</v>
      </c>
      <c r="C9031" s="3">
        <v>12</v>
      </c>
    </row>
    <row r="9032" spans="1:3" x14ac:dyDescent="0.25">
      <c r="A9032" s="1" t="s">
        <v>9031</v>
      </c>
      <c r="C9032" s="3">
        <v>12</v>
      </c>
    </row>
    <row r="9033" spans="1:3" x14ac:dyDescent="0.25">
      <c r="A9033" s="1" t="s">
        <v>9032</v>
      </c>
      <c r="C9033" s="3">
        <v>12</v>
      </c>
    </row>
    <row r="9034" spans="1:3" x14ac:dyDescent="0.25">
      <c r="A9034" s="1" t="s">
        <v>9033</v>
      </c>
      <c r="C9034" s="3">
        <v>12</v>
      </c>
    </row>
    <row r="9035" spans="1:3" x14ac:dyDescent="0.25">
      <c r="A9035" s="1" t="s">
        <v>9034</v>
      </c>
      <c r="C9035" s="3">
        <v>12</v>
      </c>
    </row>
    <row r="9036" spans="1:3" x14ac:dyDescent="0.25">
      <c r="A9036" s="1" t="s">
        <v>9035</v>
      </c>
      <c r="C9036" s="3">
        <v>12</v>
      </c>
    </row>
    <row r="9037" spans="1:3" x14ac:dyDescent="0.25">
      <c r="A9037" s="1" t="s">
        <v>9036</v>
      </c>
      <c r="C9037" s="3">
        <v>12</v>
      </c>
    </row>
    <row r="9038" spans="1:3" x14ac:dyDescent="0.25">
      <c r="A9038" s="1" t="s">
        <v>9037</v>
      </c>
      <c r="C9038" s="3">
        <v>12</v>
      </c>
    </row>
    <row r="9039" spans="1:3" x14ac:dyDescent="0.25">
      <c r="A9039" s="1" t="s">
        <v>9038</v>
      </c>
      <c r="C9039" s="3">
        <v>12</v>
      </c>
    </row>
    <row r="9040" spans="1:3" x14ac:dyDescent="0.25">
      <c r="A9040" s="1" t="s">
        <v>9039</v>
      </c>
      <c r="C9040" s="3">
        <v>12</v>
      </c>
    </row>
    <row r="9041" spans="1:3" x14ac:dyDescent="0.25">
      <c r="A9041" s="1" t="s">
        <v>9040</v>
      </c>
      <c r="C9041" s="3">
        <v>12</v>
      </c>
    </row>
    <row r="9042" spans="1:3" x14ac:dyDescent="0.25">
      <c r="A9042" s="1" t="s">
        <v>9041</v>
      </c>
      <c r="C9042" s="3">
        <v>12</v>
      </c>
    </row>
    <row r="9043" spans="1:3" x14ac:dyDescent="0.25">
      <c r="A9043" s="1" t="s">
        <v>9042</v>
      </c>
      <c r="C9043" s="3">
        <v>12</v>
      </c>
    </row>
    <row r="9044" spans="1:3" x14ac:dyDescent="0.25">
      <c r="A9044" s="1" t="s">
        <v>9043</v>
      </c>
      <c r="C9044" s="3">
        <v>12</v>
      </c>
    </row>
    <row r="9045" spans="1:3" x14ac:dyDescent="0.25">
      <c r="A9045" s="1" t="s">
        <v>9044</v>
      </c>
      <c r="C9045" s="3">
        <v>12</v>
      </c>
    </row>
    <row r="9046" spans="1:3" x14ac:dyDescent="0.25">
      <c r="A9046" s="1" t="s">
        <v>9045</v>
      </c>
      <c r="C9046" s="3">
        <v>12</v>
      </c>
    </row>
    <row r="9047" spans="1:3" x14ac:dyDescent="0.25">
      <c r="A9047" s="1" t="s">
        <v>9046</v>
      </c>
      <c r="C9047" s="3">
        <v>12</v>
      </c>
    </row>
    <row r="9048" spans="1:3" x14ac:dyDescent="0.25">
      <c r="A9048" s="1" t="s">
        <v>9047</v>
      </c>
      <c r="C9048" s="3">
        <v>12</v>
      </c>
    </row>
    <row r="9049" spans="1:3" x14ac:dyDescent="0.25">
      <c r="A9049" s="1" t="s">
        <v>9048</v>
      </c>
      <c r="C9049" s="3">
        <v>12</v>
      </c>
    </row>
    <row r="9050" spans="1:3" x14ac:dyDescent="0.25">
      <c r="A9050" s="1" t="s">
        <v>9049</v>
      </c>
      <c r="C9050" s="3">
        <v>12</v>
      </c>
    </row>
    <row r="9051" spans="1:3" x14ac:dyDescent="0.25">
      <c r="A9051" s="1" t="s">
        <v>9050</v>
      </c>
      <c r="C9051" s="3">
        <v>12</v>
      </c>
    </row>
    <row r="9052" spans="1:3" x14ac:dyDescent="0.25">
      <c r="A9052" s="1" t="s">
        <v>9051</v>
      </c>
      <c r="C9052" s="3">
        <v>12</v>
      </c>
    </row>
    <row r="9053" spans="1:3" x14ac:dyDescent="0.25">
      <c r="A9053" s="1" t="s">
        <v>9052</v>
      </c>
      <c r="C9053" s="3">
        <v>12</v>
      </c>
    </row>
    <row r="9054" spans="1:3" x14ac:dyDescent="0.25">
      <c r="A9054" s="1" t="s">
        <v>9053</v>
      </c>
      <c r="C9054" s="3">
        <v>12</v>
      </c>
    </row>
    <row r="9055" spans="1:3" x14ac:dyDescent="0.25">
      <c r="A9055" s="1" t="s">
        <v>9054</v>
      </c>
      <c r="C9055" s="3">
        <v>12</v>
      </c>
    </row>
    <row r="9056" spans="1:3" x14ac:dyDescent="0.25">
      <c r="A9056" s="1" t="s">
        <v>9055</v>
      </c>
      <c r="C9056" s="3">
        <v>12</v>
      </c>
    </row>
    <row r="9057" spans="1:3" x14ac:dyDescent="0.25">
      <c r="A9057" s="1" t="s">
        <v>9056</v>
      </c>
      <c r="C9057" s="3">
        <v>12</v>
      </c>
    </row>
    <row r="9058" spans="1:3" x14ac:dyDescent="0.25">
      <c r="A9058" s="1" t="s">
        <v>9057</v>
      </c>
      <c r="C9058" s="3">
        <v>12</v>
      </c>
    </row>
    <row r="9059" spans="1:3" x14ac:dyDescent="0.25">
      <c r="A9059" s="1" t="s">
        <v>9058</v>
      </c>
      <c r="C9059" s="3">
        <v>12</v>
      </c>
    </row>
    <row r="9060" spans="1:3" x14ac:dyDescent="0.25">
      <c r="A9060" s="1" t="s">
        <v>9059</v>
      </c>
      <c r="C9060" s="3">
        <v>12</v>
      </c>
    </row>
    <row r="9061" spans="1:3" x14ac:dyDescent="0.25">
      <c r="A9061" s="1" t="s">
        <v>9060</v>
      </c>
      <c r="C9061" s="3">
        <v>12</v>
      </c>
    </row>
    <row r="9062" spans="1:3" x14ac:dyDescent="0.25">
      <c r="A9062" s="1" t="s">
        <v>9061</v>
      </c>
      <c r="C9062" s="3">
        <v>12</v>
      </c>
    </row>
    <row r="9063" spans="1:3" x14ac:dyDescent="0.25">
      <c r="A9063" s="1" t="s">
        <v>9062</v>
      </c>
      <c r="C9063" s="3">
        <v>12</v>
      </c>
    </row>
    <row r="9064" spans="1:3" x14ac:dyDescent="0.25">
      <c r="A9064" s="1" t="s">
        <v>9063</v>
      </c>
      <c r="C9064" s="3">
        <v>12</v>
      </c>
    </row>
    <row r="9065" spans="1:3" x14ac:dyDescent="0.25">
      <c r="A9065" s="1" t="s">
        <v>9064</v>
      </c>
      <c r="C9065" s="3">
        <v>12</v>
      </c>
    </row>
    <row r="9066" spans="1:3" x14ac:dyDescent="0.25">
      <c r="A9066" s="1" t="s">
        <v>9065</v>
      </c>
      <c r="C9066" s="3">
        <v>12</v>
      </c>
    </row>
    <row r="9067" spans="1:3" x14ac:dyDescent="0.25">
      <c r="A9067" s="1" t="s">
        <v>9066</v>
      </c>
      <c r="C9067" s="3">
        <v>12</v>
      </c>
    </row>
    <row r="9068" spans="1:3" x14ac:dyDescent="0.25">
      <c r="A9068" s="1" t="s">
        <v>9067</v>
      </c>
      <c r="C9068" s="3">
        <v>12</v>
      </c>
    </row>
    <row r="9069" spans="1:3" x14ac:dyDescent="0.25">
      <c r="A9069" s="1" t="s">
        <v>9068</v>
      </c>
      <c r="C9069" s="3">
        <v>12</v>
      </c>
    </row>
    <row r="9070" spans="1:3" x14ac:dyDescent="0.25">
      <c r="A9070" s="1" t="s">
        <v>9069</v>
      </c>
      <c r="C9070" s="3">
        <v>12</v>
      </c>
    </row>
    <row r="9071" spans="1:3" x14ac:dyDescent="0.25">
      <c r="A9071" s="1" t="s">
        <v>9070</v>
      </c>
      <c r="C9071" s="3">
        <v>12</v>
      </c>
    </row>
    <row r="9072" spans="1:3" x14ac:dyDescent="0.25">
      <c r="A9072" s="1" t="s">
        <v>9071</v>
      </c>
      <c r="C9072" s="3">
        <v>12</v>
      </c>
    </row>
    <row r="9073" spans="1:3" x14ac:dyDescent="0.25">
      <c r="A9073" s="1" t="s">
        <v>9072</v>
      </c>
      <c r="C9073" s="3">
        <v>12</v>
      </c>
    </row>
    <row r="9074" spans="1:3" x14ac:dyDescent="0.25">
      <c r="A9074" s="1" t="s">
        <v>9073</v>
      </c>
      <c r="C9074" s="3">
        <v>12</v>
      </c>
    </row>
    <row r="9075" spans="1:3" x14ac:dyDescent="0.25">
      <c r="A9075" s="1" t="s">
        <v>9074</v>
      </c>
      <c r="C9075" s="3">
        <v>12</v>
      </c>
    </row>
    <row r="9076" spans="1:3" x14ac:dyDescent="0.25">
      <c r="A9076" s="1" t="s">
        <v>9075</v>
      </c>
      <c r="C9076" s="3">
        <v>12</v>
      </c>
    </row>
    <row r="9077" spans="1:3" x14ac:dyDescent="0.25">
      <c r="A9077" s="1" t="s">
        <v>9076</v>
      </c>
      <c r="C9077" s="3">
        <v>12</v>
      </c>
    </row>
    <row r="9078" spans="1:3" x14ac:dyDescent="0.25">
      <c r="A9078" s="1" t="s">
        <v>9077</v>
      </c>
      <c r="C9078" s="3">
        <v>12</v>
      </c>
    </row>
    <row r="9079" spans="1:3" x14ac:dyDescent="0.25">
      <c r="A9079" s="1" t="s">
        <v>9078</v>
      </c>
      <c r="C9079" s="3">
        <v>12</v>
      </c>
    </row>
    <row r="9080" spans="1:3" x14ac:dyDescent="0.25">
      <c r="A9080" s="1" t="s">
        <v>9079</v>
      </c>
      <c r="C9080" s="3">
        <v>12</v>
      </c>
    </row>
    <row r="9081" spans="1:3" x14ac:dyDescent="0.25">
      <c r="A9081" s="1" t="s">
        <v>9080</v>
      </c>
      <c r="C9081" s="3">
        <v>12</v>
      </c>
    </row>
    <row r="9082" spans="1:3" x14ac:dyDescent="0.25">
      <c r="A9082" s="1" t="s">
        <v>9081</v>
      </c>
      <c r="C9082" s="3">
        <v>12</v>
      </c>
    </row>
    <row r="9083" spans="1:3" x14ac:dyDescent="0.25">
      <c r="A9083" s="1" t="s">
        <v>9082</v>
      </c>
      <c r="C9083" s="3">
        <v>12</v>
      </c>
    </row>
    <row r="9084" spans="1:3" x14ac:dyDescent="0.25">
      <c r="A9084" s="1" t="s">
        <v>9083</v>
      </c>
      <c r="C9084" s="3">
        <v>12</v>
      </c>
    </row>
    <row r="9085" spans="1:3" x14ac:dyDescent="0.25">
      <c r="A9085" s="1" t="s">
        <v>9084</v>
      </c>
      <c r="C9085" s="3">
        <v>12</v>
      </c>
    </row>
    <row r="9086" spans="1:3" x14ac:dyDescent="0.25">
      <c r="A9086" s="1" t="s">
        <v>9085</v>
      </c>
      <c r="C9086" s="3">
        <v>12</v>
      </c>
    </row>
    <row r="9087" spans="1:3" x14ac:dyDescent="0.25">
      <c r="A9087" s="1" t="s">
        <v>9086</v>
      </c>
      <c r="C9087" s="3">
        <v>12</v>
      </c>
    </row>
    <row r="9088" spans="1:3" x14ac:dyDescent="0.25">
      <c r="A9088" s="1" t="s">
        <v>9087</v>
      </c>
      <c r="C9088" s="3">
        <v>12</v>
      </c>
    </row>
    <row r="9089" spans="1:3" x14ac:dyDescent="0.25">
      <c r="A9089" s="1" t="s">
        <v>9088</v>
      </c>
      <c r="C9089" s="3">
        <v>12</v>
      </c>
    </row>
    <row r="9090" spans="1:3" x14ac:dyDescent="0.25">
      <c r="A9090" s="1" t="s">
        <v>9089</v>
      </c>
      <c r="C9090" s="3">
        <v>12</v>
      </c>
    </row>
    <row r="9091" spans="1:3" x14ac:dyDescent="0.25">
      <c r="A9091" s="1" t="s">
        <v>9090</v>
      </c>
      <c r="C9091" s="3">
        <v>12</v>
      </c>
    </row>
    <row r="9092" spans="1:3" x14ac:dyDescent="0.25">
      <c r="A9092" s="1" t="s">
        <v>9091</v>
      </c>
      <c r="C9092" s="3">
        <v>12</v>
      </c>
    </row>
    <row r="9093" spans="1:3" x14ac:dyDescent="0.25">
      <c r="A9093" s="1" t="s">
        <v>9092</v>
      </c>
      <c r="C9093" s="3">
        <v>12</v>
      </c>
    </row>
    <row r="9094" spans="1:3" x14ac:dyDescent="0.25">
      <c r="A9094" s="1" t="s">
        <v>9093</v>
      </c>
      <c r="C9094" s="3">
        <v>12</v>
      </c>
    </row>
    <row r="9095" spans="1:3" x14ac:dyDescent="0.25">
      <c r="A9095" s="1" t="s">
        <v>9094</v>
      </c>
      <c r="C9095" s="3">
        <v>12</v>
      </c>
    </row>
    <row r="9096" spans="1:3" x14ac:dyDescent="0.25">
      <c r="A9096" s="1" t="s">
        <v>9095</v>
      </c>
      <c r="C9096" s="3">
        <v>12</v>
      </c>
    </row>
    <row r="9097" spans="1:3" x14ac:dyDescent="0.25">
      <c r="A9097" s="1" t="s">
        <v>9096</v>
      </c>
      <c r="C9097" s="3">
        <v>12</v>
      </c>
    </row>
    <row r="9098" spans="1:3" x14ac:dyDescent="0.25">
      <c r="A9098" s="1" t="s">
        <v>9097</v>
      </c>
      <c r="C9098" s="3">
        <v>12</v>
      </c>
    </row>
    <row r="9099" spans="1:3" x14ac:dyDescent="0.25">
      <c r="A9099" s="1" t="s">
        <v>9098</v>
      </c>
      <c r="C9099" s="3">
        <v>12</v>
      </c>
    </row>
    <row r="9100" spans="1:3" x14ac:dyDescent="0.25">
      <c r="A9100" s="1" t="s">
        <v>9099</v>
      </c>
      <c r="C9100" s="3">
        <v>12</v>
      </c>
    </row>
    <row r="9101" spans="1:3" x14ac:dyDescent="0.25">
      <c r="A9101" s="1" t="s">
        <v>9100</v>
      </c>
      <c r="C9101" s="3">
        <v>12</v>
      </c>
    </row>
    <row r="9102" spans="1:3" x14ac:dyDescent="0.25">
      <c r="A9102" s="1" t="s">
        <v>9101</v>
      </c>
      <c r="C9102" s="3">
        <v>12</v>
      </c>
    </row>
    <row r="9103" spans="1:3" x14ac:dyDescent="0.25">
      <c r="A9103" s="1" t="s">
        <v>9102</v>
      </c>
      <c r="C9103" s="3">
        <v>12</v>
      </c>
    </row>
    <row r="9104" spans="1:3" x14ac:dyDescent="0.25">
      <c r="A9104" s="1" t="s">
        <v>9103</v>
      </c>
      <c r="C9104" s="3">
        <v>12</v>
      </c>
    </row>
    <row r="9105" spans="1:3" x14ac:dyDescent="0.25">
      <c r="A9105" s="1" t="s">
        <v>9104</v>
      </c>
      <c r="C9105" s="3">
        <v>12</v>
      </c>
    </row>
    <row r="9106" spans="1:3" x14ac:dyDescent="0.25">
      <c r="A9106" s="1" t="s">
        <v>9105</v>
      </c>
      <c r="C9106" s="3">
        <v>12</v>
      </c>
    </row>
    <row r="9107" spans="1:3" x14ac:dyDescent="0.25">
      <c r="A9107" s="1" t="s">
        <v>9106</v>
      </c>
      <c r="C9107" s="3">
        <v>12</v>
      </c>
    </row>
    <row r="9108" spans="1:3" x14ac:dyDescent="0.25">
      <c r="A9108" s="1" t="s">
        <v>9107</v>
      </c>
      <c r="C9108" s="3">
        <v>12</v>
      </c>
    </row>
    <row r="9109" spans="1:3" x14ac:dyDescent="0.25">
      <c r="A9109" s="1" t="s">
        <v>9108</v>
      </c>
      <c r="C9109" s="3">
        <v>12</v>
      </c>
    </row>
    <row r="9110" spans="1:3" x14ac:dyDescent="0.25">
      <c r="A9110" s="1" t="s">
        <v>9109</v>
      </c>
      <c r="C9110" s="3">
        <v>12</v>
      </c>
    </row>
    <row r="9111" spans="1:3" x14ac:dyDescent="0.25">
      <c r="A9111" s="1" t="s">
        <v>9110</v>
      </c>
      <c r="C9111" s="3">
        <v>12</v>
      </c>
    </row>
    <row r="9112" spans="1:3" x14ac:dyDescent="0.25">
      <c r="A9112" s="1" t="s">
        <v>9111</v>
      </c>
      <c r="C9112" s="3">
        <v>12</v>
      </c>
    </row>
    <row r="9113" spans="1:3" x14ac:dyDescent="0.25">
      <c r="A9113" s="1" t="s">
        <v>9112</v>
      </c>
      <c r="C9113" s="3">
        <v>12</v>
      </c>
    </row>
    <row r="9114" spans="1:3" x14ac:dyDescent="0.25">
      <c r="A9114" s="1" t="s">
        <v>9113</v>
      </c>
      <c r="C9114" s="3">
        <v>12</v>
      </c>
    </row>
    <row r="9115" spans="1:3" x14ac:dyDescent="0.25">
      <c r="A9115" s="1" t="s">
        <v>9114</v>
      </c>
      <c r="C9115" s="3">
        <v>12</v>
      </c>
    </row>
    <row r="9116" spans="1:3" x14ac:dyDescent="0.25">
      <c r="A9116" s="1" t="s">
        <v>9115</v>
      </c>
      <c r="C9116" s="3">
        <v>12</v>
      </c>
    </row>
    <row r="9117" spans="1:3" x14ac:dyDescent="0.25">
      <c r="A9117" s="1" t="s">
        <v>9116</v>
      </c>
      <c r="C9117" s="3">
        <v>12</v>
      </c>
    </row>
    <row r="9118" spans="1:3" x14ac:dyDescent="0.25">
      <c r="A9118" s="1" t="s">
        <v>9117</v>
      </c>
      <c r="C9118" s="3">
        <v>12</v>
      </c>
    </row>
    <row r="9119" spans="1:3" x14ac:dyDescent="0.25">
      <c r="A9119" s="1" t="s">
        <v>9118</v>
      </c>
      <c r="C9119" s="3">
        <v>12</v>
      </c>
    </row>
    <row r="9120" spans="1:3" x14ac:dyDescent="0.25">
      <c r="A9120" s="1" t="s">
        <v>9119</v>
      </c>
      <c r="C9120" s="3">
        <v>12</v>
      </c>
    </row>
    <row r="9121" spans="1:3" x14ac:dyDescent="0.25">
      <c r="A9121" s="1" t="s">
        <v>9120</v>
      </c>
      <c r="C9121" s="3">
        <v>12</v>
      </c>
    </row>
    <row r="9122" spans="1:3" x14ac:dyDescent="0.25">
      <c r="A9122" s="1" t="s">
        <v>9121</v>
      </c>
      <c r="C9122" s="3">
        <v>12</v>
      </c>
    </row>
    <row r="9123" spans="1:3" x14ac:dyDescent="0.25">
      <c r="A9123" s="1" t="s">
        <v>9122</v>
      </c>
      <c r="C9123" s="3">
        <v>12</v>
      </c>
    </row>
    <row r="9124" spans="1:3" x14ac:dyDescent="0.25">
      <c r="A9124" s="1" t="s">
        <v>9123</v>
      </c>
      <c r="C9124" s="3">
        <v>12</v>
      </c>
    </row>
    <row r="9125" spans="1:3" x14ac:dyDescent="0.25">
      <c r="A9125" s="1" t="s">
        <v>9124</v>
      </c>
      <c r="C9125" s="3">
        <v>12</v>
      </c>
    </row>
    <row r="9126" spans="1:3" x14ac:dyDescent="0.25">
      <c r="A9126" s="1" t="s">
        <v>9125</v>
      </c>
      <c r="C9126" s="3">
        <v>12</v>
      </c>
    </row>
    <row r="9127" spans="1:3" x14ac:dyDescent="0.25">
      <c r="A9127" s="1" t="s">
        <v>9126</v>
      </c>
      <c r="C9127" s="3">
        <v>12</v>
      </c>
    </row>
    <row r="9128" spans="1:3" x14ac:dyDescent="0.25">
      <c r="A9128" s="1" t="s">
        <v>9127</v>
      </c>
      <c r="C9128" s="3">
        <v>12</v>
      </c>
    </row>
    <row r="9129" spans="1:3" x14ac:dyDescent="0.25">
      <c r="A9129" s="1" t="s">
        <v>9128</v>
      </c>
      <c r="C9129" s="3">
        <v>12</v>
      </c>
    </row>
    <row r="9130" spans="1:3" x14ac:dyDescent="0.25">
      <c r="A9130" s="1" t="s">
        <v>9129</v>
      </c>
      <c r="C9130" s="3">
        <v>12</v>
      </c>
    </row>
    <row r="9131" spans="1:3" x14ac:dyDescent="0.25">
      <c r="A9131" s="1" t="s">
        <v>9130</v>
      </c>
      <c r="C9131" s="3">
        <v>12</v>
      </c>
    </row>
    <row r="9132" spans="1:3" x14ac:dyDescent="0.25">
      <c r="A9132" s="1" t="s">
        <v>9131</v>
      </c>
      <c r="C9132" s="3">
        <v>12</v>
      </c>
    </row>
    <row r="9133" spans="1:3" x14ac:dyDescent="0.25">
      <c r="A9133" s="1" t="s">
        <v>9132</v>
      </c>
      <c r="C9133" s="3">
        <v>12</v>
      </c>
    </row>
    <row r="9134" spans="1:3" x14ac:dyDescent="0.25">
      <c r="A9134" s="1" t="s">
        <v>9133</v>
      </c>
      <c r="C9134" s="3">
        <v>12</v>
      </c>
    </row>
    <row r="9135" spans="1:3" x14ac:dyDescent="0.25">
      <c r="A9135" s="1" t="s">
        <v>9134</v>
      </c>
      <c r="C9135" s="3">
        <v>12</v>
      </c>
    </row>
    <row r="9136" spans="1:3" x14ac:dyDescent="0.25">
      <c r="A9136" s="1" t="s">
        <v>9135</v>
      </c>
      <c r="C9136" s="3">
        <v>12</v>
      </c>
    </row>
    <row r="9137" spans="1:3" x14ac:dyDescent="0.25">
      <c r="A9137" s="1" t="s">
        <v>9136</v>
      </c>
      <c r="C9137" s="3">
        <v>12</v>
      </c>
    </row>
    <row r="9138" spans="1:3" x14ac:dyDescent="0.25">
      <c r="A9138" s="1" t="s">
        <v>9137</v>
      </c>
      <c r="C9138" s="3">
        <v>12</v>
      </c>
    </row>
    <row r="9139" spans="1:3" x14ac:dyDescent="0.25">
      <c r="A9139" s="1" t="s">
        <v>9138</v>
      </c>
      <c r="C9139" s="3">
        <v>12</v>
      </c>
    </row>
    <row r="9140" spans="1:3" x14ac:dyDescent="0.25">
      <c r="A9140" s="1" t="s">
        <v>9139</v>
      </c>
      <c r="C9140" s="3">
        <v>12</v>
      </c>
    </row>
    <row r="9141" spans="1:3" x14ac:dyDescent="0.25">
      <c r="A9141" s="1" t="s">
        <v>9140</v>
      </c>
      <c r="C9141" s="3">
        <v>12</v>
      </c>
    </row>
    <row r="9142" spans="1:3" x14ac:dyDescent="0.25">
      <c r="A9142" s="1" t="s">
        <v>9141</v>
      </c>
      <c r="C9142" s="3">
        <v>12</v>
      </c>
    </row>
    <row r="9143" spans="1:3" x14ac:dyDescent="0.25">
      <c r="A9143" s="1" t="s">
        <v>9142</v>
      </c>
      <c r="C9143" s="3">
        <v>12</v>
      </c>
    </row>
    <row r="9144" spans="1:3" x14ac:dyDescent="0.25">
      <c r="A9144" s="1" t="s">
        <v>9143</v>
      </c>
      <c r="C9144" s="3">
        <v>12</v>
      </c>
    </row>
    <row r="9145" spans="1:3" x14ac:dyDescent="0.25">
      <c r="A9145" s="1" t="s">
        <v>9144</v>
      </c>
      <c r="C9145" s="3">
        <v>12</v>
      </c>
    </row>
    <row r="9146" spans="1:3" x14ac:dyDescent="0.25">
      <c r="A9146" s="1" t="s">
        <v>9145</v>
      </c>
      <c r="C9146" s="3">
        <v>12</v>
      </c>
    </row>
    <row r="9147" spans="1:3" x14ac:dyDescent="0.25">
      <c r="A9147" s="1" t="s">
        <v>9146</v>
      </c>
      <c r="C9147" s="3">
        <v>12</v>
      </c>
    </row>
    <row r="9148" spans="1:3" x14ac:dyDescent="0.25">
      <c r="A9148" s="1" t="s">
        <v>9147</v>
      </c>
      <c r="C9148" s="3">
        <v>12</v>
      </c>
    </row>
    <row r="9149" spans="1:3" x14ac:dyDescent="0.25">
      <c r="A9149" s="1" t="s">
        <v>9148</v>
      </c>
      <c r="C9149" s="3">
        <v>12</v>
      </c>
    </row>
    <row r="9150" spans="1:3" x14ac:dyDescent="0.25">
      <c r="A9150" s="1" t="s">
        <v>9149</v>
      </c>
      <c r="C9150" s="3">
        <v>12</v>
      </c>
    </row>
    <row r="9151" spans="1:3" x14ac:dyDescent="0.25">
      <c r="A9151" s="1" t="s">
        <v>9150</v>
      </c>
      <c r="C9151" s="3">
        <v>12</v>
      </c>
    </row>
    <row r="9152" spans="1:3" x14ac:dyDescent="0.25">
      <c r="A9152" s="1" t="s">
        <v>9151</v>
      </c>
      <c r="C9152" s="3">
        <v>12</v>
      </c>
    </row>
    <row r="9153" spans="1:3" x14ac:dyDescent="0.25">
      <c r="A9153" s="1" t="s">
        <v>9152</v>
      </c>
      <c r="C9153" s="3">
        <v>12</v>
      </c>
    </row>
    <row r="9154" spans="1:3" x14ac:dyDescent="0.25">
      <c r="A9154" s="1" t="s">
        <v>9153</v>
      </c>
      <c r="C9154" s="3">
        <v>12</v>
      </c>
    </row>
    <row r="9155" spans="1:3" x14ac:dyDescent="0.25">
      <c r="A9155" s="1" t="s">
        <v>9154</v>
      </c>
      <c r="C9155" s="3">
        <v>12</v>
      </c>
    </row>
    <row r="9156" spans="1:3" x14ac:dyDescent="0.25">
      <c r="A9156" s="1" t="s">
        <v>9155</v>
      </c>
      <c r="C9156" s="3">
        <v>12</v>
      </c>
    </row>
    <row r="9157" spans="1:3" x14ac:dyDescent="0.25">
      <c r="A9157" s="1" t="s">
        <v>9156</v>
      </c>
      <c r="C9157" s="3">
        <v>12</v>
      </c>
    </row>
    <row r="9158" spans="1:3" x14ac:dyDescent="0.25">
      <c r="A9158" s="1" t="s">
        <v>9157</v>
      </c>
      <c r="C9158" s="3">
        <v>12</v>
      </c>
    </row>
    <row r="9159" spans="1:3" x14ac:dyDescent="0.25">
      <c r="A9159" s="1" t="s">
        <v>9158</v>
      </c>
      <c r="C9159" s="3">
        <v>12</v>
      </c>
    </row>
    <row r="9160" spans="1:3" x14ac:dyDescent="0.25">
      <c r="A9160" s="1" t="s">
        <v>9159</v>
      </c>
      <c r="C9160" s="3">
        <v>12</v>
      </c>
    </row>
    <row r="9161" spans="1:3" x14ac:dyDescent="0.25">
      <c r="A9161" s="1" t="s">
        <v>9160</v>
      </c>
      <c r="C9161" s="3">
        <v>12</v>
      </c>
    </row>
    <row r="9162" spans="1:3" x14ac:dyDescent="0.25">
      <c r="A9162" s="1" t="s">
        <v>9161</v>
      </c>
      <c r="C9162" s="3">
        <v>12</v>
      </c>
    </row>
    <row r="9163" spans="1:3" x14ac:dyDescent="0.25">
      <c r="A9163" s="1" t="s">
        <v>9162</v>
      </c>
      <c r="C9163" s="3">
        <v>12</v>
      </c>
    </row>
    <row r="9164" spans="1:3" x14ac:dyDescent="0.25">
      <c r="A9164" s="1" t="s">
        <v>9163</v>
      </c>
      <c r="C9164" s="3">
        <v>12</v>
      </c>
    </row>
    <row r="9165" spans="1:3" x14ac:dyDescent="0.25">
      <c r="A9165" s="1" t="s">
        <v>9164</v>
      </c>
      <c r="C9165" s="3">
        <v>12</v>
      </c>
    </row>
    <row r="9166" spans="1:3" x14ac:dyDescent="0.25">
      <c r="A9166" s="1" t="s">
        <v>9165</v>
      </c>
      <c r="C9166" s="3">
        <v>12</v>
      </c>
    </row>
    <row r="9167" spans="1:3" x14ac:dyDescent="0.25">
      <c r="A9167" s="1" t="s">
        <v>9166</v>
      </c>
      <c r="C9167" s="3">
        <v>12</v>
      </c>
    </row>
    <row r="9168" spans="1:3" x14ac:dyDescent="0.25">
      <c r="A9168" s="1" t="s">
        <v>9167</v>
      </c>
      <c r="C9168" s="3">
        <v>12</v>
      </c>
    </row>
    <row r="9169" spans="1:3" x14ac:dyDescent="0.25">
      <c r="A9169" s="1" t="s">
        <v>9168</v>
      </c>
      <c r="C9169" s="3">
        <v>12</v>
      </c>
    </row>
    <row r="9170" spans="1:3" x14ac:dyDescent="0.25">
      <c r="A9170" s="1" t="s">
        <v>9169</v>
      </c>
      <c r="C9170" s="3">
        <v>12</v>
      </c>
    </row>
    <row r="9171" spans="1:3" x14ac:dyDescent="0.25">
      <c r="A9171" s="1" t="s">
        <v>9170</v>
      </c>
      <c r="C9171" s="3">
        <v>12</v>
      </c>
    </row>
    <row r="9172" spans="1:3" x14ac:dyDescent="0.25">
      <c r="A9172" s="1" t="s">
        <v>9171</v>
      </c>
      <c r="C9172" s="3">
        <v>12</v>
      </c>
    </row>
    <row r="9173" spans="1:3" x14ac:dyDescent="0.25">
      <c r="A9173" s="1" t="s">
        <v>9172</v>
      </c>
      <c r="C9173" s="3">
        <v>12</v>
      </c>
    </row>
    <row r="9174" spans="1:3" x14ac:dyDescent="0.25">
      <c r="A9174" s="1" t="s">
        <v>9173</v>
      </c>
      <c r="C9174" s="3">
        <v>12</v>
      </c>
    </row>
    <row r="9175" spans="1:3" x14ac:dyDescent="0.25">
      <c r="A9175" s="1" t="s">
        <v>9174</v>
      </c>
      <c r="C9175" s="3">
        <v>12</v>
      </c>
    </row>
    <row r="9176" spans="1:3" x14ac:dyDescent="0.25">
      <c r="A9176" s="1" t="s">
        <v>9175</v>
      </c>
      <c r="C9176" s="3">
        <v>12</v>
      </c>
    </row>
    <row r="9177" spans="1:3" x14ac:dyDescent="0.25">
      <c r="A9177" s="1" t="s">
        <v>9176</v>
      </c>
      <c r="C9177" s="3">
        <v>12</v>
      </c>
    </row>
    <row r="9178" spans="1:3" x14ac:dyDescent="0.25">
      <c r="A9178" s="1" t="s">
        <v>9177</v>
      </c>
      <c r="C9178" s="3">
        <v>12</v>
      </c>
    </row>
    <row r="9179" spans="1:3" x14ac:dyDescent="0.25">
      <c r="A9179" s="1" t="s">
        <v>9178</v>
      </c>
      <c r="C9179" s="3">
        <v>12</v>
      </c>
    </row>
    <row r="9180" spans="1:3" x14ac:dyDescent="0.25">
      <c r="A9180" s="1" t="s">
        <v>9179</v>
      </c>
      <c r="C9180" s="3">
        <v>12</v>
      </c>
    </row>
    <row r="9181" spans="1:3" x14ac:dyDescent="0.25">
      <c r="A9181" s="1" t="s">
        <v>9180</v>
      </c>
      <c r="C9181" s="3">
        <v>12</v>
      </c>
    </row>
    <row r="9182" spans="1:3" x14ac:dyDescent="0.25">
      <c r="A9182" s="1" t="s">
        <v>9181</v>
      </c>
      <c r="C9182" s="3">
        <v>12</v>
      </c>
    </row>
    <row r="9183" spans="1:3" x14ac:dyDescent="0.25">
      <c r="A9183" s="1" t="s">
        <v>9182</v>
      </c>
      <c r="C9183" s="3">
        <v>12</v>
      </c>
    </row>
    <row r="9184" spans="1:3" x14ac:dyDescent="0.25">
      <c r="A9184" s="1" t="s">
        <v>9183</v>
      </c>
      <c r="C9184" s="3">
        <v>12</v>
      </c>
    </row>
    <row r="9185" spans="1:3" x14ac:dyDescent="0.25">
      <c r="A9185" s="1" t="s">
        <v>9184</v>
      </c>
      <c r="C9185" s="3">
        <v>12</v>
      </c>
    </row>
    <row r="9186" spans="1:3" x14ac:dyDescent="0.25">
      <c r="A9186" s="1" t="s">
        <v>9185</v>
      </c>
      <c r="C9186" s="3">
        <v>12</v>
      </c>
    </row>
    <row r="9187" spans="1:3" x14ac:dyDescent="0.25">
      <c r="A9187" s="1" t="s">
        <v>9186</v>
      </c>
      <c r="C9187" s="3">
        <v>12</v>
      </c>
    </row>
    <row r="9188" spans="1:3" x14ac:dyDescent="0.25">
      <c r="A9188" s="1" t="s">
        <v>9187</v>
      </c>
      <c r="C9188" s="3">
        <v>12</v>
      </c>
    </row>
    <row r="9189" spans="1:3" x14ac:dyDescent="0.25">
      <c r="A9189" s="1" t="s">
        <v>9188</v>
      </c>
      <c r="C9189" s="3">
        <v>12</v>
      </c>
    </row>
    <row r="9190" spans="1:3" x14ac:dyDescent="0.25">
      <c r="A9190" s="1" t="s">
        <v>9189</v>
      </c>
      <c r="C9190" s="3">
        <v>12</v>
      </c>
    </row>
    <row r="9191" spans="1:3" x14ac:dyDescent="0.25">
      <c r="A9191" s="1" t="s">
        <v>9190</v>
      </c>
      <c r="C9191" s="3">
        <v>12</v>
      </c>
    </row>
    <row r="9192" spans="1:3" x14ac:dyDescent="0.25">
      <c r="A9192" s="1" t="s">
        <v>9191</v>
      </c>
      <c r="C9192" s="3">
        <v>12</v>
      </c>
    </row>
    <row r="9193" spans="1:3" x14ac:dyDescent="0.25">
      <c r="A9193" s="1" t="s">
        <v>9192</v>
      </c>
      <c r="C9193" s="3">
        <v>12</v>
      </c>
    </row>
    <row r="9194" spans="1:3" x14ac:dyDescent="0.25">
      <c r="A9194" s="1" t="s">
        <v>9193</v>
      </c>
      <c r="C9194" s="3">
        <v>12</v>
      </c>
    </row>
    <row r="9195" spans="1:3" x14ac:dyDescent="0.25">
      <c r="A9195" s="1" t="s">
        <v>9194</v>
      </c>
      <c r="C9195" s="3">
        <v>12</v>
      </c>
    </row>
    <row r="9196" spans="1:3" x14ac:dyDescent="0.25">
      <c r="A9196" s="1" t="s">
        <v>9195</v>
      </c>
      <c r="C9196" s="3">
        <v>12</v>
      </c>
    </row>
    <row r="9197" spans="1:3" x14ac:dyDescent="0.25">
      <c r="A9197" s="1" t="s">
        <v>9196</v>
      </c>
      <c r="C9197" s="3">
        <v>12</v>
      </c>
    </row>
    <row r="9198" spans="1:3" x14ac:dyDescent="0.25">
      <c r="A9198" s="1" t="s">
        <v>9197</v>
      </c>
      <c r="C9198" s="3">
        <v>12</v>
      </c>
    </row>
    <row r="9199" spans="1:3" x14ac:dyDescent="0.25">
      <c r="A9199" s="1" t="s">
        <v>9198</v>
      </c>
      <c r="C9199" s="3">
        <v>12</v>
      </c>
    </row>
    <row r="9200" spans="1:3" x14ac:dyDescent="0.25">
      <c r="A9200" s="1" t="s">
        <v>9199</v>
      </c>
      <c r="C9200" s="3">
        <v>12</v>
      </c>
    </row>
    <row r="9201" spans="1:3" x14ac:dyDescent="0.25">
      <c r="A9201" s="1" t="s">
        <v>9200</v>
      </c>
      <c r="C9201" s="3">
        <v>12</v>
      </c>
    </row>
    <row r="9202" spans="1:3" x14ac:dyDescent="0.25">
      <c r="A9202" s="1" t="s">
        <v>9201</v>
      </c>
      <c r="C9202" s="3">
        <v>12</v>
      </c>
    </row>
    <row r="9203" spans="1:3" x14ac:dyDescent="0.25">
      <c r="A9203" s="1" t="s">
        <v>9202</v>
      </c>
      <c r="C9203" s="3">
        <v>12</v>
      </c>
    </row>
    <row r="9204" spans="1:3" x14ac:dyDescent="0.25">
      <c r="A9204" s="1" t="s">
        <v>9203</v>
      </c>
      <c r="C9204" s="3">
        <v>12</v>
      </c>
    </row>
    <row r="9205" spans="1:3" x14ac:dyDescent="0.25">
      <c r="A9205" s="1" t="s">
        <v>9204</v>
      </c>
      <c r="C9205" s="3">
        <v>12</v>
      </c>
    </row>
    <row r="9206" spans="1:3" x14ac:dyDescent="0.25">
      <c r="A9206" s="1" t="s">
        <v>9205</v>
      </c>
      <c r="C9206" s="3">
        <v>12</v>
      </c>
    </row>
    <row r="9207" spans="1:3" x14ac:dyDescent="0.25">
      <c r="A9207" s="1" t="s">
        <v>9206</v>
      </c>
      <c r="C9207" s="3">
        <v>12</v>
      </c>
    </row>
    <row r="9208" spans="1:3" x14ac:dyDescent="0.25">
      <c r="A9208" s="1" t="s">
        <v>9207</v>
      </c>
      <c r="C9208" s="3">
        <v>12</v>
      </c>
    </row>
    <row r="9209" spans="1:3" x14ac:dyDescent="0.25">
      <c r="A9209" s="1" t="s">
        <v>9208</v>
      </c>
      <c r="C9209" s="3">
        <v>12</v>
      </c>
    </row>
    <row r="9210" spans="1:3" x14ac:dyDescent="0.25">
      <c r="A9210" s="1" t="s">
        <v>9209</v>
      </c>
      <c r="C9210" s="3">
        <v>12</v>
      </c>
    </row>
    <row r="9211" spans="1:3" x14ac:dyDescent="0.25">
      <c r="A9211" s="1" t="s">
        <v>9210</v>
      </c>
      <c r="C9211" s="3">
        <v>12</v>
      </c>
    </row>
    <row r="9212" spans="1:3" x14ac:dyDescent="0.25">
      <c r="A9212" s="1" t="s">
        <v>9211</v>
      </c>
      <c r="C9212" s="3">
        <v>12</v>
      </c>
    </row>
    <row r="9213" spans="1:3" x14ac:dyDescent="0.25">
      <c r="A9213" s="1" t="s">
        <v>9212</v>
      </c>
      <c r="C9213" s="3">
        <v>12</v>
      </c>
    </row>
    <row r="9214" spans="1:3" x14ac:dyDescent="0.25">
      <c r="A9214" s="1" t="s">
        <v>9213</v>
      </c>
      <c r="C9214" s="3">
        <v>12</v>
      </c>
    </row>
    <row r="9215" spans="1:3" x14ac:dyDescent="0.25">
      <c r="A9215" s="1" t="s">
        <v>9214</v>
      </c>
      <c r="C9215" s="3">
        <v>12</v>
      </c>
    </row>
    <row r="9216" spans="1:3" x14ac:dyDescent="0.25">
      <c r="A9216" s="1" t="s">
        <v>9215</v>
      </c>
      <c r="C9216" s="3">
        <v>12</v>
      </c>
    </row>
    <row r="9217" spans="1:3" x14ac:dyDescent="0.25">
      <c r="A9217" s="1" t="s">
        <v>9216</v>
      </c>
      <c r="C9217" s="3">
        <v>12</v>
      </c>
    </row>
    <row r="9218" spans="1:3" x14ac:dyDescent="0.25">
      <c r="A9218" s="1" t="s">
        <v>9217</v>
      </c>
      <c r="C9218" s="3">
        <v>12</v>
      </c>
    </row>
    <row r="9219" spans="1:3" x14ac:dyDescent="0.25">
      <c r="A9219" s="1" t="s">
        <v>9218</v>
      </c>
      <c r="C9219" s="3">
        <v>12</v>
      </c>
    </row>
    <row r="9220" spans="1:3" x14ac:dyDescent="0.25">
      <c r="A9220" s="1" t="s">
        <v>9219</v>
      </c>
      <c r="C9220" s="3">
        <v>12</v>
      </c>
    </row>
    <row r="9221" spans="1:3" x14ac:dyDescent="0.25">
      <c r="A9221" s="1" t="s">
        <v>9220</v>
      </c>
      <c r="C9221" s="3">
        <v>12</v>
      </c>
    </row>
    <row r="9222" spans="1:3" x14ac:dyDescent="0.25">
      <c r="A9222" s="1" t="s">
        <v>9221</v>
      </c>
      <c r="C9222" s="3">
        <v>12</v>
      </c>
    </row>
    <row r="9223" spans="1:3" x14ac:dyDescent="0.25">
      <c r="A9223" s="1" t="s">
        <v>9222</v>
      </c>
      <c r="C9223" s="3">
        <v>12</v>
      </c>
    </row>
    <row r="9224" spans="1:3" x14ac:dyDescent="0.25">
      <c r="A9224" s="1" t="s">
        <v>9223</v>
      </c>
      <c r="C9224" s="3">
        <v>12</v>
      </c>
    </row>
    <row r="9225" spans="1:3" x14ac:dyDescent="0.25">
      <c r="A9225" s="1" t="s">
        <v>9224</v>
      </c>
      <c r="C9225" s="3">
        <v>12</v>
      </c>
    </row>
    <row r="9226" spans="1:3" x14ac:dyDescent="0.25">
      <c r="A9226" s="1" t="s">
        <v>9225</v>
      </c>
      <c r="C9226" s="3">
        <v>12</v>
      </c>
    </row>
    <row r="9227" spans="1:3" x14ac:dyDescent="0.25">
      <c r="A9227" s="1" t="s">
        <v>9226</v>
      </c>
      <c r="C9227" s="3">
        <v>12</v>
      </c>
    </row>
    <row r="9228" spans="1:3" x14ac:dyDescent="0.25">
      <c r="A9228" s="1" t="s">
        <v>9227</v>
      </c>
      <c r="C9228" s="3">
        <v>12</v>
      </c>
    </row>
    <row r="9229" spans="1:3" x14ac:dyDescent="0.25">
      <c r="A9229" s="1" t="s">
        <v>9228</v>
      </c>
      <c r="C9229" s="3">
        <v>12</v>
      </c>
    </row>
    <row r="9230" spans="1:3" x14ac:dyDescent="0.25">
      <c r="A9230" s="1" t="s">
        <v>9229</v>
      </c>
      <c r="C9230" s="3">
        <v>12</v>
      </c>
    </row>
    <row r="9231" spans="1:3" x14ac:dyDescent="0.25">
      <c r="A9231" s="1" t="s">
        <v>9230</v>
      </c>
      <c r="C9231" s="3">
        <v>12</v>
      </c>
    </row>
    <row r="9232" spans="1:3" x14ac:dyDescent="0.25">
      <c r="A9232" s="1" t="s">
        <v>9231</v>
      </c>
      <c r="C9232" s="3">
        <v>12</v>
      </c>
    </row>
    <row r="9233" spans="1:3" x14ac:dyDescent="0.25">
      <c r="A9233" s="1" t="s">
        <v>9232</v>
      </c>
      <c r="C9233" s="3">
        <v>12</v>
      </c>
    </row>
    <row r="9234" spans="1:3" x14ac:dyDescent="0.25">
      <c r="A9234" s="1" t="s">
        <v>9233</v>
      </c>
      <c r="C9234" s="3">
        <v>12</v>
      </c>
    </row>
    <row r="9235" spans="1:3" x14ac:dyDescent="0.25">
      <c r="A9235" s="1" t="s">
        <v>9234</v>
      </c>
      <c r="C9235" s="3">
        <v>12</v>
      </c>
    </row>
    <row r="9236" spans="1:3" x14ac:dyDescent="0.25">
      <c r="A9236" s="1" t="s">
        <v>9235</v>
      </c>
      <c r="C9236" s="3">
        <v>12</v>
      </c>
    </row>
    <row r="9237" spans="1:3" x14ac:dyDescent="0.25">
      <c r="A9237" s="1" t="s">
        <v>9236</v>
      </c>
      <c r="C9237" s="3">
        <v>12</v>
      </c>
    </row>
    <row r="9238" spans="1:3" x14ac:dyDescent="0.25">
      <c r="A9238" s="1" t="s">
        <v>9237</v>
      </c>
      <c r="C9238" s="3">
        <v>12</v>
      </c>
    </row>
    <row r="9239" spans="1:3" x14ac:dyDescent="0.25">
      <c r="A9239" s="1" t="s">
        <v>9238</v>
      </c>
      <c r="C9239" s="3">
        <v>12</v>
      </c>
    </row>
    <row r="9240" spans="1:3" x14ac:dyDescent="0.25">
      <c r="A9240" s="1" t="s">
        <v>9239</v>
      </c>
      <c r="C9240" s="3">
        <v>12</v>
      </c>
    </row>
    <row r="9241" spans="1:3" x14ac:dyDescent="0.25">
      <c r="A9241" s="1" t="s">
        <v>9240</v>
      </c>
      <c r="C9241" s="3">
        <v>12</v>
      </c>
    </row>
    <row r="9242" spans="1:3" x14ac:dyDescent="0.25">
      <c r="A9242" s="1" t="s">
        <v>9241</v>
      </c>
      <c r="C9242" s="3">
        <v>12</v>
      </c>
    </row>
    <row r="9243" spans="1:3" x14ac:dyDescent="0.25">
      <c r="A9243" s="1" t="s">
        <v>9242</v>
      </c>
      <c r="C9243" s="3">
        <v>12</v>
      </c>
    </row>
    <row r="9244" spans="1:3" x14ac:dyDescent="0.25">
      <c r="A9244" s="1" t="s">
        <v>9243</v>
      </c>
      <c r="C9244" s="3">
        <v>12</v>
      </c>
    </row>
    <row r="9245" spans="1:3" x14ac:dyDescent="0.25">
      <c r="A9245" s="1" t="s">
        <v>9244</v>
      </c>
      <c r="C9245" s="3">
        <v>12</v>
      </c>
    </row>
    <row r="9246" spans="1:3" x14ac:dyDescent="0.25">
      <c r="A9246" s="1" t="s">
        <v>9245</v>
      </c>
      <c r="C9246" s="3">
        <v>12</v>
      </c>
    </row>
    <row r="9247" spans="1:3" x14ac:dyDescent="0.25">
      <c r="A9247" s="1" t="s">
        <v>9246</v>
      </c>
      <c r="C9247" s="3">
        <v>12</v>
      </c>
    </row>
    <row r="9248" spans="1:3" x14ac:dyDescent="0.25">
      <c r="A9248" s="1" t="s">
        <v>9247</v>
      </c>
      <c r="C9248" s="3">
        <v>12</v>
      </c>
    </row>
    <row r="9249" spans="1:3" x14ac:dyDescent="0.25">
      <c r="A9249" s="1" t="s">
        <v>9248</v>
      </c>
      <c r="C9249" s="3">
        <v>12</v>
      </c>
    </row>
    <row r="9250" spans="1:3" x14ac:dyDescent="0.25">
      <c r="A9250" s="1" t="s">
        <v>9249</v>
      </c>
      <c r="C9250" s="3">
        <v>12</v>
      </c>
    </row>
    <row r="9251" spans="1:3" x14ac:dyDescent="0.25">
      <c r="A9251" s="1" t="s">
        <v>9250</v>
      </c>
      <c r="C9251" s="3">
        <v>12</v>
      </c>
    </row>
    <row r="9252" spans="1:3" x14ac:dyDescent="0.25">
      <c r="A9252" s="1" t="s">
        <v>9251</v>
      </c>
      <c r="C9252" s="3">
        <v>12</v>
      </c>
    </row>
    <row r="9253" spans="1:3" x14ac:dyDescent="0.25">
      <c r="A9253" s="1" t="s">
        <v>9252</v>
      </c>
      <c r="C9253" s="3">
        <v>12</v>
      </c>
    </row>
    <row r="9254" spans="1:3" x14ac:dyDescent="0.25">
      <c r="A9254" s="1" t="s">
        <v>9253</v>
      </c>
      <c r="C9254" s="3">
        <v>12</v>
      </c>
    </row>
    <row r="9255" spans="1:3" x14ac:dyDescent="0.25">
      <c r="A9255" s="1" t="s">
        <v>9254</v>
      </c>
      <c r="C9255" s="3">
        <v>12</v>
      </c>
    </row>
    <row r="9256" spans="1:3" x14ac:dyDescent="0.25">
      <c r="A9256" s="1" t="s">
        <v>9255</v>
      </c>
      <c r="C9256" s="3">
        <v>12</v>
      </c>
    </row>
    <row r="9257" spans="1:3" x14ac:dyDescent="0.25">
      <c r="A9257" s="1" t="s">
        <v>9256</v>
      </c>
      <c r="C9257" s="3">
        <v>12</v>
      </c>
    </row>
    <row r="9258" spans="1:3" x14ac:dyDescent="0.25">
      <c r="A9258" s="1" t="s">
        <v>9257</v>
      </c>
      <c r="C9258" s="3">
        <v>12</v>
      </c>
    </row>
    <row r="9259" spans="1:3" x14ac:dyDescent="0.25">
      <c r="A9259" s="1" t="s">
        <v>9258</v>
      </c>
      <c r="C9259" s="3">
        <v>12</v>
      </c>
    </row>
    <row r="9260" spans="1:3" x14ac:dyDescent="0.25">
      <c r="A9260" s="1" t="s">
        <v>9259</v>
      </c>
      <c r="C9260" s="3">
        <v>12</v>
      </c>
    </row>
    <row r="9261" spans="1:3" x14ac:dyDescent="0.25">
      <c r="A9261" s="1" t="s">
        <v>9260</v>
      </c>
      <c r="C9261" s="3">
        <v>12</v>
      </c>
    </row>
    <row r="9262" spans="1:3" x14ac:dyDescent="0.25">
      <c r="A9262" s="1" t="s">
        <v>9261</v>
      </c>
      <c r="C9262" s="3">
        <v>12</v>
      </c>
    </row>
    <row r="9263" spans="1:3" x14ac:dyDescent="0.25">
      <c r="A9263" s="1" t="s">
        <v>9262</v>
      </c>
      <c r="C9263" s="3">
        <v>12</v>
      </c>
    </row>
    <row r="9264" spans="1:3" x14ac:dyDescent="0.25">
      <c r="A9264" s="1" t="s">
        <v>9263</v>
      </c>
      <c r="C9264" s="3">
        <v>12</v>
      </c>
    </row>
    <row r="9265" spans="1:3" x14ac:dyDescent="0.25">
      <c r="A9265" s="1" t="s">
        <v>9264</v>
      </c>
      <c r="C9265" s="3">
        <v>12</v>
      </c>
    </row>
    <row r="9266" spans="1:3" x14ac:dyDescent="0.25">
      <c r="A9266" s="1" t="s">
        <v>9265</v>
      </c>
      <c r="C9266" s="3">
        <v>12</v>
      </c>
    </row>
    <row r="9267" spans="1:3" x14ac:dyDescent="0.25">
      <c r="A9267" s="1" t="s">
        <v>9266</v>
      </c>
      <c r="C9267" s="3">
        <v>12</v>
      </c>
    </row>
    <row r="9268" spans="1:3" x14ac:dyDescent="0.25">
      <c r="A9268" s="1" t="s">
        <v>9267</v>
      </c>
      <c r="C9268" s="3">
        <v>12</v>
      </c>
    </row>
    <row r="9269" spans="1:3" x14ac:dyDescent="0.25">
      <c r="A9269" s="1" t="s">
        <v>9268</v>
      </c>
      <c r="C9269" s="3">
        <v>12</v>
      </c>
    </row>
    <row r="9270" spans="1:3" x14ac:dyDescent="0.25">
      <c r="A9270" s="1" t="s">
        <v>9269</v>
      </c>
      <c r="C9270" s="3">
        <v>12</v>
      </c>
    </row>
    <row r="9271" spans="1:3" x14ac:dyDescent="0.25">
      <c r="A9271" s="1" t="s">
        <v>9270</v>
      </c>
      <c r="C9271" s="3">
        <v>12</v>
      </c>
    </row>
    <row r="9272" spans="1:3" x14ac:dyDescent="0.25">
      <c r="A9272" s="1" t="s">
        <v>9271</v>
      </c>
      <c r="C9272" s="3">
        <v>12</v>
      </c>
    </row>
    <row r="9273" spans="1:3" x14ac:dyDescent="0.25">
      <c r="A9273" s="1" t="s">
        <v>9272</v>
      </c>
      <c r="C9273" s="3">
        <v>12</v>
      </c>
    </row>
    <row r="9274" spans="1:3" x14ac:dyDescent="0.25">
      <c r="A9274" s="1" t="s">
        <v>9273</v>
      </c>
      <c r="C9274" s="3">
        <v>12</v>
      </c>
    </row>
    <row r="9275" spans="1:3" x14ac:dyDescent="0.25">
      <c r="A9275" s="1" t="s">
        <v>9274</v>
      </c>
      <c r="C9275" s="3">
        <v>12</v>
      </c>
    </row>
    <row r="9276" spans="1:3" x14ac:dyDescent="0.25">
      <c r="A9276" s="1" t="s">
        <v>9275</v>
      </c>
      <c r="C9276" s="3">
        <v>12</v>
      </c>
    </row>
    <row r="9277" spans="1:3" x14ac:dyDescent="0.25">
      <c r="A9277" s="1" t="s">
        <v>9276</v>
      </c>
      <c r="C9277" s="3">
        <v>12</v>
      </c>
    </row>
    <row r="9278" spans="1:3" x14ac:dyDescent="0.25">
      <c r="A9278" s="1" t="s">
        <v>9277</v>
      </c>
      <c r="C9278" s="3">
        <v>12</v>
      </c>
    </row>
    <row r="9279" spans="1:3" x14ac:dyDescent="0.25">
      <c r="A9279" s="1" t="s">
        <v>9278</v>
      </c>
      <c r="C9279" s="3">
        <v>12</v>
      </c>
    </row>
    <row r="9280" spans="1:3" x14ac:dyDescent="0.25">
      <c r="A9280" s="1" t="s">
        <v>9279</v>
      </c>
      <c r="C9280" s="3">
        <v>12</v>
      </c>
    </row>
    <row r="9281" spans="1:3" x14ac:dyDescent="0.25">
      <c r="A9281" s="1" t="s">
        <v>9280</v>
      </c>
      <c r="C9281" s="3">
        <v>12</v>
      </c>
    </row>
    <row r="9282" spans="1:3" x14ac:dyDescent="0.25">
      <c r="A9282" s="1" t="s">
        <v>9281</v>
      </c>
      <c r="C9282" s="3">
        <v>12</v>
      </c>
    </row>
    <row r="9283" spans="1:3" x14ac:dyDescent="0.25">
      <c r="A9283" s="1" t="s">
        <v>9282</v>
      </c>
      <c r="C9283" s="3">
        <v>12</v>
      </c>
    </row>
    <row r="9284" spans="1:3" x14ac:dyDescent="0.25">
      <c r="A9284" s="1" t="s">
        <v>9283</v>
      </c>
      <c r="C9284" s="3">
        <v>12</v>
      </c>
    </row>
    <row r="9285" spans="1:3" x14ac:dyDescent="0.25">
      <c r="A9285" s="1" t="s">
        <v>9284</v>
      </c>
      <c r="C9285" s="3">
        <v>12</v>
      </c>
    </row>
    <row r="9286" spans="1:3" x14ac:dyDescent="0.25">
      <c r="A9286" s="1" t="s">
        <v>9285</v>
      </c>
      <c r="C9286" s="3">
        <v>12</v>
      </c>
    </row>
    <row r="9287" spans="1:3" x14ac:dyDescent="0.25">
      <c r="A9287" s="1" t="s">
        <v>9286</v>
      </c>
      <c r="C9287" s="3">
        <v>12</v>
      </c>
    </row>
    <row r="9288" spans="1:3" x14ac:dyDescent="0.25">
      <c r="A9288" s="1" t="s">
        <v>9287</v>
      </c>
      <c r="C9288" s="3">
        <v>12</v>
      </c>
    </row>
    <row r="9289" spans="1:3" x14ac:dyDescent="0.25">
      <c r="A9289" s="1" t="s">
        <v>9288</v>
      </c>
      <c r="C9289" s="3">
        <v>12</v>
      </c>
    </row>
    <row r="9290" spans="1:3" x14ac:dyDescent="0.25">
      <c r="A9290" s="1" t="s">
        <v>9289</v>
      </c>
      <c r="C9290" s="3">
        <v>12</v>
      </c>
    </row>
    <row r="9291" spans="1:3" x14ac:dyDescent="0.25">
      <c r="A9291" s="1" t="s">
        <v>9290</v>
      </c>
      <c r="C9291" s="3">
        <v>12</v>
      </c>
    </row>
    <row r="9292" spans="1:3" x14ac:dyDescent="0.25">
      <c r="A9292" s="1" t="s">
        <v>9291</v>
      </c>
      <c r="C9292" s="3">
        <v>12</v>
      </c>
    </row>
    <row r="9293" spans="1:3" x14ac:dyDescent="0.25">
      <c r="A9293" s="1" t="s">
        <v>9292</v>
      </c>
      <c r="C9293" s="3">
        <v>12</v>
      </c>
    </row>
    <row r="9294" spans="1:3" x14ac:dyDescent="0.25">
      <c r="A9294" s="1" t="s">
        <v>9293</v>
      </c>
      <c r="C9294" s="3">
        <v>12</v>
      </c>
    </row>
    <row r="9295" spans="1:3" x14ac:dyDescent="0.25">
      <c r="A9295" s="1" t="s">
        <v>9294</v>
      </c>
      <c r="C9295" s="3">
        <v>12</v>
      </c>
    </row>
    <row r="9296" spans="1:3" x14ac:dyDescent="0.25">
      <c r="A9296" s="1" t="s">
        <v>9295</v>
      </c>
      <c r="C9296" s="3">
        <v>12</v>
      </c>
    </row>
    <row r="9297" spans="1:3" x14ac:dyDescent="0.25">
      <c r="A9297" s="1" t="s">
        <v>9296</v>
      </c>
      <c r="C9297" s="3">
        <v>12</v>
      </c>
    </row>
    <row r="9298" spans="1:3" x14ac:dyDescent="0.25">
      <c r="A9298" s="1" t="s">
        <v>9297</v>
      </c>
      <c r="C9298" s="3">
        <v>12</v>
      </c>
    </row>
    <row r="9299" spans="1:3" x14ac:dyDescent="0.25">
      <c r="A9299" s="1" t="s">
        <v>9298</v>
      </c>
      <c r="C9299" s="3">
        <v>12</v>
      </c>
    </row>
    <row r="9300" spans="1:3" x14ac:dyDescent="0.25">
      <c r="A9300" s="1" t="s">
        <v>9299</v>
      </c>
      <c r="C9300" s="3">
        <v>12</v>
      </c>
    </row>
    <row r="9301" spans="1:3" x14ac:dyDescent="0.25">
      <c r="A9301" s="1" t="s">
        <v>9300</v>
      </c>
      <c r="C9301" s="3">
        <v>12</v>
      </c>
    </row>
    <row r="9302" spans="1:3" x14ac:dyDescent="0.25">
      <c r="A9302" s="1" t="s">
        <v>9301</v>
      </c>
      <c r="C9302" s="3">
        <v>12</v>
      </c>
    </row>
    <row r="9303" spans="1:3" x14ac:dyDescent="0.25">
      <c r="A9303" s="1" t="s">
        <v>9302</v>
      </c>
      <c r="C9303" s="3">
        <v>12</v>
      </c>
    </row>
    <row r="9304" spans="1:3" x14ac:dyDescent="0.25">
      <c r="A9304" s="1" t="s">
        <v>9303</v>
      </c>
      <c r="C9304" s="3">
        <v>12</v>
      </c>
    </row>
    <row r="9305" spans="1:3" x14ac:dyDescent="0.25">
      <c r="A9305" s="1" t="s">
        <v>9304</v>
      </c>
      <c r="C9305" s="3">
        <v>12</v>
      </c>
    </row>
    <row r="9306" spans="1:3" x14ac:dyDescent="0.25">
      <c r="A9306" s="1" t="s">
        <v>9305</v>
      </c>
      <c r="C9306" s="3">
        <v>12</v>
      </c>
    </row>
    <row r="9307" spans="1:3" x14ac:dyDescent="0.25">
      <c r="A9307" s="1" t="s">
        <v>9306</v>
      </c>
      <c r="C9307" s="3">
        <v>12</v>
      </c>
    </row>
    <row r="9308" spans="1:3" x14ac:dyDescent="0.25">
      <c r="A9308" s="1" t="s">
        <v>9307</v>
      </c>
      <c r="C9308" s="3">
        <v>12</v>
      </c>
    </row>
    <row r="9309" spans="1:3" x14ac:dyDescent="0.25">
      <c r="A9309" s="1" t="s">
        <v>9308</v>
      </c>
      <c r="C9309" s="3">
        <v>12</v>
      </c>
    </row>
    <row r="9310" spans="1:3" x14ac:dyDescent="0.25">
      <c r="A9310" s="1" t="s">
        <v>9309</v>
      </c>
      <c r="C9310" s="3">
        <v>12</v>
      </c>
    </row>
    <row r="9311" spans="1:3" x14ac:dyDescent="0.25">
      <c r="A9311" s="1" t="s">
        <v>9310</v>
      </c>
      <c r="C9311" s="3">
        <v>12</v>
      </c>
    </row>
    <row r="9312" spans="1:3" x14ac:dyDescent="0.25">
      <c r="A9312" s="1" t="s">
        <v>9311</v>
      </c>
      <c r="C9312" s="3">
        <v>12</v>
      </c>
    </row>
    <row r="9313" spans="1:3" x14ac:dyDescent="0.25">
      <c r="A9313" s="1" t="s">
        <v>9312</v>
      </c>
      <c r="C9313" s="3">
        <v>12</v>
      </c>
    </row>
    <row r="9314" spans="1:3" x14ac:dyDescent="0.25">
      <c r="A9314" s="1" t="s">
        <v>9313</v>
      </c>
      <c r="C9314" s="3">
        <v>12</v>
      </c>
    </row>
    <row r="9315" spans="1:3" x14ac:dyDescent="0.25">
      <c r="A9315" s="1" t="s">
        <v>9314</v>
      </c>
      <c r="C9315" s="3">
        <v>12</v>
      </c>
    </row>
    <row r="9316" spans="1:3" x14ac:dyDescent="0.25">
      <c r="A9316" s="1" t="s">
        <v>9315</v>
      </c>
      <c r="C9316" s="3">
        <v>12</v>
      </c>
    </row>
    <row r="9317" spans="1:3" x14ac:dyDescent="0.25">
      <c r="A9317" s="1" t="s">
        <v>9316</v>
      </c>
      <c r="C9317" s="3">
        <v>12</v>
      </c>
    </row>
    <row r="9318" spans="1:3" x14ac:dyDescent="0.25">
      <c r="A9318" s="1" t="s">
        <v>9317</v>
      </c>
      <c r="C9318" s="3">
        <v>12</v>
      </c>
    </row>
    <row r="9319" spans="1:3" x14ac:dyDescent="0.25">
      <c r="A9319" s="1" t="s">
        <v>9318</v>
      </c>
      <c r="C9319" s="3">
        <v>12</v>
      </c>
    </row>
    <row r="9320" spans="1:3" x14ac:dyDescent="0.25">
      <c r="A9320" s="1" t="s">
        <v>9319</v>
      </c>
      <c r="C9320" s="3">
        <v>12</v>
      </c>
    </row>
    <row r="9321" spans="1:3" x14ac:dyDescent="0.25">
      <c r="A9321" s="1" t="s">
        <v>9320</v>
      </c>
      <c r="C9321" s="3">
        <v>12</v>
      </c>
    </row>
    <row r="9322" spans="1:3" x14ac:dyDescent="0.25">
      <c r="A9322" s="1" t="s">
        <v>9321</v>
      </c>
      <c r="C9322" s="3">
        <v>12</v>
      </c>
    </row>
    <row r="9323" spans="1:3" x14ac:dyDescent="0.25">
      <c r="A9323" s="1" t="s">
        <v>9322</v>
      </c>
      <c r="C9323" s="3">
        <v>12</v>
      </c>
    </row>
    <row r="9324" spans="1:3" x14ac:dyDescent="0.25">
      <c r="A9324" s="1" t="s">
        <v>9323</v>
      </c>
      <c r="C9324" s="3">
        <v>12</v>
      </c>
    </row>
    <row r="9325" spans="1:3" x14ac:dyDescent="0.25">
      <c r="A9325" s="1" t="s">
        <v>9324</v>
      </c>
      <c r="C9325" s="3">
        <v>12</v>
      </c>
    </row>
    <row r="9326" spans="1:3" x14ac:dyDescent="0.25">
      <c r="A9326" s="1" t="s">
        <v>9325</v>
      </c>
      <c r="C9326" s="3">
        <v>12</v>
      </c>
    </row>
    <row r="9327" spans="1:3" x14ac:dyDescent="0.25">
      <c r="A9327" s="1" t="s">
        <v>9326</v>
      </c>
      <c r="C9327" s="3">
        <v>12</v>
      </c>
    </row>
    <row r="9328" spans="1:3" x14ac:dyDescent="0.25">
      <c r="A9328" s="1" t="s">
        <v>9327</v>
      </c>
      <c r="C9328" s="3">
        <v>12</v>
      </c>
    </row>
    <row r="9329" spans="1:3" x14ac:dyDescent="0.25">
      <c r="A9329" s="1" t="s">
        <v>9328</v>
      </c>
      <c r="C9329" s="3">
        <v>12</v>
      </c>
    </row>
    <row r="9330" spans="1:3" x14ac:dyDescent="0.25">
      <c r="A9330" s="1" t="s">
        <v>9329</v>
      </c>
      <c r="C9330" s="3">
        <v>12</v>
      </c>
    </row>
    <row r="9331" spans="1:3" x14ac:dyDescent="0.25">
      <c r="A9331" s="1" t="s">
        <v>9330</v>
      </c>
      <c r="C9331" s="3">
        <v>12</v>
      </c>
    </row>
    <row r="9332" spans="1:3" x14ac:dyDescent="0.25">
      <c r="A9332" s="1" t="s">
        <v>9331</v>
      </c>
      <c r="C9332" s="3">
        <v>12</v>
      </c>
    </row>
    <row r="9333" spans="1:3" x14ac:dyDescent="0.25">
      <c r="A9333" s="1" t="s">
        <v>9332</v>
      </c>
      <c r="C9333" s="3">
        <v>12</v>
      </c>
    </row>
    <row r="9334" spans="1:3" x14ac:dyDescent="0.25">
      <c r="A9334" s="1" t="s">
        <v>9333</v>
      </c>
      <c r="C9334" s="3">
        <v>12</v>
      </c>
    </row>
    <row r="9335" spans="1:3" x14ac:dyDescent="0.25">
      <c r="A9335" s="1" t="s">
        <v>9334</v>
      </c>
      <c r="C9335" s="3">
        <v>12</v>
      </c>
    </row>
    <row r="9336" spans="1:3" x14ac:dyDescent="0.25">
      <c r="A9336" s="1" t="s">
        <v>9335</v>
      </c>
      <c r="C9336" s="3">
        <v>12</v>
      </c>
    </row>
    <row r="9337" spans="1:3" x14ac:dyDescent="0.25">
      <c r="A9337" s="1" t="s">
        <v>9336</v>
      </c>
      <c r="C9337" s="3">
        <v>12</v>
      </c>
    </row>
    <row r="9338" spans="1:3" x14ac:dyDescent="0.25">
      <c r="A9338" s="1" t="s">
        <v>9337</v>
      </c>
      <c r="C9338" s="3">
        <v>12</v>
      </c>
    </row>
    <row r="9339" spans="1:3" x14ac:dyDescent="0.25">
      <c r="A9339" s="1" t="s">
        <v>9338</v>
      </c>
      <c r="C9339" s="3">
        <v>12</v>
      </c>
    </row>
    <row r="9340" spans="1:3" x14ac:dyDescent="0.25">
      <c r="A9340" s="1" t="s">
        <v>9339</v>
      </c>
      <c r="C9340" s="3">
        <v>12</v>
      </c>
    </row>
    <row r="9341" spans="1:3" x14ac:dyDescent="0.25">
      <c r="A9341" s="1" t="s">
        <v>9340</v>
      </c>
      <c r="C9341" s="3">
        <v>12</v>
      </c>
    </row>
    <row r="9342" spans="1:3" x14ac:dyDescent="0.25">
      <c r="A9342" s="1" t="s">
        <v>9341</v>
      </c>
      <c r="C9342" s="3">
        <v>12</v>
      </c>
    </row>
    <row r="9343" spans="1:3" x14ac:dyDescent="0.25">
      <c r="A9343" s="1" t="s">
        <v>9342</v>
      </c>
      <c r="C9343" s="3">
        <v>12</v>
      </c>
    </row>
    <row r="9344" spans="1:3" x14ac:dyDescent="0.25">
      <c r="A9344" s="1" t="s">
        <v>9343</v>
      </c>
      <c r="C9344" s="3">
        <v>11</v>
      </c>
    </row>
    <row r="9345" spans="1:3" x14ac:dyDescent="0.25">
      <c r="A9345" s="1" t="s">
        <v>9344</v>
      </c>
      <c r="C9345" s="3">
        <v>11</v>
      </c>
    </row>
    <row r="9346" spans="1:3" x14ac:dyDescent="0.25">
      <c r="A9346" s="1" t="s">
        <v>9345</v>
      </c>
      <c r="C9346" s="3">
        <v>11</v>
      </c>
    </row>
    <row r="9347" spans="1:3" x14ac:dyDescent="0.25">
      <c r="A9347" s="1" t="s">
        <v>9346</v>
      </c>
      <c r="C9347" s="3">
        <v>11</v>
      </c>
    </row>
    <row r="9348" spans="1:3" x14ac:dyDescent="0.25">
      <c r="A9348" s="1" t="s">
        <v>9347</v>
      </c>
      <c r="C9348" s="3">
        <v>11</v>
      </c>
    </row>
    <row r="9349" spans="1:3" x14ac:dyDescent="0.25">
      <c r="A9349" s="1" t="s">
        <v>9348</v>
      </c>
      <c r="C9349" s="3">
        <v>11</v>
      </c>
    </row>
    <row r="9350" spans="1:3" x14ac:dyDescent="0.25">
      <c r="A9350" s="1" t="s">
        <v>9349</v>
      </c>
      <c r="C9350" s="3">
        <v>11</v>
      </c>
    </row>
    <row r="9351" spans="1:3" x14ac:dyDescent="0.25">
      <c r="A9351" s="1" t="s">
        <v>9350</v>
      </c>
      <c r="C9351" s="3">
        <v>11</v>
      </c>
    </row>
    <row r="9352" spans="1:3" x14ac:dyDescent="0.25">
      <c r="A9352" s="1" t="s">
        <v>9351</v>
      </c>
      <c r="C9352" s="3">
        <v>11</v>
      </c>
    </row>
    <row r="9353" spans="1:3" x14ac:dyDescent="0.25">
      <c r="A9353" s="1" t="s">
        <v>9352</v>
      </c>
      <c r="C9353" s="3">
        <v>11</v>
      </c>
    </row>
    <row r="9354" spans="1:3" x14ac:dyDescent="0.25">
      <c r="A9354" s="1" t="s">
        <v>9353</v>
      </c>
      <c r="C9354" s="3">
        <v>11</v>
      </c>
    </row>
    <row r="9355" spans="1:3" x14ac:dyDescent="0.25">
      <c r="A9355" s="1" t="s">
        <v>9354</v>
      </c>
      <c r="C9355" s="3">
        <v>11</v>
      </c>
    </row>
    <row r="9356" spans="1:3" x14ac:dyDescent="0.25">
      <c r="A9356" s="1" t="s">
        <v>9355</v>
      </c>
      <c r="C9356" s="3">
        <v>11</v>
      </c>
    </row>
    <row r="9357" spans="1:3" x14ac:dyDescent="0.25">
      <c r="A9357" s="1" t="s">
        <v>9356</v>
      </c>
      <c r="C9357" s="3">
        <v>11</v>
      </c>
    </row>
    <row r="9358" spans="1:3" x14ac:dyDescent="0.25">
      <c r="A9358" s="1" t="s">
        <v>9357</v>
      </c>
      <c r="C9358" s="3">
        <v>11</v>
      </c>
    </row>
    <row r="9359" spans="1:3" x14ac:dyDescent="0.25">
      <c r="A9359" s="1" t="s">
        <v>9358</v>
      </c>
      <c r="C9359" s="3">
        <v>11</v>
      </c>
    </row>
    <row r="9360" spans="1:3" x14ac:dyDescent="0.25">
      <c r="A9360" s="1" t="s">
        <v>9359</v>
      </c>
      <c r="C9360" s="3">
        <v>11</v>
      </c>
    </row>
    <row r="9361" spans="1:3" x14ac:dyDescent="0.25">
      <c r="A9361" s="1" t="s">
        <v>9360</v>
      </c>
      <c r="C9361" s="3">
        <v>11</v>
      </c>
    </row>
    <row r="9362" spans="1:3" x14ac:dyDescent="0.25">
      <c r="A9362" s="1" t="s">
        <v>9361</v>
      </c>
      <c r="C9362" s="3">
        <v>11</v>
      </c>
    </row>
    <row r="9363" spans="1:3" x14ac:dyDescent="0.25">
      <c r="A9363" s="1" t="s">
        <v>9362</v>
      </c>
      <c r="C9363" s="3">
        <v>11</v>
      </c>
    </row>
    <row r="9364" spans="1:3" x14ac:dyDescent="0.25">
      <c r="A9364" s="1" t="s">
        <v>9363</v>
      </c>
      <c r="C9364" s="3">
        <v>11</v>
      </c>
    </row>
    <row r="9365" spans="1:3" x14ac:dyDescent="0.25">
      <c r="A9365" s="1" t="s">
        <v>9364</v>
      </c>
      <c r="C9365" s="3">
        <v>11</v>
      </c>
    </row>
    <row r="9366" spans="1:3" x14ac:dyDescent="0.25">
      <c r="A9366" s="1" t="s">
        <v>9365</v>
      </c>
      <c r="C9366" s="3">
        <v>11</v>
      </c>
    </row>
    <row r="9367" spans="1:3" x14ac:dyDescent="0.25">
      <c r="A9367" s="1" t="s">
        <v>9366</v>
      </c>
      <c r="C9367" s="3">
        <v>11</v>
      </c>
    </row>
    <row r="9368" spans="1:3" x14ac:dyDescent="0.25">
      <c r="A9368" s="1" t="s">
        <v>9367</v>
      </c>
      <c r="C9368" s="3">
        <v>11</v>
      </c>
    </row>
    <row r="9369" spans="1:3" x14ac:dyDescent="0.25">
      <c r="A9369" s="1" t="s">
        <v>9368</v>
      </c>
      <c r="C9369" s="3">
        <v>11</v>
      </c>
    </row>
    <row r="9370" spans="1:3" x14ac:dyDescent="0.25">
      <c r="A9370" s="1" t="s">
        <v>9369</v>
      </c>
      <c r="C9370" s="3">
        <v>11</v>
      </c>
    </row>
    <row r="9371" spans="1:3" x14ac:dyDescent="0.25">
      <c r="A9371" s="1" t="s">
        <v>9370</v>
      </c>
      <c r="C9371" s="3">
        <v>11</v>
      </c>
    </row>
    <row r="9372" spans="1:3" x14ac:dyDescent="0.25">
      <c r="A9372" s="1" t="s">
        <v>9371</v>
      </c>
      <c r="C9372" s="3">
        <v>11</v>
      </c>
    </row>
    <row r="9373" spans="1:3" x14ac:dyDescent="0.25">
      <c r="A9373" s="1" t="s">
        <v>9372</v>
      </c>
      <c r="C9373" s="3">
        <v>11</v>
      </c>
    </row>
    <row r="9374" spans="1:3" x14ac:dyDescent="0.25">
      <c r="A9374" s="1" t="s">
        <v>9373</v>
      </c>
      <c r="C9374" s="3">
        <v>11</v>
      </c>
    </row>
    <row r="9375" spans="1:3" x14ac:dyDescent="0.25">
      <c r="A9375" s="1" t="s">
        <v>9374</v>
      </c>
      <c r="C9375" s="3">
        <v>11</v>
      </c>
    </row>
    <row r="9376" spans="1:3" x14ac:dyDescent="0.25">
      <c r="A9376" s="1" t="s">
        <v>9375</v>
      </c>
      <c r="C9376" s="3">
        <v>11</v>
      </c>
    </row>
    <row r="9377" spans="1:3" x14ac:dyDescent="0.25">
      <c r="A9377" s="1" t="s">
        <v>9376</v>
      </c>
      <c r="C9377" s="3">
        <v>11</v>
      </c>
    </row>
    <row r="9378" spans="1:3" x14ac:dyDescent="0.25">
      <c r="A9378" s="1" t="s">
        <v>9377</v>
      </c>
      <c r="C9378" s="3">
        <v>11</v>
      </c>
    </row>
    <row r="9379" spans="1:3" x14ac:dyDescent="0.25">
      <c r="A9379" s="1" t="s">
        <v>9378</v>
      </c>
      <c r="C9379" s="3">
        <v>11</v>
      </c>
    </row>
    <row r="9380" spans="1:3" x14ac:dyDescent="0.25">
      <c r="A9380" s="1" t="s">
        <v>9379</v>
      </c>
      <c r="C9380" s="3">
        <v>11</v>
      </c>
    </row>
    <row r="9381" spans="1:3" x14ac:dyDescent="0.25">
      <c r="A9381" s="1" t="s">
        <v>9380</v>
      </c>
      <c r="C9381" s="3">
        <v>11</v>
      </c>
    </row>
    <row r="9382" spans="1:3" x14ac:dyDescent="0.25">
      <c r="A9382" s="1" t="s">
        <v>9381</v>
      </c>
      <c r="C9382" s="3">
        <v>11</v>
      </c>
    </row>
    <row r="9383" spans="1:3" x14ac:dyDescent="0.25">
      <c r="A9383" s="1" t="s">
        <v>9382</v>
      </c>
      <c r="C9383" s="3">
        <v>11</v>
      </c>
    </row>
    <row r="9384" spans="1:3" x14ac:dyDescent="0.25">
      <c r="A9384" s="1" t="s">
        <v>9383</v>
      </c>
      <c r="C9384" s="3">
        <v>11</v>
      </c>
    </row>
    <row r="9385" spans="1:3" x14ac:dyDescent="0.25">
      <c r="A9385" s="1" t="s">
        <v>9384</v>
      </c>
      <c r="C9385" s="3">
        <v>11</v>
      </c>
    </row>
    <row r="9386" spans="1:3" x14ac:dyDescent="0.25">
      <c r="A9386" s="1" t="s">
        <v>9385</v>
      </c>
      <c r="C9386" s="3">
        <v>11</v>
      </c>
    </row>
    <row r="9387" spans="1:3" x14ac:dyDescent="0.25">
      <c r="A9387" s="1" t="s">
        <v>9386</v>
      </c>
      <c r="C9387" s="3">
        <v>11</v>
      </c>
    </row>
    <row r="9388" spans="1:3" x14ac:dyDescent="0.25">
      <c r="A9388" s="1" t="s">
        <v>9387</v>
      </c>
      <c r="C9388" s="3">
        <v>11</v>
      </c>
    </row>
    <row r="9389" spans="1:3" x14ac:dyDescent="0.25">
      <c r="A9389" s="1" t="s">
        <v>9388</v>
      </c>
      <c r="C9389" s="3">
        <v>11</v>
      </c>
    </row>
    <row r="9390" spans="1:3" x14ac:dyDescent="0.25">
      <c r="A9390" s="1" t="s">
        <v>9389</v>
      </c>
      <c r="C9390" s="3">
        <v>11</v>
      </c>
    </row>
    <row r="9391" spans="1:3" x14ac:dyDescent="0.25">
      <c r="A9391" s="1" t="s">
        <v>9390</v>
      </c>
      <c r="C9391" s="3">
        <v>11</v>
      </c>
    </row>
    <row r="9392" spans="1:3" x14ac:dyDescent="0.25">
      <c r="A9392" s="1" t="s">
        <v>9391</v>
      </c>
      <c r="C9392" s="3">
        <v>11</v>
      </c>
    </row>
    <row r="9393" spans="1:3" x14ac:dyDescent="0.25">
      <c r="A9393" s="1" t="s">
        <v>9392</v>
      </c>
      <c r="C9393" s="3">
        <v>11</v>
      </c>
    </row>
    <row r="9394" spans="1:3" x14ac:dyDescent="0.25">
      <c r="A9394" s="1" t="s">
        <v>9393</v>
      </c>
      <c r="C9394" s="3">
        <v>11</v>
      </c>
    </row>
    <row r="9395" spans="1:3" x14ac:dyDescent="0.25">
      <c r="A9395" s="1" t="s">
        <v>9394</v>
      </c>
      <c r="C9395" s="3">
        <v>11</v>
      </c>
    </row>
    <row r="9396" spans="1:3" x14ac:dyDescent="0.25">
      <c r="A9396" s="1" t="s">
        <v>9395</v>
      </c>
      <c r="C9396" s="3">
        <v>11</v>
      </c>
    </row>
    <row r="9397" spans="1:3" x14ac:dyDescent="0.25">
      <c r="A9397" s="1" t="s">
        <v>9396</v>
      </c>
      <c r="C9397" s="3">
        <v>11</v>
      </c>
    </row>
    <row r="9398" spans="1:3" x14ac:dyDescent="0.25">
      <c r="A9398" s="1" t="s">
        <v>9397</v>
      </c>
      <c r="C9398" s="3">
        <v>11</v>
      </c>
    </row>
    <row r="9399" spans="1:3" x14ac:dyDescent="0.25">
      <c r="A9399" s="1" t="s">
        <v>9398</v>
      </c>
      <c r="C9399" s="3">
        <v>11</v>
      </c>
    </row>
    <row r="9400" spans="1:3" x14ac:dyDescent="0.25">
      <c r="A9400" s="1" t="s">
        <v>9399</v>
      </c>
      <c r="C9400" s="3">
        <v>11</v>
      </c>
    </row>
    <row r="9401" spans="1:3" x14ac:dyDescent="0.25">
      <c r="A9401" s="1" t="s">
        <v>9400</v>
      </c>
      <c r="C9401" s="3">
        <v>11</v>
      </c>
    </row>
    <row r="9402" spans="1:3" x14ac:dyDescent="0.25">
      <c r="A9402" s="1" t="s">
        <v>9401</v>
      </c>
      <c r="C9402" s="3">
        <v>11</v>
      </c>
    </row>
    <row r="9403" spans="1:3" x14ac:dyDescent="0.25">
      <c r="A9403" s="1" t="s">
        <v>9402</v>
      </c>
      <c r="C9403" s="3">
        <v>11</v>
      </c>
    </row>
    <row r="9404" spans="1:3" x14ac:dyDescent="0.25">
      <c r="A9404" s="1" t="s">
        <v>9403</v>
      </c>
      <c r="C9404" s="3">
        <v>11</v>
      </c>
    </row>
    <row r="9405" spans="1:3" x14ac:dyDescent="0.25">
      <c r="A9405" s="1" t="s">
        <v>9404</v>
      </c>
      <c r="C9405" s="3">
        <v>11</v>
      </c>
    </row>
    <row r="9406" spans="1:3" x14ac:dyDescent="0.25">
      <c r="A9406" s="1" t="s">
        <v>9405</v>
      </c>
      <c r="C9406" s="3">
        <v>11</v>
      </c>
    </row>
    <row r="9407" spans="1:3" x14ac:dyDescent="0.25">
      <c r="A9407" s="1" t="s">
        <v>9406</v>
      </c>
      <c r="C9407" s="3">
        <v>11</v>
      </c>
    </row>
    <row r="9408" spans="1:3" x14ac:dyDescent="0.25">
      <c r="A9408" s="1" t="s">
        <v>9407</v>
      </c>
      <c r="C9408" s="3">
        <v>11</v>
      </c>
    </row>
    <row r="9409" spans="1:3" x14ac:dyDescent="0.25">
      <c r="A9409" s="1" t="s">
        <v>9408</v>
      </c>
      <c r="C9409" s="3">
        <v>11</v>
      </c>
    </row>
    <row r="9410" spans="1:3" x14ac:dyDescent="0.25">
      <c r="A9410" s="1" t="s">
        <v>9409</v>
      </c>
      <c r="C9410" s="3">
        <v>11</v>
      </c>
    </row>
    <row r="9411" spans="1:3" x14ac:dyDescent="0.25">
      <c r="A9411" s="1" t="s">
        <v>9410</v>
      </c>
      <c r="C9411" s="3">
        <v>11</v>
      </c>
    </row>
    <row r="9412" spans="1:3" x14ac:dyDescent="0.25">
      <c r="A9412" s="1" t="s">
        <v>9411</v>
      </c>
      <c r="C9412" s="3">
        <v>11</v>
      </c>
    </row>
    <row r="9413" spans="1:3" x14ac:dyDescent="0.25">
      <c r="A9413" s="1" t="s">
        <v>9412</v>
      </c>
      <c r="C9413" s="3">
        <v>11</v>
      </c>
    </row>
    <row r="9414" spans="1:3" x14ac:dyDescent="0.25">
      <c r="A9414" s="1" t="s">
        <v>9413</v>
      </c>
      <c r="C9414" s="3">
        <v>11</v>
      </c>
    </row>
    <row r="9415" spans="1:3" x14ac:dyDescent="0.25">
      <c r="A9415" s="1" t="s">
        <v>9414</v>
      </c>
      <c r="C9415" s="3">
        <v>11</v>
      </c>
    </row>
    <row r="9416" spans="1:3" x14ac:dyDescent="0.25">
      <c r="A9416" s="1" t="s">
        <v>9415</v>
      </c>
      <c r="C9416" s="3">
        <v>11</v>
      </c>
    </row>
    <row r="9417" spans="1:3" x14ac:dyDescent="0.25">
      <c r="A9417" s="1" t="s">
        <v>9416</v>
      </c>
      <c r="C9417" s="3">
        <v>11</v>
      </c>
    </row>
    <row r="9418" spans="1:3" x14ac:dyDescent="0.25">
      <c r="A9418" s="1" t="s">
        <v>9417</v>
      </c>
      <c r="C9418" s="3">
        <v>11</v>
      </c>
    </row>
    <row r="9419" spans="1:3" x14ac:dyDescent="0.25">
      <c r="A9419" s="1" t="s">
        <v>9418</v>
      </c>
      <c r="C9419" s="3">
        <v>11</v>
      </c>
    </row>
    <row r="9420" spans="1:3" x14ac:dyDescent="0.25">
      <c r="A9420" s="1" t="s">
        <v>9419</v>
      </c>
      <c r="C9420" s="3">
        <v>11</v>
      </c>
    </row>
    <row r="9421" spans="1:3" x14ac:dyDescent="0.25">
      <c r="A9421" s="1" t="s">
        <v>9420</v>
      </c>
      <c r="C9421" s="3">
        <v>11</v>
      </c>
    </row>
    <row r="9422" spans="1:3" x14ac:dyDescent="0.25">
      <c r="A9422" s="1" t="s">
        <v>9421</v>
      </c>
      <c r="C9422" s="3">
        <v>11</v>
      </c>
    </row>
    <row r="9423" spans="1:3" x14ac:dyDescent="0.25">
      <c r="A9423" s="1" t="s">
        <v>9422</v>
      </c>
      <c r="C9423" s="3">
        <v>11</v>
      </c>
    </row>
    <row r="9424" spans="1:3" x14ac:dyDescent="0.25">
      <c r="A9424" s="1" t="s">
        <v>9423</v>
      </c>
      <c r="C9424" s="3">
        <v>11</v>
      </c>
    </row>
    <row r="9425" spans="1:3" x14ac:dyDescent="0.25">
      <c r="A9425" s="1" t="s">
        <v>9424</v>
      </c>
      <c r="C9425" s="3">
        <v>11</v>
      </c>
    </row>
    <row r="9426" spans="1:3" x14ac:dyDescent="0.25">
      <c r="A9426" s="1" t="s">
        <v>9425</v>
      </c>
      <c r="C9426" s="3">
        <v>11</v>
      </c>
    </row>
    <row r="9427" spans="1:3" x14ac:dyDescent="0.25">
      <c r="A9427" s="1" t="s">
        <v>9426</v>
      </c>
      <c r="C9427" s="3">
        <v>11</v>
      </c>
    </row>
    <row r="9428" spans="1:3" x14ac:dyDescent="0.25">
      <c r="A9428" s="1" t="s">
        <v>9427</v>
      </c>
      <c r="C9428" s="3">
        <v>11</v>
      </c>
    </row>
    <row r="9429" spans="1:3" x14ac:dyDescent="0.25">
      <c r="A9429" s="1" t="s">
        <v>9428</v>
      </c>
      <c r="C9429" s="3">
        <v>11</v>
      </c>
    </row>
    <row r="9430" spans="1:3" x14ac:dyDescent="0.25">
      <c r="A9430" s="1" t="s">
        <v>9429</v>
      </c>
      <c r="C9430" s="3">
        <v>11</v>
      </c>
    </row>
    <row r="9431" spans="1:3" x14ac:dyDescent="0.25">
      <c r="A9431" s="1" t="s">
        <v>9430</v>
      </c>
      <c r="C9431" s="3">
        <v>11</v>
      </c>
    </row>
    <row r="9432" spans="1:3" x14ac:dyDescent="0.25">
      <c r="A9432" s="1" t="s">
        <v>9431</v>
      </c>
      <c r="C9432" s="3">
        <v>11</v>
      </c>
    </row>
    <row r="9433" spans="1:3" x14ac:dyDescent="0.25">
      <c r="A9433" s="1" t="s">
        <v>9432</v>
      </c>
      <c r="C9433" s="3">
        <v>11</v>
      </c>
    </row>
    <row r="9434" spans="1:3" x14ac:dyDescent="0.25">
      <c r="A9434" s="1" t="s">
        <v>9433</v>
      </c>
      <c r="C9434" s="3">
        <v>11</v>
      </c>
    </row>
    <row r="9435" spans="1:3" x14ac:dyDescent="0.25">
      <c r="A9435" s="1" t="s">
        <v>9434</v>
      </c>
      <c r="C9435" s="3">
        <v>11</v>
      </c>
    </row>
    <row r="9436" spans="1:3" x14ac:dyDescent="0.25">
      <c r="A9436" s="1" t="s">
        <v>9435</v>
      </c>
      <c r="C9436" s="3">
        <v>11</v>
      </c>
    </row>
    <row r="9437" spans="1:3" x14ac:dyDescent="0.25">
      <c r="A9437" s="1" t="s">
        <v>9436</v>
      </c>
      <c r="C9437" s="3">
        <v>11</v>
      </c>
    </row>
    <row r="9438" spans="1:3" x14ac:dyDescent="0.25">
      <c r="A9438" s="1" t="s">
        <v>9437</v>
      </c>
      <c r="C9438" s="3">
        <v>11</v>
      </c>
    </row>
    <row r="9439" spans="1:3" x14ac:dyDescent="0.25">
      <c r="A9439" s="1" t="s">
        <v>9438</v>
      </c>
      <c r="C9439" s="3">
        <v>11</v>
      </c>
    </row>
    <row r="9440" spans="1:3" x14ac:dyDescent="0.25">
      <c r="A9440" s="1" t="s">
        <v>9439</v>
      </c>
      <c r="C9440" s="3">
        <v>11</v>
      </c>
    </row>
    <row r="9441" spans="1:3" x14ac:dyDescent="0.25">
      <c r="A9441" s="1" t="s">
        <v>9440</v>
      </c>
      <c r="C9441" s="3">
        <v>11</v>
      </c>
    </row>
    <row r="9442" spans="1:3" x14ac:dyDescent="0.25">
      <c r="A9442" s="1" t="s">
        <v>9441</v>
      </c>
      <c r="C9442" s="3">
        <v>11</v>
      </c>
    </row>
    <row r="9443" spans="1:3" x14ac:dyDescent="0.25">
      <c r="A9443" s="1" t="s">
        <v>9442</v>
      </c>
      <c r="C9443" s="3">
        <v>11</v>
      </c>
    </row>
    <row r="9444" spans="1:3" x14ac:dyDescent="0.25">
      <c r="A9444" s="1" t="s">
        <v>9443</v>
      </c>
      <c r="C9444" s="3">
        <v>11</v>
      </c>
    </row>
    <row r="9445" spans="1:3" x14ac:dyDescent="0.25">
      <c r="A9445" s="1" t="s">
        <v>9444</v>
      </c>
      <c r="C9445" s="3">
        <v>11</v>
      </c>
    </row>
    <row r="9446" spans="1:3" x14ac:dyDescent="0.25">
      <c r="A9446" s="1" t="s">
        <v>9445</v>
      </c>
      <c r="C9446" s="3">
        <v>11</v>
      </c>
    </row>
    <row r="9447" spans="1:3" x14ac:dyDescent="0.25">
      <c r="A9447" s="1" t="s">
        <v>9446</v>
      </c>
      <c r="C9447" s="3">
        <v>11</v>
      </c>
    </row>
    <row r="9448" spans="1:3" x14ac:dyDescent="0.25">
      <c r="A9448" s="1" t="s">
        <v>9447</v>
      </c>
      <c r="C9448" s="3">
        <v>11</v>
      </c>
    </row>
    <row r="9449" spans="1:3" x14ac:dyDescent="0.25">
      <c r="A9449" s="1" t="s">
        <v>9448</v>
      </c>
      <c r="C9449" s="3">
        <v>11</v>
      </c>
    </row>
    <row r="9450" spans="1:3" x14ac:dyDescent="0.25">
      <c r="A9450" s="1" t="s">
        <v>9449</v>
      </c>
      <c r="C9450" s="3">
        <v>11</v>
      </c>
    </row>
    <row r="9451" spans="1:3" x14ac:dyDescent="0.25">
      <c r="A9451" s="1" t="s">
        <v>9450</v>
      </c>
      <c r="C9451" s="3">
        <v>11</v>
      </c>
    </row>
    <row r="9452" spans="1:3" x14ac:dyDescent="0.25">
      <c r="A9452" s="1" t="s">
        <v>9451</v>
      </c>
      <c r="C9452" s="3">
        <v>11</v>
      </c>
    </row>
    <row r="9453" spans="1:3" x14ac:dyDescent="0.25">
      <c r="A9453" s="1" t="s">
        <v>9452</v>
      </c>
      <c r="C9453" s="3">
        <v>11</v>
      </c>
    </row>
    <row r="9454" spans="1:3" x14ac:dyDescent="0.25">
      <c r="A9454" s="1" t="s">
        <v>9453</v>
      </c>
      <c r="C9454" s="3">
        <v>11</v>
      </c>
    </row>
    <row r="9455" spans="1:3" x14ac:dyDescent="0.25">
      <c r="A9455" s="1" t="s">
        <v>9454</v>
      </c>
      <c r="C9455" s="3">
        <v>11</v>
      </c>
    </row>
    <row r="9456" spans="1:3" x14ac:dyDescent="0.25">
      <c r="A9456" s="1" t="s">
        <v>9455</v>
      </c>
      <c r="C9456" s="3">
        <v>11</v>
      </c>
    </row>
    <row r="9457" spans="1:3" x14ac:dyDescent="0.25">
      <c r="A9457" s="1" t="s">
        <v>9456</v>
      </c>
      <c r="C9457" s="3">
        <v>11</v>
      </c>
    </row>
    <row r="9458" spans="1:3" x14ac:dyDescent="0.25">
      <c r="A9458" s="1" t="s">
        <v>9457</v>
      </c>
      <c r="C9458" s="3">
        <v>11</v>
      </c>
    </row>
    <row r="9459" spans="1:3" x14ac:dyDescent="0.25">
      <c r="A9459" s="1" t="s">
        <v>9458</v>
      </c>
      <c r="C9459" s="3">
        <v>11</v>
      </c>
    </row>
    <row r="9460" spans="1:3" x14ac:dyDescent="0.25">
      <c r="A9460" s="1" t="s">
        <v>9459</v>
      </c>
      <c r="C9460" s="3">
        <v>11</v>
      </c>
    </row>
    <row r="9461" spans="1:3" x14ac:dyDescent="0.25">
      <c r="A9461" s="1" t="s">
        <v>9460</v>
      </c>
      <c r="C9461" s="3">
        <v>11</v>
      </c>
    </row>
    <row r="9462" spans="1:3" x14ac:dyDescent="0.25">
      <c r="A9462" s="1" t="s">
        <v>9461</v>
      </c>
      <c r="C9462" s="3">
        <v>11</v>
      </c>
    </row>
    <row r="9463" spans="1:3" x14ac:dyDescent="0.25">
      <c r="A9463" s="1" t="s">
        <v>9462</v>
      </c>
      <c r="C9463" s="3">
        <v>11</v>
      </c>
    </row>
    <row r="9464" spans="1:3" x14ac:dyDescent="0.25">
      <c r="A9464" s="1" t="s">
        <v>9463</v>
      </c>
      <c r="C9464" s="3">
        <v>11</v>
      </c>
    </row>
    <row r="9465" spans="1:3" x14ac:dyDescent="0.25">
      <c r="A9465" s="1" t="s">
        <v>9464</v>
      </c>
      <c r="C9465" s="3">
        <v>11</v>
      </c>
    </row>
    <row r="9466" spans="1:3" x14ac:dyDescent="0.25">
      <c r="A9466" s="1" t="s">
        <v>9465</v>
      </c>
      <c r="C9466" s="3">
        <v>11</v>
      </c>
    </row>
    <row r="9467" spans="1:3" x14ac:dyDescent="0.25">
      <c r="A9467" s="1" t="s">
        <v>9466</v>
      </c>
      <c r="C9467" s="3">
        <v>11</v>
      </c>
    </row>
    <row r="9468" spans="1:3" x14ac:dyDescent="0.25">
      <c r="A9468" s="1" t="s">
        <v>9467</v>
      </c>
      <c r="C9468" s="3">
        <v>11</v>
      </c>
    </row>
    <row r="9469" spans="1:3" x14ac:dyDescent="0.25">
      <c r="A9469" s="1" t="s">
        <v>9468</v>
      </c>
      <c r="C9469" s="3">
        <v>11</v>
      </c>
    </row>
    <row r="9470" spans="1:3" x14ac:dyDescent="0.25">
      <c r="A9470" s="1" t="s">
        <v>9469</v>
      </c>
      <c r="C9470" s="3">
        <v>11</v>
      </c>
    </row>
    <row r="9471" spans="1:3" x14ac:dyDescent="0.25">
      <c r="A9471" s="1" t="s">
        <v>9470</v>
      </c>
      <c r="C9471" s="3">
        <v>11</v>
      </c>
    </row>
    <row r="9472" spans="1:3" x14ac:dyDescent="0.25">
      <c r="A9472" s="1" t="s">
        <v>9471</v>
      </c>
      <c r="C9472" s="3">
        <v>11</v>
      </c>
    </row>
    <row r="9473" spans="1:3" x14ac:dyDescent="0.25">
      <c r="A9473" s="1" t="s">
        <v>9472</v>
      </c>
      <c r="C9473" s="3">
        <v>11</v>
      </c>
    </row>
    <row r="9474" spans="1:3" x14ac:dyDescent="0.25">
      <c r="A9474" s="1" t="s">
        <v>9473</v>
      </c>
      <c r="C9474" s="3">
        <v>11</v>
      </c>
    </row>
    <row r="9475" spans="1:3" x14ac:dyDescent="0.25">
      <c r="A9475" s="1" t="s">
        <v>9474</v>
      </c>
      <c r="C9475" s="3">
        <v>11</v>
      </c>
    </row>
    <row r="9476" spans="1:3" x14ac:dyDescent="0.25">
      <c r="A9476" s="1" t="s">
        <v>9475</v>
      </c>
      <c r="C9476" s="3">
        <v>11</v>
      </c>
    </row>
    <row r="9477" spans="1:3" x14ac:dyDescent="0.25">
      <c r="A9477" s="1" t="s">
        <v>9476</v>
      </c>
      <c r="C9477" s="3">
        <v>11</v>
      </c>
    </row>
    <row r="9478" spans="1:3" x14ac:dyDescent="0.25">
      <c r="A9478" s="1" t="s">
        <v>9477</v>
      </c>
      <c r="C9478" s="3">
        <v>11</v>
      </c>
    </row>
    <row r="9479" spans="1:3" x14ac:dyDescent="0.25">
      <c r="A9479" s="1" t="s">
        <v>9478</v>
      </c>
      <c r="C9479" s="3">
        <v>11</v>
      </c>
    </row>
    <row r="9480" spans="1:3" x14ac:dyDescent="0.25">
      <c r="A9480" s="1" t="s">
        <v>9479</v>
      </c>
      <c r="C9480" s="3">
        <v>11</v>
      </c>
    </row>
    <row r="9481" spans="1:3" x14ac:dyDescent="0.25">
      <c r="A9481" s="1" t="s">
        <v>9480</v>
      </c>
      <c r="C9481" s="3">
        <v>11</v>
      </c>
    </row>
    <row r="9482" spans="1:3" x14ac:dyDescent="0.25">
      <c r="A9482" s="1" t="s">
        <v>9481</v>
      </c>
      <c r="C9482" s="3">
        <v>11</v>
      </c>
    </row>
    <row r="9483" spans="1:3" x14ac:dyDescent="0.25">
      <c r="A9483" s="1" t="s">
        <v>9482</v>
      </c>
      <c r="C9483" s="3">
        <v>11</v>
      </c>
    </row>
    <row r="9484" spans="1:3" x14ac:dyDescent="0.25">
      <c r="A9484" s="1" t="s">
        <v>9483</v>
      </c>
      <c r="C9484" s="3">
        <v>11</v>
      </c>
    </row>
    <row r="9485" spans="1:3" x14ac:dyDescent="0.25">
      <c r="A9485" s="1" t="s">
        <v>9484</v>
      </c>
      <c r="C9485" s="3">
        <v>11</v>
      </c>
    </row>
    <row r="9486" spans="1:3" x14ac:dyDescent="0.25">
      <c r="A9486" s="1" t="s">
        <v>9485</v>
      </c>
      <c r="C9486" s="3">
        <v>11</v>
      </c>
    </row>
    <row r="9487" spans="1:3" x14ac:dyDescent="0.25">
      <c r="A9487" s="1" t="s">
        <v>9486</v>
      </c>
      <c r="C9487" s="3">
        <v>11</v>
      </c>
    </row>
    <row r="9488" spans="1:3" x14ac:dyDescent="0.25">
      <c r="A9488" s="1" t="s">
        <v>9487</v>
      </c>
      <c r="C9488" s="3">
        <v>11</v>
      </c>
    </row>
    <row r="9489" spans="1:3" x14ac:dyDescent="0.25">
      <c r="A9489" s="1" t="s">
        <v>9488</v>
      </c>
      <c r="C9489" s="3">
        <v>11</v>
      </c>
    </row>
    <row r="9490" spans="1:3" x14ac:dyDescent="0.25">
      <c r="A9490" s="1" t="s">
        <v>9489</v>
      </c>
      <c r="C9490" s="3">
        <v>11</v>
      </c>
    </row>
    <row r="9491" spans="1:3" x14ac:dyDescent="0.25">
      <c r="A9491" s="1" t="s">
        <v>9490</v>
      </c>
      <c r="C9491" s="3">
        <v>11</v>
      </c>
    </row>
    <row r="9492" spans="1:3" x14ac:dyDescent="0.25">
      <c r="A9492" s="1" t="s">
        <v>9491</v>
      </c>
      <c r="C9492" s="3">
        <v>11</v>
      </c>
    </row>
    <row r="9493" spans="1:3" x14ac:dyDescent="0.25">
      <c r="A9493" s="1" t="s">
        <v>9492</v>
      </c>
      <c r="C9493" s="3">
        <v>11</v>
      </c>
    </row>
    <row r="9494" spans="1:3" x14ac:dyDescent="0.25">
      <c r="A9494" s="1" t="s">
        <v>9493</v>
      </c>
      <c r="C9494" s="3">
        <v>11</v>
      </c>
    </row>
    <row r="9495" spans="1:3" x14ac:dyDescent="0.25">
      <c r="A9495" s="1" t="s">
        <v>9494</v>
      </c>
      <c r="C9495" s="3">
        <v>11</v>
      </c>
    </row>
    <row r="9496" spans="1:3" x14ac:dyDescent="0.25">
      <c r="A9496" s="1" t="s">
        <v>9495</v>
      </c>
      <c r="C9496" s="3">
        <v>11</v>
      </c>
    </row>
    <row r="9497" spans="1:3" x14ac:dyDescent="0.25">
      <c r="A9497" s="1" t="s">
        <v>9496</v>
      </c>
      <c r="C9497" s="3">
        <v>11</v>
      </c>
    </row>
    <row r="9498" spans="1:3" x14ac:dyDescent="0.25">
      <c r="A9498" s="1" t="s">
        <v>9497</v>
      </c>
      <c r="C9498" s="3">
        <v>11</v>
      </c>
    </row>
    <row r="9499" spans="1:3" x14ac:dyDescent="0.25">
      <c r="A9499" s="1" t="s">
        <v>9498</v>
      </c>
      <c r="C9499" s="3">
        <v>11</v>
      </c>
    </row>
    <row r="9500" spans="1:3" x14ac:dyDescent="0.25">
      <c r="A9500" s="1" t="s">
        <v>9499</v>
      </c>
      <c r="C9500" s="3">
        <v>11</v>
      </c>
    </row>
    <row r="9501" spans="1:3" x14ac:dyDescent="0.25">
      <c r="A9501" s="1" t="s">
        <v>9500</v>
      </c>
      <c r="C9501" s="3">
        <v>11</v>
      </c>
    </row>
    <row r="9502" spans="1:3" x14ac:dyDescent="0.25">
      <c r="A9502" s="1" t="s">
        <v>9501</v>
      </c>
      <c r="C9502" s="3">
        <v>11</v>
      </c>
    </row>
    <row r="9503" spans="1:3" x14ac:dyDescent="0.25">
      <c r="A9503" s="1" t="s">
        <v>9502</v>
      </c>
      <c r="C9503" s="3">
        <v>11</v>
      </c>
    </row>
    <row r="9504" spans="1:3" x14ac:dyDescent="0.25">
      <c r="A9504" s="1" t="s">
        <v>9503</v>
      </c>
      <c r="C9504" s="3">
        <v>11</v>
      </c>
    </row>
    <row r="9505" spans="1:3" x14ac:dyDescent="0.25">
      <c r="A9505" s="1" t="s">
        <v>9504</v>
      </c>
      <c r="C9505" s="3">
        <v>11</v>
      </c>
    </row>
    <row r="9506" spans="1:3" x14ac:dyDescent="0.25">
      <c r="A9506" s="1" t="s">
        <v>9505</v>
      </c>
      <c r="C9506" s="3">
        <v>11</v>
      </c>
    </row>
    <row r="9507" spans="1:3" x14ac:dyDescent="0.25">
      <c r="A9507" s="1" t="s">
        <v>9506</v>
      </c>
      <c r="C9507" s="3">
        <v>11</v>
      </c>
    </row>
    <row r="9508" spans="1:3" x14ac:dyDescent="0.25">
      <c r="A9508" s="1" t="s">
        <v>9507</v>
      </c>
      <c r="C9508" s="3">
        <v>11</v>
      </c>
    </row>
    <row r="9509" spans="1:3" x14ac:dyDescent="0.25">
      <c r="A9509" s="1" t="s">
        <v>9508</v>
      </c>
      <c r="C9509" s="3">
        <v>11</v>
      </c>
    </row>
    <row r="9510" spans="1:3" x14ac:dyDescent="0.25">
      <c r="A9510" s="1" t="s">
        <v>9509</v>
      </c>
      <c r="C9510" s="3">
        <v>11</v>
      </c>
    </row>
    <row r="9511" spans="1:3" x14ac:dyDescent="0.25">
      <c r="A9511" s="1" t="s">
        <v>9510</v>
      </c>
      <c r="C9511" s="3">
        <v>11</v>
      </c>
    </row>
    <row r="9512" spans="1:3" x14ac:dyDescent="0.25">
      <c r="A9512" s="1" t="s">
        <v>9511</v>
      </c>
      <c r="C9512" s="3">
        <v>11</v>
      </c>
    </row>
    <row r="9513" spans="1:3" x14ac:dyDescent="0.25">
      <c r="A9513" s="1" t="s">
        <v>9512</v>
      </c>
      <c r="C9513" s="3">
        <v>11</v>
      </c>
    </row>
    <row r="9514" spans="1:3" x14ac:dyDescent="0.25">
      <c r="A9514" s="1" t="s">
        <v>9513</v>
      </c>
      <c r="C9514" s="3">
        <v>11</v>
      </c>
    </row>
    <row r="9515" spans="1:3" x14ac:dyDescent="0.25">
      <c r="A9515" s="1" t="s">
        <v>9514</v>
      </c>
      <c r="C9515" s="3">
        <v>11</v>
      </c>
    </row>
    <row r="9516" spans="1:3" x14ac:dyDescent="0.25">
      <c r="A9516" s="1" t="s">
        <v>9515</v>
      </c>
      <c r="C9516" s="3">
        <v>11</v>
      </c>
    </row>
    <row r="9517" spans="1:3" x14ac:dyDescent="0.25">
      <c r="A9517" s="1" t="s">
        <v>9516</v>
      </c>
      <c r="C9517" s="3">
        <v>11</v>
      </c>
    </row>
    <row r="9518" spans="1:3" x14ac:dyDescent="0.25">
      <c r="A9518" s="1" t="s">
        <v>9517</v>
      </c>
      <c r="C9518" s="3">
        <v>11</v>
      </c>
    </row>
    <row r="9519" spans="1:3" x14ac:dyDescent="0.25">
      <c r="A9519" s="1" t="s">
        <v>9518</v>
      </c>
      <c r="C9519" s="3">
        <v>11</v>
      </c>
    </row>
    <row r="9520" spans="1:3" x14ac:dyDescent="0.25">
      <c r="A9520" s="1" t="s">
        <v>9519</v>
      </c>
      <c r="C9520" s="3">
        <v>11</v>
      </c>
    </row>
    <row r="9521" spans="1:3" x14ac:dyDescent="0.25">
      <c r="A9521" s="1" t="s">
        <v>9520</v>
      </c>
      <c r="C9521" s="3">
        <v>11</v>
      </c>
    </row>
    <row r="9522" spans="1:3" x14ac:dyDescent="0.25">
      <c r="A9522" s="1" t="s">
        <v>9521</v>
      </c>
      <c r="C9522" s="3">
        <v>11</v>
      </c>
    </row>
    <row r="9523" spans="1:3" x14ac:dyDescent="0.25">
      <c r="A9523" s="1" t="s">
        <v>9522</v>
      </c>
      <c r="C9523" s="3">
        <v>11</v>
      </c>
    </row>
    <row r="9524" spans="1:3" x14ac:dyDescent="0.25">
      <c r="A9524" s="1" t="s">
        <v>9523</v>
      </c>
      <c r="C9524" s="3">
        <v>11</v>
      </c>
    </row>
    <row r="9525" spans="1:3" x14ac:dyDescent="0.25">
      <c r="A9525" s="1" t="s">
        <v>9524</v>
      </c>
      <c r="C9525" s="3">
        <v>11</v>
      </c>
    </row>
    <row r="9526" spans="1:3" x14ac:dyDescent="0.25">
      <c r="A9526" s="1" t="s">
        <v>9525</v>
      </c>
      <c r="C9526" s="3">
        <v>11</v>
      </c>
    </row>
    <row r="9527" spans="1:3" x14ac:dyDescent="0.25">
      <c r="A9527" s="1" t="s">
        <v>9526</v>
      </c>
      <c r="C9527" s="3">
        <v>11</v>
      </c>
    </row>
    <row r="9528" spans="1:3" x14ac:dyDescent="0.25">
      <c r="A9528" s="1" t="s">
        <v>9527</v>
      </c>
      <c r="C9528" s="3">
        <v>11</v>
      </c>
    </row>
    <row r="9529" spans="1:3" x14ac:dyDescent="0.25">
      <c r="A9529" s="1" t="s">
        <v>9528</v>
      </c>
      <c r="C9529" s="3">
        <v>11</v>
      </c>
    </row>
    <row r="9530" spans="1:3" x14ac:dyDescent="0.25">
      <c r="A9530" s="1" t="s">
        <v>9529</v>
      </c>
      <c r="C9530" s="3">
        <v>11</v>
      </c>
    </row>
    <row r="9531" spans="1:3" x14ac:dyDescent="0.25">
      <c r="A9531" s="1" t="s">
        <v>9530</v>
      </c>
      <c r="C9531" s="3">
        <v>11</v>
      </c>
    </row>
    <row r="9532" spans="1:3" x14ac:dyDescent="0.25">
      <c r="A9532" s="1" t="s">
        <v>9531</v>
      </c>
      <c r="C9532" s="3">
        <v>11</v>
      </c>
    </row>
    <row r="9533" spans="1:3" x14ac:dyDescent="0.25">
      <c r="A9533" s="1" t="s">
        <v>9532</v>
      </c>
      <c r="C9533" s="3">
        <v>11</v>
      </c>
    </row>
    <row r="9534" spans="1:3" x14ac:dyDescent="0.25">
      <c r="A9534" s="1" t="s">
        <v>9533</v>
      </c>
      <c r="C9534" s="3">
        <v>11</v>
      </c>
    </row>
    <row r="9535" spans="1:3" x14ac:dyDescent="0.25">
      <c r="A9535" s="1" t="s">
        <v>9534</v>
      </c>
      <c r="C9535" s="3">
        <v>11</v>
      </c>
    </row>
    <row r="9536" spans="1:3" x14ac:dyDescent="0.25">
      <c r="A9536" s="1" t="s">
        <v>9535</v>
      </c>
      <c r="C9536" s="3">
        <v>11</v>
      </c>
    </row>
    <row r="9537" spans="1:3" x14ac:dyDescent="0.25">
      <c r="A9537" s="1" t="s">
        <v>9536</v>
      </c>
      <c r="C9537" s="3">
        <v>11</v>
      </c>
    </row>
    <row r="9538" spans="1:3" x14ac:dyDescent="0.25">
      <c r="A9538" s="1" t="s">
        <v>9537</v>
      </c>
      <c r="C9538" s="3">
        <v>11</v>
      </c>
    </row>
    <row r="9539" spans="1:3" x14ac:dyDescent="0.25">
      <c r="A9539" s="1" t="s">
        <v>9538</v>
      </c>
      <c r="C9539" s="3">
        <v>11</v>
      </c>
    </row>
    <row r="9540" spans="1:3" x14ac:dyDescent="0.25">
      <c r="A9540" s="1" t="s">
        <v>9539</v>
      </c>
      <c r="C9540" s="3">
        <v>11</v>
      </c>
    </row>
    <row r="9541" spans="1:3" x14ac:dyDescent="0.25">
      <c r="A9541" s="1" t="s">
        <v>9540</v>
      </c>
      <c r="C9541" s="3">
        <v>11</v>
      </c>
    </row>
    <row r="9542" spans="1:3" x14ac:dyDescent="0.25">
      <c r="A9542" s="1" t="s">
        <v>9541</v>
      </c>
      <c r="C9542" s="3">
        <v>11</v>
      </c>
    </row>
    <row r="9543" spans="1:3" x14ac:dyDescent="0.25">
      <c r="A9543" s="1" t="s">
        <v>9542</v>
      </c>
      <c r="C9543" s="3">
        <v>11</v>
      </c>
    </row>
    <row r="9544" spans="1:3" x14ac:dyDescent="0.25">
      <c r="A9544" s="1" t="s">
        <v>9543</v>
      </c>
      <c r="C9544" s="3">
        <v>11</v>
      </c>
    </row>
    <row r="9545" spans="1:3" x14ac:dyDescent="0.25">
      <c r="A9545" s="1" t="s">
        <v>9544</v>
      </c>
      <c r="C9545" s="3">
        <v>11</v>
      </c>
    </row>
    <row r="9546" spans="1:3" x14ac:dyDescent="0.25">
      <c r="A9546" s="1" t="s">
        <v>9545</v>
      </c>
      <c r="C9546" s="3">
        <v>11</v>
      </c>
    </row>
    <row r="9547" spans="1:3" x14ac:dyDescent="0.25">
      <c r="A9547" s="1" t="s">
        <v>9546</v>
      </c>
      <c r="C9547" s="3">
        <v>11</v>
      </c>
    </row>
    <row r="9548" spans="1:3" x14ac:dyDescent="0.25">
      <c r="A9548" s="1" t="s">
        <v>9547</v>
      </c>
      <c r="C9548" s="3">
        <v>11</v>
      </c>
    </row>
    <row r="9549" spans="1:3" x14ac:dyDescent="0.25">
      <c r="A9549" s="1" t="s">
        <v>9548</v>
      </c>
      <c r="C9549" s="3">
        <v>11</v>
      </c>
    </row>
    <row r="9550" spans="1:3" x14ac:dyDescent="0.25">
      <c r="A9550" s="1" t="s">
        <v>9549</v>
      </c>
      <c r="C9550" s="3">
        <v>11</v>
      </c>
    </row>
    <row r="9551" spans="1:3" x14ac:dyDescent="0.25">
      <c r="A9551" s="1" t="s">
        <v>9550</v>
      </c>
      <c r="C9551" s="3">
        <v>11</v>
      </c>
    </row>
    <row r="9552" spans="1:3" x14ac:dyDescent="0.25">
      <c r="A9552" s="1" t="s">
        <v>9551</v>
      </c>
      <c r="C9552" s="3">
        <v>11</v>
      </c>
    </row>
    <row r="9553" spans="1:3" x14ac:dyDescent="0.25">
      <c r="A9553" s="1" t="s">
        <v>9552</v>
      </c>
      <c r="C9553" s="3">
        <v>11</v>
      </c>
    </row>
    <row r="9554" spans="1:3" x14ac:dyDescent="0.25">
      <c r="A9554" s="1" t="s">
        <v>9553</v>
      </c>
      <c r="C9554" s="3">
        <v>11</v>
      </c>
    </row>
    <row r="9555" spans="1:3" x14ac:dyDescent="0.25">
      <c r="A9555" s="1" t="s">
        <v>9554</v>
      </c>
      <c r="C9555" s="3">
        <v>11</v>
      </c>
    </row>
    <row r="9556" spans="1:3" x14ac:dyDescent="0.25">
      <c r="A9556" s="1" t="s">
        <v>9555</v>
      </c>
      <c r="C9556" s="3">
        <v>11</v>
      </c>
    </row>
    <row r="9557" spans="1:3" x14ac:dyDescent="0.25">
      <c r="A9557" s="1" t="s">
        <v>9556</v>
      </c>
      <c r="C9557" s="3">
        <v>11</v>
      </c>
    </row>
    <row r="9558" spans="1:3" x14ac:dyDescent="0.25">
      <c r="A9558" s="1" t="s">
        <v>9557</v>
      </c>
      <c r="C9558" s="3">
        <v>11</v>
      </c>
    </row>
    <row r="9559" spans="1:3" x14ac:dyDescent="0.25">
      <c r="A9559" s="1" t="s">
        <v>9558</v>
      </c>
      <c r="C9559" s="3">
        <v>11</v>
      </c>
    </row>
    <row r="9560" spans="1:3" x14ac:dyDescent="0.25">
      <c r="A9560" s="1" t="s">
        <v>9559</v>
      </c>
      <c r="C9560" s="3">
        <v>11</v>
      </c>
    </row>
    <row r="9561" spans="1:3" x14ac:dyDescent="0.25">
      <c r="A9561" s="1" t="s">
        <v>9560</v>
      </c>
      <c r="C9561" s="3">
        <v>11</v>
      </c>
    </row>
    <row r="9562" spans="1:3" x14ac:dyDescent="0.25">
      <c r="A9562" s="1" t="s">
        <v>9561</v>
      </c>
      <c r="C9562" s="3">
        <v>11</v>
      </c>
    </row>
    <row r="9563" spans="1:3" x14ac:dyDescent="0.25">
      <c r="A9563" s="1" t="s">
        <v>9562</v>
      </c>
      <c r="C9563" s="3">
        <v>11</v>
      </c>
    </row>
    <row r="9564" spans="1:3" x14ac:dyDescent="0.25">
      <c r="A9564" s="1" t="s">
        <v>9563</v>
      </c>
      <c r="C9564" s="3">
        <v>11</v>
      </c>
    </row>
    <row r="9565" spans="1:3" x14ac:dyDescent="0.25">
      <c r="A9565" s="1" t="s">
        <v>9564</v>
      </c>
      <c r="C9565" s="3">
        <v>11</v>
      </c>
    </row>
    <row r="9566" spans="1:3" x14ac:dyDescent="0.25">
      <c r="A9566" s="1" t="s">
        <v>9565</v>
      </c>
      <c r="C9566" s="3">
        <v>11</v>
      </c>
    </row>
    <row r="9567" spans="1:3" x14ac:dyDescent="0.25">
      <c r="A9567" s="1" t="s">
        <v>9566</v>
      </c>
      <c r="C9567" s="3">
        <v>11</v>
      </c>
    </row>
    <row r="9568" spans="1:3" x14ac:dyDescent="0.25">
      <c r="A9568" s="1" t="s">
        <v>9567</v>
      </c>
      <c r="C9568" s="3">
        <v>11</v>
      </c>
    </row>
    <row r="9569" spans="1:3" x14ac:dyDescent="0.25">
      <c r="A9569" s="1" t="s">
        <v>9568</v>
      </c>
      <c r="C9569" s="3">
        <v>11</v>
      </c>
    </row>
    <row r="9570" spans="1:3" x14ac:dyDescent="0.25">
      <c r="A9570" s="1" t="s">
        <v>9569</v>
      </c>
      <c r="C9570" s="3">
        <v>11</v>
      </c>
    </row>
    <row r="9571" spans="1:3" x14ac:dyDescent="0.25">
      <c r="A9571" s="1" t="s">
        <v>9570</v>
      </c>
      <c r="C9571" s="3">
        <v>11</v>
      </c>
    </row>
    <row r="9572" spans="1:3" x14ac:dyDescent="0.25">
      <c r="A9572" s="1" t="s">
        <v>9571</v>
      </c>
      <c r="C9572" s="3">
        <v>11</v>
      </c>
    </row>
    <row r="9573" spans="1:3" x14ac:dyDescent="0.25">
      <c r="A9573" s="1" t="s">
        <v>9572</v>
      </c>
      <c r="C9573" s="3">
        <v>11</v>
      </c>
    </row>
    <row r="9574" spans="1:3" x14ac:dyDescent="0.25">
      <c r="A9574" s="1" t="s">
        <v>9573</v>
      </c>
      <c r="C9574" s="3">
        <v>11</v>
      </c>
    </row>
    <row r="9575" spans="1:3" x14ac:dyDescent="0.25">
      <c r="A9575" s="1" t="s">
        <v>9574</v>
      </c>
      <c r="C9575" s="3">
        <v>11</v>
      </c>
    </row>
    <row r="9576" spans="1:3" x14ac:dyDescent="0.25">
      <c r="A9576" s="1" t="s">
        <v>9575</v>
      </c>
      <c r="C9576" s="3">
        <v>11</v>
      </c>
    </row>
    <row r="9577" spans="1:3" x14ac:dyDescent="0.25">
      <c r="A9577" s="1" t="s">
        <v>9576</v>
      </c>
      <c r="C9577" s="3">
        <v>11</v>
      </c>
    </row>
    <row r="9578" spans="1:3" x14ac:dyDescent="0.25">
      <c r="A9578" s="1" t="s">
        <v>9577</v>
      </c>
      <c r="C9578" s="3">
        <v>11</v>
      </c>
    </row>
    <row r="9579" spans="1:3" x14ac:dyDescent="0.25">
      <c r="A9579" s="1" t="s">
        <v>9578</v>
      </c>
      <c r="C9579" s="3">
        <v>11</v>
      </c>
    </row>
    <row r="9580" spans="1:3" x14ac:dyDescent="0.25">
      <c r="A9580" s="1" t="s">
        <v>9579</v>
      </c>
      <c r="C9580" s="3">
        <v>11</v>
      </c>
    </row>
    <row r="9581" spans="1:3" x14ac:dyDescent="0.25">
      <c r="A9581" s="1" t="s">
        <v>9580</v>
      </c>
      <c r="C9581" s="3">
        <v>11</v>
      </c>
    </row>
    <row r="9582" spans="1:3" x14ac:dyDescent="0.25">
      <c r="A9582" s="1" t="s">
        <v>9581</v>
      </c>
      <c r="C9582" s="3">
        <v>11</v>
      </c>
    </row>
    <row r="9583" spans="1:3" x14ac:dyDescent="0.25">
      <c r="A9583" s="1" t="s">
        <v>9582</v>
      </c>
      <c r="C9583" s="3">
        <v>11</v>
      </c>
    </row>
    <row r="9584" spans="1:3" x14ac:dyDescent="0.25">
      <c r="A9584" s="1" t="s">
        <v>9583</v>
      </c>
      <c r="C9584" s="3">
        <v>11</v>
      </c>
    </row>
    <row r="9585" spans="1:3" x14ac:dyDescent="0.25">
      <c r="A9585" s="1" t="s">
        <v>9584</v>
      </c>
      <c r="C9585" s="3">
        <v>11</v>
      </c>
    </row>
    <row r="9586" spans="1:3" x14ac:dyDescent="0.25">
      <c r="A9586" s="1" t="s">
        <v>9585</v>
      </c>
      <c r="C9586" s="3">
        <v>11</v>
      </c>
    </row>
    <row r="9587" spans="1:3" x14ac:dyDescent="0.25">
      <c r="A9587" s="1" t="s">
        <v>9586</v>
      </c>
      <c r="C9587" s="3">
        <v>11</v>
      </c>
    </row>
    <row r="9588" spans="1:3" x14ac:dyDescent="0.25">
      <c r="A9588" s="1" t="s">
        <v>9587</v>
      </c>
      <c r="C9588" s="3">
        <v>11</v>
      </c>
    </row>
    <row r="9589" spans="1:3" x14ac:dyDescent="0.25">
      <c r="A9589" s="1" t="s">
        <v>9588</v>
      </c>
      <c r="C9589" s="3">
        <v>11</v>
      </c>
    </row>
    <row r="9590" spans="1:3" x14ac:dyDescent="0.25">
      <c r="A9590" s="1" t="s">
        <v>9589</v>
      </c>
      <c r="C9590" s="3">
        <v>11</v>
      </c>
    </row>
    <row r="9591" spans="1:3" x14ac:dyDescent="0.25">
      <c r="A9591" s="1" t="s">
        <v>9590</v>
      </c>
      <c r="C9591" s="3">
        <v>11</v>
      </c>
    </row>
    <row r="9592" spans="1:3" x14ac:dyDescent="0.25">
      <c r="A9592" s="1" t="s">
        <v>9591</v>
      </c>
      <c r="C9592" s="3">
        <v>11</v>
      </c>
    </row>
    <row r="9593" spans="1:3" x14ac:dyDescent="0.25">
      <c r="A9593" s="1" t="s">
        <v>9592</v>
      </c>
      <c r="C9593" s="3">
        <v>11</v>
      </c>
    </row>
    <row r="9594" spans="1:3" x14ac:dyDescent="0.25">
      <c r="A9594" s="1" t="s">
        <v>9593</v>
      </c>
      <c r="C9594" s="3">
        <v>11</v>
      </c>
    </row>
    <row r="9595" spans="1:3" x14ac:dyDescent="0.25">
      <c r="A9595" s="1" t="s">
        <v>9594</v>
      </c>
      <c r="C9595" s="3">
        <v>11</v>
      </c>
    </row>
    <row r="9596" spans="1:3" x14ac:dyDescent="0.25">
      <c r="A9596" s="1" t="s">
        <v>9595</v>
      </c>
      <c r="C9596" s="3">
        <v>11</v>
      </c>
    </row>
    <row r="9597" spans="1:3" x14ac:dyDescent="0.25">
      <c r="A9597" s="1" t="s">
        <v>9596</v>
      </c>
      <c r="C9597" s="3">
        <v>11</v>
      </c>
    </row>
    <row r="9598" spans="1:3" x14ac:dyDescent="0.25">
      <c r="A9598" s="1" t="s">
        <v>9597</v>
      </c>
      <c r="C9598" s="3">
        <v>11</v>
      </c>
    </row>
    <row r="9599" spans="1:3" x14ac:dyDescent="0.25">
      <c r="A9599" s="1" t="s">
        <v>9598</v>
      </c>
      <c r="C9599" s="3">
        <v>11</v>
      </c>
    </row>
    <row r="9600" spans="1:3" x14ac:dyDescent="0.25">
      <c r="A9600" s="1" t="s">
        <v>9599</v>
      </c>
      <c r="C9600" s="3">
        <v>11</v>
      </c>
    </row>
    <row r="9601" spans="1:3" x14ac:dyDescent="0.25">
      <c r="A9601" s="1" t="s">
        <v>9600</v>
      </c>
      <c r="C9601" s="3">
        <v>11</v>
      </c>
    </row>
    <row r="9602" spans="1:3" x14ac:dyDescent="0.25">
      <c r="A9602" s="1" t="s">
        <v>9601</v>
      </c>
      <c r="C9602" s="3">
        <v>11</v>
      </c>
    </row>
    <row r="9603" spans="1:3" x14ac:dyDescent="0.25">
      <c r="A9603" s="1" t="s">
        <v>9602</v>
      </c>
      <c r="C9603" s="3">
        <v>11</v>
      </c>
    </row>
    <row r="9604" spans="1:3" x14ac:dyDescent="0.25">
      <c r="A9604" s="1" t="s">
        <v>9603</v>
      </c>
      <c r="C9604" s="3">
        <v>11</v>
      </c>
    </row>
    <row r="9605" spans="1:3" x14ac:dyDescent="0.25">
      <c r="A9605" s="1" t="s">
        <v>9604</v>
      </c>
      <c r="C9605" s="3">
        <v>11</v>
      </c>
    </row>
    <row r="9606" spans="1:3" x14ac:dyDescent="0.25">
      <c r="A9606" s="1" t="s">
        <v>9605</v>
      </c>
      <c r="C9606" s="3">
        <v>11</v>
      </c>
    </row>
    <row r="9607" spans="1:3" x14ac:dyDescent="0.25">
      <c r="A9607" s="1" t="s">
        <v>9606</v>
      </c>
      <c r="C9607" s="3">
        <v>11</v>
      </c>
    </row>
    <row r="9608" spans="1:3" x14ac:dyDescent="0.25">
      <c r="A9608" s="1" t="s">
        <v>9607</v>
      </c>
      <c r="C9608" s="3">
        <v>11</v>
      </c>
    </row>
    <row r="9609" spans="1:3" x14ac:dyDescent="0.25">
      <c r="A9609" s="1" t="s">
        <v>9608</v>
      </c>
      <c r="C9609" s="3">
        <v>11</v>
      </c>
    </row>
    <row r="9610" spans="1:3" x14ac:dyDescent="0.25">
      <c r="A9610" s="1" t="s">
        <v>9609</v>
      </c>
      <c r="C9610" s="3">
        <v>11</v>
      </c>
    </row>
    <row r="9611" spans="1:3" x14ac:dyDescent="0.25">
      <c r="A9611" s="1" t="s">
        <v>9610</v>
      </c>
      <c r="C9611" s="3">
        <v>11</v>
      </c>
    </row>
    <row r="9612" spans="1:3" x14ac:dyDescent="0.25">
      <c r="A9612" s="1" t="s">
        <v>9611</v>
      </c>
      <c r="C9612" s="3">
        <v>11</v>
      </c>
    </row>
    <row r="9613" spans="1:3" x14ac:dyDescent="0.25">
      <c r="A9613" s="1" t="s">
        <v>9612</v>
      </c>
      <c r="C9613" s="3">
        <v>11</v>
      </c>
    </row>
    <row r="9614" spans="1:3" x14ac:dyDescent="0.25">
      <c r="A9614" s="1" t="s">
        <v>9613</v>
      </c>
      <c r="C9614" s="3">
        <v>11</v>
      </c>
    </row>
    <row r="9615" spans="1:3" x14ac:dyDescent="0.25">
      <c r="A9615" s="1" t="s">
        <v>9614</v>
      </c>
      <c r="C9615" s="3">
        <v>11</v>
      </c>
    </row>
    <row r="9616" spans="1:3" x14ac:dyDescent="0.25">
      <c r="A9616" s="1" t="s">
        <v>9615</v>
      </c>
      <c r="C9616" s="3">
        <v>11</v>
      </c>
    </row>
    <row r="9617" spans="1:3" x14ac:dyDescent="0.25">
      <c r="A9617" s="1" t="s">
        <v>9616</v>
      </c>
      <c r="C9617" s="3">
        <v>11</v>
      </c>
    </row>
    <row r="9618" spans="1:3" x14ac:dyDescent="0.25">
      <c r="A9618" s="1" t="s">
        <v>9617</v>
      </c>
      <c r="C9618" s="3">
        <v>11</v>
      </c>
    </row>
    <row r="9619" spans="1:3" x14ac:dyDescent="0.25">
      <c r="A9619" s="1" t="s">
        <v>9618</v>
      </c>
      <c r="C9619" s="3">
        <v>11</v>
      </c>
    </row>
    <row r="9620" spans="1:3" x14ac:dyDescent="0.25">
      <c r="A9620" s="1" t="s">
        <v>9619</v>
      </c>
      <c r="C9620" s="3">
        <v>11</v>
      </c>
    </row>
    <row r="9621" spans="1:3" x14ac:dyDescent="0.25">
      <c r="A9621" s="1" t="s">
        <v>9620</v>
      </c>
      <c r="C9621" s="3">
        <v>11</v>
      </c>
    </row>
    <row r="9622" spans="1:3" x14ac:dyDescent="0.25">
      <c r="A9622" s="1" t="s">
        <v>9621</v>
      </c>
      <c r="C9622" s="3">
        <v>11</v>
      </c>
    </row>
    <row r="9623" spans="1:3" x14ac:dyDescent="0.25">
      <c r="A9623" s="1" t="s">
        <v>9622</v>
      </c>
      <c r="C9623" s="3">
        <v>11</v>
      </c>
    </row>
    <row r="9624" spans="1:3" x14ac:dyDescent="0.25">
      <c r="A9624" s="1" t="s">
        <v>9623</v>
      </c>
      <c r="C9624" s="3">
        <v>11</v>
      </c>
    </row>
    <row r="9625" spans="1:3" x14ac:dyDescent="0.25">
      <c r="A9625" s="1" t="s">
        <v>9624</v>
      </c>
      <c r="C9625" s="3">
        <v>11</v>
      </c>
    </row>
    <row r="9626" spans="1:3" x14ac:dyDescent="0.25">
      <c r="A9626" s="1" t="s">
        <v>9625</v>
      </c>
      <c r="C9626" s="3">
        <v>11</v>
      </c>
    </row>
    <row r="9627" spans="1:3" x14ac:dyDescent="0.25">
      <c r="A9627" s="1" t="s">
        <v>9626</v>
      </c>
      <c r="C9627" s="3">
        <v>11</v>
      </c>
    </row>
    <row r="9628" spans="1:3" x14ac:dyDescent="0.25">
      <c r="A9628" s="1" t="s">
        <v>9627</v>
      </c>
      <c r="C9628" s="3">
        <v>11</v>
      </c>
    </row>
    <row r="9629" spans="1:3" x14ac:dyDescent="0.25">
      <c r="A9629" s="1" t="s">
        <v>9628</v>
      </c>
      <c r="C9629" s="3">
        <v>11</v>
      </c>
    </row>
    <row r="9630" spans="1:3" x14ac:dyDescent="0.25">
      <c r="A9630" s="1" t="s">
        <v>9629</v>
      </c>
      <c r="C9630" s="3">
        <v>11</v>
      </c>
    </row>
    <row r="9631" spans="1:3" x14ac:dyDescent="0.25">
      <c r="A9631" s="1" t="s">
        <v>9630</v>
      </c>
      <c r="C9631" s="3">
        <v>11</v>
      </c>
    </row>
    <row r="9632" spans="1:3" x14ac:dyDescent="0.25">
      <c r="A9632" s="1" t="s">
        <v>9631</v>
      </c>
      <c r="C9632" s="3">
        <v>11</v>
      </c>
    </row>
    <row r="9633" spans="1:3" x14ac:dyDescent="0.25">
      <c r="A9633" s="1" t="s">
        <v>9632</v>
      </c>
      <c r="C9633" s="3">
        <v>11</v>
      </c>
    </row>
    <row r="9634" spans="1:3" x14ac:dyDescent="0.25">
      <c r="A9634" s="1" t="s">
        <v>9633</v>
      </c>
      <c r="C9634" s="3">
        <v>11</v>
      </c>
    </row>
    <row r="9635" spans="1:3" x14ac:dyDescent="0.25">
      <c r="A9635" s="1" t="s">
        <v>9634</v>
      </c>
      <c r="C9635" s="3">
        <v>11</v>
      </c>
    </row>
    <row r="9636" spans="1:3" x14ac:dyDescent="0.25">
      <c r="A9636" s="1" t="s">
        <v>9635</v>
      </c>
      <c r="C9636" s="3">
        <v>11</v>
      </c>
    </row>
    <row r="9637" spans="1:3" x14ac:dyDescent="0.25">
      <c r="A9637" s="1" t="s">
        <v>9636</v>
      </c>
      <c r="C9637" s="3">
        <v>11</v>
      </c>
    </row>
    <row r="9638" spans="1:3" x14ac:dyDescent="0.25">
      <c r="A9638" s="1" t="s">
        <v>9637</v>
      </c>
      <c r="C9638" s="3">
        <v>11</v>
      </c>
    </row>
    <row r="9639" spans="1:3" x14ac:dyDescent="0.25">
      <c r="A9639" s="1" t="s">
        <v>9638</v>
      </c>
      <c r="C9639" s="3">
        <v>11</v>
      </c>
    </row>
    <row r="9640" spans="1:3" x14ac:dyDescent="0.25">
      <c r="A9640" s="1" t="s">
        <v>9639</v>
      </c>
      <c r="C9640" s="3">
        <v>11</v>
      </c>
    </row>
    <row r="9641" spans="1:3" x14ac:dyDescent="0.25">
      <c r="A9641" s="1" t="s">
        <v>9640</v>
      </c>
      <c r="C9641" s="3">
        <v>11</v>
      </c>
    </row>
    <row r="9642" spans="1:3" x14ac:dyDescent="0.25">
      <c r="A9642" s="1" t="s">
        <v>9641</v>
      </c>
      <c r="C9642" s="3">
        <v>11</v>
      </c>
    </row>
    <row r="9643" spans="1:3" x14ac:dyDescent="0.25">
      <c r="A9643" s="1" t="s">
        <v>9642</v>
      </c>
      <c r="C9643" s="3">
        <v>11</v>
      </c>
    </row>
    <row r="9644" spans="1:3" x14ac:dyDescent="0.25">
      <c r="A9644" s="1" t="s">
        <v>9643</v>
      </c>
      <c r="C9644" s="3">
        <v>11</v>
      </c>
    </row>
    <row r="9645" spans="1:3" x14ac:dyDescent="0.25">
      <c r="A9645" s="1" t="s">
        <v>9644</v>
      </c>
      <c r="C9645" s="3">
        <v>11</v>
      </c>
    </row>
    <row r="9646" spans="1:3" x14ac:dyDescent="0.25">
      <c r="A9646" s="1" t="s">
        <v>9645</v>
      </c>
      <c r="C9646" s="3">
        <v>11</v>
      </c>
    </row>
    <row r="9647" spans="1:3" x14ac:dyDescent="0.25">
      <c r="A9647" s="1" t="s">
        <v>9646</v>
      </c>
      <c r="C9647" s="3">
        <v>11</v>
      </c>
    </row>
    <row r="9648" spans="1:3" x14ac:dyDescent="0.25">
      <c r="A9648" s="1" t="s">
        <v>9647</v>
      </c>
      <c r="C9648" s="3">
        <v>11</v>
      </c>
    </row>
    <row r="9649" spans="1:3" x14ac:dyDescent="0.25">
      <c r="A9649" s="1" t="s">
        <v>9648</v>
      </c>
      <c r="C9649" s="3">
        <v>11</v>
      </c>
    </row>
    <row r="9650" spans="1:3" x14ac:dyDescent="0.25">
      <c r="A9650" s="1" t="s">
        <v>9649</v>
      </c>
      <c r="C9650" s="3">
        <v>11</v>
      </c>
    </row>
    <row r="9651" spans="1:3" x14ac:dyDescent="0.25">
      <c r="A9651" s="1" t="s">
        <v>9650</v>
      </c>
      <c r="C9651" s="3">
        <v>11</v>
      </c>
    </row>
    <row r="9652" spans="1:3" x14ac:dyDescent="0.25">
      <c r="A9652" s="1" t="s">
        <v>9651</v>
      </c>
      <c r="C9652" s="3">
        <v>11</v>
      </c>
    </row>
    <row r="9653" spans="1:3" x14ac:dyDescent="0.25">
      <c r="A9653" s="1" t="s">
        <v>9652</v>
      </c>
      <c r="C9653" s="3">
        <v>11</v>
      </c>
    </row>
    <row r="9654" spans="1:3" x14ac:dyDescent="0.25">
      <c r="A9654" s="1" t="s">
        <v>9653</v>
      </c>
      <c r="C9654" s="3">
        <v>11</v>
      </c>
    </row>
    <row r="9655" spans="1:3" x14ac:dyDescent="0.25">
      <c r="A9655" s="1" t="s">
        <v>9654</v>
      </c>
      <c r="C9655" s="3">
        <v>11</v>
      </c>
    </row>
    <row r="9656" spans="1:3" x14ac:dyDescent="0.25">
      <c r="A9656" s="1" t="s">
        <v>9655</v>
      </c>
      <c r="C9656" s="3">
        <v>11</v>
      </c>
    </row>
    <row r="9657" spans="1:3" x14ac:dyDescent="0.25">
      <c r="A9657" s="1" t="s">
        <v>9656</v>
      </c>
      <c r="C9657" s="3">
        <v>11</v>
      </c>
    </row>
    <row r="9658" spans="1:3" x14ac:dyDescent="0.25">
      <c r="A9658" s="1" t="s">
        <v>9657</v>
      </c>
      <c r="C9658" s="3">
        <v>11</v>
      </c>
    </row>
    <row r="9659" spans="1:3" x14ac:dyDescent="0.25">
      <c r="A9659" s="1" t="s">
        <v>9658</v>
      </c>
      <c r="C9659" s="3">
        <v>11</v>
      </c>
    </row>
    <row r="9660" spans="1:3" x14ac:dyDescent="0.25">
      <c r="A9660" s="1" t="s">
        <v>9659</v>
      </c>
      <c r="C9660" s="3">
        <v>11</v>
      </c>
    </row>
    <row r="9661" spans="1:3" x14ac:dyDescent="0.25">
      <c r="A9661" s="1" t="s">
        <v>9660</v>
      </c>
      <c r="C9661" s="3">
        <v>11</v>
      </c>
    </row>
    <row r="9662" spans="1:3" x14ac:dyDescent="0.25">
      <c r="A9662" s="1" t="s">
        <v>9661</v>
      </c>
      <c r="C9662" s="3">
        <v>11</v>
      </c>
    </row>
    <row r="9663" spans="1:3" x14ac:dyDescent="0.25">
      <c r="A9663" s="1" t="s">
        <v>9662</v>
      </c>
      <c r="C9663" s="3">
        <v>11</v>
      </c>
    </row>
    <row r="9664" spans="1:3" x14ac:dyDescent="0.25">
      <c r="A9664" s="1" t="s">
        <v>9663</v>
      </c>
      <c r="C9664" s="3">
        <v>11</v>
      </c>
    </row>
    <row r="9665" spans="1:3" x14ac:dyDescent="0.25">
      <c r="A9665" s="1" t="s">
        <v>9664</v>
      </c>
      <c r="C9665" s="3">
        <v>11</v>
      </c>
    </row>
    <row r="9666" spans="1:3" x14ac:dyDescent="0.25">
      <c r="A9666" s="1" t="s">
        <v>9665</v>
      </c>
      <c r="C9666" s="3">
        <v>11</v>
      </c>
    </row>
    <row r="9667" spans="1:3" x14ac:dyDescent="0.25">
      <c r="A9667" s="1" t="s">
        <v>9666</v>
      </c>
      <c r="C9667" s="3">
        <v>11</v>
      </c>
    </row>
    <row r="9668" spans="1:3" x14ac:dyDescent="0.25">
      <c r="A9668" s="1" t="s">
        <v>9667</v>
      </c>
      <c r="C9668" s="3">
        <v>11</v>
      </c>
    </row>
    <row r="9669" spans="1:3" x14ac:dyDescent="0.25">
      <c r="A9669" s="1" t="s">
        <v>9668</v>
      </c>
      <c r="C9669" s="3">
        <v>11</v>
      </c>
    </row>
    <row r="9670" spans="1:3" x14ac:dyDescent="0.25">
      <c r="A9670" s="1" t="s">
        <v>9669</v>
      </c>
      <c r="C9670" s="3">
        <v>11</v>
      </c>
    </row>
    <row r="9671" spans="1:3" x14ac:dyDescent="0.25">
      <c r="A9671" s="1" t="s">
        <v>9670</v>
      </c>
      <c r="C9671" s="3">
        <v>11</v>
      </c>
    </row>
    <row r="9672" spans="1:3" x14ac:dyDescent="0.25">
      <c r="A9672" s="1" t="s">
        <v>9671</v>
      </c>
      <c r="C9672" s="3">
        <v>11</v>
      </c>
    </row>
    <row r="9673" spans="1:3" x14ac:dyDescent="0.25">
      <c r="A9673" s="1" t="s">
        <v>9672</v>
      </c>
      <c r="C9673" s="3">
        <v>11</v>
      </c>
    </row>
    <row r="9674" spans="1:3" x14ac:dyDescent="0.25">
      <c r="A9674" s="1" t="s">
        <v>9673</v>
      </c>
      <c r="C9674" s="3">
        <v>11</v>
      </c>
    </row>
    <row r="9675" spans="1:3" x14ac:dyDescent="0.25">
      <c r="A9675" s="1" t="s">
        <v>9674</v>
      </c>
      <c r="C9675" s="3">
        <v>11</v>
      </c>
    </row>
    <row r="9676" spans="1:3" x14ac:dyDescent="0.25">
      <c r="A9676" s="1" t="s">
        <v>9675</v>
      </c>
      <c r="C9676" s="3">
        <v>11</v>
      </c>
    </row>
    <row r="9677" spans="1:3" x14ac:dyDescent="0.25">
      <c r="A9677" s="1" t="s">
        <v>9676</v>
      </c>
      <c r="C9677" s="3">
        <v>11</v>
      </c>
    </row>
    <row r="9678" spans="1:3" x14ac:dyDescent="0.25">
      <c r="A9678" s="1" t="s">
        <v>9677</v>
      </c>
      <c r="C9678" s="3">
        <v>11</v>
      </c>
    </row>
    <row r="9679" spans="1:3" x14ac:dyDescent="0.25">
      <c r="A9679" s="1" t="s">
        <v>9678</v>
      </c>
      <c r="C9679" s="3">
        <v>11</v>
      </c>
    </row>
    <row r="9680" spans="1:3" x14ac:dyDescent="0.25">
      <c r="A9680" s="1" t="s">
        <v>9679</v>
      </c>
      <c r="C9680" s="3">
        <v>11</v>
      </c>
    </row>
    <row r="9681" spans="1:3" x14ac:dyDescent="0.25">
      <c r="A9681" s="1" t="s">
        <v>9680</v>
      </c>
      <c r="C9681" s="3">
        <v>11</v>
      </c>
    </row>
    <row r="9682" spans="1:3" x14ac:dyDescent="0.25">
      <c r="A9682" s="1" t="s">
        <v>9681</v>
      </c>
      <c r="C9682" s="3">
        <v>11</v>
      </c>
    </row>
    <row r="9683" spans="1:3" x14ac:dyDescent="0.25">
      <c r="A9683" s="1" t="s">
        <v>9682</v>
      </c>
      <c r="C9683" s="3">
        <v>11</v>
      </c>
    </row>
    <row r="9684" spans="1:3" x14ac:dyDescent="0.25">
      <c r="A9684" s="1" t="s">
        <v>9683</v>
      </c>
      <c r="C9684" s="3">
        <v>11</v>
      </c>
    </row>
    <row r="9685" spans="1:3" x14ac:dyDescent="0.25">
      <c r="A9685" s="1" t="s">
        <v>9684</v>
      </c>
      <c r="C9685" s="3">
        <v>11</v>
      </c>
    </row>
    <row r="9686" spans="1:3" x14ac:dyDescent="0.25">
      <c r="A9686" s="1" t="s">
        <v>9685</v>
      </c>
      <c r="C9686" s="3">
        <v>11</v>
      </c>
    </row>
    <row r="9687" spans="1:3" x14ac:dyDescent="0.25">
      <c r="A9687" s="1" t="s">
        <v>9686</v>
      </c>
      <c r="C9687" s="3">
        <v>11</v>
      </c>
    </row>
    <row r="9688" spans="1:3" x14ac:dyDescent="0.25">
      <c r="A9688" s="1" t="s">
        <v>9687</v>
      </c>
      <c r="C9688" s="3">
        <v>11</v>
      </c>
    </row>
    <row r="9689" spans="1:3" x14ac:dyDescent="0.25">
      <c r="A9689" s="1" t="s">
        <v>9688</v>
      </c>
      <c r="C9689" s="3">
        <v>11</v>
      </c>
    </row>
    <row r="9690" spans="1:3" x14ac:dyDescent="0.25">
      <c r="A9690" s="1" t="s">
        <v>9689</v>
      </c>
      <c r="C9690" s="3">
        <v>11</v>
      </c>
    </row>
    <row r="9691" spans="1:3" x14ac:dyDescent="0.25">
      <c r="A9691" s="1" t="s">
        <v>9690</v>
      </c>
      <c r="C9691" s="3">
        <v>11</v>
      </c>
    </row>
    <row r="9692" spans="1:3" x14ac:dyDescent="0.25">
      <c r="A9692" s="1" t="s">
        <v>9691</v>
      </c>
      <c r="C9692" s="3">
        <v>11</v>
      </c>
    </row>
    <row r="9693" spans="1:3" x14ac:dyDescent="0.25">
      <c r="A9693" s="1" t="s">
        <v>9692</v>
      </c>
      <c r="C9693" s="3">
        <v>11</v>
      </c>
    </row>
    <row r="9694" spans="1:3" x14ac:dyDescent="0.25">
      <c r="A9694" s="1" t="s">
        <v>9693</v>
      </c>
      <c r="C9694" s="3">
        <v>11</v>
      </c>
    </row>
    <row r="9695" spans="1:3" x14ac:dyDescent="0.25">
      <c r="A9695" s="1" t="s">
        <v>9694</v>
      </c>
      <c r="C9695" s="3">
        <v>11</v>
      </c>
    </row>
    <row r="9696" spans="1:3" x14ac:dyDescent="0.25">
      <c r="A9696" s="1" t="s">
        <v>9695</v>
      </c>
      <c r="C9696" s="3">
        <v>11</v>
      </c>
    </row>
    <row r="9697" spans="1:3" x14ac:dyDescent="0.25">
      <c r="A9697" s="1" t="s">
        <v>9696</v>
      </c>
      <c r="C9697" s="3">
        <v>11</v>
      </c>
    </row>
    <row r="9698" spans="1:3" x14ac:dyDescent="0.25">
      <c r="A9698" s="1" t="s">
        <v>9697</v>
      </c>
      <c r="C9698" s="3">
        <v>11</v>
      </c>
    </row>
    <row r="9699" spans="1:3" x14ac:dyDescent="0.25">
      <c r="A9699" s="1" t="s">
        <v>9698</v>
      </c>
      <c r="C9699" s="3">
        <v>11</v>
      </c>
    </row>
    <row r="9700" spans="1:3" x14ac:dyDescent="0.25">
      <c r="A9700" s="1" t="s">
        <v>9699</v>
      </c>
      <c r="C9700" s="3">
        <v>11</v>
      </c>
    </row>
    <row r="9701" spans="1:3" x14ac:dyDescent="0.25">
      <c r="A9701" s="1" t="s">
        <v>9700</v>
      </c>
      <c r="C9701" s="3">
        <v>11</v>
      </c>
    </row>
    <row r="9702" spans="1:3" x14ac:dyDescent="0.25">
      <c r="A9702" s="1" t="s">
        <v>9701</v>
      </c>
      <c r="C9702" s="3">
        <v>11</v>
      </c>
    </row>
    <row r="9703" spans="1:3" x14ac:dyDescent="0.25">
      <c r="A9703" s="1" t="s">
        <v>9702</v>
      </c>
      <c r="C9703" s="3">
        <v>11</v>
      </c>
    </row>
    <row r="9704" spans="1:3" x14ac:dyDescent="0.25">
      <c r="A9704" s="1" t="s">
        <v>9703</v>
      </c>
      <c r="C9704" s="3">
        <v>11</v>
      </c>
    </row>
    <row r="9705" spans="1:3" x14ac:dyDescent="0.25">
      <c r="A9705" s="1" t="s">
        <v>9704</v>
      </c>
      <c r="C9705" s="3">
        <v>11</v>
      </c>
    </row>
    <row r="9706" spans="1:3" x14ac:dyDescent="0.25">
      <c r="A9706" s="1" t="s">
        <v>9705</v>
      </c>
      <c r="C9706" s="3">
        <v>11</v>
      </c>
    </row>
    <row r="9707" spans="1:3" x14ac:dyDescent="0.25">
      <c r="A9707" s="1" t="s">
        <v>9706</v>
      </c>
      <c r="C9707" s="3">
        <v>11</v>
      </c>
    </row>
    <row r="9708" spans="1:3" x14ac:dyDescent="0.25">
      <c r="A9708" s="1" t="s">
        <v>9707</v>
      </c>
      <c r="C9708" s="3">
        <v>11</v>
      </c>
    </row>
    <row r="9709" spans="1:3" x14ac:dyDescent="0.25">
      <c r="A9709" s="1" t="s">
        <v>9708</v>
      </c>
      <c r="C9709" s="3">
        <v>11</v>
      </c>
    </row>
    <row r="9710" spans="1:3" x14ac:dyDescent="0.25">
      <c r="A9710" s="1" t="s">
        <v>9709</v>
      </c>
      <c r="C9710" s="3">
        <v>11</v>
      </c>
    </row>
    <row r="9711" spans="1:3" x14ac:dyDescent="0.25">
      <c r="A9711" s="1" t="s">
        <v>9710</v>
      </c>
      <c r="C9711" s="3">
        <v>11</v>
      </c>
    </row>
    <row r="9712" spans="1:3" x14ac:dyDescent="0.25">
      <c r="A9712" s="1" t="s">
        <v>9711</v>
      </c>
      <c r="C9712" s="3">
        <v>11</v>
      </c>
    </row>
    <row r="9713" spans="1:3" x14ac:dyDescent="0.25">
      <c r="A9713" s="1" t="s">
        <v>9712</v>
      </c>
      <c r="C9713" s="3">
        <v>11</v>
      </c>
    </row>
    <row r="9714" spans="1:3" x14ac:dyDescent="0.25">
      <c r="A9714" s="1" t="s">
        <v>9713</v>
      </c>
      <c r="C9714" s="3">
        <v>11</v>
      </c>
    </row>
    <row r="9715" spans="1:3" x14ac:dyDescent="0.25">
      <c r="A9715" s="1" t="s">
        <v>9714</v>
      </c>
      <c r="C9715" s="3">
        <v>11</v>
      </c>
    </row>
    <row r="9716" spans="1:3" x14ac:dyDescent="0.25">
      <c r="A9716" s="1" t="s">
        <v>9715</v>
      </c>
      <c r="C9716" s="3">
        <v>11</v>
      </c>
    </row>
    <row r="9717" spans="1:3" x14ac:dyDescent="0.25">
      <c r="A9717" s="1" t="s">
        <v>9716</v>
      </c>
      <c r="C9717" s="3">
        <v>11</v>
      </c>
    </row>
    <row r="9718" spans="1:3" x14ac:dyDescent="0.25">
      <c r="A9718" s="1" t="s">
        <v>9717</v>
      </c>
      <c r="C9718" s="3">
        <v>11</v>
      </c>
    </row>
    <row r="9719" spans="1:3" x14ac:dyDescent="0.25">
      <c r="A9719" s="1" t="s">
        <v>9718</v>
      </c>
      <c r="C9719" s="3">
        <v>11</v>
      </c>
    </row>
    <row r="9720" spans="1:3" x14ac:dyDescent="0.25">
      <c r="A9720" s="1" t="s">
        <v>9719</v>
      </c>
      <c r="C9720" s="3">
        <v>11</v>
      </c>
    </row>
    <row r="9721" spans="1:3" x14ac:dyDescent="0.25">
      <c r="A9721" s="1" t="s">
        <v>9720</v>
      </c>
      <c r="C9721" s="3">
        <v>11</v>
      </c>
    </row>
    <row r="9722" spans="1:3" x14ac:dyDescent="0.25">
      <c r="A9722" s="1" t="s">
        <v>9721</v>
      </c>
      <c r="C9722" s="3">
        <v>11</v>
      </c>
    </row>
    <row r="9723" spans="1:3" x14ac:dyDescent="0.25">
      <c r="A9723" s="1" t="s">
        <v>9722</v>
      </c>
      <c r="C9723" s="3">
        <v>11</v>
      </c>
    </row>
    <row r="9724" spans="1:3" x14ac:dyDescent="0.25">
      <c r="A9724" s="1" t="s">
        <v>9723</v>
      </c>
      <c r="C9724" s="3">
        <v>11</v>
      </c>
    </row>
    <row r="9725" spans="1:3" x14ac:dyDescent="0.25">
      <c r="A9725" s="1" t="s">
        <v>9724</v>
      </c>
      <c r="C9725" s="3">
        <v>11</v>
      </c>
    </row>
    <row r="9726" spans="1:3" x14ac:dyDescent="0.25">
      <c r="A9726" s="1" t="s">
        <v>9725</v>
      </c>
      <c r="C9726" s="3">
        <v>11</v>
      </c>
    </row>
    <row r="9727" spans="1:3" x14ac:dyDescent="0.25">
      <c r="A9727" s="1" t="s">
        <v>9726</v>
      </c>
      <c r="C9727" s="3">
        <v>11</v>
      </c>
    </row>
    <row r="9728" spans="1:3" x14ac:dyDescent="0.25">
      <c r="A9728" s="1" t="s">
        <v>9727</v>
      </c>
      <c r="C9728" s="3">
        <v>11</v>
      </c>
    </row>
    <row r="9729" spans="1:3" x14ac:dyDescent="0.25">
      <c r="A9729" s="1" t="s">
        <v>9728</v>
      </c>
      <c r="C9729" s="3">
        <v>11</v>
      </c>
    </row>
    <row r="9730" spans="1:3" x14ac:dyDescent="0.25">
      <c r="A9730" s="1" t="s">
        <v>9729</v>
      </c>
      <c r="C9730" s="3">
        <v>11</v>
      </c>
    </row>
    <row r="9731" spans="1:3" x14ac:dyDescent="0.25">
      <c r="A9731" s="1" t="s">
        <v>9730</v>
      </c>
      <c r="C9731" s="3">
        <v>11</v>
      </c>
    </row>
    <row r="9732" spans="1:3" x14ac:dyDescent="0.25">
      <c r="A9732" s="1" t="s">
        <v>9731</v>
      </c>
      <c r="C9732" s="3">
        <v>11</v>
      </c>
    </row>
    <row r="9733" spans="1:3" x14ac:dyDescent="0.25">
      <c r="A9733" s="1" t="s">
        <v>9732</v>
      </c>
      <c r="C9733" s="3">
        <v>11</v>
      </c>
    </row>
    <row r="9734" spans="1:3" x14ac:dyDescent="0.25">
      <c r="A9734" s="1" t="s">
        <v>9733</v>
      </c>
      <c r="C9734" s="3">
        <v>11</v>
      </c>
    </row>
    <row r="9735" spans="1:3" x14ac:dyDescent="0.25">
      <c r="A9735" s="1" t="s">
        <v>9734</v>
      </c>
      <c r="C9735" s="3">
        <v>11</v>
      </c>
    </row>
    <row r="9736" spans="1:3" x14ac:dyDescent="0.25">
      <c r="A9736" s="1" t="s">
        <v>9735</v>
      </c>
      <c r="C9736" s="3">
        <v>11</v>
      </c>
    </row>
    <row r="9737" spans="1:3" x14ac:dyDescent="0.25">
      <c r="A9737" s="1" t="s">
        <v>9736</v>
      </c>
      <c r="C9737" s="3">
        <v>11</v>
      </c>
    </row>
    <row r="9738" spans="1:3" x14ac:dyDescent="0.25">
      <c r="A9738" s="1" t="s">
        <v>9737</v>
      </c>
      <c r="C9738" s="3">
        <v>11</v>
      </c>
    </row>
    <row r="9739" spans="1:3" x14ac:dyDescent="0.25">
      <c r="A9739" s="1" t="s">
        <v>9738</v>
      </c>
      <c r="C9739" s="3">
        <v>11</v>
      </c>
    </row>
    <row r="9740" spans="1:3" x14ac:dyDescent="0.25">
      <c r="A9740" s="1" t="s">
        <v>9739</v>
      </c>
      <c r="C9740" s="3">
        <v>11</v>
      </c>
    </row>
    <row r="9741" spans="1:3" x14ac:dyDescent="0.25">
      <c r="A9741" s="1" t="s">
        <v>9740</v>
      </c>
      <c r="C9741" s="3">
        <v>11</v>
      </c>
    </row>
    <row r="9742" spans="1:3" x14ac:dyDescent="0.25">
      <c r="A9742" s="1" t="s">
        <v>9741</v>
      </c>
      <c r="C9742" s="3">
        <v>11</v>
      </c>
    </row>
    <row r="9743" spans="1:3" x14ac:dyDescent="0.25">
      <c r="A9743" s="1" t="s">
        <v>9742</v>
      </c>
      <c r="C9743" s="3">
        <v>11</v>
      </c>
    </row>
    <row r="9744" spans="1:3" x14ac:dyDescent="0.25">
      <c r="A9744" s="1" t="s">
        <v>9743</v>
      </c>
      <c r="C9744" s="3">
        <v>11</v>
      </c>
    </row>
    <row r="9745" spans="1:3" x14ac:dyDescent="0.25">
      <c r="A9745" s="1" t="s">
        <v>9744</v>
      </c>
      <c r="C9745" s="3">
        <v>11</v>
      </c>
    </row>
    <row r="9746" spans="1:3" x14ac:dyDescent="0.25">
      <c r="A9746" s="1" t="s">
        <v>9745</v>
      </c>
      <c r="C9746" s="3">
        <v>11</v>
      </c>
    </row>
    <row r="9747" spans="1:3" x14ac:dyDescent="0.25">
      <c r="A9747" s="1" t="s">
        <v>9746</v>
      </c>
      <c r="C9747" s="3">
        <v>11</v>
      </c>
    </row>
    <row r="9748" spans="1:3" x14ac:dyDescent="0.25">
      <c r="A9748" s="1" t="s">
        <v>9747</v>
      </c>
      <c r="C9748" s="3">
        <v>11</v>
      </c>
    </row>
    <row r="9749" spans="1:3" x14ac:dyDescent="0.25">
      <c r="A9749" s="1" t="s">
        <v>9748</v>
      </c>
      <c r="C9749" s="3">
        <v>11</v>
      </c>
    </row>
    <row r="9750" spans="1:3" x14ac:dyDescent="0.25">
      <c r="A9750" s="1" t="s">
        <v>9749</v>
      </c>
      <c r="C9750" s="3">
        <v>11</v>
      </c>
    </row>
    <row r="9751" spans="1:3" x14ac:dyDescent="0.25">
      <c r="A9751" s="1" t="s">
        <v>9750</v>
      </c>
      <c r="C9751" s="3">
        <v>11</v>
      </c>
    </row>
    <row r="9752" spans="1:3" x14ac:dyDescent="0.25">
      <c r="A9752" s="1" t="s">
        <v>9751</v>
      </c>
      <c r="C9752" s="3">
        <v>11</v>
      </c>
    </row>
    <row r="9753" spans="1:3" x14ac:dyDescent="0.25">
      <c r="A9753" s="1" t="s">
        <v>9752</v>
      </c>
      <c r="C9753" s="3">
        <v>11</v>
      </c>
    </row>
    <row r="9754" spans="1:3" x14ac:dyDescent="0.25">
      <c r="A9754" s="1" t="s">
        <v>9753</v>
      </c>
      <c r="C9754" s="3">
        <v>11</v>
      </c>
    </row>
    <row r="9755" spans="1:3" x14ac:dyDescent="0.25">
      <c r="A9755" s="1" t="s">
        <v>9754</v>
      </c>
      <c r="C9755" s="3">
        <v>11</v>
      </c>
    </row>
    <row r="9756" spans="1:3" x14ac:dyDescent="0.25">
      <c r="A9756" s="1" t="s">
        <v>9755</v>
      </c>
      <c r="C9756" s="3">
        <v>11</v>
      </c>
    </row>
    <row r="9757" spans="1:3" x14ac:dyDescent="0.25">
      <c r="A9757" s="1" t="s">
        <v>9756</v>
      </c>
      <c r="C9757" s="3">
        <v>11</v>
      </c>
    </row>
    <row r="9758" spans="1:3" x14ac:dyDescent="0.25">
      <c r="A9758" s="1" t="s">
        <v>9757</v>
      </c>
      <c r="C9758" s="3">
        <v>11</v>
      </c>
    </row>
    <row r="9759" spans="1:3" x14ac:dyDescent="0.25">
      <c r="A9759" s="1" t="s">
        <v>9758</v>
      </c>
      <c r="C9759" s="3">
        <v>11</v>
      </c>
    </row>
    <row r="9760" spans="1:3" x14ac:dyDescent="0.25">
      <c r="A9760" s="1" t="s">
        <v>9759</v>
      </c>
      <c r="C9760" s="3">
        <v>11</v>
      </c>
    </row>
    <row r="9761" spans="1:3" x14ac:dyDescent="0.25">
      <c r="A9761" s="1" t="s">
        <v>9760</v>
      </c>
      <c r="C9761" s="3">
        <v>11</v>
      </c>
    </row>
    <row r="9762" spans="1:3" x14ac:dyDescent="0.25">
      <c r="A9762" s="1" t="s">
        <v>9761</v>
      </c>
      <c r="C9762" s="3">
        <v>11</v>
      </c>
    </row>
    <row r="9763" spans="1:3" x14ac:dyDescent="0.25">
      <c r="A9763" s="1" t="s">
        <v>9762</v>
      </c>
      <c r="C9763" s="3">
        <v>11</v>
      </c>
    </row>
    <row r="9764" spans="1:3" x14ac:dyDescent="0.25">
      <c r="A9764" s="1" t="s">
        <v>9763</v>
      </c>
      <c r="C9764" s="3">
        <v>11</v>
      </c>
    </row>
    <row r="9765" spans="1:3" x14ac:dyDescent="0.25">
      <c r="A9765" s="1" t="s">
        <v>9764</v>
      </c>
      <c r="C9765" s="3">
        <v>11</v>
      </c>
    </row>
    <row r="9766" spans="1:3" x14ac:dyDescent="0.25">
      <c r="A9766" s="1" t="s">
        <v>9765</v>
      </c>
      <c r="C9766" s="3">
        <v>11</v>
      </c>
    </row>
    <row r="9767" spans="1:3" x14ac:dyDescent="0.25">
      <c r="A9767" s="1" t="s">
        <v>9766</v>
      </c>
      <c r="C9767" s="3">
        <v>11</v>
      </c>
    </row>
    <row r="9768" spans="1:3" x14ac:dyDescent="0.25">
      <c r="A9768" s="1" t="s">
        <v>9767</v>
      </c>
      <c r="C9768" s="3">
        <v>11</v>
      </c>
    </row>
    <row r="9769" spans="1:3" x14ac:dyDescent="0.25">
      <c r="A9769" s="1" t="s">
        <v>9768</v>
      </c>
      <c r="C9769" s="3">
        <v>11</v>
      </c>
    </row>
    <row r="9770" spans="1:3" x14ac:dyDescent="0.25">
      <c r="A9770" s="1" t="s">
        <v>9769</v>
      </c>
      <c r="C9770" s="3">
        <v>11</v>
      </c>
    </row>
    <row r="9771" spans="1:3" x14ac:dyDescent="0.25">
      <c r="A9771" s="1" t="s">
        <v>9770</v>
      </c>
      <c r="C9771" s="3">
        <v>11</v>
      </c>
    </row>
    <row r="9772" spans="1:3" x14ac:dyDescent="0.25">
      <c r="A9772" s="1" t="s">
        <v>9771</v>
      </c>
      <c r="C9772" s="3">
        <v>11</v>
      </c>
    </row>
    <row r="9773" spans="1:3" x14ac:dyDescent="0.25">
      <c r="A9773" s="1" t="s">
        <v>9772</v>
      </c>
      <c r="C9773" s="3">
        <v>11</v>
      </c>
    </row>
    <row r="9774" spans="1:3" x14ac:dyDescent="0.25">
      <c r="A9774" s="1" t="s">
        <v>9773</v>
      </c>
      <c r="C9774" s="3">
        <v>11</v>
      </c>
    </row>
    <row r="9775" spans="1:3" x14ac:dyDescent="0.25">
      <c r="A9775" s="1" t="s">
        <v>9774</v>
      </c>
      <c r="C9775" s="3">
        <v>11</v>
      </c>
    </row>
    <row r="9776" spans="1:3" x14ac:dyDescent="0.25">
      <c r="A9776" s="1" t="s">
        <v>9775</v>
      </c>
      <c r="C9776" s="3">
        <v>11</v>
      </c>
    </row>
    <row r="9777" spans="1:3" x14ac:dyDescent="0.25">
      <c r="A9777" s="1" t="s">
        <v>9776</v>
      </c>
      <c r="C9777" s="3">
        <v>11</v>
      </c>
    </row>
    <row r="9778" spans="1:3" x14ac:dyDescent="0.25">
      <c r="A9778" s="1" t="s">
        <v>9777</v>
      </c>
      <c r="C9778" s="3">
        <v>11</v>
      </c>
    </row>
    <row r="9779" spans="1:3" x14ac:dyDescent="0.25">
      <c r="A9779" s="1" t="s">
        <v>9778</v>
      </c>
      <c r="C9779" s="3">
        <v>11</v>
      </c>
    </row>
    <row r="9780" spans="1:3" x14ac:dyDescent="0.25">
      <c r="A9780" s="1" t="s">
        <v>9779</v>
      </c>
      <c r="C9780" s="3">
        <v>11</v>
      </c>
    </row>
    <row r="9781" spans="1:3" x14ac:dyDescent="0.25">
      <c r="A9781" s="1" t="s">
        <v>9780</v>
      </c>
      <c r="C9781" s="3">
        <v>11</v>
      </c>
    </row>
    <row r="9782" spans="1:3" x14ac:dyDescent="0.25">
      <c r="A9782" s="1" t="s">
        <v>9781</v>
      </c>
      <c r="C9782" s="3">
        <v>11</v>
      </c>
    </row>
    <row r="9783" spans="1:3" x14ac:dyDescent="0.25">
      <c r="A9783" s="1" t="s">
        <v>9782</v>
      </c>
      <c r="C9783" s="3">
        <v>11</v>
      </c>
    </row>
    <row r="9784" spans="1:3" x14ac:dyDescent="0.25">
      <c r="A9784" s="1" t="s">
        <v>9783</v>
      </c>
      <c r="C9784" s="3">
        <v>11</v>
      </c>
    </row>
    <row r="9785" spans="1:3" x14ac:dyDescent="0.25">
      <c r="A9785" s="1" t="s">
        <v>9784</v>
      </c>
      <c r="C9785" s="3">
        <v>11</v>
      </c>
    </row>
    <row r="9786" spans="1:3" x14ac:dyDescent="0.25">
      <c r="A9786" s="1" t="s">
        <v>9785</v>
      </c>
      <c r="C9786" s="3">
        <v>11</v>
      </c>
    </row>
    <row r="9787" spans="1:3" x14ac:dyDescent="0.25">
      <c r="A9787" s="1" t="s">
        <v>9786</v>
      </c>
      <c r="C9787" s="3">
        <v>11</v>
      </c>
    </row>
    <row r="9788" spans="1:3" x14ac:dyDescent="0.25">
      <c r="A9788" s="1" t="s">
        <v>9787</v>
      </c>
      <c r="C9788" s="3">
        <v>11</v>
      </c>
    </row>
    <row r="9789" spans="1:3" x14ac:dyDescent="0.25">
      <c r="A9789" s="1" t="s">
        <v>9788</v>
      </c>
      <c r="C9789" s="3">
        <v>11</v>
      </c>
    </row>
    <row r="9790" spans="1:3" x14ac:dyDescent="0.25">
      <c r="A9790" s="1" t="s">
        <v>9789</v>
      </c>
      <c r="C9790" s="3">
        <v>11</v>
      </c>
    </row>
    <row r="9791" spans="1:3" x14ac:dyDescent="0.25">
      <c r="A9791" s="1" t="s">
        <v>9790</v>
      </c>
      <c r="C9791" s="3">
        <v>11</v>
      </c>
    </row>
    <row r="9792" spans="1:3" x14ac:dyDescent="0.25">
      <c r="A9792" s="1" t="s">
        <v>9791</v>
      </c>
      <c r="C9792" s="3">
        <v>11</v>
      </c>
    </row>
    <row r="9793" spans="1:3" x14ac:dyDescent="0.25">
      <c r="A9793" s="1" t="s">
        <v>9792</v>
      </c>
      <c r="C9793" s="3">
        <v>11</v>
      </c>
    </row>
    <row r="9794" spans="1:3" x14ac:dyDescent="0.25">
      <c r="A9794" s="1" t="s">
        <v>9793</v>
      </c>
      <c r="C9794" s="3">
        <v>11</v>
      </c>
    </row>
    <row r="9795" spans="1:3" x14ac:dyDescent="0.25">
      <c r="A9795" s="1" t="s">
        <v>9794</v>
      </c>
      <c r="C9795" s="3">
        <v>11</v>
      </c>
    </row>
    <row r="9796" spans="1:3" x14ac:dyDescent="0.25">
      <c r="A9796" s="1" t="s">
        <v>9795</v>
      </c>
      <c r="C9796" s="3">
        <v>11</v>
      </c>
    </row>
    <row r="9797" spans="1:3" x14ac:dyDescent="0.25">
      <c r="A9797" s="1" t="s">
        <v>9796</v>
      </c>
      <c r="C9797" s="3">
        <v>11</v>
      </c>
    </row>
    <row r="9798" spans="1:3" x14ac:dyDescent="0.25">
      <c r="A9798" s="1" t="s">
        <v>9797</v>
      </c>
      <c r="C9798" s="3">
        <v>11</v>
      </c>
    </row>
    <row r="9799" spans="1:3" x14ac:dyDescent="0.25">
      <c r="A9799" s="1" t="s">
        <v>9798</v>
      </c>
      <c r="C9799" s="3">
        <v>11</v>
      </c>
    </row>
    <row r="9800" spans="1:3" x14ac:dyDescent="0.25">
      <c r="A9800" s="1" t="s">
        <v>9799</v>
      </c>
      <c r="C9800" s="3">
        <v>11</v>
      </c>
    </row>
    <row r="9801" spans="1:3" x14ac:dyDescent="0.25">
      <c r="A9801" s="1" t="s">
        <v>9800</v>
      </c>
      <c r="C9801" s="3">
        <v>11</v>
      </c>
    </row>
    <row r="9802" spans="1:3" x14ac:dyDescent="0.25">
      <c r="A9802" s="1" t="s">
        <v>9801</v>
      </c>
      <c r="C9802" s="3">
        <v>11</v>
      </c>
    </row>
    <row r="9803" spans="1:3" x14ac:dyDescent="0.25">
      <c r="A9803" s="1" t="s">
        <v>9802</v>
      </c>
      <c r="C9803" s="3">
        <v>11</v>
      </c>
    </row>
    <row r="9804" spans="1:3" x14ac:dyDescent="0.25">
      <c r="A9804" s="1" t="s">
        <v>9803</v>
      </c>
      <c r="C9804" s="3">
        <v>11</v>
      </c>
    </row>
    <row r="9805" spans="1:3" x14ac:dyDescent="0.25">
      <c r="A9805" s="1" t="s">
        <v>9804</v>
      </c>
      <c r="C9805" s="3">
        <v>11</v>
      </c>
    </row>
    <row r="9806" spans="1:3" x14ac:dyDescent="0.25">
      <c r="A9806" s="1" t="s">
        <v>9805</v>
      </c>
      <c r="C9806" s="3">
        <v>11</v>
      </c>
    </row>
    <row r="9807" spans="1:3" x14ac:dyDescent="0.25">
      <c r="A9807" s="1" t="s">
        <v>9806</v>
      </c>
      <c r="C9807" s="3">
        <v>11</v>
      </c>
    </row>
    <row r="9808" spans="1:3" x14ac:dyDescent="0.25">
      <c r="A9808" s="1" t="s">
        <v>9807</v>
      </c>
      <c r="C9808" s="3">
        <v>11</v>
      </c>
    </row>
    <row r="9809" spans="1:3" x14ac:dyDescent="0.25">
      <c r="A9809" s="1" t="s">
        <v>9808</v>
      </c>
      <c r="C9809" s="3">
        <v>11</v>
      </c>
    </row>
    <row r="9810" spans="1:3" x14ac:dyDescent="0.25">
      <c r="A9810" s="1" t="s">
        <v>9809</v>
      </c>
      <c r="C9810" s="3">
        <v>11</v>
      </c>
    </row>
    <row r="9811" spans="1:3" x14ac:dyDescent="0.25">
      <c r="A9811" s="1" t="s">
        <v>9810</v>
      </c>
      <c r="C9811" s="3">
        <v>11</v>
      </c>
    </row>
    <row r="9812" spans="1:3" x14ac:dyDescent="0.25">
      <c r="A9812" s="1" t="s">
        <v>9811</v>
      </c>
      <c r="C9812" s="3">
        <v>11</v>
      </c>
    </row>
    <row r="9813" spans="1:3" x14ac:dyDescent="0.25">
      <c r="A9813" s="1" t="s">
        <v>9812</v>
      </c>
      <c r="C9813" s="3">
        <v>11</v>
      </c>
    </row>
    <row r="9814" spans="1:3" x14ac:dyDescent="0.25">
      <c r="A9814" s="1" t="s">
        <v>9813</v>
      </c>
      <c r="C9814" s="3">
        <v>11</v>
      </c>
    </row>
    <row r="9815" spans="1:3" x14ac:dyDescent="0.25">
      <c r="A9815" s="1" t="s">
        <v>9814</v>
      </c>
      <c r="C9815" s="3">
        <v>11</v>
      </c>
    </row>
    <row r="9816" spans="1:3" x14ac:dyDescent="0.25">
      <c r="A9816" s="1" t="s">
        <v>9815</v>
      </c>
      <c r="C9816" s="3">
        <v>11</v>
      </c>
    </row>
    <row r="9817" spans="1:3" x14ac:dyDescent="0.25">
      <c r="A9817" s="1" t="s">
        <v>9816</v>
      </c>
      <c r="C9817" s="3">
        <v>11</v>
      </c>
    </row>
    <row r="9818" spans="1:3" x14ac:dyDescent="0.25">
      <c r="A9818" s="1" t="s">
        <v>9817</v>
      </c>
      <c r="C9818" s="3">
        <v>11</v>
      </c>
    </row>
    <row r="9819" spans="1:3" x14ac:dyDescent="0.25">
      <c r="A9819" s="1" t="s">
        <v>9818</v>
      </c>
      <c r="C9819" s="3">
        <v>11</v>
      </c>
    </row>
    <row r="9820" spans="1:3" x14ac:dyDescent="0.25">
      <c r="A9820" s="1" t="s">
        <v>9819</v>
      </c>
      <c r="C9820" s="3">
        <v>11</v>
      </c>
    </row>
    <row r="9821" spans="1:3" x14ac:dyDescent="0.25">
      <c r="A9821" s="1" t="s">
        <v>9820</v>
      </c>
      <c r="C9821" s="3">
        <v>11</v>
      </c>
    </row>
    <row r="9822" spans="1:3" x14ac:dyDescent="0.25">
      <c r="A9822" s="1" t="s">
        <v>9821</v>
      </c>
      <c r="C9822" s="3">
        <v>11</v>
      </c>
    </row>
    <row r="9823" spans="1:3" x14ac:dyDescent="0.25">
      <c r="A9823" s="1" t="s">
        <v>9822</v>
      </c>
      <c r="C9823" s="3">
        <v>11</v>
      </c>
    </row>
    <row r="9824" spans="1:3" x14ac:dyDescent="0.25">
      <c r="A9824" s="1" t="s">
        <v>9823</v>
      </c>
      <c r="C9824" s="3">
        <v>11</v>
      </c>
    </row>
    <row r="9825" spans="1:3" x14ac:dyDescent="0.25">
      <c r="A9825" s="1" t="s">
        <v>9824</v>
      </c>
      <c r="C9825" s="3">
        <v>11</v>
      </c>
    </row>
    <row r="9826" spans="1:3" x14ac:dyDescent="0.25">
      <c r="A9826" s="1" t="s">
        <v>9825</v>
      </c>
      <c r="C9826" s="3">
        <v>11</v>
      </c>
    </row>
    <row r="9827" spans="1:3" x14ac:dyDescent="0.25">
      <c r="A9827" s="1" t="s">
        <v>9826</v>
      </c>
      <c r="C9827" s="3">
        <v>11</v>
      </c>
    </row>
    <row r="9828" spans="1:3" x14ac:dyDescent="0.25">
      <c r="A9828" s="1" t="s">
        <v>9827</v>
      </c>
      <c r="C9828" s="3">
        <v>11</v>
      </c>
    </row>
    <row r="9829" spans="1:3" x14ac:dyDescent="0.25">
      <c r="A9829" s="1" t="s">
        <v>9828</v>
      </c>
      <c r="C9829" s="3">
        <v>11</v>
      </c>
    </row>
    <row r="9830" spans="1:3" x14ac:dyDescent="0.25">
      <c r="A9830" s="1" t="s">
        <v>9829</v>
      </c>
      <c r="C9830" s="3">
        <v>11</v>
      </c>
    </row>
    <row r="9831" spans="1:3" x14ac:dyDescent="0.25">
      <c r="A9831" s="1" t="s">
        <v>9830</v>
      </c>
      <c r="C9831" s="3">
        <v>11</v>
      </c>
    </row>
    <row r="9832" spans="1:3" x14ac:dyDescent="0.25">
      <c r="A9832" s="1" t="s">
        <v>9831</v>
      </c>
      <c r="C9832" s="3">
        <v>11</v>
      </c>
    </row>
    <row r="9833" spans="1:3" x14ac:dyDescent="0.25">
      <c r="A9833" s="1" t="s">
        <v>9832</v>
      </c>
      <c r="C9833" s="3">
        <v>11</v>
      </c>
    </row>
    <row r="9834" spans="1:3" x14ac:dyDescent="0.25">
      <c r="A9834" s="1" t="s">
        <v>9833</v>
      </c>
      <c r="C9834" s="3">
        <v>11</v>
      </c>
    </row>
    <row r="9835" spans="1:3" x14ac:dyDescent="0.25">
      <c r="A9835" s="1" t="s">
        <v>9834</v>
      </c>
      <c r="C9835" s="3">
        <v>11</v>
      </c>
    </row>
    <row r="9836" spans="1:3" x14ac:dyDescent="0.25">
      <c r="A9836" s="1" t="s">
        <v>9835</v>
      </c>
      <c r="C9836" s="3">
        <v>11</v>
      </c>
    </row>
    <row r="9837" spans="1:3" x14ac:dyDescent="0.25">
      <c r="A9837" s="1" t="s">
        <v>9836</v>
      </c>
      <c r="C9837" s="3">
        <v>11</v>
      </c>
    </row>
    <row r="9838" spans="1:3" x14ac:dyDescent="0.25">
      <c r="A9838" s="1" t="s">
        <v>9837</v>
      </c>
      <c r="C9838" s="3">
        <v>11</v>
      </c>
    </row>
    <row r="9839" spans="1:3" x14ac:dyDescent="0.25">
      <c r="A9839" s="1" t="s">
        <v>9838</v>
      </c>
      <c r="C9839" s="3">
        <v>11</v>
      </c>
    </row>
    <row r="9840" spans="1:3" x14ac:dyDescent="0.25">
      <c r="A9840" s="1" t="s">
        <v>9839</v>
      </c>
      <c r="C9840" s="3">
        <v>11</v>
      </c>
    </row>
    <row r="9841" spans="1:3" x14ac:dyDescent="0.25">
      <c r="A9841" s="1" t="s">
        <v>9840</v>
      </c>
      <c r="C9841" s="3">
        <v>11</v>
      </c>
    </row>
    <row r="9842" spans="1:3" x14ac:dyDescent="0.25">
      <c r="A9842" s="1" t="s">
        <v>9841</v>
      </c>
      <c r="C9842" s="3">
        <v>11</v>
      </c>
    </row>
    <row r="9843" spans="1:3" x14ac:dyDescent="0.25">
      <c r="A9843" s="1" t="s">
        <v>9842</v>
      </c>
      <c r="C9843" s="3">
        <v>11</v>
      </c>
    </row>
    <row r="9844" spans="1:3" x14ac:dyDescent="0.25">
      <c r="A9844" s="1" t="s">
        <v>9843</v>
      </c>
      <c r="C9844" s="3">
        <v>11</v>
      </c>
    </row>
    <row r="9845" spans="1:3" x14ac:dyDescent="0.25">
      <c r="A9845" s="1" t="s">
        <v>9844</v>
      </c>
      <c r="C9845" s="3">
        <v>11</v>
      </c>
    </row>
    <row r="9846" spans="1:3" x14ac:dyDescent="0.25">
      <c r="A9846" s="1" t="s">
        <v>9845</v>
      </c>
      <c r="C9846" s="3">
        <v>11</v>
      </c>
    </row>
    <row r="9847" spans="1:3" x14ac:dyDescent="0.25">
      <c r="A9847" s="1" t="s">
        <v>9846</v>
      </c>
      <c r="C9847" s="3">
        <v>11</v>
      </c>
    </row>
    <row r="9848" spans="1:3" x14ac:dyDescent="0.25">
      <c r="A9848" s="1" t="s">
        <v>9847</v>
      </c>
      <c r="C9848" s="3">
        <v>11</v>
      </c>
    </row>
    <row r="9849" spans="1:3" x14ac:dyDescent="0.25">
      <c r="A9849" s="1" t="s">
        <v>9848</v>
      </c>
      <c r="C9849" s="3">
        <v>11</v>
      </c>
    </row>
    <row r="9850" spans="1:3" x14ac:dyDescent="0.25">
      <c r="A9850" s="1" t="s">
        <v>9849</v>
      </c>
      <c r="C9850" s="3">
        <v>11</v>
      </c>
    </row>
    <row r="9851" spans="1:3" x14ac:dyDescent="0.25">
      <c r="A9851" s="1" t="s">
        <v>9850</v>
      </c>
      <c r="C9851" s="3">
        <v>11</v>
      </c>
    </row>
    <row r="9852" spans="1:3" x14ac:dyDescent="0.25">
      <c r="A9852" s="2" t="s">
        <v>9851</v>
      </c>
      <c r="C9852" s="4">
        <v>10</v>
      </c>
    </row>
    <row r="9853" spans="1:3" x14ac:dyDescent="0.25">
      <c r="A9853" s="1" t="s">
        <v>9852</v>
      </c>
      <c r="C9853" s="3">
        <v>10</v>
      </c>
    </row>
    <row r="9854" spans="1:3" x14ac:dyDescent="0.25">
      <c r="A9854" s="1" t="s">
        <v>9853</v>
      </c>
      <c r="C9854" s="3">
        <v>10</v>
      </c>
    </row>
    <row r="9855" spans="1:3" x14ac:dyDescent="0.25">
      <c r="A9855" s="1" t="s">
        <v>9854</v>
      </c>
      <c r="C9855" s="3">
        <v>10</v>
      </c>
    </row>
    <row r="9856" spans="1:3" x14ac:dyDescent="0.25">
      <c r="A9856" s="1" t="s">
        <v>9855</v>
      </c>
      <c r="C9856" s="3">
        <v>10</v>
      </c>
    </row>
    <row r="9857" spans="1:3" x14ac:dyDescent="0.25">
      <c r="A9857" s="1" t="s">
        <v>9856</v>
      </c>
      <c r="C9857" s="3">
        <v>10</v>
      </c>
    </row>
    <row r="9858" spans="1:3" x14ac:dyDescent="0.25">
      <c r="A9858" s="1" t="s">
        <v>9857</v>
      </c>
      <c r="C9858" s="3">
        <v>10</v>
      </c>
    </row>
    <row r="9859" spans="1:3" x14ac:dyDescent="0.25">
      <c r="A9859" s="1" t="s">
        <v>9858</v>
      </c>
      <c r="C9859" s="3">
        <v>10</v>
      </c>
    </row>
    <row r="9860" spans="1:3" x14ac:dyDescent="0.25">
      <c r="A9860" s="1" t="s">
        <v>9859</v>
      </c>
      <c r="C9860" s="3">
        <v>10</v>
      </c>
    </row>
    <row r="9861" spans="1:3" x14ac:dyDescent="0.25">
      <c r="A9861" s="1" t="s">
        <v>9860</v>
      </c>
      <c r="C9861" s="3">
        <v>10</v>
      </c>
    </row>
    <row r="9862" spans="1:3" x14ac:dyDescent="0.25">
      <c r="A9862" s="1" t="s">
        <v>9861</v>
      </c>
      <c r="C9862" s="3">
        <v>10</v>
      </c>
    </row>
    <row r="9863" spans="1:3" x14ac:dyDescent="0.25">
      <c r="A9863" s="1" t="s">
        <v>9862</v>
      </c>
      <c r="C9863" s="3">
        <v>10</v>
      </c>
    </row>
    <row r="9864" spans="1:3" x14ac:dyDescent="0.25">
      <c r="A9864" s="1" t="s">
        <v>9863</v>
      </c>
      <c r="C9864" s="3">
        <v>10</v>
      </c>
    </row>
    <row r="9865" spans="1:3" x14ac:dyDescent="0.25">
      <c r="A9865" s="1" t="s">
        <v>9864</v>
      </c>
      <c r="C9865" s="3">
        <v>10</v>
      </c>
    </row>
    <row r="9866" spans="1:3" x14ac:dyDescent="0.25">
      <c r="A9866" s="1" t="s">
        <v>9865</v>
      </c>
      <c r="C9866" s="3">
        <v>10</v>
      </c>
    </row>
    <row r="9867" spans="1:3" x14ac:dyDescent="0.25">
      <c r="A9867" s="1" t="s">
        <v>9866</v>
      </c>
      <c r="C9867" s="3">
        <v>10</v>
      </c>
    </row>
    <row r="9868" spans="1:3" x14ac:dyDescent="0.25">
      <c r="A9868" s="1" t="s">
        <v>9867</v>
      </c>
      <c r="C9868" s="3">
        <v>10</v>
      </c>
    </row>
    <row r="9869" spans="1:3" x14ac:dyDescent="0.25">
      <c r="A9869" s="1" t="s">
        <v>9868</v>
      </c>
      <c r="C9869" s="3">
        <v>10</v>
      </c>
    </row>
    <row r="9870" spans="1:3" x14ac:dyDescent="0.25">
      <c r="A9870" s="1" t="s">
        <v>9869</v>
      </c>
      <c r="C9870" s="3">
        <v>10</v>
      </c>
    </row>
    <row r="9871" spans="1:3" x14ac:dyDescent="0.25">
      <c r="A9871" s="1" t="s">
        <v>9870</v>
      </c>
      <c r="C9871" s="3">
        <v>10</v>
      </c>
    </row>
    <row r="9872" spans="1:3" x14ac:dyDescent="0.25">
      <c r="A9872" s="1" t="s">
        <v>9871</v>
      </c>
      <c r="C9872" s="3">
        <v>10</v>
      </c>
    </row>
    <row r="9873" spans="1:3" x14ac:dyDescent="0.25">
      <c r="A9873" s="1" t="s">
        <v>9872</v>
      </c>
      <c r="C9873" s="3">
        <v>10</v>
      </c>
    </row>
    <row r="9874" spans="1:3" x14ac:dyDescent="0.25">
      <c r="A9874" s="1" t="s">
        <v>9873</v>
      </c>
      <c r="C9874" s="3">
        <v>10</v>
      </c>
    </row>
    <row r="9875" spans="1:3" x14ac:dyDescent="0.25">
      <c r="A9875" s="1" t="s">
        <v>9874</v>
      </c>
      <c r="C9875" s="3">
        <v>10</v>
      </c>
    </row>
    <row r="9876" spans="1:3" x14ac:dyDescent="0.25">
      <c r="A9876" s="1" t="s">
        <v>9875</v>
      </c>
      <c r="C9876" s="3">
        <v>10</v>
      </c>
    </row>
    <row r="9877" spans="1:3" x14ac:dyDescent="0.25">
      <c r="A9877" s="1" t="s">
        <v>9876</v>
      </c>
      <c r="C9877" s="3">
        <v>10</v>
      </c>
    </row>
    <row r="9878" spans="1:3" x14ac:dyDescent="0.25">
      <c r="A9878" s="1" t="s">
        <v>9877</v>
      </c>
      <c r="C9878" s="3">
        <v>10</v>
      </c>
    </row>
    <row r="9879" spans="1:3" x14ac:dyDescent="0.25">
      <c r="A9879" s="1" t="s">
        <v>9878</v>
      </c>
      <c r="C9879" s="3">
        <v>10</v>
      </c>
    </row>
    <row r="9880" spans="1:3" x14ac:dyDescent="0.25">
      <c r="A9880" s="1" t="s">
        <v>9879</v>
      </c>
      <c r="C9880" s="3">
        <v>10</v>
      </c>
    </row>
    <row r="9881" spans="1:3" x14ac:dyDescent="0.25">
      <c r="A9881" s="1" t="s">
        <v>9880</v>
      </c>
      <c r="C9881" s="3">
        <v>10</v>
      </c>
    </row>
    <row r="9882" spans="1:3" x14ac:dyDescent="0.25">
      <c r="A9882" s="1" t="s">
        <v>9881</v>
      </c>
      <c r="C9882" s="3">
        <v>10</v>
      </c>
    </row>
    <row r="9883" spans="1:3" x14ac:dyDescent="0.25">
      <c r="A9883" s="1" t="s">
        <v>9882</v>
      </c>
      <c r="C9883" s="3">
        <v>10</v>
      </c>
    </row>
    <row r="9884" spans="1:3" x14ac:dyDescent="0.25">
      <c r="A9884" s="1" t="s">
        <v>9883</v>
      </c>
      <c r="C9884" s="3">
        <v>10</v>
      </c>
    </row>
    <row r="9885" spans="1:3" x14ac:dyDescent="0.25">
      <c r="A9885" s="1" t="s">
        <v>9884</v>
      </c>
      <c r="C9885" s="3">
        <v>10</v>
      </c>
    </row>
    <row r="9886" spans="1:3" x14ac:dyDescent="0.25">
      <c r="A9886" s="1" t="s">
        <v>9885</v>
      </c>
      <c r="C9886" s="3">
        <v>10</v>
      </c>
    </row>
    <row r="9887" spans="1:3" x14ac:dyDescent="0.25">
      <c r="A9887" s="1" t="s">
        <v>9886</v>
      </c>
      <c r="C9887" s="3">
        <v>10</v>
      </c>
    </row>
    <row r="9888" spans="1:3" x14ac:dyDescent="0.25">
      <c r="A9888" s="1" t="s">
        <v>9887</v>
      </c>
      <c r="C9888" s="3">
        <v>10</v>
      </c>
    </row>
    <row r="9889" spans="1:3" x14ac:dyDescent="0.25">
      <c r="A9889" s="1" t="s">
        <v>9888</v>
      </c>
      <c r="C9889" s="3">
        <v>10</v>
      </c>
    </row>
    <row r="9890" spans="1:3" x14ac:dyDescent="0.25">
      <c r="A9890" s="1" t="s">
        <v>9889</v>
      </c>
      <c r="C9890" s="3">
        <v>10</v>
      </c>
    </row>
    <row r="9891" spans="1:3" x14ac:dyDescent="0.25">
      <c r="A9891" s="1" t="s">
        <v>9890</v>
      </c>
      <c r="C9891" s="3">
        <v>10</v>
      </c>
    </row>
    <row r="9892" spans="1:3" x14ac:dyDescent="0.25">
      <c r="A9892" s="1" t="s">
        <v>9891</v>
      </c>
      <c r="C9892" s="3">
        <v>10</v>
      </c>
    </row>
    <row r="9893" spans="1:3" x14ac:dyDescent="0.25">
      <c r="A9893" s="1" t="s">
        <v>9892</v>
      </c>
      <c r="C9893" s="3">
        <v>10</v>
      </c>
    </row>
    <row r="9894" spans="1:3" x14ac:dyDescent="0.25">
      <c r="A9894" s="1" t="s">
        <v>9893</v>
      </c>
      <c r="C9894" s="3">
        <v>10</v>
      </c>
    </row>
    <row r="9895" spans="1:3" x14ac:dyDescent="0.25">
      <c r="A9895" s="1" t="s">
        <v>9894</v>
      </c>
      <c r="C9895" s="3">
        <v>10</v>
      </c>
    </row>
    <row r="9896" spans="1:3" x14ac:dyDescent="0.25">
      <c r="A9896" s="1" t="s">
        <v>9895</v>
      </c>
      <c r="C9896" s="3">
        <v>10</v>
      </c>
    </row>
    <row r="9897" spans="1:3" x14ac:dyDescent="0.25">
      <c r="A9897" s="1" t="s">
        <v>9896</v>
      </c>
      <c r="C9897" s="3">
        <v>10</v>
      </c>
    </row>
    <row r="9898" spans="1:3" x14ac:dyDescent="0.25">
      <c r="A9898" s="1" t="s">
        <v>9897</v>
      </c>
      <c r="C9898" s="3">
        <v>10</v>
      </c>
    </row>
    <row r="9899" spans="1:3" x14ac:dyDescent="0.25">
      <c r="A9899" s="1" t="s">
        <v>9898</v>
      </c>
      <c r="C9899" s="3">
        <v>10</v>
      </c>
    </row>
    <row r="9900" spans="1:3" x14ac:dyDescent="0.25">
      <c r="A9900" s="1" t="s">
        <v>9899</v>
      </c>
      <c r="C9900" s="3">
        <v>10</v>
      </c>
    </row>
    <row r="9901" spans="1:3" x14ac:dyDescent="0.25">
      <c r="A9901" s="1" t="s">
        <v>9900</v>
      </c>
      <c r="C9901" s="3">
        <v>10</v>
      </c>
    </row>
    <row r="9902" spans="1:3" x14ac:dyDescent="0.25">
      <c r="A9902" s="1" t="s">
        <v>9901</v>
      </c>
      <c r="C9902" s="3">
        <v>10</v>
      </c>
    </row>
    <row r="9903" spans="1:3" x14ac:dyDescent="0.25">
      <c r="A9903" s="1" t="s">
        <v>9902</v>
      </c>
      <c r="C9903" s="3">
        <v>10</v>
      </c>
    </row>
    <row r="9904" spans="1:3" x14ac:dyDescent="0.25">
      <c r="A9904" s="1" t="s">
        <v>9903</v>
      </c>
      <c r="C9904" s="3">
        <v>10</v>
      </c>
    </row>
    <row r="9905" spans="1:3" x14ac:dyDescent="0.25">
      <c r="A9905" s="1" t="s">
        <v>9904</v>
      </c>
      <c r="C9905" s="3">
        <v>10</v>
      </c>
    </row>
    <row r="9906" spans="1:3" x14ac:dyDescent="0.25">
      <c r="A9906" s="1" t="s">
        <v>9905</v>
      </c>
      <c r="C9906" s="3">
        <v>10</v>
      </c>
    </row>
    <row r="9907" spans="1:3" x14ac:dyDescent="0.25">
      <c r="A9907" s="1" t="s">
        <v>9906</v>
      </c>
      <c r="C9907" s="3">
        <v>10</v>
      </c>
    </row>
    <row r="9908" spans="1:3" x14ac:dyDescent="0.25">
      <c r="A9908" s="1" t="s">
        <v>9907</v>
      </c>
      <c r="C9908" s="3">
        <v>10</v>
      </c>
    </row>
    <row r="9909" spans="1:3" x14ac:dyDescent="0.25">
      <c r="A9909" s="1" t="s">
        <v>9908</v>
      </c>
      <c r="C9909" s="3">
        <v>10</v>
      </c>
    </row>
    <row r="9910" spans="1:3" x14ac:dyDescent="0.25">
      <c r="A9910" s="1" t="s">
        <v>9909</v>
      </c>
      <c r="C9910" s="3">
        <v>10</v>
      </c>
    </row>
    <row r="9911" spans="1:3" x14ac:dyDescent="0.25">
      <c r="A9911" s="1" t="s">
        <v>9910</v>
      </c>
      <c r="C9911" s="3">
        <v>10</v>
      </c>
    </row>
    <row r="9912" spans="1:3" x14ac:dyDescent="0.25">
      <c r="A9912" s="1" t="s">
        <v>9911</v>
      </c>
      <c r="C9912" s="3">
        <v>10</v>
      </c>
    </row>
    <row r="9913" spans="1:3" x14ac:dyDescent="0.25">
      <c r="A9913" s="1" t="s">
        <v>9912</v>
      </c>
      <c r="C9913" s="3">
        <v>10</v>
      </c>
    </row>
    <row r="9914" spans="1:3" x14ac:dyDescent="0.25">
      <c r="A9914" s="1" t="s">
        <v>9913</v>
      </c>
      <c r="C9914" s="3">
        <v>10</v>
      </c>
    </row>
    <row r="9915" spans="1:3" x14ac:dyDescent="0.25">
      <c r="A9915" s="1" t="s">
        <v>9914</v>
      </c>
      <c r="C9915" s="3">
        <v>10</v>
      </c>
    </row>
    <row r="9916" spans="1:3" x14ac:dyDescent="0.25">
      <c r="A9916" s="1" t="s">
        <v>9915</v>
      </c>
      <c r="C9916" s="3">
        <v>10</v>
      </c>
    </row>
    <row r="9917" spans="1:3" x14ac:dyDescent="0.25">
      <c r="A9917" s="1" t="s">
        <v>9916</v>
      </c>
      <c r="C9917" s="3">
        <v>10</v>
      </c>
    </row>
    <row r="9918" spans="1:3" x14ac:dyDescent="0.25">
      <c r="A9918" s="1" t="s">
        <v>9917</v>
      </c>
      <c r="C9918" s="3">
        <v>10</v>
      </c>
    </row>
    <row r="9919" spans="1:3" x14ac:dyDescent="0.25">
      <c r="A9919" s="1" t="s">
        <v>9918</v>
      </c>
      <c r="C9919" s="3">
        <v>10</v>
      </c>
    </row>
    <row r="9920" spans="1:3" x14ac:dyDescent="0.25">
      <c r="A9920" s="1" t="s">
        <v>9919</v>
      </c>
      <c r="C9920" s="3">
        <v>10</v>
      </c>
    </row>
    <row r="9921" spans="1:3" x14ac:dyDescent="0.25">
      <c r="A9921" s="1" t="s">
        <v>9920</v>
      </c>
      <c r="C9921" s="3">
        <v>10</v>
      </c>
    </row>
    <row r="9922" spans="1:3" x14ac:dyDescent="0.25">
      <c r="A9922" s="1" t="s">
        <v>9921</v>
      </c>
      <c r="C9922" s="3">
        <v>10</v>
      </c>
    </row>
    <row r="9923" spans="1:3" x14ac:dyDescent="0.25">
      <c r="A9923" s="1" t="s">
        <v>9922</v>
      </c>
      <c r="C9923" s="3">
        <v>10</v>
      </c>
    </row>
    <row r="9924" spans="1:3" x14ac:dyDescent="0.25">
      <c r="A9924" s="1" t="s">
        <v>9923</v>
      </c>
      <c r="C9924" s="3">
        <v>10</v>
      </c>
    </row>
    <row r="9925" spans="1:3" x14ac:dyDescent="0.25">
      <c r="A9925" s="1" t="s">
        <v>9924</v>
      </c>
      <c r="C9925" s="3">
        <v>10</v>
      </c>
    </row>
    <row r="9926" spans="1:3" x14ac:dyDescent="0.25">
      <c r="A9926" s="1" t="s">
        <v>9925</v>
      </c>
      <c r="C9926" s="3">
        <v>10</v>
      </c>
    </row>
    <row r="9927" spans="1:3" x14ac:dyDescent="0.25">
      <c r="A9927" s="1" t="s">
        <v>9926</v>
      </c>
      <c r="C9927" s="3">
        <v>10</v>
      </c>
    </row>
    <row r="9928" spans="1:3" x14ac:dyDescent="0.25">
      <c r="A9928" s="1" t="s">
        <v>9927</v>
      </c>
      <c r="C9928" s="3">
        <v>10</v>
      </c>
    </row>
    <row r="9929" spans="1:3" x14ac:dyDescent="0.25">
      <c r="A9929" s="1" t="s">
        <v>9928</v>
      </c>
      <c r="C9929" s="3">
        <v>10</v>
      </c>
    </row>
    <row r="9930" spans="1:3" x14ac:dyDescent="0.25">
      <c r="A9930" s="1" t="s">
        <v>9929</v>
      </c>
      <c r="C9930" s="3">
        <v>10</v>
      </c>
    </row>
    <row r="9931" spans="1:3" x14ac:dyDescent="0.25">
      <c r="A9931" s="1" t="s">
        <v>9930</v>
      </c>
      <c r="C9931" s="3">
        <v>10</v>
      </c>
    </row>
    <row r="9932" spans="1:3" x14ac:dyDescent="0.25">
      <c r="A9932" s="1" t="s">
        <v>9931</v>
      </c>
      <c r="C9932" s="3">
        <v>10</v>
      </c>
    </row>
    <row r="9933" spans="1:3" x14ac:dyDescent="0.25">
      <c r="A9933" s="1" t="s">
        <v>9932</v>
      </c>
      <c r="C9933" s="3">
        <v>10</v>
      </c>
    </row>
    <row r="9934" spans="1:3" x14ac:dyDescent="0.25">
      <c r="A9934" s="1" t="s">
        <v>9933</v>
      </c>
      <c r="C9934" s="3">
        <v>10</v>
      </c>
    </row>
    <row r="9935" spans="1:3" x14ac:dyDescent="0.25">
      <c r="A9935" s="1" t="s">
        <v>9934</v>
      </c>
      <c r="C9935" s="3">
        <v>10</v>
      </c>
    </row>
    <row r="9936" spans="1:3" x14ac:dyDescent="0.25">
      <c r="A9936" s="1" t="s">
        <v>9935</v>
      </c>
      <c r="C9936" s="3">
        <v>10</v>
      </c>
    </row>
    <row r="9937" spans="1:3" x14ac:dyDescent="0.25">
      <c r="A9937" s="1" t="s">
        <v>9936</v>
      </c>
      <c r="C9937" s="3">
        <v>10</v>
      </c>
    </row>
    <row r="9938" spans="1:3" x14ac:dyDescent="0.25">
      <c r="A9938" s="1" t="s">
        <v>9937</v>
      </c>
      <c r="C9938" s="3">
        <v>10</v>
      </c>
    </row>
    <row r="9939" spans="1:3" x14ac:dyDescent="0.25">
      <c r="A9939" s="1" t="s">
        <v>9938</v>
      </c>
      <c r="C9939" s="3">
        <v>10</v>
      </c>
    </row>
    <row r="9940" spans="1:3" x14ac:dyDescent="0.25">
      <c r="A9940" s="1" t="s">
        <v>9939</v>
      </c>
      <c r="C9940" s="3">
        <v>10</v>
      </c>
    </row>
    <row r="9941" spans="1:3" x14ac:dyDescent="0.25">
      <c r="A9941" s="1" t="s">
        <v>9940</v>
      </c>
      <c r="C9941" s="3">
        <v>10</v>
      </c>
    </row>
    <row r="9942" spans="1:3" x14ac:dyDescent="0.25">
      <c r="A9942" s="1" t="s">
        <v>9941</v>
      </c>
      <c r="C9942" s="3">
        <v>10</v>
      </c>
    </row>
    <row r="9943" spans="1:3" x14ac:dyDescent="0.25">
      <c r="A9943" s="1" t="s">
        <v>9942</v>
      </c>
      <c r="C9943" s="3">
        <v>10</v>
      </c>
    </row>
    <row r="9944" spans="1:3" x14ac:dyDescent="0.25">
      <c r="A9944" s="1" t="s">
        <v>9943</v>
      </c>
      <c r="C9944" s="3">
        <v>10</v>
      </c>
    </row>
    <row r="9945" spans="1:3" x14ac:dyDescent="0.25">
      <c r="A9945" s="1" t="s">
        <v>9944</v>
      </c>
      <c r="C9945" s="3">
        <v>10</v>
      </c>
    </row>
    <row r="9946" spans="1:3" x14ac:dyDescent="0.25">
      <c r="A9946" s="1" t="s">
        <v>9945</v>
      </c>
      <c r="C9946" s="3">
        <v>10</v>
      </c>
    </row>
    <row r="9947" spans="1:3" x14ac:dyDescent="0.25">
      <c r="A9947" s="1" t="s">
        <v>9946</v>
      </c>
      <c r="C9947" s="3">
        <v>10</v>
      </c>
    </row>
    <row r="9948" spans="1:3" x14ac:dyDescent="0.25">
      <c r="A9948" s="1" t="s">
        <v>9947</v>
      </c>
      <c r="C9948" s="3">
        <v>10</v>
      </c>
    </row>
    <row r="9949" spans="1:3" x14ac:dyDescent="0.25">
      <c r="A9949" s="1" t="s">
        <v>9948</v>
      </c>
      <c r="C9949" s="3">
        <v>10</v>
      </c>
    </row>
    <row r="9950" spans="1:3" x14ac:dyDescent="0.25">
      <c r="A9950" s="1" t="s">
        <v>9949</v>
      </c>
      <c r="C9950" s="3">
        <v>10</v>
      </c>
    </row>
    <row r="9951" spans="1:3" x14ac:dyDescent="0.25">
      <c r="A9951" s="1" t="s">
        <v>9950</v>
      </c>
      <c r="C9951" s="3">
        <v>10</v>
      </c>
    </row>
    <row r="9952" spans="1:3" x14ac:dyDescent="0.25">
      <c r="A9952" s="1" t="s">
        <v>9951</v>
      </c>
      <c r="C9952" s="3">
        <v>10</v>
      </c>
    </row>
    <row r="9953" spans="1:3" x14ac:dyDescent="0.25">
      <c r="A9953" s="1" t="s">
        <v>9952</v>
      </c>
      <c r="C9953" s="3">
        <v>10</v>
      </c>
    </row>
    <row r="9954" spans="1:3" x14ac:dyDescent="0.25">
      <c r="A9954" s="1" t="s">
        <v>9953</v>
      </c>
      <c r="C9954" s="3">
        <v>10</v>
      </c>
    </row>
    <row r="9955" spans="1:3" x14ac:dyDescent="0.25">
      <c r="A9955" s="1" t="s">
        <v>9954</v>
      </c>
      <c r="C9955" s="3">
        <v>10</v>
      </c>
    </row>
    <row r="9956" spans="1:3" x14ac:dyDescent="0.25">
      <c r="A9956" s="1" t="s">
        <v>9955</v>
      </c>
      <c r="C9956" s="3">
        <v>10</v>
      </c>
    </row>
    <row r="9957" spans="1:3" x14ac:dyDescent="0.25">
      <c r="A9957" s="1" t="s">
        <v>9956</v>
      </c>
      <c r="C9957" s="3">
        <v>10</v>
      </c>
    </row>
    <row r="9958" spans="1:3" x14ac:dyDescent="0.25">
      <c r="A9958" s="1" t="s">
        <v>9957</v>
      </c>
      <c r="C9958" s="3">
        <v>10</v>
      </c>
    </row>
    <row r="9959" spans="1:3" x14ac:dyDescent="0.25">
      <c r="A9959" s="1" t="s">
        <v>9958</v>
      </c>
      <c r="C9959" s="3">
        <v>10</v>
      </c>
    </row>
    <row r="9960" spans="1:3" x14ac:dyDescent="0.25">
      <c r="A9960" s="1" t="s">
        <v>9959</v>
      </c>
      <c r="C9960" s="3">
        <v>10</v>
      </c>
    </row>
    <row r="9961" spans="1:3" x14ac:dyDescent="0.25">
      <c r="A9961" s="1" t="s">
        <v>9960</v>
      </c>
      <c r="C9961" s="3">
        <v>10</v>
      </c>
    </row>
    <row r="9962" spans="1:3" x14ac:dyDescent="0.25">
      <c r="A9962" s="1" t="s">
        <v>9961</v>
      </c>
      <c r="C9962" s="3">
        <v>10</v>
      </c>
    </row>
    <row r="9963" spans="1:3" x14ac:dyDescent="0.25">
      <c r="A9963" s="1" t="s">
        <v>9962</v>
      </c>
      <c r="C9963" s="3">
        <v>10</v>
      </c>
    </row>
    <row r="9964" spans="1:3" x14ac:dyDescent="0.25">
      <c r="A9964" s="1" t="s">
        <v>9963</v>
      </c>
      <c r="C9964" s="3">
        <v>10</v>
      </c>
    </row>
    <row r="9965" spans="1:3" x14ac:dyDescent="0.25">
      <c r="A9965" s="1" t="s">
        <v>9964</v>
      </c>
      <c r="C9965" s="3">
        <v>10</v>
      </c>
    </row>
    <row r="9966" spans="1:3" x14ac:dyDescent="0.25">
      <c r="A9966" s="1" t="s">
        <v>9965</v>
      </c>
      <c r="C9966" s="3">
        <v>10</v>
      </c>
    </row>
    <row r="9967" spans="1:3" x14ac:dyDescent="0.25">
      <c r="A9967" s="1" t="s">
        <v>9966</v>
      </c>
      <c r="C9967" s="3">
        <v>10</v>
      </c>
    </row>
    <row r="9968" spans="1:3" x14ac:dyDescent="0.25">
      <c r="A9968" s="1" t="s">
        <v>9967</v>
      </c>
      <c r="C9968" s="3">
        <v>10</v>
      </c>
    </row>
    <row r="9969" spans="1:3" x14ac:dyDescent="0.25">
      <c r="A9969" s="1" t="s">
        <v>9968</v>
      </c>
      <c r="C9969" s="3">
        <v>10</v>
      </c>
    </row>
    <row r="9970" spans="1:3" x14ac:dyDescent="0.25">
      <c r="A9970" s="1" t="s">
        <v>9969</v>
      </c>
      <c r="C9970" s="3">
        <v>10</v>
      </c>
    </row>
    <row r="9971" spans="1:3" x14ac:dyDescent="0.25">
      <c r="A9971" s="1" t="s">
        <v>9970</v>
      </c>
      <c r="C9971" s="3">
        <v>10</v>
      </c>
    </row>
    <row r="9972" spans="1:3" x14ac:dyDescent="0.25">
      <c r="A9972" s="1" t="s">
        <v>9971</v>
      </c>
      <c r="C9972" s="3">
        <v>10</v>
      </c>
    </row>
    <row r="9973" spans="1:3" x14ac:dyDescent="0.25">
      <c r="A9973" s="1" t="s">
        <v>9972</v>
      </c>
      <c r="C9973" s="3">
        <v>10</v>
      </c>
    </row>
    <row r="9974" spans="1:3" x14ac:dyDescent="0.25">
      <c r="A9974" s="1" t="s">
        <v>9973</v>
      </c>
      <c r="C9974" s="3">
        <v>10</v>
      </c>
    </row>
    <row r="9975" spans="1:3" x14ac:dyDescent="0.25">
      <c r="A9975" s="1" t="s">
        <v>9974</v>
      </c>
      <c r="C9975" s="3">
        <v>10</v>
      </c>
    </row>
    <row r="9976" spans="1:3" x14ac:dyDescent="0.25">
      <c r="A9976" s="1" t="s">
        <v>9975</v>
      </c>
      <c r="C9976" s="3">
        <v>10</v>
      </c>
    </row>
    <row r="9977" spans="1:3" x14ac:dyDescent="0.25">
      <c r="A9977" s="1" t="s">
        <v>9976</v>
      </c>
      <c r="C9977" s="3">
        <v>10</v>
      </c>
    </row>
    <row r="9978" spans="1:3" x14ac:dyDescent="0.25">
      <c r="A9978" s="1" t="s">
        <v>9977</v>
      </c>
      <c r="C9978" s="3">
        <v>10</v>
      </c>
    </row>
    <row r="9979" spans="1:3" x14ac:dyDescent="0.25">
      <c r="A9979" s="1" t="s">
        <v>9978</v>
      </c>
      <c r="C9979" s="3">
        <v>10</v>
      </c>
    </row>
    <row r="9980" spans="1:3" x14ac:dyDescent="0.25">
      <c r="A9980" s="1" t="s">
        <v>9979</v>
      </c>
      <c r="C9980" s="3">
        <v>10</v>
      </c>
    </row>
    <row r="9981" spans="1:3" x14ac:dyDescent="0.25">
      <c r="A9981" s="1" t="s">
        <v>9980</v>
      </c>
      <c r="C9981" s="3">
        <v>10</v>
      </c>
    </row>
    <row r="9982" spans="1:3" x14ac:dyDescent="0.25">
      <c r="A9982" s="1" t="s">
        <v>9981</v>
      </c>
      <c r="C9982" s="3">
        <v>10</v>
      </c>
    </row>
    <row r="9983" spans="1:3" x14ac:dyDescent="0.25">
      <c r="A9983" s="1" t="s">
        <v>9982</v>
      </c>
      <c r="C9983" s="3">
        <v>10</v>
      </c>
    </row>
    <row r="9984" spans="1:3" x14ac:dyDescent="0.25">
      <c r="A9984" s="1" t="s">
        <v>9983</v>
      </c>
      <c r="C9984" s="3">
        <v>10</v>
      </c>
    </row>
    <row r="9985" spans="1:3" x14ac:dyDescent="0.25">
      <c r="A9985" s="1" t="s">
        <v>9984</v>
      </c>
      <c r="C9985" s="3">
        <v>10</v>
      </c>
    </row>
    <row r="9986" spans="1:3" x14ac:dyDescent="0.25">
      <c r="A9986" s="1" t="s">
        <v>9985</v>
      </c>
      <c r="C9986" s="3">
        <v>10</v>
      </c>
    </row>
    <row r="9987" spans="1:3" x14ac:dyDescent="0.25">
      <c r="A9987" s="1" t="s">
        <v>9986</v>
      </c>
      <c r="C9987" s="3">
        <v>10</v>
      </c>
    </row>
    <row r="9988" spans="1:3" x14ac:dyDescent="0.25">
      <c r="A9988" s="1" t="s">
        <v>9987</v>
      </c>
      <c r="C9988" s="3">
        <v>10</v>
      </c>
    </row>
    <row r="9989" spans="1:3" x14ac:dyDescent="0.25">
      <c r="A9989" s="1" t="s">
        <v>9988</v>
      </c>
      <c r="C9989" s="3">
        <v>10</v>
      </c>
    </row>
    <row r="9990" spans="1:3" x14ac:dyDescent="0.25">
      <c r="A9990" s="1" t="s">
        <v>9989</v>
      </c>
      <c r="C9990" s="3">
        <v>10</v>
      </c>
    </row>
    <row r="9991" spans="1:3" x14ac:dyDescent="0.25">
      <c r="A9991" s="1" t="s">
        <v>9990</v>
      </c>
      <c r="C9991" s="3">
        <v>10</v>
      </c>
    </row>
    <row r="9992" spans="1:3" x14ac:dyDescent="0.25">
      <c r="A9992" s="1" t="s">
        <v>9991</v>
      </c>
      <c r="C9992" s="3">
        <v>10</v>
      </c>
    </row>
    <row r="9993" spans="1:3" x14ac:dyDescent="0.25">
      <c r="A9993" s="1" t="s">
        <v>9992</v>
      </c>
      <c r="C9993" s="3">
        <v>10</v>
      </c>
    </row>
    <row r="9994" spans="1:3" x14ac:dyDescent="0.25">
      <c r="A9994" s="1" t="s">
        <v>9993</v>
      </c>
      <c r="C9994" s="3">
        <v>10</v>
      </c>
    </row>
    <row r="9995" spans="1:3" x14ac:dyDescent="0.25">
      <c r="A9995" s="1" t="s">
        <v>9994</v>
      </c>
      <c r="C9995" s="3">
        <v>10</v>
      </c>
    </row>
    <row r="9996" spans="1:3" x14ac:dyDescent="0.25">
      <c r="A9996" s="1" t="s">
        <v>9995</v>
      </c>
      <c r="C9996" s="3">
        <v>10</v>
      </c>
    </row>
    <row r="9997" spans="1:3" x14ac:dyDescent="0.25">
      <c r="A9997" s="1" t="s">
        <v>9996</v>
      </c>
      <c r="C9997" s="3">
        <v>10</v>
      </c>
    </row>
    <row r="9998" spans="1:3" x14ac:dyDescent="0.25">
      <c r="A9998" s="1" t="s">
        <v>9997</v>
      </c>
      <c r="C9998" s="3">
        <v>10</v>
      </c>
    </row>
    <row r="9999" spans="1:3" x14ac:dyDescent="0.25">
      <c r="A9999" s="1" t="s">
        <v>9998</v>
      </c>
      <c r="C9999" s="3">
        <v>10</v>
      </c>
    </row>
    <row r="10000" spans="1:3" x14ac:dyDescent="0.25">
      <c r="A10000" s="1" t="s">
        <v>9999</v>
      </c>
      <c r="C10000" s="3">
        <v>10</v>
      </c>
    </row>
    <row r="10001" spans="1:3" x14ac:dyDescent="0.25">
      <c r="A10001" s="1" t="s">
        <v>10000</v>
      </c>
      <c r="C10001" s="3">
        <v>10</v>
      </c>
    </row>
    <row r="10002" spans="1:3" x14ac:dyDescent="0.25">
      <c r="A10002" s="1" t="s">
        <v>10001</v>
      </c>
      <c r="C10002" s="3">
        <v>10</v>
      </c>
    </row>
    <row r="10003" spans="1:3" x14ac:dyDescent="0.25">
      <c r="A10003" s="1" t="s">
        <v>10002</v>
      </c>
      <c r="C10003" s="3">
        <v>10</v>
      </c>
    </row>
    <row r="10004" spans="1:3" x14ac:dyDescent="0.25">
      <c r="A10004" s="1" t="s">
        <v>10003</v>
      </c>
      <c r="C10004" s="3">
        <v>10</v>
      </c>
    </row>
    <row r="10005" spans="1:3" x14ac:dyDescent="0.25">
      <c r="A10005" s="1" t="s">
        <v>10004</v>
      </c>
      <c r="C10005" s="3">
        <v>10</v>
      </c>
    </row>
    <row r="10006" spans="1:3" x14ac:dyDescent="0.25">
      <c r="A10006" s="1" t="s">
        <v>10005</v>
      </c>
      <c r="C10006" s="3">
        <v>10</v>
      </c>
    </row>
    <row r="10007" spans="1:3" x14ac:dyDescent="0.25">
      <c r="A10007" s="1" t="s">
        <v>10006</v>
      </c>
      <c r="C10007" s="3">
        <v>10</v>
      </c>
    </row>
    <row r="10008" spans="1:3" x14ac:dyDescent="0.25">
      <c r="A10008" s="1" t="s">
        <v>10007</v>
      </c>
      <c r="C10008" s="3">
        <v>10</v>
      </c>
    </row>
    <row r="10009" spans="1:3" x14ac:dyDescent="0.25">
      <c r="A10009" s="1" t="s">
        <v>10008</v>
      </c>
      <c r="C10009" s="3">
        <v>10</v>
      </c>
    </row>
    <row r="10010" spans="1:3" x14ac:dyDescent="0.25">
      <c r="A10010" s="1" t="s">
        <v>10009</v>
      </c>
      <c r="C10010" s="3">
        <v>10</v>
      </c>
    </row>
    <row r="10011" spans="1:3" x14ac:dyDescent="0.25">
      <c r="A10011" s="1" t="s">
        <v>10010</v>
      </c>
      <c r="C10011" s="3">
        <v>10</v>
      </c>
    </row>
    <row r="10012" spans="1:3" x14ac:dyDescent="0.25">
      <c r="A10012" s="1" t="s">
        <v>10011</v>
      </c>
      <c r="C10012" s="3">
        <v>10</v>
      </c>
    </row>
    <row r="10013" spans="1:3" x14ac:dyDescent="0.25">
      <c r="A10013" s="1" t="s">
        <v>10012</v>
      </c>
      <c r="C10013" s="3">
        <v>10</v>
      </c>
    </row>
    <row r="10014" spans="1:3" x14ac:dyDescent="0.25">
      <c r="A10014" s="1" t="s">
        <v>10013</v>
      </c>
      <c r="C10014" s="3">
        <v>10</v>
      </c>
    </row>
    <row r="10015" spans="1:3" x14ac:dyDescent="0.25">
      <c r="A10015" s="1" t="s">
        <v>10014</v>
      </c>
      <c r="C10015" s="3">
        <v>10</v>
      </c>
    </row>
    <row r="10016" spans="1:3" x14ac:dyDescent="0.25">
      <c r="A10016" s="1" t="s">
        <v>10015</v>
      </c>
      <c r="C10016" s="3">
        <v>10</v>
      </c>
    </row>
    <row r="10017" spans="1:3" x14ac:dyDescent="0.25">
      <c r="A10017" s="1" t="s">
        <v>10016</v>
      </c>
      <c r="C10017" s="3">
        <v>10</v>
      </c>
    </row>
    <row r="10018" spans="1:3" x14ac:dyDescent="0.25">
      <c r="A10018" s="1" t="s">
        <v>10017</v>
      </c>
      <c r="C10018" s="3">
        <v>10</v>
      </c>
    </row>
    <row r="10019" spans="1:3" x14ac:dyDescent="0.25">
      <c r="A10019" s="1" t="s">
        <v>10018</v>
      </c>
      <c r="C10019" s="3">
        <v>10</v>
      </c>
    </row>
    <row r="10020" spans="1:3" x14ac:dyDescent="0.25">
      <c r="A10020" s="1" t="s">
        <v>10019</v>
      </c>
      <c r="C10020" s="3">
        <v>10</v>
      </c>
    </row>
    <row r="10021" spans="1:3" x14ac:dyDescent="0.25">
      <c r="A10021" s="1" t="s">
        <v>10020</v>
      </c>
      <c r="C10021" s="3">
        <v>10</v>
      </c>
    </row>
    <row r="10022" spans="1:3" x14ac:dyDescent="0.25">
      <c r="A10022" s="1" t="s">
        <v>10021</v>
      </c>
      <c r="C10022" s="3">
        <v>10</v>
      </c>
    </row>
    <row r="10023" spans="1:3" x14ac:dyDescent="0.25">
      <c r="A10023" s="1" t="s">
        <v>10022</v>
      </c>
      <c r="C10023" s="3">
        <v>10</v>
      </c>
    </row>
    <row r="10024" spans="1:3" x14ac:dyDescent="0.25">
      <c r="A10024" s="1" t="s">
        <v>10023</v>
      </c>
      <c r="C10024" s="3">
        <v>10</v>
      </c>
    </row>
    <row r="10025" spans="1:3" x14ac:dyDescent="0.25">
      <c r="A10025" s="1" t="s">
        <v>10024</v>
      </c>
      <c r="C10025" s="3">
        <v>10</v>
      </c>
    </row>
    <row r="10026" spans="1:3" x14ac:dyDescent="0.25">
      <c r="A10026" s="1" t="s">
        <v>10025</v>
      </c>
      <c r="C10026" s="3">
        <v>10</v>
      </c>
    </row>
    <row r="10027" spans="1:3" x14ac:dyDescent="0.25">
      <c r="A10027" s="1" t="s">
        <v>10026</v>
      </c>
      <c r="C10027" s="3">
        <v>10</v>
      </c>
    </row>
    <row r="10028" spans="1:3" x14ac:dyDescent="0.25">
      <c r="A10028" s="1" t="s">
        <v>10027</v>
      </c>
      <c r="C10028" s="3">
        <v>10</v>
      </c>
    </row>
    <row r="10029" spans="1:3" x14ac:dyDescent="0.25">
      <c r="A10029" s="1" t="s">
        <v>10028</v>
      </c>
      <c r="C10029" s="3">
        <v>10</v>
      </c>
    </row>
    <row r="10030" spans="1:3" x14ac:dyDescent="0.25">
      <c r="A10030" s="1" t="s">
        <v>10029</v>
      </c>
      <c r="C10030" s="3">
        <v>10</v>
      </c>
    </row>
    <row r="10031" spans="1:3" x14ac:dyDescent="0.25">
      <c r="A10031" s="1" t="s">
        <v>10030</v>
      </c>
      <c r="C10031" s="3">
        <v>10</v>
      </c>
    </row>
    <row r="10032" spans="1:3" x14ac:dyDescent="0.25">
      <c r="A10032" s="1" t="s">
        <v>10031</v>
      </c>
      <c r="C10032" s="3">
        <v>10</v>
      </c>
    </row>
    <row r="10033" spans="1:3" x14ac:dyDescent="0.25">
      <c r="A10033" s="1" t="s">
        <v>10032</v>
      </c>
      <c r="C10033" s="3">
        <v>10</v>
      </c>
    </row>
    <row r="10034" spans="1:3" x14ac:dyDescent="0.25">
      <c r="A10034" s="1" t="s">
        <v>10033</v>
      </c>
      <c r="C10034" s="3">
        <v>10</v>
      </c>
    </row>
    <row r="10035" spans="1:3" x14ac:dyDescent="0.25">
      <c r="A10035" s="1" t="s">
        <v>10034</v>
      </c>
      <c r="C10035" s="3">
        <v>10</v>
      </c>
    </row>
    <row r="10036" spans="1:3" x14ac:dyDescent="0.25">
      <c r="A10036" s="1" t="s">
        <v>10035</v>
      </c>
      <c r="C10036" s="3">
        <v>10</v>
      </c>
    </row>
    <row r="10037" spans="1:3" x14ac:dyDescent="0.25">
      <c r="A10037" s="1" t="s">
        <v>10036</v>
      </c>
      <c r="C10037" s="3">
        <v>10</v>
      </c>
    </row>
    <row r="10038" spans="1:3" x14ac:dyDescent="0.25">
      <c r="A10038" s="1" t="s">
        <v>10037</v>
      </c>
      <c r="C10038" s="3">
        <v>10</v>
      </c>
    </row>
    <row r="10039" spans="1:3" x14ac:dyDescent="0.25">
      <c r="A10039" s="1" t="s">
        <v>10038</v>
      </c>
      <c r="C10039" s="3">
        <v>10</v>
      </c>
    </row>
    <row r="10040" spans="1:3" x14ac:dyDescent="0.25">
      <c r="A10040" s="1" t="s">
        <v>10039</v>
      </c>
      <c r="C10040" s="3">
        <v>10</v>
      </c>
    </row>
    <row r="10041" spans="1:3" x14ac:dyDescent="0.25">
      <c r="A10041" s="1" t="s">
        <v>10040</v>
      </c>
      <c r="C10041" s="3">
        <v>10</v>
      </c>
    </row>
    <row r="10042" spans="1:3" x14ac:dyDescent="0.25">
      <c r="A10042" s="1" t="s">
        <v>10041</v>
      </c>
      <c r="C10042" s="3">
        <v>10</v>
      </c>
    </row>
    <row r="10043" spans="1:3" x14ac:dyDescent="0.25">
      <c r="A10043" s="1" t="s">
        <v>10042</v>
      </c>
      <c r="C10043" s="3">
        <v>10</v>
      </c>
    </row>
    <row r="10044" spans="1:3" x14ac:dyDescent="0.25">
      <c r="A10044" s="1" t="s">
        <v>10043</v>
      </c>
      <c r="C10044" s="3">
        <v>10</v>
      </c>
    </row>
    <row r="10045" spans="1:3" x14ac:dyDescent="0.25">
      <c r="A10045" s="1" t="s">
        <v>10044</v>
      </c>
      <c r="C10045" s="3">
        <v>10</v>
      </c>
    </row>
    <row r="10046" spans="1:3" x14ac:dyDescent="0.25">
      <c r="A10046" s="1" t="s">
        <v>10045</v>
      </c>
      <c r="C10046" s="3">
        <v>10</v>
      </c>
    </row>
    <row r="10047" spans="1:3" x14ac:dyDescent="0.25">
      <c r="A10047" s="1" t="s">
        <v>10046</v>
      </c>
      <c r="C10047" s="3">
        <v>10</v>
      </c>
    </row>
    <row r="10048" spans="1:3" x14ac:dyDescent="0.25">
      <c r="A10048" s="1" t="s">
        <v>10047</v>
      </c>
      <c r="C10048" s="3">
        <v>10</v>
      </c>
    </row>
    <row r="10049" spans="1:3" x14ac:dyDescent="0.25">
      <c r="A10049" s="1" t="s">
        <v>10048</v>
      </c>
      <c r="C10049" s="3">
        <v>10</v>
      </c>
    </row>
    <row r="10050" spans="1:3" x14ac:dyDescent="0.25">
      <c r="A10050" s="1" t="s">
        <v>10049</v>
      </c>
      <c r="C10050" s="3">
        <v>10</v>
      </c>
    </row>
    <row r="10051" spans="1:3" x14ac:dyDescent="0.25">
      <c r="A10051" s="1" t="s">
        <v>10050</v>
      </c>
      <c r="C10051" s="3">
        <v>10</v>
      </c>
    </row>
    <row r="10052" spans="1:3" x14ac:dyDescent="0.25">
      <c r="A10052" s="1" t="s">
        <v>10051</v>
      </c>
      <c r="C10052" s="3">
        <v>10</v>
      </c>
    </row>
    <row r="10053" spans="1:3" x14ac:dyDescent="0.25">
      <c r="A10053" s="1" t="s">
        <v>10052</v>
      </c>
      <c r="C10053" s="3">
        <v>10</v>
      </c>
    </row>
    <row r="10054" spans="1:3" x14ac:dyDescent="0.25">
      <c r="A10054" s="1" t="s">
        <v>10053</v>
      </c>
      <c r="C10054" s="3">
        <v>10</v>
      </c>
    </row>
    <row r="10055" spans="1:3" x14ac:dyDescent="0.25">
      <c r="A10055" s="1" t="s">
        <v>10054</v>
      </c>
      <c r="C10055" s="3">
        <v>10</v>
      </c>
    </row>
    <row r="10056" spans="1:3" x14ac:dyDescent="0.25">
      <c r="A10056" s="1" t="s">
        <v>10055</v>
      </c>
      <c r="C10056" s="3">
        <v>10</v>
      </c>
    </row>
    <row r="10057" spans="1:3" x14ac:dyDescent="0.25">
      <c r="A10057" s="1" t="s">
        <v>10056</v>
      </c>
      <c r="C10057" s="3">
        <v>10</v>
      </c>
    </row>
    <row r="10058" spans="1:3" x14ac:dyDescent="0.25">
      <c r="A10058" s="1" t="s">
        <v>10057</v>
      </c>
      <c r="C10058" s="3">
        <v>10</v>
      </c>
    </row>
    <row r="10059" spans="1:3" x14ac:dyDescent="0.25">
      <c r="A10059" s="1" t="s">
        <v>10058</v>
      </c>
      <c r="C10059" s="3">
        <v>10</v>
      </c>
    </row>
    <row r="10060" spans="1:3" x14ac:dyDescent="0.25">
      <c r="A10060" s="1" t="s">
        <v>10059</v>
      </c>
      <c r="C10060" s="3">
        <v>10</v>
      </c>
    </row>
    <row r="10061" spans="1:3" x14ac:dyDescent="0.25">
      <c r="A10061" s="1" t="s">
        <v>10060</v>
      </c>
      <c r="C10061" s="3">
        <v>10</v>
      </c>
    </row>
    <row r="10062" spans="1:3" x14ac:dyDescent="0.25">
      <c r="A10062" s="1" t="s">
        <v>10061</v>
      </c>
      <c r="C10062" s="3">
        <v>10</v>
      </c>
    </row>
    <row r="10063" spans="1:3" x14ac:dyDescent="0.25">
      <c r="A10063" s="1" t="s">
        <v>10062</v>
      </c>
      <c r="C10063" s="3">
        <v>10</v>
      </c>
    </row>
    <row r="10064" spans="1:3" x14ac:dyDescent="0.25">
      <c r="A10064" s="1" t="s">
        <v>10063</v>
      </c>
      <c r="C10064" s="3">
        <v>10</v>
      </c>
    </row>
    <row r="10065" spans="1:3" x14ac:dyDescent="0.25">
      <c r="A10065" s="1" t="s">
        <v>10064</v>
      </c>
      <c r="C10065" s="3">
        <v>10</v>
      </c>
    </row>
    <row r="10066" spans="1:3" x14ac:dyDescent="0.25">
      <c r="A10066" s="1" t="s">
        <v>10065</v>
      </c>
      <c r="C10066" s="3">
        <v>10</v>
      </c>
    </row>
    <row r="10067" spans="1:3" x14ac:dyDescent="0.25">
      <c r="A10067" s="1" t="s">
        <v>10066</v>
      </c>
      <c r="C10067" s="3">
        <v>10</v>
      </c>
    </row>
    <row r="10068" spans="1:3" x14ac:dyDescent="0.25">
      <c r="A10068" s="1" t="s">
        <v>10067</v>
      </c>
      <c r="C10068" s="3">
        <v>10</v>
      </c>
    </row>
    <row r="10069" spans="1:3" x14ac:dyDescent="0.25">
      <c r="A10069" s="1" t="s">
        <v>10068</v>
      </c>
      <c r="C10069" s="3">
        <v>10</v>
      </c>
    </row>
    <row r="10070" spans="1:3" x14ac:dyDescent="0.25">
      <c r="A10070" s="1" t="s">
        <v>10069</v>
      </c>
      <c r="C10070" s="3">
        <v>10</v>
      </c>
    </row>
    <row r="10071" spans="1:3" x14ac:dyDescent="0.25">
      <c r="A10071" s="1" t="s">
        <v>10070</v>
      </c>
      <c r="C10071" s="3">
        <v>10</v>
      </c>
    </row>
    <row r="10072" spans="1:3" x14ac:dyDescent="0.25">
      <c r="A10072" s="1" t="s">
        <v>10071</v>
      </c>
      <c r="C10072" s="3">
        <v>10</v>
      </c>
    </row>
    <row r="10073" spans="1:3" x14ac:dyDescent="0.25">
      <c r="A10073" s="1" t="s">
        <v>10072</v>
      </c>
      <c r="C10073" s="3">
        <v>10</v>
      </c>
    </row>
    <row r="10074" spans="1:3" x14ac:dyDescent="0.25">
      <c r="A10074" s="1" t="s">
        <v>10073</v>
      </c>
      <c r="C10074" s="3">
        <v>10</v>
      </c>
    </row>
    <row r="10075" spans="1:3" x14ac:dyDescent="0.25">
      <c r="A10075" s="1" t="s">
        <v>10074</v>
      </c>
      <c r="C10075" s="3">
        <v>10</v>
      </c>
    </row>
    <row r="10076" spans="1:3" x14ac:dyDescent="0.25">
      <c r="A10076" s="1" t="s">
        <v>10075</v>
      </c>
      <c r="C10076" s="3">
        <v>10</v>
      </c>
    </row>
    <row r="10077" spans="1:3" x14ac:dyDescent="0.25">
      <c r="A10077" s="1" t="s">
        <v>10076</v>
      </c>
      <c r="C10077" s="3">
        <v>10</v>
      </c>
    </row>
    <row r="10078" spans="1:3" x14ac:dyDescent="0.25">
      <c r="A10078" s="1" t="s">
        <v>10077</v>
      </c>
      <c r="C10078" s="3">
        <v>10</v>
      </c>
    </row>
    <row r="10079" spans="1:3" x14ac:dyDescent="0.25">
      <c r="A10079" s="1" t="s">
        <v>10078</v>
      </c>
      <c r="C10079" s="3">
        <v>10</v>
      </c>
    </row>
    <row r="10080" spans="1:3" x14ac:dyDescent="0.25">
      <c r="A10080" s="1" t="s">
        <v>10079</v>
      </c>
      <c r="C10080" s="3">
        <v>10</v>
      </c>
    </row>
    <row r="10081" spans="1:3" x14ac:dyDescent="0.25">
      <c r="A10081" s="1" t="s">
        <v>10080</v>
      </c>
      <c r="C10081" s="3">
        <v>10</v>
      </c>
    </row>
    <row r="10082" spans="1:3" x14ac:dyDescent="0.25">
      <c r="A10082" s="1" t="s">
        <v>10081</v>
      </c>
      <c r="C10082" s="3">
        <v>10</v>
      </c>
    </row>
    <row r="10083" spans="1:3" x14ac:dyDescent="0.25">
      <c r="A10083" s="1" t="s">
        <v>10082</v>
      </c>
      <c r="C10083" s="3">
        <v>10</v>
      </c>
    </row>
    <row r="10084" spans="1:3" x14ac:dyDescent="0.25">
      <c r="A10084" s="1" t="s">
        <v>10083</v>
      </c>
      <c r="C10084" s="3">
        <v>10</v>
      </c>
    </row>
    <row r="10085" spans="1:3" x14ac:dyDescent="0.25">
      <c r="A10085" s="1" t="s">
        <v>10084</v>
      </c>
      <c r="C10085" s="3">
        <v>10</v>
      </c>
    </row>
    <row r="10086" spans="1:3" x14ac:dyDescent="0.25">
      <c r="A10086" s="1" t="s">
        <v>10085</v>
      </c>
      <c r="C10086" s="3">
        <v>10</v>
      </c>
    </row>
    <row r="10087" spans="1:3" x14ac:dyDescent="0.25">
      <c r="A10087" s="1" t="s">
        <v>10086</v>
      </c>
      <c r="C10087" s="3">
        <v>10</v>
      </c>
    </row>
    <row r="10088" spans="1:3" x14ac:dyDescent="0.25">
      <c r="A10088" s="1" t="s">
        <v>10087</v>
      </c>
      <c r="C10088" s="3">
        <v>10</v>
      </c>
    </row>
    <row r="10089" spans="1:3" x14ac:dyDescent="0.25">
      <c r="A10089" s="1" t="s">
        <v>10088</v>
      </c>
      <c r="C10089" s="3">
        <v>10</v>
      </c>
    </row>
    <row r="10090" spans="1:3" x14ac:dyDescent="0.25">
      <c r="A10090" s="1" t="s">
        <v>10089</v>
      </c>
      <c r="C10090" s="3">
        <v>10</v>
      </c>
    </row>
    <row r="10091" spans="1:3" x14ac:dyDescent="0.25">
      <c r="A10091" s="1" t="s">
        <v>10090</v>
      </c>
      <c r="C10091" s="3">
        <v>10</v>
      </c>
    </row>
    <row r="10092" spans="1:3" x14ac:dyDescent="0.25">
      <c r="A10092" s="1" t="s">
        <v>10091</v>
      </c>
      <c r="C10092" s="3">
        <v>10</v>
      </c>
    </row>
    <row r="10093" spans="1:3" x14ac:dyDescent="0.25">
      <c r="A10093" s="1" t="s">
        <v>10092</v>
      </c>
      <c r="C10093" s="3">
        <v>10</v>
      </c>
    </row>
    <row r="10094" spans="1:3" x14ac:dyDescent="0.25">
      <c r="A10094" s="1" t="s">
        <v>10093</v>
      </c>
      <c r="C10094" s="3">
        <v>10</v>
      </c>
    </row>
    <row r="10095" spans="1:3" x14ac:dyDescent="0.25">
      <c r="A10095" s="1" t="s">
        <v>10094</v>
      </c>
      <c r="C10095" s="3">
        <v>10</v>
      </c>
    </row>
    <row r="10096" spans="1:3" x14ac:dyDescent="0.25">
      <c r="A10096" s="1" t="s">
        <v>10095</v>
      </c>
      <c r="C10096" s="3">
        <v>10</v>
      </c>
    </row>
    <row r="10097" spans="1:3" x14ac:dyDescent="0.25">
      <c r="A10097" s="1" t="s">
        <v>10096</v>
      </c>
      <c r="C10097" s="3">
        <v>10</v>
      </c>
    </row>
    <row r="10098" spans="1:3" x14ac:dyDescent="0.25">
      <c r="A10098" s="1" t="s">
        <v>10097</v>
      </c>
      <c r="C10098" s="3">
        <v>10</v>
      </c>
    </row>
    <row r="10099" spans="1:3" x14ac:dyDescent="0.25">
      <c r="A10099" s="1" t="s">
        <v>10098</v>
      </c>
      <c r="C10099" s="3">
        <v>10</v>
      </c>
    </row>
    <row r="10100" spans="1:3" x14ac:dyDescent="0.25">
      <c r="A10100" s="1" t="s">
        <v>10099</v>
      </c>
      <c r="C10100" s="3">
        <v>10</v>
      </c>
    </row>
    <row r="10101" spans="1:3" x14ac:dyDescent="0.25">
      <c r="A10101" s="1" t="s">
        <v>10100</v>
      </c>
      <c r="C10101" s="3">
        <v>10</v>
      </c>
    </row>
    <row r="10102" spans="1:3" x14ac:dyDescent="0.25">
      <c r="A10102" s="1" t="s">
        <v>10101</v>
      </c>
      <c r="C10102" s="3">
        <v>10</v>
      </c>
    </row>
    <row r="10103" spans="1:3" x14ac:dyDescent="0.25">
      <c r="A10103" s="1" t="s">
        <v>10102</v>
      </c>
      <c r="C10103" s="3">
        <v>10</v>
      </c>
    </row>
    <row r="10104" spans="1:3" x14ac:dyDescent="0.25">
      <c r="A10104" s="1" t="s">
        <v>10103</v>
      </c>
      <c r="C10104" s="3">
        <v>10</v>
      </c>
    </row>
    <row r="10105" spans="1:3" x14ac:dyDescent="0.25">
      <c r="A10105" s="1" t="s">
        <v>10104</v>
      </c>
      <c r="C10105" s="3">
        <v>10</v>
      </c>
    </row>
    <row r="10106" spans="1:3" x14ac:dyDescent="0.25">
      <c r="A10106" s="1" t="s">
        <v>10105</v>
      </c>
      <c r="C10106" s="3">
        <v>10</v>
      </c>
    </row>
    <row r="10107" spans="1:3" x14ac:dyDescent="0.25">
      <c r="A10107" s="1" t="s">
        <v>10106</v>
      </c>
      <c r="C10107" s="3">
        <v>10</v>
      </c>
    </row>
    <row r="10108" spans="1:3" x14ac:dyDescent="0.25">
      <c r="A10108" s="1" t="s">
        <v>10107</v>
      </c>
      <c r="C10108" s="3">
        <v>10</v>
      </c>
    </row>
    <row r="10109" spans="1:3" x14ac:dyDescent="0.25">
      <c r="A10109" s="1" t="s">
        <v>10108</v>
      </c>
      <c r="C10109" s="3">
        <v>10</v>
      </c>
    </row>
    <row r="10110" spans="1:3" x14ac:dyDescent="0.25">
      <c r="A10110" s="1" t="s">
        <v>10109</v>
      </c>
      <c r="C10110" s="3">
        <v>10</v>
      </c>
    </row>
    <row r="10111" spans="1:3" x14ac:dyDescent="0.25">
      <c r="A10111" s="1" t="s">
        <v>10110</v>
      </c>
      <c r="C10111" s="3">
        <v>10</v>
      </c>
    </row>
    <row r="10112" spans="1:3" x14ac:dyDescent="0.25">
      <c r="A10112" s="1" t="s">
        <v>10111</v>
      </c>
      <c r="C10112" s="3">
        <v>10</v>
      </c>
    </row>
    <row r="10113" spans="1:3" x14ac:dyDescent="0.25">
      <c r="A10113" s="1" t="s">
        <v>10112</v>
      </c>
      <c r="C10113" s="3">
        <v>10</v>
      </c>
    </row>
    <row r="10114" spans="1:3" x14ac:dyDescent="0.25">
      <c r="A10114" s="1" t="s">
        <v>10113</v>
      </c>
      <c r="C10114" s="3">
        <v>10</v>
      </c>
    </row>
    <row r="10115" spans="1:3" x14ac:dyDescent="0.25">
      <c r="A10115" s="1" t="s">
        <v>10114</v>
      </c>
      <c r="C10115" s="3">
        <v>10</v>
      </c>
    </row>
    <row r="10116" spans="1:3" x14ac:dyDescent="0.25">
      <c r="A10116" s="1" t="s">
        <v>10115</v>
      </c>
      <c r="C10116" s="3">
        <v>10</v>
      </c>
    </row>
    <row r="10117" spans="1:3" x14ac:dyDescent="0.25">
      <c r="A10117" s="1" t="s">
        <v>10116</v>
      </c>
      <c r="C10117" s="3">
        <v>10</v>
      </c>
    </row>
    <row r="10118" spans="1:3" x14ac:dyDescent="0.25">
      <c r="A10118" s="1" t="s">
        <v>10117</v>
      </c>
      <c r="C10118" s="3">
        <v>10</v>
      </c>
    </row>
    <row r="10119" spans="1:3" x14ac:dyDescent="0.25">
      <c r="A10119" s="1" t="s">
        <v>10118</v>
      </c>
      <c r="C10119" s="3">
        <v>10</v>
      </c>
    </row>
    <row r="10120" spans="1:3" x14ac:dyDescent="0.25">
      <c r="A10120" s="1" t="s">
        <v>10119</v>
      </c>
      <c r="C10120" s="3">
        <v>10</v>
      </c>
    </row>
    <row r="10121" spans="1:3" x14ac:dyDescent="0.25">
      <c r="A10121" s="1" t="s">
        <v>10120</v>
      </c>
      <c r="C10121" s="3">
        <v>10</v>
      </c>
    </row>
    <row r="10122" spans="1:3" x14ac:dyDescent="0.25">
      <c r="A10122" s="1" t="s">
        <v>10121</v>
      </c>
      <c r="C10122" s="3">
        <v>10</v>
      </c>
    </row>
    <row r="10123" spans="1:3" x14ac:dyDescent="0.25">
      <c r="A10123" s="1" t="s">
        <v>10122</v>
      </c>
      <c r="C10123" s="3">
        <v>10</v>
      </c>
    </row>
    <row r="10124" spans="1:3" x14ac:dyDescent="0.25">
      <c r="A10124" s="1" t="s">
        <v>10123</v>
      </c>
      <c r="C10124" s="3">
        <v>10</v>
      </c>
    </row>
    <row r="10125" spans="1:3" x14ac:dyDescent="0.25">
      <c r="A10125" s="1" t="s">
        <v>10124</v>
      </c>
      <c r="C10125" s="3">
        <v>10</v>
      </c>
    </row>
    <row r="10126" spans="1:3" x14ac:dyDescent="0.25">
      <c r="A10126" s="1" t="s">
        <v>10125</v>
      </c>
      <c r="C10126" s="3">
        <v>10</v>
      </c>
    </row>
    <row r="10127" spans="1:3" x14ac:dyDescent="0.25">
      <c r="A10127" s="1" t="s">
        <v>10126</v>
      </c>
      <c r="C10127" s="3">
        <v>10</v>
      </c>
    </row>
    <row r="10128" spans="1:3" x14ac:dyDescent="0.25">
      <c r="A10128" s="1" t="s">
        <v>10127</v>
      </c>
      <c r="C10128" s="3">
        <v>10</v>
      </c>
    </row>
    <row r="10129" spans="1:3" x14ac:dyDescent="0.25">
      <c r="A10129" s="1" t="s">
        <v>10128</v>
      </c>
      <c r="C10129" s="3">
        <v>10</v>
      </c>
    </row>
    <row r="10130" spans="1:3" x14ac:dyDescent="0.25">
      <c r="A10130" s="1" t="s">
        <v>10129</v>
      </c>
      <c r="C10130" s="3">
        <v>10</v>
      </c>
    </row>
    <row r="10131" spans="1:3" x14ac:dyDescent="0.25">
      <c r="A10131" s="1" t="s">
        <v>10130</v>
      </c>
      <c r="C10131" s="3">
        <v>10</v>
      </c>
    </row>
    <row r="10132" spans="1:3" x14ac:dyDescent="0.25">
      <c r="A10132" s="1" t="s">
        <v>10131</v>
      </c>
      <c r="C10132" s="3">
        <v>10</v>
      </c>
    </row>
    <row r="10133" spans="1:3" x14ac:dyDescent="0.25">
      <c r="A10133" s="1" t="s">
        <v>10132</v>
      </c>
      <c r="C10133" s="3">
        <v>10</v>
      </c>
    </row>
    <row r="10134" spans="1:3" x14ac:dyDescent="0.25">
      <c r="A10134" s="1" t="s">
        <v>10133</v>
      </c>
      <c r="C10134" s="3">
        <v>10</v>
      </c>
    </row>
    <row r="10135" spans="1:3" x14ac:dyDescent="0.25">
      <c r="A10135" s="1" t="s">
        <v>10134</v>
      </c>
      <c r="C10135" s="3">
        <v>10</v>
      </c>
    </row>
    <row r="10136" spans="1:3" x14ac:dyDescent="0.25">
      <c r="A10136" s="1" t="s">
        <v>10135</v>
      </c>
      <c r="C10136" s="3">
        <v>10</v>
      </c>
    </row>
    <row r="10137" spans="1:3" x14ac:dyDescent="0.25">
      <c r="A10137" s="1" t="s">
        <v>10136</v>
      </c>
      <c r="C10137" s="3">
        <v>10</v>
      </c>
    </row>
    <row r="10138" spans="1:3" x14ac:dyDescent="0.25">
      <c r="A10138" s="1" t="s">
        <v>10137</v>
      </c>
      <c r="C10138" s="3">
        <v>10</v>
      </c>
    </row>
    <row r="10139" spans="1:3" x14ac:dyDescent="0.25">
      <c r="A10139" s="1" t="s">
        <v>10138</v>
      </c>
      <c r="C10139" s="3">
        <v>10</v>
      </c>
    </row>
    <row r="10140" spans="1:3" x14ac:dyDescent="0.25">
      <c r="A10140" s="1" t="s">
        <v>10139</v>
      </c>
      <c r="C10140" s="3">
        <v>10</v>
      </c>
    </row>
    <row r="10141" spans="1:3" x14ac:dyDescent="0.25">
      <c r="A10141" s="1" t="s">
        <v>10140</v>
      </c>
      <c r="C10141" s="3">
        <v>10</v>
      </c>
    </row>
    <row r="10142" spans="1:3" x14ac:dyDescent="0.25">
      <c r="A10142" s="1" t="s">
        <v>10141</v>
      </c>
      <c r="C10142" s="3">
        <v>10</v>
      </c>
    </row>
    <row r="10143" spans="1:3" x14ac:dyDescent="0.25">
      <c r="A10143" s="1" t="s">
        <v>10142</v>
      </c>
      <c r="C10143" s="3">
        <v>10</v>
      </c>
    </row>
    <row r="10144" spans="1:3" x14ac:dyDescent="0.25">
      <c r="A10144" s="1" t="s">
        <v>10143</v>
      </c>
      <c r="C10144" s="3">
        <v>10</v>
      </c>
    </row>
    <row r="10145" spans="1:3" x14ac:dyDescent="0.25">
      <c r="A10145" s="1" t="s">
        <v>10144</v>
      </c>
      <c r="C10145" s="3">
        <v>10</v>
      </c>
    </row>
    <row r="10146" spans="1:3" x14ac:dyDescent="0.25">
      <c r="A10146" s="1" t="s">
        <v>10145</v>
      </c>
      <c r="C10146" s="3">
        <v>10</v>
      </c>
    </row>
    <row r="10147" spans="1:3" x14ac:dyDescent="0.25">
      <c r="A10147" s="1" t="s">
        <v>10146</v>
      </c>
      <c r="C10147" s="3">
        <v>10</v>
      </c>
    </row>
    <row r="10148" spans="1:3" x14ac:dyDescent="0.25">
      <c r="A10148" s="1" t="s">
        <v>10147</v>
      </c>
      <c r="C10148" s="3">
        <v>10</v>
      </c>
    </row>
    <row r="10149" spans="1:3" x14ac:dyDescent="0.25">
      <c r="A10149" s="1" t="s">
        <v>10148</v>
      </c>
      <c r="C10149" s="3">
        <v>10</v>
      </c>
    </row>
    <row r="10150" spans="1:3" x14ac:dyDescent="0.25">
      <c r="A10150" s="1" t="s">
        <v>10149</v>
      </c>
      <c r="C10150" s="3">
        <v>10</v>
      </c>
    </row>
    <row r="10151" spans="1:3" x14ac:dyDescent="0.25">
      <c r="A10151" s="1" t="s">
        <v>10150</v>
      </c>
      <c r="C10151" s="3">
        <v>10</v>
      </c>
    </row>
    <row r="10152" spans="1:3" x14ac:dyDescent="0.25">
      <c r="A10152" s="1" t="s">
        <v>10151</v>
      </c>
      <c r="C10152" s="3">
        <v>10</v>
      </c>
    </row>
    <row r="10153" spans="1:3" x14ac:dyDescent="0.25">
      <c r="A10153" s="1" t="s">
        <v>10152</v>
      </c>
      <c r="C10153" s="3">
        <v>10</v>
      </c>
    </row>
    <row r="10154" spans="1:3" x14ac:dyDescent="0.25">
      <c r="A10154" s="1" t="s">
        <v>10153</v>
      </c>
      <c r="C10154" s="3">
        <v>10</v>
      </c>
    </row>
    <row r="10155" spans="1:3" x14ac:dyDescent="0.25">
      <c r="A10155" s="1" t="s">
        <v>10154</v>
      </c>
      <c r="C10155" s="3">
        <v>10</v>
      </c>
    </row>
    <row r="10156" spans="1:3" x14ac:dyDescent="0.25">
      <c r="A10156" s="1" t="s">
        <v>10155</v>
      </c>
      <c r="C10156" s="3">
        <v>10</v>
      </c>
    </row>
    <row r="10157" spans="1:3" x14ac:dyDescent="0.25">
      <c r="A10157" s="1" t="s">
        <v>10156</v>
      </c>
      <c r="C10157" s="3">
        <v>10</v>
      </c>
    </row>
    <row r="10158" spans="1:3" x14ac:dyDescent="0.25">
      <c r="A10158" s="1" t="s">
        <v>10157</v>
      </c>
      <c r="C10158" s="3">
        <v>10</v>
      </c>
    </row>
    <row r="10159" spans="1:3" x14ac:dyDescent="0.25">
      <c r="A10159" s="1" t="s">
        <v>10158</v>
      </c>
      <c r="C10159" s="3">
        <v>10</v>
      </c>
    </row>
    <row r="10160" spans="1:3" x14ac:dyDescent="0.25">
      <c r="A10160" s="1" t="s">
        <v>10159</v>
      </c>
      <c r="C10160" s="3">
        <v>10</v>
      </c>
    </row>
    <row r="10161" spans="1:3" x14ac:dyDescent="0.25">
      <c r="A10161" s="1" t="s">
        <v>10160</v>
      </c>
      <c r="C10161" s="3">
        <v>10</v>
      </c>
    </row>
    <row r="10162" spans="1:3" x14ac:dyDescent="0.25">
      <c r="A10162" s="1" t="s">
        <v>10161</v>
      </c>
      <c r="C10162" s="3">
        <v>10</v>
      </c>
    </row>
    <row r="10163" spans="1:3" x14ac:dyDescent="0.25">
      <c r="A10163" s="1" t="s">
        <v>10162</v>
      </c>
      <c r="C10163" s="3">
        <v>10</v>
      </c>
    </row>
    <row r="10164" spans="1:3" x14ac:dyDescent="0.25">
      <c r="A10164" s="1" t="s">
        <v>10163</v>
      </c>
      <c r="C10164" s="3">
        <v>10</v>
      </c>
    </row>
    <row r="10165" spans="1:3" x14ac:dyDescent="0.25">
      <c r="A10165" s="1" t="s">
        <v>10164</v>
      </c>
      <c r="C10165" s="3">
        <v>10</v>
      </c>
    </row>
    <row r="10166" spans="1:3" x14ac:dyDescent="0.25">
      <c r="A10166" s="1" t="s">
        <v>10165</v>
      </c>
      <c r="C10166" s="3">
        <v>10</v>
      </c>
    </row>
    <row r="10167" spans="1:3" x14ac:dyDescent="0.25">
      <c r="A10167" s="1" t="s">
        <v>10166</v>
      </c>
      <c r="C10167" s="3">
        <v>10</v>
      </c>
    </row>
    <row r="10168" spans="1:3" x14ac:dyDescent="0.25">
      <c r="A10168" s="1" t="s">
        <v>10167</v>
      </c>
      <c r="C10168" s="3">
        <v>10</v>
      </c>
    </row>
    <row r="10169" spans="1:3" x14ac:dyDescent="0.25">
      <c r="A10169" s="1" t="s">
        <v>10168</v>
      </c>
      <c r="C10169" s="3">
        <v>10</v>
      </c>
    </row>
    <row r="10170" spans="1:3" x14ac:dyDescent="0.25">
      <c r="A10170" s="1" t="s">
        <v>10169</v>
      </c>
      <c r="C10170" s="3">
        <v>10</v>
      </c>
    </row>
    <row r="10171" spans="1:3" x14ac:dyDescent="0.25">
      <c r="A10171" s="1" t="s">
        <v>10170</v>
      </c>
      <c r="C10171" s="3">
        <v>10</v>
      </c>
    </row>
    <row r="10172" spans="1:3" x14ac:dyDescent="0.25">
      <c r="A10172" s="1" t="s">
        <v>10171</v>
      </c>
      <c r="C10172" s="3">
        <v>10</v>
      </c>
    </row>
    <row r="10173" spans="1:3" x14ac:dyDescent="0.25">
      <c r="A10173" s="1" t="s">
        <v>10172</v>
      </c>
      <c r="C10173" s="3">
        <v>10</v>
      </c>
    </row>
    <row r="10174" spans="1:3" x14ac:dyDescent="0.25">
      <c r="A10174" s="1" t="s">
        <v>10173</v>
      </c>
      <c r="C10174" s="3">
        <v>10</v>
      </c>
    </row>
    <row r="10175" spans="1:3" x14ac:dyDescent="0.25">
      <c r="A10175" s="1" t="s">
        <v>10174</v>
      </c>
      <c r="C10175" s="3">
        <v>10</v>
      </c>
    </row>
    <row r="10176" spans="1:3" x14ac:dyDescent="0.25">
      <c r="A10176" s="1" t="s">
        <v>10175</v>
      </c>
      <c r="C10176" s="3">
        <v>10</v>
      </c>
    </row>
    <row r="10177" spans="1:3" x14ac:dyDescent="0.25">
      <c r="A10177" s="1" t="s">
        <v>10176</v>
      </c>
      <c r="C10177" s="3">
        <v>10</v>
      </c>
    </row>
    <row r="10178" spans="1:3" x14ac:dyDescent="0.25">
      <c r="A10178" s="1" t="s">
        <v>10177</v>
      </c>
      <c r="C10178" s="3">
        <v>10</v>
      </c>
    </row>
    <row r="10179" spans="1:3" x14ac:dyDescent="0.25">
      <c r="A10179" s="1" t="s">
        <v>10178</v>
      </c>
      <c r="C10179" s="3">
        <v>10</v>
      </c>
    </row>
    <row r="10180" spans="1:3" x14ac:dyDescent="0.25">
      <c r="A10180" s="1" t="s">
        <v>10179</v>
      </c>
      <c r="C10180" s="3">
        <v>10</v>
      </c>
    </row>
    <row r="10181" spans="1:3" x14ac:dyDescent="0.25">
      <c r="A10181" s="1" t="s">
        <v>10180</v>
      </c>
      <c r="C10181" s="3">
        <v>10</v>
      </c>
    </row>
    <row r="10182" spans="1:3" x14ac:dyDescent="0.25">
      <c r="A10182" s="1" t="s">
        <v>10181</v>
      </c>
      <c r="C10182" s="3">
        <v>10</v>
      </c>
    </row>
    <row r="10183" spans="1:3" x14ac:dyDescent="0.25">
      <c r="A10183" s="1" t="s">
        <v>10182</v>
      </c>
      <c r="C10183" s="3">
        <v>10</v>
      </c>
    </row>
    <row r="10184" spans="1:3" x14ac:dyDescent="0.25">
      <c r="A10184" s="1" t="s">
        <v>10183</v>
      </c>
      <c r="C10184" s="3">
        <v>10</v>
      </c>
    </row>
    <row r="10185" spans="1:3" x14ac:dyDescent="0.25">
      <c r="A10185" s="1" t="s">
        <v>10184</v>
      </c>
      <c r="C10185" s="3">
        <v>10</v>
      </c>
    </row>
    <row r="10186" spans="1:3" x14ac:dyDescent="0.25">
      <c r="A10186" s="1" t="s">
        <v>10185</v>
      </c>
      <c r="C10186" s="3">
        <v>10</v>
      </c>
    </row>
    <row r="10187" spans="1:3" x14ac:dyDescent="0.25">
      <c r="A10187" s="1" t="s">
        <v>10186</v>
      </c>
      <c r="C10187" s="3">
        <v>10</v>
      </c>
    </row>
    <row r="10188" spans="1:3" x14ac:dyDescent="0.25">
      <c r="A10188" s="1" t="s">
        <v>10187</v>
      </c>
      <c r="C10188" s="3">
        <v>10</v>
      </c>
    </row>
    <row r="10189" spans="1:3" x14ac:dyDescent="0.25">
      <c r="A10189" s="1" t="s">
        <v>10188</v>
      </c>
      <c r="C10189" s="3">
        <v>10</v>
      </c>
    </row>
    <row r="10190" spans="1:3" x14ac:dyDescent="0.25">
      <c r="A10190" s="1" t="s">
        <v>10189</v>
      </c>
      <c r="C10190" s="3">
        <v>10</v>
      </c>
    </row>
    <row r="10191" spans="1:3" x14ac:dyDescent="0.25">
      <c r="A10191" s="1" t="s">
        <v>10190</v>
      </c>
      <c r="C10191" s="3">
        <v>10</v>
      </c>
    </row>
    <row r="10192" spans="1:3" x14ac:dyDescent="0.25">
      <c r="A10192" s="1" t="s">
        <v>10191</v>
      </c>
      <c r="C10192" s="3">
        <v>10</v>
      </c>
    </row>
    <row r="10193" spans="1:3" x14ac:dyDescent="0.25">
      <c r="A10193" s="1" t="s">
        <v>10192</v>
      </c>
      <c r="C10193" s="3">
        <v>10</v>
      </c>
    </row>
    <row r="10194" spans="1:3" x14ac:dyDescent="0.25">
      <c r="A10194" s="1" t="s">
        <v>10193</v>
      </c>
      <c r="C10194" s="3">
        <v>10</v>
      </c>
    </row>
    <row r="10195" spans="1:3" x14ac:dyDescent="0.25">
      <c r="A10195" s="1" t="s">
        <v>10194</v>
      </c>
      <c r="C10195" s="3">
        <v>10</v>
      </c>
    </row>
    <row r="10196" spans="1:3" x14ac:dyDescent="0.25">
      <c r="A10196" s="1" t="s">
        <v>10195</v>
      </c>
      <c r="C10196" s="3">
        <v>10</v>
      </c>
    </row>
    <row r="10197" spans="1:3" x14ac:dyDescent="0.25">
      <c r="A10197" s="1" t="s">
        <v>10196</v>
      </c>
      <c r="C10197" s="3">
        <v>10</v>
      </c>
    </row>
    <row r="10198" spans="1:3" x14ac:dyDescent="0.25">
      <c r="A10198" s="1" t="s">
        <v>10197</v>
      </c>
      <c r="C10198" s="3">
        <v>10</v>
      </c>
    </row>
    <row r="10199" spans="1:3" x14ac:dyDescent="0.25">
      <c r="A10199" s="1" t="s">
        <v>10198</v>
      </c>
      <c r="C10199" s="3">
        <v>10</v>
      </c>
    </row>
    <row r="10200" spans="1:3" x14ac:dyDescent="0.25">
      <c r="A10200" s="1" t="s">
        <v>10199</v>
      </c>
      <c r="C10200" s="3">
        <v>10</v>
      </c>
    </row>
    <row r="10201" spans="1:3" x14ac:dyDescent="0.25">
      <c r="A10201" s="1" t="s">
        <v>10200</v>
      </c>
      <c r="C10201" s="3">
        <v>10</v>
      </c>
    </row>
    <row r="10202" spans="1:3" x14ac:dyDescent="0.25">
      <c r="A10202" s="1" t="s">
        <v>10201</v>
      </c>
      <c r="C10202" s="3">
        <v>10</v>
      </c>
    </row>
    <row r="10203" spans="1:3" x14ac:dyDescent="0.25">
      <c r="A10203" s="1" t="s">
        <v>10202</v>
      </c>
      <c r="C10203" s="3">
        <v>10</v>
      </c>
    </row>
    <row r="10204" spans="1:3" x14ac:dyDescent="0.25">
      <c r="A10204" s="1" t="s">
        <v>10203</v>
      </c>
      <c r="C10204" s="3">
        <v>10</v>
      </c>
    </row>
    <row r="10205" spans="1:3" x14ac:dyDescent="0.25">
      <c r="A10205" s="1" t="s">
        <v>10204</v>
      </c>
      <c r="C10205" s="3">
        <v>10</v>
      </c>
    </row>
    <row r="10206" spans="1:3" x14ac:dyDescent="0.25">
      <c r="A10206" s="1" t="s">
        <v>10205</v>
      </c>
      <c r="C10206" s="3">
        <v>10</v>
      </c>
    </row>
    <row r="10207" spans="1:3" x14ac:dyDescent="0.25">
      <c r="A10207" s="1" t="s">
        <v>10206</v>
      </c>
      <c r="C10207" s="3">
        <v>10</v>
      </c>
    </row>
    <row r="10208" spans="1:3" x14ac:dyDescent="0.25">
      <c r="A10208" s="1" t="s">
        <v>10207</v>
      </c>
      <c r="C10208" s="3">
        <v>10</v>
      </c>
    </row>
    <row r="10209" spans="1:3" x14ac:dyDescent="0.25">
      <c r="A10209" s="1" t="s">
        <v>10208</v>
      </c>
      <c r="C10209" s="3">
        <v>10</v>
      </c>
    </row>
    <row r="10210" spans="1:3" x14ac:dyDescent="0.25">
      <c r="A10210" s="1" t="s">
        <v>10209</v>
      </c>
      <c r="C10210" s="3">
        <v>10</v>
      </c>
    </row>
    <row r="10211" spans="1:3" x14ac:dyDescent="0.25">
      <c r="A10211" s="1" t="s">
        <v>10210</v>
      </c>
      <c r="C10211" s="3">
        <v>10</v>
      </c>
    </row>
    <row r="10212" spans="1:3" x14ac:dyDescent="0.25">
      <c r="A10212" s="1" t="s">
        <v>10211</v>
      </c>
      <c r="C10212" s="3">
        <v>10</v>
      </c>
    </row>
    <row r="10213" spans="1:3" x14ac:dyDescent="0.25">
      <c r="A10213" s="1" t="s">
        <v>10212</v>
      </c>
      <c r="C10213" s="3">
        <v>10</v>
      </c>
    </row>
    <row r="10214" spans="1:3" x14ac:dyDescent="0.25">
      <c r="A10214" s="1" t="s">
        <v>10213</v>
      </c>
      <c r="C10214" s="3">
        <v>10</v>
      </c>
    </row>
    <row r="10215" spans="1:3" x14ac:dyDescent="0.25">
      <c r="A10215" s="1" t="s">
        <v>10214</v>
      </c>
      <c r="C10215" s="3">
        <v>10</v>
      </c>
    </row>
    <row r="10216" spans="1:3" x14ac:dyDescent="0.25">
      <c r="A10216" s="1" t="s">
        <v>10215</v>
      </c>
      <c r="C10216" s="3">
        <v>10</v>
      </c>
    </row>
    <row r="10217" spans="1:3" x14ac:dyDescent="0.25">
      <c r="A10217" s="1" t="s">
        <v>10216</v>
      </c>
      <c r="C10217" s="3">
        <v>10</v>
      </c>
    </row>
    <row r="10218" spans="1:3" x14ac:dyDescent="0.25">
      <c r="A10218" s="1" t="s">
        <v>10217</v>
      </c>
      <c r="C10218" s="3">
        <v>10</v>
      </c>
    </row>
    <row r="10219" spans="1:3" x14ac:dyDescent="0.25">
      <c r="A10219" s="1" t="s">
        <v>10218</v>
      </c>
      <c r="C10219" s="3">
        <v>10</v>
      </c>
    </row>
    <row r="10220" spans="1:3" x14ac:dyDescent="0.25">
      <c r="A10220" s="1" t="s">
        <v>10219</v>
      </c>
      <c r="C10220" s="3">
        <v>10</v>
      </c>
    </row>
    <row r="10221" spans="1:3" x14ac:dyDescent="0.25">
      <c r="A10221" s="1" t="s">
        <v>10220</v>
      </c>
      <c r="C10221" s="3">
        <v>10</v>
      </c>
    </row>
    <row r="10222" spans="1:3" x14ac:dyDescent="0.25">
      <c r="A10222" s="1" t="s">
        <v>10221</v>
      </c>
      <c r="C10222" s="3">
        <v>10</v>
      </c>
    </row>
    <row r="10223" spans="1:3" x14ac:dyDescent="0.25">
      <c r="A10223" s="1" t="s">
        <v>10222</v>
      </c>
      <c r="C10223" s="3">
        <v>10</v>
      </c>
    </row>
    <row r="10224" spans="1:3" x14ac:dyDescent="0.25">
      <c r="A10224" s="1" t="s">
        <v>10223</v>
      </c>
      <c r="C10224" s="3">
        <v>10</v>
      </c>
    </row>
    <row r="10225" spans="1:3" x14ac:dyDescent="0.25">
      <c r="A10225" s="1" t="s">
        <v>10224</v>
      </c>
      <c r="C10225" s="3">
        <v>10</v>
      </c>
    </row>
    <row r="10226" spans="1:3" x14ac:dyDescent="0.25">
      <c r="A10226" s="1" t="s">
        <v>10225</v>
      </c>
      <c r="C10226" s="3">
        <v>10</v>
      </c>
    </row>
    <row r="10227" spans="1:3" x14ac:dyDescent="0.25">
      <c r="A10227" s="1" t="s">
        <v>10226</v>
      </c>
      <c r="C10227" s="3">
        <v>10</v>
      </c>
    </row>
    <row r="10228" spans="1:3" x14ac:dyDescent="0.25">
      <c r="A10228" s="1" t="s">
        <v>10227</v>
      </c>
      <c r="C10228" s="3">
        <v>10</v>
      </c>
    </row>
    <row r="10229" spans="1:3" x14ac:dyDescent="0.25">
      <c r="A10229" s="1" t="s">
        <v>10228</v>
      </c>
      <c r="C10229" s="3">
        <v>10</v>
      </c>
    </row>
    <row r="10230" spans="1:3" x14ac:dyDescent="0.25">
      <c r="A10230" s="1" t="s">
        <v>10229</v>
      </c>
      <c r="C10230" s="3">
        <v>10</v>
      </c>
    </row>
    <row r="10231" spans="1:3" x14ac:dyDescent="0.25">
      <c r="A10231" s="1" t="s">
        <v>10230</v>
      </c>
      <c r="C10231" s="3">
        <v>10</v>
      </c>
    </row>
    <row r="10232" spans="1:3" x14ac:dyDescent="0.25">
      <c r="A10232" s="1" t="s">
        <v>10231</v>
      </c>
      <c r="C10232" s="3">
        <v>10</v>
      </c>
    </row>
    <row r="10233" spans="1:3" x14ac:dyDescent="0.25">
      <c r="A10233" s="1" t="s">
        <v>10232</v>
      </c>
      <c r="C10233" s="3">
        <v>10</v>
      </c>
    </row>
    <row r="10234" spans="1:3" x14ac:dyDescent="0.25">
      <c r="A10234" s="1" t="s">
        <v>10233</v>
      </c>
      <c r="C10234" s="3">
        <v>10</v>
      </c>
    </row>
    <row r="10235" spans="1:3" x14ac:dyDescent="0.25">
      <c r="A10235" s="1" t="s">
        <v>10234</v>
      </c>
      <c r="C10235" s="3">
        <v>10</v>
      </c>
    </row>
    <row r="10236" spans="1:3" x14ac:dyDescent="0.25">
      <c r="A10236" s="1" t="s">
        <v>10235</v>
      </c>
      <c r="C10236" s="3">
        <v>10</v>
      </c>
    </row>
    <row r="10237" spans="1:3" x14ac:dyDescent="0.25">
      <c r="A10237" s="1" t="s">
        <v>10236</v>
      </c>
      <c r="C10237" s="3">
        <v>10</v>
      </c>
    </row>
    <row r="10238" spans="1:3" x14ac:dyDescent="0.25">
      <c r="A10238" s="1" t="s">
        <v>10237</v>
      </c>
      <c r="C10238" s="3">
        <v>10</v>
      </c>
    </row>
    <row r="10239" spans="1:3" x14ac:dyDescent="0.25">
      <c r="A10239" s="1" t="s">
        <v>10238</v>
      </c>
      <c r="C10239" s="3">
        <v>10</v>
      </c>
    </row>
    <row r="10240" spans="1:3" x14ac:dyDescent="0.25">
      <c r="A10240" s="1" t="s">
        <v>10239</v>
      </c>
      <c r="C10240" s="3">
        <v>10</v>
      </c>
    </row>
    <row r="10241" spans="1:3" x14ac:dyDescent="0.25">
      <c r="A10241" s="1" t="s">
        <v>10240</v>
      </c>
      <c r="C10241" s="3">
        <v>10</v>
      </c>
    </row>
    <row r="10242" spans="1:3" x14ac:dyDescent="0.25">
      <c r="A10242" s="1" t="s">
        <v>10241</v>
      </c>
      <c r="C10242" s="3">
        <v>10</v>
      </c>
    </row>
    <row r="10243" spans="1:3" x14ac:dyDescent="0.25">
      <c r="A10243" s="1" t="s">
        <v>10242</v>
      </c>
      <c r="C10243" s="3">
        <v>10</v>
      </c>
    </row>
    <row r="10244" spans="1:3" x14ac:dyDescent="0.25">
      <c r="A10244" s="1" t="s">
        <v>10243</v>
      </c>
      <c r="C10244" s="3">
        <v>10</v>
      </c>
    </row>
    <row r="10245" spans="1:3" x14ac:dyDescent="0.25">
      <c r="A10245" s="1" t="s">
        <v>10244</v>
      </c>
      <c r="C10245" s="3">
        <v>10</v>
      </c>
    </row>
    <row r="10246" spans="1:3" x14ac:dyDescent="0.25">
      <c r="A10246" s="1" t="s">
        <v>10245</v>
      </c>
      <c r="C10246" s="3">
        <v>10</v>
      </c>
    </row>
    <row r="10247" spans="1:3" x14ac:dyDescent="0.25">
      <c r="A10247" s="1" t="s">
        <v>10246</v>
      </c>
      <c r="C10247" s="3">
        <v>10</v>
      </c>
    </row>
    <row r="10248" spans="1:3" x14ac:dyDescent="0.25">
      <c r="A10248" s="1" t="s">
        <v>10247</v>
      </c>
      <c r="C10248" s="3">
        <v>10</v>
      </c>
    </row>
    <row r="10249" spans="1:3" x14ac:dyDescent="0.25">
      <c r="A10249" s="1" t="s">
        <v>10248</v>
      </c>
      <c r="C10249" s="3">
        <v>10</v>
      </c>
    </row>
    <row r="10250" spans="1:3" x14ac:dyDescent="0.25">
      <c r="A10250" s="1" t="s">
        <v>10249</v>
      </c>
      <c r="C10250" s="3">
        <v>10</v>
      </c>
    </row>
    <row r="10251" spans="1:3" x14ac:dyDescent="0.25">
      <c r="A10251" s="1" t="s">
        <v>10250</v>
      </c>
      <c r="C10251" s="3">
        <v>10</v>
      </c>
    </row>
    <row r="10252" spans="1:3" x14ac:dyDescent="0.25">
      <c r="A10252" s="1" t="s">
        <v>10251</v>
      </c>
      <c r="C10252" s="3">
        <v>10</v>
      </c>
    </row>
    <row r="10253" spans="1:3" x14ac:dyDescent="0.25">
      <c r="A10253" s="1" t="s">
        <v>10252</v>
      </c>
      <c r="C10253" s="3">
        <v>10</v>
      </c>
    </row>
    <row r="10254" spans="1:3" x14ac:dyDescent="0.25">
      <c r="A10254" s="1" t="s">
        <v>10253</v>
      </c>
      <c r="C10254" s="3">
        <v>10</v>
      </c>
    </row>
    <row r="10255" spans="1:3" x14ac:dyDescent="0.25">
      <c r="A10255" s="1" t="s">
        <v>10254</v>
      </c>
      <c r="C10255" s="3">
        <v>10</v>
      </c>
    </row>
    <row r="10256" spans="1:3" x14ac:dyDescent="0.25">
      <c r="A10256" s="1" t="s">
        <v>10255</v>
      </c>
      <c r="C10256" s="3">
        <v>10</v>
      </c>
    </row>
    <row r="10257" spans="1:3" x14ac:dyDescent="0.25">
      <c r="A10257" s="1" t="s">
        <v>10256</v>
      </c>
      <c r="C10257" s="3">
        <v>10</v>
      </c>
    </row>
    <row r="10258" spans="1:3" x14ac:dyDescent="0.25">
      <c r="A10258" s="1" t="s">
        <v>10257</v>
      </c>
      <c r="C10258" s="3">
        <v>10</v>
      </c>
    </row>
    <row r="10259" spans="1:3" x14ac:dyDescent="0.25">
      <c r="A10259" s="1" t="s">
        <v>10258</v>
      </c>
      <c r="C10259" s="3">
        <v>10</v>
      </c>
    </row>
    <row r="10260" spans="1:3" x14ac:dyDescent="0.25">
      <c r="A10260" s="1" t="s">
        <v>10259</v>
      </c>
      <c r="C10260" s="3">
        <v>10</v>
      </c>
    </row>
    <row r="10261" spans="1:3" x14ac:dyDescent="0.25">
      <c r="A10261" s="1" t="s">
        <v>10260</v>
      </c>
      <c r="C10261" s="3">
        <v>10</v>
      </c>
    </row>
    <row r="10262" spans="1:3" x14ac:dyDescent="0.25">
      <c r="A10262" s="1" t="s">
        <v>10261</v>
      </c>
      <c r="C10262" s="3">
        <v>10</v>
      </c>
    </row>
    <row r="10263" spans="1:3" x14ac:dyDescent="0.25">
      <c r="A10263" s="1" t="s">
        <v>10262</v>
      </c>
      <c r="C10263" s="3">
        <v>10</v>
      </c>
    </row>
    <row r="10264" spans="1:3" x14ac:dyDescent="0.25">
      <c r="A10264" s="1" t="s">
        <v>10263</v>
      </c>
      <c r="C10264" s="3">
        <v>10</v>
      </c>
    </row>
    <row r="10265" spans="1:3" x14ac:dyDescent="0.25">
      <c r="A10265" s="1" t="s">
        <v>10264</v>
      </c>
      <c r="C10265" s="3">
        <v>10</v>
      </c>
    </row>
    <row r="10266" spans="1:3" x14ac:dyDescent="0.25">
      <c r="A10266" s="1" t="s">
        <v>10265</v>
      </c>
      <c r="C10266" s="3">
        <v>10</v>
      </c>
    </row>
    <row r="10267" spans="1:3" x14ac:dyDescent="0.25">
      <c r="A10267" s="1" t="s">
        <v>10266</v>
      </c>
      <c r="C10267" s="3">
        <v>10</v>
      </c>
    </row>
    <row r="10268" spans="1:3" x14ac:dyDescent="0.25">
      <c r="A10268" s="1" t="s">
        <v>10267</v>
      </c>
      <c r="C10268" s="3">
        <v>10</v>
      </c>
    </row>
    <row r="10269" spans="1:3" x14ac:dyDescent="0.25">
      <c r="A10269" s="1" t="s">
        <v>10268</v>
      </c>
      <c r="C10269" s="3">
        <v>10</v>
      </c>
    </row>
    <row r="10270" spans="1:3" x14ac:dyDescent="0.25">
      <c r="A10270" s="1" t="s">
        <v>10269</v>
      </c>
      <c r="C10270" s="3">
        <v>10</v>
      </c>
    </row>
    <row r="10271" spans="1:3" x14ac:dyDescent="0.25">
      <c r="A10271" s="1" t="s">
        <v>10270</v>
      </c>
      <c r="C10271" s="3">
        <v>10</v>
      </c>
    </row>
    <row r="10272" spans="1:3" x14ac:dyDescent="0.25">
      <c r="A10272" s="1" t="s">
        <v>10271</v>
      </c>
      <c r="C10272" s="3">
        <v>10</v>
      </c>
    </row>
    <row r="10273" spans="1:3" x14ac:dyDescent="0.25">
      <c r="A10273" s="1" t="s">
        <v>10272</v>
      </c>
      <c r="C10273" s="3">
        <v>10</v>
      </c>
    </row>
    <row r="10274" spans="1:3" x14ac:dyDescent="0.25">
      <c r="A10274" s="1" t="s">
        <v>10273</v>
      </c>
      <c r="C10274" s="3">
        <v>10</v>
      </c>
    </row>
    <row r="10275" spans="1:3" x14ac:dyDescent="0.25">
      <c r="A10275" s="1" t="s">
        <v>10274</v>
      </c>
      <c r="C10275" s="3">
        <v>10</v>
      </c>
    </row>
    <row r="10276" spans="1:3" x14ac:dyDescent="0.25">
      <c r="A10276" s="1" t="s">
        <v>10275</v>
      </c>
      <c r="C10276" s="3">
        <v>10</v>
      </c>
    </row>
    <row r="10277" spans="1:3" x14ac:dyDescent="0.25">
      <c r="A10277" s="1" t="s">
        <v>10276</v>
      </c>
      <c r="C10277" s="3">
        <v>10</v>
      </c>
    </row>
    <row r="10278" spans="1:3" x14ac:dyDescent="0.25">
      <c r="A10278" s="1" t="s">
        <v>10277</v>
      </c>
      <c r="C10278" s="3">
        <v>10</v>
      </c>
    </row>
    <row r="10279" spans="1:3" x14ac:dyDescent="0.25">
      <c r="A10279" s="1" t="s">
        <v>10278</v>
      </c>
      <c r="C10279" s="3">
        <v>10</v>
      </c>
    </row>
    <row r="10280" spans="1:3" x14ac:dyDescent="0.25">
      <c r="A10280" s="1" t="s">
        <v>10279</v>
      </c>
      <c r="C10280" s="3">
        <v>10</v>
      </c>
    </row>
    <row r="10281" spans="1:3" x14ac:dyDescent="0.25">
      <c r="A10281" s="1" t="s">
        <v>10280</v>
      </c>
      <c r="C10281" s="3">
        <v>10</v>
      </c>
    </row>
    <row r="10282" spans="1:3" x14ac:dyDescent="0.25">
      <c r="A10282" s="1" t="s">
        <v>10281</v>
      </c>
      <c r="C10282" s="3">
        <v>10</v>
      </c>
    </row>
    <row r="10283" spans="1:3" x14ac:dyDescent="0.25">
      <c r="A10283" s="1" t="s">
        <v>10282</v>
      </c>
      <c r="C10283" s="3">
        <v>10</v>
      </c>
    </row>
    <row r="10284" spans="1:3" x14ac:dyDescent="0.25">
      <c r="A10284" s="1" t="s">
        <v>10283</v>
      </c>
      <c r="C10284" s="3">
        <v>10</v>
      </c>
    </row>
    <row r="10285" spans="1:3" x14ac:dyDescent="0.25">
      <c r="A10285" s="1" t="s">
        <v>10284</v>
      </c>
      <c r="C10285" s="3">
        <v>10</v>
      </c>
    </row>
    <row r="10286" spans="1:3" x14ac:dyDescent="0.25">
      <c r="A10286" s="1" t="s">
        <v>10285</v>
      </c>
      <c r="C10286" s="3">
        <v>10</v>
      </c>
    </row>
    <row r="10287" spans="1:3" x14ac:dyDescent="0.25">
      <c r="A10287" s="1" t="s">
        <v>10286</v>
      </c>
      <c r="C10287" s="3">
        <v>10</v>
      </c>
    </row>
    <row r="10288" spans="1:3" x14ac:dyDescent="0.25">
      <c r="A10288" s="1" t="s">
        <v>10287</v>
      </c>
      <c r="C10288" s="3">
        <v>10</v>
      </c>
    </row>
    <row r="10289" spans="1:3" x14ac:dyDescent="0.25">
      <c r="A10289" s="1" t="s">
        <v>10288</v>
      </c>
      <c r="C10289" s="3">
        <v>10</v>
      </c>
    </row>
    <row r="10290" spans="1:3" x14ac:dyDescent="0.25">
      <c r="A10290" s="1" t="s">
        <v>10289</v>
      </c>
      <c r="C10290" s="3">
        <v>10</v>
      </c>
    </row>
    <row r="10291" spans="1:3" x14ac:dyDescent="0.25">
      <c r="A10291" s="1" t="s">
        <v>10290</v>
      </c>
      <c r="C10291" s="3">
        <v>10</v>
      </c>
    </row>
    <row r="10292" spans="1:3" x14ac:dyDescent="0.25">
      <c r="A10292" s="1" t="s">
        <v>10291</v>
      </c>
      <c r="C10292" s="3">
        <v>10</v>
      </c>
    </row>
    <row r="10293" spans="1:3" x14ac:dyDescent="0.25">
      <c r="A10293" s="1" t="s">
        <v>10292</v>
      </c>
      <c r="C10293" s="3">
        <v>10</v>
      </c>
    </row>
    <row r="10294" spans="1:3" x14ac:dyDescent="0.25">
      <c r="A10294" s="1" t="s">
        <v>10293</v>
      </c>
      <c r="C10294" s="3">
        <v>10</v>
      </c>
    </row>
    <row r="10295" spans="1:3" x14ac:dyDescent="0.25">
      <c r="A10295" s="1" t="s">
        <v>10294</v>
      </c>
      <c r="C10295" s="3">
        <v>10</v>
      </c>
    </row>
    <row r="10296" spans="1:3" x14ac:dyDescent="0.25">
      <c r="A10296" s="1" t="s">
        <v>10295</v>
      </c>
      <c r="C10296" s="3">
        <v>10</v>
      </c>
    </row>
    <row r="10297" spans="1:3" x14ac:dyDescent="0.25">
      <c r="A10297" s="1" t="s">
        <v>10296</v>
      </c>
      <c r="C10297" s="3">
        <v>10</v>
      </c>
    </row>
    <row r="10298" spans="1:3" x14ac:dyDescent="0.25">
      <c r="A10298" s="1" t="s">
        <v>10297</v>
      </c>
      <c r="C10298" s="3">
        <v>10</v>
      </c>
    </row>
    <row r="10299" spans="1:3" x14ac:dyDescent="0.25">
      <c r="A10299" s="1" t="s">
        <v>10298</v>
      </c>
      <c r="C10299" s="3">
        <v>10</v>
      </c>
    </row>
    <row r="10300" spans="1:3" x14ac:dyDescent="0.25">
      <c r="A10300" s="1" t="s">
        <v>10299</v>
      </c>
      <c r="C10300" s="3">
        <v>10</v>
      </c>
    </row>
    <row r="10301" spans="1:3" x14ac:dyDescent="0.25">
      <c r="A10301" s="1" t="s">
        <v>10300</v>
      </c>
      <c r="C10301" s="3">
        <v>10</v>
      </c>
    </row>
    <row r="10302" spans="1:3" x14ac:dyDescent="0.25">
      <c r="A10302" s="1" t="s">
        <v>10301</v>
      </c>
      <c r="C10302" s="3">
        <v>10</v>
      </c>
    </row>
    <row r="10303" spans="1:3" x14ac:dyDescent="0.25">
      <c r="A10303" s="1" t="s">
        <v>10302</v>
      </c>
      <c r="C10303" s="3">
        <v>10</v>
      </c>
    </row>
    <row r="10304" spans="1:3" x14ac:dyDescent="0.25">
      <c r="A10304" s="1" t="s">
        <v>10303</v>
      </c>
      <c r="C10304" s="3">
        <v>10</v>
      </c>
    </row>
    <row r="10305" spans="1:3" x14ac:dyDescent="0.25">
      <c r="A10305" s="1" t="s">
        <v>10304</v>
      </c>
      <c r="C10305" s="3">
        <v>10</v>
      </c>
    </row>
    <row r="10306" spans="1:3" x14ac:dyDescent="0.25">
      <c r="A10306" s="1" t="s">
        <v>10305</v>
      </c>
      <c r="C10306" s="3">
        <v>10</v>
      </c>
    </row>
    <row r="10307" spans="1:3" x14ac:dyDescent="0.25">
      <c r="A10307" s="1" t="s">
        <v>10306</v>
      </c>
      <c r="C10307" s="3">
        <v>10</v>
      </c>
    </row>
    <row r="10308" spans="1:3" x14ac:dyDescent="0.25">
      <c r="A10308" s="1" t="s">
        <v>10307</v>
      </c>
      <c r="C10308" s="3">
        <v>10</v>
      </c>
    </row>
    <row r="10309" spans="1:3" x14ac:dyDescent="0.25">
      <c r="A10309" s="1" t="s">
        <v>10308</v>
      </c>
      <c r="C10309" s="3">
        <v>10</v>
      </c>
    </row>
    <row r="10310" spans="1:3" x14ac:dyDescent="0.25">
      <c r="A10310" s="1" t="s">
        <v>10309</v>
      </c>
      <c r="C10310" s="3">
        <v>10</v>
      </c>
    </row>
    <row r="10311" spans="1:3" x14ac:dyDescent="0.25">
      <c r="A10311" s="1" t="s">
        <v>10310</v>
      </c>
      <c r="C10311" s="3">
        <v>10</v>
      </c>
    </row>
    <row r="10312" spans="1:3" x14ac:dyDescent="0.25">
      <c r="A10312" s="1" t="s">
        <v>10311</v>
      </c>
      <c r="C10312" s="3">
        <v>10</v>
      </c>
    </row>
    <row r="10313" spans="1:3" x14ac:dyDescent="0.25">
      <c r="A10313" s="1" t="s">
        <v>10312</v>
      </c>
      <c r="C10313" s="3">
        <v>10</v>
      </c>
    </row>
    <row r="10314" spans="1:3" x14ac:dyDescent="0.25">
      <c r="A10314" s="1" t="s">
        <v>10313</v>
      </c>
      <c r="C10314" s="3">
        <v>10</v>
      </c>
    </row>
    <row r="10315" spans="1:3" x14ac:dyDescent="0.25">
      <c r="A10315" s="1" t="s">
        <v>10314</v>
      </c>
      <c r="C10315" s="3">
        <v>10</v>
      </c>
    </row>
    <row r="10316" spans="1:3" x14ac:dyDescent="0.25">
      <c r="A10316" s="1" t="s">
        <v>10315</v>
      </c>
      <c r="C10316" s="3">
        <v>10</v>
      </c>
    </row>
    <row r="10317" spans="1:3" x14ac:dyDescent="0.25">
      <c r="A10317" s="1" t="s">
        <v>10316</v>
      </c>
      <c r="C10317" s="3">
        <v>10</v>
      </c>
    </row>
    <row r="10318" spans="1:3" x14ac:dyDescent="0.25">
      <c r="A10318" s="1" t="s">
        <v>10317</v>
      </c>
      <c r="C10318" s="3">
        <v>10</v>
      </c>
    </row>
    <row r="10319" spans="1:3" x14ac:dyDescent="0.25">
      <c r="A10319" s="1" t="s">
        <v>10318</v>
      </c>
      <c r="C10319" s="3">
        <v>10</v>
      </c>
    </row>
    <row r="10320" spans="1:3" x14ac:dyDescent="0.25">
      <c r="A10320" s="1" t="s">
        <v>10319</v>
      </c>
      <c r="C10320" s="3">
        <v>10</v>
      </c>
    </row>
    <row r="10321" spans="1:3" x14ac:dyDescent="0.25">
      <c r="A10321" s="1" t="s">
        <v>10320</v>
      </c>
      <c r="C10321" s="3">
        <v>10</v>
      </c>
    </row>
    <row r="10322" spans="1:3" x14ac:dyDescent="0.25">
      <c r="A10322" s="1" t="s">
        <v>10321</v>
      </c>
      <c r="C10322" s="3">
        <v>10</v>
      </c>
    </row>
    <row r="10323" spans="1:3" x14ac:dyDescent="0.25">
      <c r="A10323" s="1" t="s">
        <v>10322</v>
      </c>
      <c r="C10323" s="3">
        <v>10</v>
      </c>
    </row>
    <row r="10324" spans="1:3" x14ac:dyDescent="0.25">
      <c r="A10324" s="1" t="s">
        <v>10323</v>
      </c>
      <c r="C10324" s="3">
        <v>10</v>
      </c>
    </row>
    <row r="10325" spans="1:3" x14ac:dyDescent="0.25">
      <c r="A10325" s="1" t="s">
        <v>10324</v>
      </c>
      <c r="C10325" s="3">
        <v>10</v>
      </c>
    </row>
    <row r="10326" spans="1:3" x14ac:dyDescent="0.25">
      <c r="A10326" s="1" t="s">
        <v>10325</v>
      </c>
      <c r="C10326" s="3">
        <v>10</v>
      </c>
    </row>
    <row r="10327" spans="1:3" x14ac:dyDescent="0.25">
      <c r="A10327" s="1" t="s">
        <v>10326</v>
      </c>
      <c r="C10327" s="3">
        <v>10</v>
      </c>
    </row>
    <row r="10328" spans="1:3" x14ac:dyDescent="0.25">
      <c r="A10328" s="1" t="s">
        <v>10327</v>
      </c>
      <c r="C10328" s="3">
        <v>10</v>
      </c>
    </row>
    <row r="10329" spans="1:3" x14ac:dyDescent="0.25">
      <c r="A10329" s="1" t="s">
        <v>10328</v>
      </c>
      <c r="C10329" s="3">
        <v>10</v>
      </c>
    </row>
    <row r="10330" spans="1:3" x14ac:dyDescent="0.25">
      <c r="A10330" s="1" t="s">
        <v>10329</v>
      </c>
      <c r="C10330" s="3">
        <v>10</v>
      </c>
    </row>
    <row r="10331" spans="1:3" x14ac:dyDescent="0.25">
      <c r="A10331" s="1" t="s">
        <v>10330</v>
      </c>
      <c r="C10331" s="3">
        <v>10</v>
      </c>
    </row>
    <row r="10332" spans="1:3" x14ac:dyDescent="0.25">
      <c r="A10332" s="1" t="s">
        <v>10331</v>
      </c>
      <c r="C10332" s="3">
        <v>10</v>
      </c>
    </row>
    <row r="10333" spans="1:3" x14ac:dyDescent="0.25">
      <c r="A10333" s="1" t="s">
        <v>10332</v>
      </c>
      <c r="C10333" s="3">
        <v>10</v>
      </c>
    </row>
    <row r="10334" spans="1:3" x14ac:dyDescent="0.25">
      <c r="A10334" s="1" t="s">
        <v>10333</v>
      </c>
      <c r="C10334" s="3">
        <v>10</v>
      </c>
    </row>
    <row r="10335" spans="1:3" x14ac:dyDescent="0.25">
      <c r="A10335" s="1" t="s">
        <v>10334</v>
      </c>
      <c r="C10335" s="3">
        <v>10</v>
      </c>
    </row>
    <row r="10336" spans="1:3" x14ac:dyDescent="0.25">
      <c r="A10336" s="1" t="s">
        <v>10335</v>
      </c>
      <c r="C10336" s="3">
        <v>10</v>
      </c>
    </row>
    <row r="10337" spans="1:3" x14ac:dyDescent="0.25">
      <c r="A10337" s="1" t="s">
        <v>10336</v>
      </c>
      <c r="C10337" s="3">
        <v>10</v>
      </c>
    </row>
    <row r="10338" spans="1:3" x14ac:dyDescent="0.25">
      <c r="A10338" s="1" t="s">
        <v>10337</v>
      </c>
      <c r="C10338" s="3">
        <v>10</v>
      </c>
    </row>
    <row r="10339" spans="1:3" x14ac:dyDescent="0.25">
      <c r="A10339" s="1" t="s">
        <v>10338</v>
      </c>
      <c r="C10339" s="3">
        <v>10</v>
      </c>
    </row>
    <row r="10340" spans="1:3" x14ac:dyDescent="0.25">
      <c r="A10340" s="1" t="s">
        <v>10339</v>
      </c>
      <c r="C10340" s="3">
        <v>10</v>
      </c>
    </row>
    <row r="10341" spans="1:3" x14ac:dyDescent="0.25">
      <c r="A10341" s="1" t="s">
        <v>10340</v>
      </c>
      <c r="C10341" s="3">
        <v>10</v>
      </c>
    </row>
    <row r="10342" spans="1:3" x14ac:dyDescent="0.25">
      <c r="A10342" s="1" t="s">
        <v>10341</v>
      </c>
      <c r="C10342" s="3">
        <v>10</v>
      </c>
    </row>
    <row r="10343" spans="1:3" x14ac:dyDescent="0.25">
      <c r="A10343" s="1" t="s">
        <v>10342</v>
      </c>
      <c r="C10343" s="3">
        <v>10</v>
      </c>
    </row>
    <row r="10344" spans="1:3" x14ac:dyDescent="0.25">
      <c r="A10344" s="1" t="s">
        <v>10343</v>
      </c>
      <c r="C10344" s="3">
        <v>10</v>
      </c>
    </row>
    <row r="10345" spans="1:3" x14ac:dyDescent="0.25">
      <c r="A10345" s="1" t="s">
        <v>10344</v>
      </c>
      <c r="C10345" s="3">
        <v>10</v>
      </c>
    </row>
    <row r="10346" spans="1:3" x14ac:dyDescent="0.25">
      <c r="A10346" s="1" t="s">
        <v>10345</v>
      </c>
      <c r="C10346" s="3">
        <v>10</v>
      </c>
    </row>
    <row r="10347" spans="1:3" x14ac:dyDescent="0.25">
      <c r="A10347" s="1" t="s">
        <v>10346</v>
      </c>
      <c r="C10347" s="3">
        <v>10</v>
      </c>
    </row>
    <row r="10348" spans="1:3" x14ac:dyDescent="0.25">
      <c r="A10348" s="1" t="s">
        <v>10347</v>
      </c>
      <c r="C10348" s="3">
        <v>10</v>
      </c>
    </row>
    <row r="10349" spans="1:3" x14ac:dyDescent="0.25">
      <c r="A10349" s="1" t="s">
        <v>10348</v>
      </c>
      <c r="C10349" s="3">
        <v>10</v>
      </c>
    </row>
    <row r="10350" spans="1:3" x14ac:dyDescent="0.25">
      <c r="A10350" s="1" t="s">
        <v>10349</v>
      </c>
      <c r="C10350" s="3">
        <v>10</v>
      </c>
    </row>
    <row r="10351" spans="1:3" x14ac:dyDescent="0.25">
      <c r="A10351" s="1" t="s">
        <v>10350</v>
      </c>
      <c r="C10351" s="3">
        <v>10</v>
      </c>
    </row>
    <row r="10352" spans="1:3" x14ac:dyDescent="0.25">
      <c r="A10352" s="1" t="s">
        <v>10351</v>
      </c>
      <c r="C10352" s="3">
        <v>10</v>
      </c>
    </row>
    <row r="10353" spans="1:3" x14ac:dyDescent="0.25">
      <c r="A10353" s="1" t="s">
        <v>10352</v>
      </c>
      <c r="C10353" s="3">
        <v>10</v>
      </c>
    </row>
    <row r="10354" spans="1:3" x14ac:dyDescent="0.25">
      <c r="A10354" s="1" t="s">
        <v>10353</v>
      </c>
      <c r="C10354" s="3">
        <v>10</v>
      </c>
    </row>
    <row r="10355" spans="1:3" x14ac:dyDescent="0.25">
      <c r="A10355" s="1" t="s">
        <v>10354</v>
      </c>
      <c r="C10355" s="3">
        <v>10</v>
      </c>
    </row>
    <row r="10356" spans="1:3" x14ac:dyDescent="0.25">
      <c r="A10356" s="1" t="s">
        <v>10355</v>
      </c>
      <c r="C10356" s="3">
        <v>10</v>
      </c>
    </row>
    <row r="10357" spans="1:3" x14ac:dyDescent="0.25">
      <c r="A10357" s="1" t="s">
        <v>10356</v>
      </c>
      <c r="C10357" s="3">
        <v>10</v>
      </c>
    </row>
    <row r="10358" spans="1:3" x14ac:dyDescent="0.25">
      <c r="A10358" s="1" t="s">
        <v>10357</v>
      </c>
      <c r="C10358" s="3">
        <v>10</v>
      </c>
    </row>
    <row r="10359" spans="1:3" x14ac:dyDescent="0.25">
      <c r="A10359" s="1" t="s">
        <v>10358</v>
      </c>
      <c r="C10359" s="3">
        <v>10</v>
      </c>
    </row>
    <row r="10360" spans="1:3" x14ac:dyDescent="0.25">
      <c r="A10360" s="1" t="s">
        <v>10359</v>
      </c>
      <c r="C10360" s="3">
        <v>10</v>
      </c>
    </row>
    <row r="10361" spans="1:3" x14ac:dyDescent="0.25">
      <c r="A10361" s="1" t="s">
        <v>10360</v>
      </c>
      <c r="C10361" s="3">
        <v>10</v>
      </c>
    </row>
    <row r="10362" spans="1:3" x14ac:dyDescent="0.25">
      <c r="A10362" s="1" t="s">
        <v>10361</v>
      </c>
      <c r="C10362" s="3">
        <v>10</v>
      </c>
    </row>
    <row r="10363" spans="1:3" x14ac:dyDescent="0.25">
      <c r="A10363" s="1" t="s">
        <v>10362</v>
      </c>
      <c r="C10363" s="3">
        <v>10</v>
      </c>
    </row>
    <row r="10364" spans="1:3" x14ac:dyDescent="0.25">
      <c r="A10364" s="1" t="s">
        <v>10363</v>
      </c>
      <c r="C10364" s="3">
        <v>10</v>
      </c>
    </row>
    <row r="10365" spans="1:3" x14ac:dyDescent="0.25">
      <c r="A10365" s="1" t="s">
        <v>10364</v>
      </c>
      <c r="C10365" s="3">
        <v>10</v>
      </c>
    </row>
    <row r="10366" spans="1:3" x14ac:dyDescent="0.25">
      <c r="A10366" s="1" t="s">
        <v>10365</v>
      </c>
      <c r="C10366" s="3">
        <v>10</v>
      </c>
    </row>
    <row r="10367" spans="1:3" x14ac:dyDescent="0.25">
      <c r="A10367" s="1" t="s">
        <v>10366</v>
      </c>
      <c r="C10367" s="3">
        <v>10</v>
      </c>
    </row>
    <row r="10368" spans="1:3" x14ac:dyDescent="0.25">
      <c r="A10368" s="1" t="s">
        <v>10367</v>
      </c>
      <c r="C10368" s="3">
        <v>10</v>
      </c>
    </row>
    <row r="10369" spans="1:3" x14ac:dyDescent="0.25">
      <c r="A10369" s="1" t="s">
        <v>10368</v>
      </c>
      <c r="C10369" s="3">
        <v>10</v>
      </c>
    </row>
    <row r="10370" spans="1:3" x14ac:dyDescent="0.25">
      <c r="A10370" s="1" t="s">
        <v>10369</v>
      </c>
      <c r="C10370" s="3">
        <v>10</v>
      </c>
    </row>
    <row r="10371" spans="1:3" x14ac:dyDescent="0.25">
      <c r="A10371" s="1" t="s">
        <v>10370</v>
      </c>
      <c r="C10371" s="3">
        <v>10</v>
      </c>
    </row>
    <row r="10372" spans="1:3" x14ac:dyDescent="0.25">
      <c r="A10372" s="1" t="s">
        <v>10371</v>
      </c>
      <c r="C10372" s="3">
        <v>10</v>
      </c>
    </row>
    <row r="10373" spans="1:3" x14ac:dyDescent="0.25">
      <c r="A10373" s="1" t="s">
        <v>10372</v>
      </c>
      <c r="C10373" s="3">
        <v>10</v>
      </c>
    </row>
    <row r="10374" spans="1:3" x14ac:dyDescent="0.25">
      <c r="A10374" s="1" t="s">
        <v>10373</v>
      </c>
      <c r="C10374" s="3">
        <v>10</v>
      </c>
    </row>
    <row r="10375" spans="1:3" x14ac:dyDescent="0.25">
      <c r="A10375" s="1" t="s">
        <v>10374</v>
      </c>
      <c r="C10375" s="3">
        <v>10</v>
      </c>
    </row>
    <row r="10376" spans="1:3" x14ac:dyDescent="0.25">
      <c r="A10376" s="1" t="s">
        <v>10375</v>
      </c>
      <c r="C10376" s="3">
        <v>10</v>
      </c>
    </row>
    <row r="10377" spans="1:3" x14ac:dyDescent="0.25">
      <c r="A10377" s="1" t="s">
        <v>10376</v>
      </c>
      <c r="C10377" s="3">
        <v>10</v>
      </c>
    </row>
    <row r="10378" spans="1:3" x14ac:dyDescent="0.25">
      <c r="A10378" s="1" t="s">
        <v>10377</v>
      </c>
      <c r="C10378" s="3">
        <v>10</v>
      </c>
    </row>
    <row r="10379" spans="1:3" x14ac:dyDescent="0.25">
      <c r="A10379" s="1" t="s">
        <v>10378</v>
      </c>
      <c r="C10379" s="3">
        <v>10</v>
      </c>
    </row>
    <row r="10380" spans="1:3" x14ac:dyDescent="0.25">
      <c r="A10380" s="1" t="s">
        <v>10379</v>
      </c>
      <c r="C10380" s="3">
        <v>10</v>
      </c>
    </row>
    <row r="10381" spans="1:3" x14ac:dyDescent="0.25">
      <c r="A10381" s="1" t="s">
        <v>10380</v>
      </c>
      <c r="C10381" s="3">
        <v>10</v>
      </c>
    </row>
    <row r="10382" spans="1:3" x14ac:dyDescent="0.25">
      <c r="A10382" s="1" t="s">
        <v>10381</v>
      </c>
      <c r="C10382" s="3">
        <v>10</v>
      </c>
    </row>
    <row r="10383" spans="1:3" x14ac:dyDescent="0.25">
      <c r="A10383" s="1" t="s">
        <v>10382</v>
      </c>
      <c r="C10383" s="3">
        <v>10</v>
      </c>
    </row>
    <row r="10384" spans="1:3" x14ac:dyDescent="0.25">
      <c r="A10384" s="1" t="s">
        <v>10383</v>
      </c>
      <c r="C10384" s="3">
        <v>10</v>
      </c>
    </row>
    <row r="10385" spans="1:3" x14ac:dyDescent="0.25">
      <c r="A10385" s="1" t="s">
        <v>10384</v>
      </c>
      <c r="C10385" s="3">
        <v>10</v>
      </c>
    </row>
    <row r="10386" spans="1:3" x14ac:dyDescent="0.25">
      <c r="A10386" s="1" t="s">
        <v>10385</v>
      </c>
      <c r="C10386" s="3">
        <v>10</v>
      </c>
    </row>
    <row r="10387" spans="1:3" x14ac:dyDescent="0.25">
      <c r="A10387" s="1" t="s">
        <v>10386</v>
      </c>
      <c r="C10387" s="3">
        <v>10</v>
      </c>
    </row>
    <row r="10388" spans="1:3" x14ac:dyDescent="0.25">
      <c r="A10388" s="1" t="s">
        <v>10387</v>
      </c>
      <c r="C10388" s="3">
        <v>10</v>
      </c>
    </row>
    <row r="10389" spans="1:3" x14ac:dyDescent="0.25">
      <c r="A10389" s="1" t="s">
        <v>10388</v>
      </c>
      <c r="C10389" s="3">
        <v>10</v>
      </c>
    </row>
    <row r="10390" spans="1:3" x14ac:dyDescent="0.25">
      <c r="A10390" s="1" t="s">
        <v>10389</v>
      </c>
      <c r="C10390" s="3">
        <v>10</v>
      </c>
    </row>
    <row r="10391" spans="1:3" x14ac:dyDescent="0.25">
      <c r="A10391" s="1" t="s">
        <v>10390</v>
      </c>
      <c r="C10391" s="3">
        <v>10</v>
      </c>
    </row>
    <row r="10392" spans="1:3" x14ac:dyDescent="0.25">
      <c r="A10392" s="1" t="s">
        <v>10391</v>
      </c>
      <c r="C10392" s="3">
        <v>10</v>
      </c>
    </row>
    <row r="10393" spans="1:3" x14ac:dyDescent="0.25">
      <c r="A10393" s="1" t="s">
        <v>10392</v>
      </c>
      <c r="C10393" s="3">
        <v>10</v>
      </c>
    </row>
    <row r="10394" spans="1:3" x14ac:dyDescent="0.25">
      <c r="A10394" s="1" t="s">
        <v>10393</v>
      </c>
      <c r="C10394" s="3">
        <v>10</v>
      </c>
    </row>
    <row r="10395" spans="1:3" x14ac:dyDescent="0.25">
      <c r="A10395" s="1" t="s">
        <v>10394</v>
      </c>
      <c r="C10395" s="3">
        <v>10</v>
      </c>
    </row>
    <row r="10396" spans="1:3" x14ac:dyDescent="0.25">
      <c r="A10396" s="1" t="s">
        <v>10395</v>
      </c>
      <c r="C10396" s="3">
        <v>10</v>
      </c>
    </row>
    <row r="10397" spans="1:3" x14ac:dyDescent="0.25">
      <c r="A10397" s="1" t="s">
        <v>10396</v>
      </c>
      <c r="C10397" s="3">
        <v>10</v>
      </c>
    </row>
    <row r="10398" spans="1:3" x14ac:dyDescent="0.25">
      <c r="A10398" s="1" t="s">
        <v>10397</v>
      </c>
      <c r="C10398" s="3">
        <v>10</v>
      </c>
    </row>
    <row r="10399" spans="1:3" x14ac:dyDescent="0.25">
      <c r="A10399" s="1" t="s">
        <v>10398</v>
      </c>
      <c r="C10399" s="3">
        <v>10</v>
      </c>
    </row>
    <row r="10400" spans="1:3" x14ac:dyDescent="0.25">
      <c r="A10400" s="1" t="s">
        <v>10399</v>
      </c>
      <c r="C10400" s="3">
        <v>10</v>
      </c>
    </row>
    <row r="10401" spans="1:3" x14ac:dyDescent="0.25">
      <c r="A10401" s="1" t="s">
        <v>10400</v>
      </c>
      <c r="C10401" s="3">
        <v>10</v>
      </c>
    </row>
    <row r="10402" spans="1:3" x14ac:dyDescent="0.25">
      <c r="A10402" s="1" t="s">
        <v>10401</v>
      </c>
      <c r="C10402" s="3">
        <v>10</v>
      </c>
    </row>
    <row r="10403" spans="1:3" x14ac:dyDescent="0.25">
      <c r="A10403" s="1" t="s">
        <v>10402</v>
      </c>
      <c r="C10403" s="3">
        <v>10</v>
      </c>
    </row>
    <row r="10404" spans="1:3" x14ac:dyDescent="0.25">
      <c r="A10404" s="1" t="s">
        <v>10403</v>
      </c>
      <c r="C10404" s="3">
        <v>10</v>
      </c>
    </row>
    <row r="10405" spans="1:3" x14ac:dyDescent="0.25">
      <c r="A10405" s="1" t="s">
        <v>10404</v>
      </c>
      <c r="C10405" s="3">
        <v>10</v>
      </c>
    </row>
    <row r="10406" spans="1:3" x14ac:dyDescent="0.25">
      <c r="A10406" s="1" t="s">
        <v>10405</v>
      </c>
      <c r="C10406" s="3">
        <v>10</v>
      </c>
    </row>
    <row r="10407" spans="1:3" x14ac:dyDescent="0.25">
      <c r="A10407" s="1" t="s">
        <v>10406</v>
      </c>
      <c r="C10407" s="3">
        <v>10</v>
      </c>
    </row>
    <row r="10408" spans="1:3" x14ac:dyDescent="0.25">
      <c r="A10408" s="1" t="s">
        <v>10407</v>
      </c>
      <c r="C10408" s="3">
        <v>10</v>
      </c>
    </row>
    <row r="10409" spans="1:3" x14ac:dyDescent="0.25">
      <c r="A10409" s="1" t="s">
        <v>10408</v>
      </c>
      <c r="C10409" s="3">
        <v>10</v>
      </c>
    </row>
    <row r="10410" spans="1:3" x14ac:dyDescent="0.25">
      <c r="A10410" s="1" t="s">
        <v>10409</v>
      </c>
      <c r="C10410" s="3">
        <v>10</v>
      </c>
    </row>
    <row r="10411" spans="1:3" x14ac:dyDescent="0.25">
      <c r="A10411" s="1" t="s">
        <v>10410</v>
      </c>
      <c r="C10411" s="3">
        <v>10</v>
      </c>
    </row>
    <row r="10412" spans="1:3" x14ac:dyDescent="0.25">
      <c r="A10412" s="1" t="s">
        <v>10411</v>
      </c>
      <c r="C10412" s="3">
        <v>10</v>
      </c>
    </row>
    <row r="10413" spans="1:3" x14ac:dyDescent="0.25">
      <c r="A10413" s="1" t="s">
        <v>10412</v>
      </c>
      <c r="C10413" s="3">
        <v>10</v>
      </c>
    </row>
    <row r="10414" spans="1:3" x14ac:dyDescent="0.25">
      <c r="A10414" s="1" t="s">
        <v>10413</v>
      </c>
      <c r="C10414" s="3">
        <v>10</v>
      </c>
    </row>
    <row r="10415" spans="1:3" x14ac:dyDescent="0.25">
      <c r="A10415" s="1" t="s">
        <v>10414</v>
      </c>
      <c r="C10415" s="3">
        <v>10</v>
      </c>
    </row>
    <row r="10416" spans="1:3" x14ac:dyDescent="0.25">
      <c r="A10416" s="1" t="s">
        <v>10415</v>
      </c>
      <c r="C10416" s="3">
        <v>10</v>
      </c>
    </row>
    <row r="10417" spans="1:3" x14ac:dyDescent="0.25">
      <c r="A10417" s="1" t="s">
        <v>10416</v>
      </c>
      <c r="C10417" s="3">
        <v>10</v>
      </c>
    </row>
    <row r="10418" spans="1:3" x14ac:dyDescent="0.25">
      <c r="A10418" s="1" t="s">
        <v>10417</v>
      </c>
      <c r="C10418" s="3">
        <v>10</v>
      </c>
    </row>
    <row r="10419" spans="1:3" x14ac:dyDescent="0.25">
      <c r="A10419" s="1" t="s">
        <v>10418</v>
      </c>
      <c r="C10419" s="3">
        <v>10</v>
      </c>
    </row>
    <row r="10420" spans="1:3" x14ac:dyDescent="0.25">
      <c r="A10420" s="1" t="s">
        <v>10419</v>
      </c>
      <c r="C10420" s="3">
        <v>10</v>
      </c>
    </row>
    <row r="10421" spans="1:3" x14ac:dyDescent="0.25">
      <c r="A10421" s="1" t="s">
        <v>10420</v>
      </c>
      <c r="C10421" s="3">
        <v>10</v>
      </c>
    </row>
    <row r="10422" spans="1:3" x14ac:dyDescent="0.25">
      <c r="A10422" s="1" t="s">
        <v>10421</v>
      </c>
      <c r="C10422" s="3">
        <v>10</v>
      </c>
    </row>
    <row r="10423" spans="1:3" x14ac:dyDescent="0.25">
      <c r="A10423" s="1" t="s">
        <v>10422</v>
      </c>
      <c r="C10423" s="3">
        <v>10</v>
      </c>
    </row>
    <row r="10424" spans="1:3" x14ac:dyDescent="0.25">
      <c r="A10424" s="1" t="s">
        <v>10423</v>
      </c>
      <c r="C10424" s="3">
        <v>10</v>
      </c>
    </row>
    <row r="10425" spans="1:3" x14ac:dyDescent="0.25">
      <c r="A10425" s="1" t="s">
        <v>10424</v>
      </c>
      <c r="C10425" s="3">
        <v>10</v>
      </c>
    </row>
    <row r="10426" spans="1:3" x14ac:dyDescent="0.25">
      <c r="A10426" s="1" t="s">
        <v>10425</v>
      </c>
      <c r="C10426" s="3">
        <v>10</v>
      </c>
    </row>
    <row r="10427" spans="1:3" x14ac:dyDescent="0.25">
      <c r="A10427" s="1" t="s">
        <v>10426</v>
      </c>
      <c r="C10427" s="3">
        <v>10</v>
      </c>
    </row>
    <row r="10428" spans="1:3" x14ac:dyDescent="0.25">
      <c r="A10428" s="1" t="s">
        <v>10427</v>
      </c>
      <c r="C10428" s="3">
        <v>10</v>
      </c>
    </row>
    <row r="10429" spans="1:3" x14ac:dyDescent="0.25">
      <c r="A10429" s="1" t="s">
        <v>10428</v>
      </c>
      <c r="C10429" s="3">
        <v>10</v>
      </c>
    </row>
    <row r="10430" spans="1:3" x14ac:dyDescent="0.25">
      <c r="A10430" s="1" t="s">
        <v>10429</v>
      </c>
      <c r="C10430" s="3">
        <v>10</v>
      </c>
    </row>
    <row r="10431" spans="1:3" x14ac:dyDescent="0.25">
      <c r="A10431" s="1" t="s">
        <v>10430</v>
      </c>
      <c r="C10431" s="3">
        <v>10</v>
      </c>
    </row>
    <row r="10432" spans="1:3" x14ac:dyDescent="0.25">
      <c r="A10432" s="1" t="s">
        <v>10431</v>
      </c>
      <c r="C10432" s="3">
        <v>10</v>
      </c>
    </row>
    <row r="10433" spans="1:3" x14ac:dyDescent="0.25">
      <c r="A10433" s="1" t="s">
        <v>10432</v>
      </c>
      <c r="C10433" s="3">
        <v>10</v>
      </c>
    </row>
    <row r="10434" spans="1:3" x14ac:dyDescent="0.25">
      <c r="A10434" s="1" t="s">
        <v>10433</v>
      </c>
      <c r="C10434" s="3">
        <v>10</v>
      </c>
    </row>
    <row r="10435" spans="1:3" x14ac:dyDescent="0.25">
      <c r="A10435" s="1" t="s">
        <v>10434</v>
      </c>
      <c r="C10435" s="3">
        <v>10</v>
      </c>
    </row>
    <row r="10436" spans="1:3" x14ac:dyDescent="0.25">
      <c r="A10436" s="1" t="s">
        <v>10435</v>
      </c>
      <c r="C10436" s="3">
        <v>10</v>
      </c>
    </row>
    <row r="10437" spans="1:3" x14ac:dyDescent="0.25">
      <c r="A10437" s="1" t="s">
        <v>10436</v>
      </c>
      <c r="C10437" s="3">
        <v>10</v>
      </c>
    </row>
    <row r="10438" spans="1:3" x14ac:dyDescent="0.25">
      <c r="A10438" s="1" t="s">
        <v>10437</v>
      </c>
      <c r="C10438" s="3">
        <v>10</v>
      </c>
    </row>
    <row r="10439" spans="1:3" x14ac:dyDescent="0.25">
      <c r="A10439" s="1" t="s">
        <v>10438</v>
      </c>
      <c r="C10439" s="3">
        <v>10</v>
      </c>
    </row>
    <row r="10440" spans="1:3" x14ac:dyDescent="0.25">
      <c r="A10440" s="1" t="s">
        <v>10439</v>
      </c>
      <c r="C10440" s="3">
        <v>10</v>
      </c>
    </row>
    <row r="10441" spans="1:3" x14ac:dyDescent="0.25">
      <c r="A10441" s="1" t="s">
        <v>10440</v>
      </c>
      <c r="C10441" s="3">
        <v>10</v>
      </c>
    </row>
    <row r="10442" spans="1:3" x14ac:dyDescent="0.25">
      <c r="A10442" s="1" t="s">
        <v>10441</v>
      </c>
      <c r="C10442" s="3">
        <v>10</v>
      </c>
    </row>
    <row r="10443" spans="1:3" x14ac:dyDescent="0.25">
      <c r="A10443" s="1" t="s">
        <v>10442</v>
      </c>
      <c r="C10443" s="3">
        <v>10</v>
      </c>
    </row>
    <row r="10444" spans="1:3" x14ac:dyDescent="0.25">
      <c r="A10444" s="1" t="s">
        <v>10443</v>
      </c>
      <c r="C10444" s="3">
        <v>10</v>
      </c>
    </row>
    <row r="10445" spans="1:3" x14ac:dyDescent="0.25">
      <c r="A10445" s="1" t="s">
        <v>10444</v>
      </c>
      <c r="C10445" s="3">
        <v>10</v>
      </c>
    </row>
    <row r="10446" spans="1:3" x14ac:dyDescent="0.25">
      <c r="A10446" s="1" t="s">
        <v>10445</v>
      </c>
      <c r="C10446" s="3">
        <v>10</v>
      </c>
    </row>
    <row r="10447" spans="1:3" x14ac:dyDescent="0.25">
      <c r="A10447" s="1" t="s">
        <v>10446</v>
      </c>
      <c r="C10447" s="3">
        <v>10</v>
      </c>
    </row>
    <row r="10448" spans="1:3" x14ac:dyDescent="0.25">
      <c r="A10448" s="1" t="s">
        <v>10447</v>
      </c>
      <c r="C10448" s="3">
        <v>10</v>
      </c>
    </row>
    <row r="10449" spans="1:3" x14ac:dyDescent="0.25">
      <c r="A10449" s="1" t="s">
        <v>10448</v>
      </c>
      <c r="C10449" s="3">
        <v>10</v>
      </c>
    </row>
    <row r="10450" spans="1:3" x14ac:dyDescent="0.25">
      <c r="A10450" s="1" t="s">
        <v>10449</v>
      </c>
      <c r="C10450" s="3">
        <v>10</v>
      </c>
    </row>
    <row r="10451" spans="1:3" x14ac:dyDescent="0.25">
      <c r="A10451" s="1" t="s">
        <v>10450</v>
      </c>
      <c r="C10451" s="3">
        <v>10</v>
      </c>
    </row>
    <row r="10452" spans="1:3" x14ac:dyDescent="0.25">
      <c r="A10452" s="1" t="s">
        <v>10451</v>
      </c>
      <c r="C10452" s="3">
        <v>10</v>
      </c>
    </row>
    <row r="10453" spans="1:3" x14ac:dyDescent="0.25">
      <c r="A10453" s="1" t="s">
        <v>10452</v>
      </c>
      <c r="C10453" s="3">
        <v>10</v>
      </c>
    </row>
    <row r="10454" spans="1:3" x14ac:dyDescent="0.25">
      <c r="A10454" s="1" t="s">
        <v>10453</v>
      </c>
      <c r="C10454" s="3">
        <v>10</v>
      </c>
    </row>
    <row r="10455" spans="1:3" x14ac:dyDescent="0.25">
      <c r="A10455" s="1" t="s">
        <v>10454</v>
      </c>
      <c r="C10455" s="3">
        <v>10</v>
      </c>
    </row>
    <row r="10456" spans="1:3" x14ac:dyDescent="0.25">
      <c r="A10456" s="1" t="s">
        <v>10455</v>
      </c>
      <c r="C10456" s="3">
        <v>10</v>
      </c>
    </row>
    <row r="10457" spans="1:3" x14ac:dyDescent="0.25">
      <c r="A10457" s="1" t="s">
        <v>10456</v>
      </c>
      <c r="C10457" s="3">
        <v>10</v>
      </c>
    </row>
    <row r="10458" spans="1:3" x14ac:dyDescent="0.25">
      <c r="A10458" s="1" t="s">
        <v>10457</v>
      </c>
      <c r="C10458" s="3">
        <v>10</v>
      </c>
    </row>
    <row r="10459" spans="1:3" x14ac:dyDescent="0.25">
      <c r="A10459" s="1" t="s">
        <v>10458</v>
      </c>
      <c r="C10459" s="3">
        <v>10</v>
      </c>
    </row>
    <row r="10460" spans="1:3" x14ac:dyDescent="0.25">
      <c r="A10460" s="1" t="s">
        <v>10459</v>
      </c>
      <c r="C10460" s="3">
        <v>10</v>
      </c>
    </row>
    <row r="10461" spans="1:3" x14ac:dyDescent="0.25">
      <c r="A10461" s="1" t="s">
        <v>10460</v>
      </c>
      <c r="C10461" s="3">
        <v>10</v>
      </c>
    </row>
    <row r="10462" spans="1:3" x14ac:dyDescent="0.25">
      <c r="A10462" s="1" t="s">
        <v>10461</v>
      </c>
      <c r="C10462" s="3">
        <v>10</v>
      </c>
    </row>
    <row r="10463" spans="1:3" x14ac:dyDescent="0.25">
      <c r="A10463" s="1" t="s">
        <v>10462</v>
      </c>
      <c r="C10463" s="3">
        <v>10</v>
      </c>
    </row>
    <row r="10464" spans="1:3" x14ac:dyDescent="0.25">
      <c r="A10464" s="1" t="s">
        <v>10463</v>
      </c>
      <c r="C10464" s="3">
        <v>10</v>
      </c>
    </row>
    <row r="10465" spans="1:3" x14ac:dyDescent="0.25">
      <c r="A10465" s="1" t="s">
        <v>10464</v>
      </c>
      <c r="C10465" s="3">
        <v>10</v>
      </c>
    </row>
    <row r="10466" spans="1:3" x14ac:dyDescent="0.25">
      <c r="A10466" s="1" t="s">
        <v>10465</v>
      </c>
      <c r="C10466" s="3">
        <v>10</v>
      </c>
    </row>
    <row r="10467" spans="1:3" x14ac:dyDescent="0.25">
      <c r="A10467" s="1" t="s">
        <v>10466</v>
      </c>
      <c r="C10467" s="3">
        <v>10</v>
      </c>
    </row>
    <row r="10468" spans="1:3" x14ac:dyDescent="0.25">
      <c r="A10468" s="1" t="s">
        <v>10467</v>
      </c>
      <c r="C10468" s="3">
        <v>10</v>
      </c>
    </row>
    <row r="10469" spans="1:3" x14ac:dyDescent="0.25">
      <c r="A10469" s="1" t="s">
        <v>10468</v>
      </c>
      <c r="C10469" s="3">
        <v>10</v>
      </c>
    </row>
    <row r="10470" spans="1:3" x14ac:dyDescent="0.25">
      <c r="A10470" s="1" t="s">
        <v>10469</v>
      </c>
      <c r="C10470" s="3">
        <v>10</v>
      </c>
    </row>
    <row r="10471" spans="1:3" x14ac:dyDescent="0.25">
      <c r="A10471" s="1" t="s">
        <v>10470</v>
      </c>
      <c r="C10471" s="3">
        <v>10</v>
      </c>
    </row>
    <row r="10472" spans="1:3" x14ac:dyDescent="0.25">
      <c r="A10472" s="1" t="s">
        <v>10471</v>
      </c>
      <c r="C10472" s="3">
        <v>10</v>
      </c>
    </row>
    <row r="10473" spans="1:3" x14ac:dyDescent="0.25">
      <c r="A10473" s="1" t="s">
        <v>10472</v>
      </c>
      <c r="C10473" s="3">
        <v>10</v>
      </c>
    </row>
    <row r="10474" spans="1:3" x14ac:dyDescent="0.25">
      <c r="A10474" s="1" t="s">
        <v>10473</v>
      </c>
      <c r="C10474" s="3">
        <v>10</v>
      </c>
    </row>
    <row r="10475" spans="1:3" x14ac:dyDescent="0.25">
      <c r="A10475" s="1" t="s">
        <v>10474</v>
      </c>
      <c r="C10475" s="3">
        <v>10</v>
      </c>
    </row>
    <row r="10476" spans="1:3" x14ac:dyDescent="0.25">
      <c r="A10476" s="1" t="s">
        <v>10475</v>
      </c>
      <c r="C10476" s="3">
        <v>10</v>
      </c>
    </row>
    <row r="10477" spans="1:3" x14ac:dyDescent="0.25">
      <c r="A10477" s="1" t="s">
        <v>10476</v>
      </c>
      <c r="C10477" s="3">
        <v>10</v>
      </c>
    </row>
    <row r="10478" spans="1:3" x14ac:dyDescent="0.25">
      <c r="A10478" s="1" t="s">
        <v>10477</v>
      </c>
      <c r="C10478" s="3">
        <v>10</v>
      </c>
    </row>
    <row r="10479" spans="1:3" x14ac:dyDescent="0.25">
      <c r="A10479" s="1" t="s">
        <v>10478</v>
      </c>
      <c r="C10479" s="3">
        <v>10</v>
      </c>
    </row>
    <row r="10480" spans="1:3" x14ac:dyDescent="0.25">
      <c r="A10480" s="1" t="s">
        <v>10479</v>
      </c>
      <c r="C10480" s="3">
        <v>10</v>
      </c>
    </row>
    <row r="10481" spans="1:3" x14ac:dyDescent="0.25">
      <c r="A10481" s="1" t="s">
        <v>10480</v>
      </c>
      <c r="C10481" s="3">
        <v>10</v>
      </c>
    </row>
    <row r="10482" spans="1:3" x14ac:dyDescent="0.25">
      <c r="A10482" s="1" t="s">
        <v>10481</v>
      </c>
      <c r="C10482" s="3">
        <v>10</v>
      </c>
    </row>
    <row r="10483" spans="1:3" x14ac:dyDescent="0.25">
      <c r="A10483" s="1" t="s">
        <v>10482</v>
      </c>
      <c r="C10483" s="3">
        <v>10</v>
      </c>
    </row>
    <row r="10484" spans="1:3" x14ac:dyDescent="0.25">
      <c r="A10484" s="1" t="s">
        <v>10483</v>
      </c>
      <c r="C10484" s="3">
        <v>10</v>
      </c>
    </row>
    <row r="10485" spans="1:3" x14ac:dyDescent="0.25">
      <c r="A10485" s="1" t="s">
        <v>10484</v>
      </c>
      <c r="C10485" s="3">
        <v>10</v>
      </c>
    </row>
    <row r="10486" spans="1:3" x14ac:dyDescent="0.25">
      <c r="A10486" s="1" t="s">
        <v>10485</v>
      </c>
      <c r="C10486" s="3">
        <v>10</v>
      </c>
    </row>
    <row r="10487" spans="1:3" x14ac:dyDescent="0.25">
      <c r="A10487" s="1" t="s">
        <v>10486</v>
      </c>
      <c r="C10487" s="3">
        <v>10</v>
      </c>
    </row>
    <row r="10488" spans="1:3" x14ac:dyDescent="0.25">
      <c r="A10488" s="1" t="s">
        <v>10487</v>
      </c>
      <c r="C10488" s="3">
        <v>10</v>
      </c>
    </row>
    <row r="10489" spans="1:3" x14ac:dyDescent="0.25">
      <c r="A10489" s="1" t="s">
        <v>10488</v>
      </c>
      <c r="C10489" s="3">
        <v>10</v>
      </c>
    </row>
    <row r="10490" spans="1:3" x14ac:dyDescent="0.25">
      <c r="A10490" s="1" t="s">
        <v>10489</v>
      </c>
      <c r="C10490" s="3">
        <v>10</v>
      </c>
    </row>
    <row r="10491" spans="1:3" x14ac:dyDescent="0.25">
      <c r="A10491" s="1" t="s">
        <v>10490</v>
      </c>
      <c r="C10491" s="3">
        <v>10</v>
      </c>
    </row>
    <row r="10492" spans="1:3" x14ac:dyDescent="0.25">
      <c r="A10492" s="1" t="s">
        <v>10491</v>
      </c>
      <c r="C10492" s="3">
        <v>10</v>
      </c>
    </row>
    <row r="10493" spans="1:3" x14ac:dyDescent="0.25">
      <c r="A10493" s="1" t="s">
        <v>10492</v>
      </c>
      <c r="C10493" s="3">
        <v>10</v>
      </c>
    </row>
    <row r="10494" spans="1:3" x14ac:dyDescent="0.25">
      <c r="A10494" s="1" t="s">
        <v>10493</v>
      </c>
      <c r="C10494" s="3">
        <v>10</v>
      </c>
    </row>
    <row r="10495" spans="1:3" x14ac:dyDescent="0.25">
      <c r="A10495" s="1" t="s">
        <v>10494</v>
      </c>
      <c r="C10495" s="3">
        <v>10</v>
      </c>
    </row>
    <row r="10496" spans="1:3" x14ac:dyDescent="0.25">
      <c r="A10496" s="1" t="s">
        <v>10495</v>
      </c>
      <c r="C10496" s="3">
        <v>10</v>
      </c>
    </row>
    <row r="10497" spans="1:3" x14ac:dyDescent="0.25">
      <c r="A10497" s="1" t="s">
        <v>10496</v>
      </c>
      <c r="C10497" s="3">
        <v>9</v>
      </c>
    </row>
    <row r="10498" spans="1:3" x14ac:dyDescent="0.25">
      <c r="A10498" s="1" t="s">
        <v>10497</v>
      </c>
      <c r="C10498" s="3">
        <v>9</v>
      </c>
    </row>
    <row r="10499" spans="1:3" x14ac:dyDescent="0.25">
      <c r="A10499" s="1" t="s">
        <v>10498</v>
      </c>
      <c r="C10499" s="3">
        <v>9</v>
      </c>
    </row>
    <row r="10500" spans="1:3" x14ac:dyDescent="0.25">
      <c r="A10500" s="1" t="s">
        <v>10499</v>
      </c>
      <c r="C10500" s="3">
        <v>9</v>
      </c>
    </row>
    <row r="10501" spans="1:3" x14ac:dyDescent="0.25">
      <c r="A10501" s="1" t="s">
        <v>10500</v>
      </c>
      <c r="C10501" s="3">
        <v>9</v>
      </c>
    </row>
    <row r="10502" spans="1:3" x14ac:dyDescent="0.25">
      <c r="A10502" s="1" t="s">
        <v>10501</v>
      </c>
      <c r="C10502" s="3">
        <v>9</v>
      </c>
    </row>
    <row r="10503" spans="1:3" x14ac:dyDescent="0.25">
      <c r="A10503" s="1" t="s">
        <v>10502</v>
      </c>
      <c r="C10503" s="3">
        <v>9</v>
      </c>
    </row>
    <row r="10504" spans="1:3" x14ac:dyDescent="0.25">
      <c r="A10504" s="1" t="s">
        <v>10503</v>
      </c>
      <c r="C10504" s="3">
        <v>9</v>
      </c>
    </row>
    <row r="10505" spans="1:3" x14ac:dyDescent="0.25">
      <c r="A10505" s="1" t="s">
        <v>10504</v>
      </c>
      <c r="C10505" s="3">
        <v>9</v>
      </c>
    </row>
    <row r="10506" spans="1:3" x14ac:dyDescent="0.25">
      <c r="A10506" s="1" t="s">
        <v>10505</v>
      </c>
      <c r="C10506" s="3">
        <v>9</v>
      </c>
    </row>
    <row r="10507" spans="1:3" x14ac:dyDescent="0.25">
      <c r="A10507" s="1" t="s">
        <v>10506</v>
      </c>
      <c r="C10507" s="3">
        <v>9</v>
      </c>
    </row>
    <row r="10508" spans="1:3" x14ac:dyDescent="0.25">
      <c r="A10508" s="1" t="s">
        <v>10507</v>
      </c>
      <c r="C10508" s="3">
        <v>9</v>
      </c>
    </row>
    <row r="10509" spans="1:3" x14ac:dyDescent="0.25">
      <c r="A10509" s="1" t="s">
        <v>10508</v>
      </c>
      <c r="C10509" s="3">
        <v>9</v>
      </c>
    </row>
    <row r="10510" spans="1:3" x14ac:dyDescent="0.25">
      <c r="A10510" s="1" t="s">
        <v>10509</v>
      </c>
      <c r="C10510" s="3">
        <v>9</v>
      </c>
    </row>
    <row r="10511" spans="1:3" x14ac:dyDescent="0.25">
      <c r="A10511" s="1" t="s">
        <v>10510</v>
      </c>
      <c r="C10511" s="3">
        <v>9</v>
      </c>
    </row>
    <row r="10512" spans="1:3" x14ac:dyDescent="0.25">
      <c r="A10512" s="1" t="s">
        <v>10511</v>
      </c>
      <c r="C10512" s="3">
        <v>9</v>
      </c>
    </row>
    <row r="10513" spans="1:3" x14ac:dyDescent="0.25">
      <c r="A10513" s="1" t="s">
        <v>10512</v>
      </c>
      <c r="C10513" s="3">
        <v>9</v>
      </c>
    </row>
    <row r="10514" spans="1:3" x14ac:dyDescent="0.25">
      <c r="A10514" s="1" t="s">
        <v>10513</v>
      </c>
      <c r="C10514" s="3">
        <v>9</v>
      </c>
    </row>
    <row r="10515" spans="1:3" x14ac:dyDescent="0.25">
      <c r="A10515" s="1" t="s">
        <v>10514</v>
      </c>
      <c r="C10515" s="3">
        <v>9</v>
      </c>
    </row>
    <row r="10516" spans="1:3" x14ac:dyDescent="0.25">
      <c r="A10516" s="1" t="s">
        <v>10515</v>
      </c>
      <c r="C10516" s="3">
        <v>9</v>
      </c>
    </row>
    <row r="10517" spans="1:3" x14ac:dyDescent="0.25">
      <c r="A10517" s="1" t="s">
        <v>10516</v>
      </c>
      <c r="C10517" s="3">
        <v>9</v>
      </c>
    </row>
    <row r="10518" spans="1:3" x14ac:dyDescent="0.25">
      <c r="A10518" s="1" t="s">
        <v>10517</v>
      </c>
      <c r="C10518" s="3">
        <v>9</v>
      </c>
    </row>
    <row r="10519" spans="1:3" x14ac:dyDescent="0.25">
      <c r="A10519" s="1" t="s">
        <v>10518</v>
      </c>
      <c r="C10519" s="3">
        <v>9</v>
      </c>
    </row>
    <row r="10520" spans="1:3" x14ac:dyDescent="0.25">
      <c r="A10520" s="1" t="s">
        <v>10519</v>
      </c>
      <c r="C10520" s="3">
        <v>9</v>
      </c>
    </row>
    <row r="10521" spans="1:3" x14ac:dyDescent="0.25">
      <c r="A10521" s="1" t="s">
        <v>10520</v>
      </c>
      <c r="C10521" s="3">
        <v>9</v>
      </c>
    </row>
    <row r="10522" spans="1:3" x14ac:dyDescent="0.25">
      <c r="A10522" s="1" t="s">
        <v>10521</v>
      </c>
      <c r="C10522" s="3">
        <v>9</v>
      </c>
    </row>
    <row r="10523" spans="1:3" x14ac:dyDescent="0.25">
      <c r="A10523" s="1" t="s">
        <v>10522</v>
      </c>
      <c r="C10523" s="3">
        <v>9</v>
      </c>
    </row>
    <row r="10524" spans="1:3" x14ac:dyDescent="0.25">
      <c r="A10524" s="1" t="s">
        <v>10523</v>
      </c>
      <c r="C10524" s="3">
        <v>9</v>
      </c>
    </row>
    <row r="10525" spans="1:3" x14ac:dyDescent="0.25">
      <c r="A10525" s="1" t="s">
        <v>10524</v>
      </c>
      <c r="C10525" s="3">
        <v>9</v>
      </c>
    </row>
    <row r="10526" spans="1:3" x14ac:dyDescent="0.25">
      <c r="A10526" s="1" t="s">
        <v>10525</v>
      </c>
      <c r="C10526" s="3">
        <v>9</v>
      </c>
    </row>
    <row r="10527" spans="1:3" x14ac:dyDescent="0.25">
      <c r="A10527" s="1" t="s">
        <v>10526</v>
      </c>
      <c r="C10527" s="3">
        <v>9</v>
      </c>
    </row>
    <row r="10528" spans="1:3" x14ac:dyDescent="0.25">
      <c r="A10528" s="1" t="s">
        <v>10527</v>
      </c>
      <c r="C10528" s="3">
        <v>9</v>
      </c>
    </row>
    <row r="10529" spans="1:3" x14ac:dyDescent="0.25">
      <c r="A10529" s="1" t="s">
        <v>10528</v>
      </c>
      <c r="C10529" s="3">
        <v>9</v>
      </c>
    </row>
    <row r="10530" spans="1:3" x14ac:dyDescent="0.25">
      <c r="A10530" s="1" t="s">
        <v>10529</v>
      </c>
      <c r="C10530" s="3">
        <v>9</v>
      </c>
    </row>
    <row r="10531" spans="1:3" x14ac:dyDescent="0.25">
      <c r="A10531" s="1" t="s">
        <v>10530</v>
      </c>
      <c r="C10531" s="3">
        <v>9</v>
      </c>
    </row>
    <row r="10532" spans="1:3" x14ac:dyDescent="0.25">
      <c r="A10532" s="1" t="s">
        <v>10531</v>
      </c>
      <c r="C10532" s="3">
        <v>9</v>
      </c>
    </row>
    <row r="10533" spans="1:3" x14ac:dyDescent="0.25">
      <c r="A10533" s="1" t="s">
        <v>10532</v>
      </c>
      <c r="C10533" s="3">
        <v>9</v>
      </c>
    </row>
    <row r="10534" spans="1:3" x14ac:dyDescent="0.25">
      <c r="A10534" s="1" t="s">
        <v>10533</v>
      </c>
      <c r="C10534" s="3">
        <v>9</v>
      </c>
    </row>
    <row r="10535" spans="1:3" x14ac:dyDescent="0.25">
      <c r="A10535" s="1" t="s">
        <v>10534</v>
      </c>
      <c r="C10535" s="3">
        <v>9</v>
      </c>
    </row>
    <row r="10536" spans="1:3" x14ac:dyDescent="0.25">
      <c r="A10536" s="1" t="s">
        <v>10535</v>
      </c>
      <c r="C10536" s="3">
        <v>9</v>
      </c>
    </row>
    <row r="10537" spans="1:3" x14ac:dyDescent="0.25">
      <c r="A10537" s="1" t="s">
        <v>10536</v>
      </c>
      <c r="C10537" s="3">
        <v>9</v>
      </c>
    </row>
    <row r="10538" spans="1:3" x14ac:dyDescent="0.25">
      <c r="A10538" s="1" t="s">
        <v>10537</v>
      </c>
      <c r="C10538" s="3">
        <v>9</v>
      </c>
    </row>
    <row r="10539" spans="1:3" x14ac:dyDescent="0.25">
      <c r="A10539" s="1" t="s">
        <v>10538</v>
      </c>
      <c r="C10539" s="3">
        <v>9</v>
      </c>
    </row>
    <row r="10540" spans="1:3" x14ac:dyDescent="0.25">
      <c r="A10540" s="1" t="s">
        <v>10539</v>
      </c>
      <c r="C10540" s="3">
        <v>9</v>
      </c>
    </row>
    <row r="10541" spans="1:3" x14ac:dyDescent="0.25">
      <c r="A10541" s="1" t="s">
        <v>10540</v>
      </c>
      <c r="C10541" s="3">
        <v>9</v>
      </c>
    </row>
    <row r="10542" spans="1:3" x14ac:dyDescent="0.25">
      <c r="A10542" s="1" t="s">
        <v>10541</v>
      </c>
      <c r="C10542" s="3">
        <v>9</v>
      </c>
    </row>
    <row r="10543" spans="1:3" x14ac:dyDescent="0.25">
      <c r="A10543" s="1" t="s">
        <v>10542</v>
      </c>
      <c r="C10543" s="3">
        <v>9</v>
      </c>
    </row>
    <row r="10544" spans="1:3" x14ac:dyDescent="0.25">
      <c r="A10544" s="1" t="s">
        <v>10543</v>
      </c>
      <c r="C10544" s="3">
        <v>9</v>
      </c>
    </row>
    <row r="10545" spans="1:3" x14ac:dyDescent="0.25">
      <c r="A10545" s="1" t="s">
        <v>10544</v>
      </c>
      <c r="C10545" s="3">
        <v>9</v>
      </c>
    </row>
    <row r="10546" spans="1:3" x14ac:dyDescent="0.25">
      <c r="A10546" s="1" t="s">
        <v>10545</v>
      </c>
      <c r="C10546" s="3">
        <v>9</v>
      </c>
    </row>
    <row r="10547" spans="1:3" x14ac:dyDescent="0.25">
      <c r="A10547" s="1" t="s">
        <v>10546</v>
      </c>
      <c r="C10547" s="3">
        <v>9</v>
      </c>
    </row>
    <row r="10548" spans="1:3" x14ac:dyDescent="0.25">
      <c r="A10548" s="1" t="s">
        <v>10547</v>
      </c>
      <c r="C10548" s="3">
        <v>9</v>
      </c>
    </row>
    <row r="10549" spans="1:3" x14ac:dyDescent="0.25">
      <c r="A10549" s="1" t="s">
        <v>10548</v>
      </c>
      <c r="C10549" s="3">
        <v>9</v>
      </c>
    </row>
    <row r="10550" spans="1:3" x14ac:dyDescent="0.25">
      <c r="A10550" s="1" t="s">
        <v>10549</v>
      </c>
      <c r="C10550" s="3">
        <v>9</v>
      </c>
    </row>
    <row r="10551" spans="1:3" x14ac:dyDescent="0.25">
      <c r="A10551" s="1" t="s">
        <v>10550</v>
      </c>
      <c r="C10551" s="3">
        <v>9</v>
      </c>
    </row>
    <row r="10552" spans="1:3" x14ac:dyDescent="0.25">
      <c r="A10552" s="1" t="s">
        <v>10551</v>
      </c>
      <c r="C10552" s="3">
        <v>9</v>
      </c>
    </row>
    <row r="10553" spans="1:3" x14ac:dyDescent="0.25">
      <c r="A10553" s="1" t="s">
        <v>10552</v>
      </c>
      <c r="C10553" s="3">
        <v>9</v>
      </c>
    </row>
    <row r="10554" spans="1:3" x14ac:dyDescent="0.25">
      <c r="A10554" s="1" t="s">
        <v>10553</v>
      </c>
      <c r="C10554" s="3">
        <v>9</v>
      </c>
    </row>
    <row r="10555" spans="1:3" x14ac:dyDescent="0.25">
      <c r="A10555" s="1" t="s">
        <v>10554</v>
      </c>
      <c r="C10555" s="3">
        <v>9</v>
      </c>
    </row>
    <row r="10556" spans="1:3" x14ac:dyDescent="0.25">
      <c r="A10556" s="1" t="s">
        <v>10555</v>
      </c>
      <c r="C10556" s="3">
        <v>9</v>
      </c>
    </row>
    <row r="10557" spans="1:3" x14ac:dyDescent="0.25">
      <c r="A10557" s="1" t="s">
        <v>10556</v>
      </c>
      <c r="C10557" s="3">
        <v>9</v>
      </c>
    </row>
    <row r="10558" spans="1:3" x14ac:dyDescent="0.25">
      <c r="A10558" s="1" t="s">
        <v>10557</v>
      </c>
      <c r="C10558" s="3">
        <v>9</v>
      </c>
    </row>
    <row r="10559" spans="1:3" x14ac:dyDescent="0.25">
      <c r="A10559" s="1" t="s">
        <v>10558</v>
      </c>
      <c r="C10559" s="3">
        <v>9</v>
      </c>
    </row>
    <row r="10560" spans="1:3" x14ac:dyDescent="0.25">
      <c r="A10560" s="1" t="s">
        <v>10559</v>
      </c>
      <c r="C10560" s="3">
        <v>9</v>
      </c>
    </row>
    <row r="10561" spans="1:3" x14ac:dyDescent="0.25">
      <c r="A10561" s="1" t="s">
        <v>10560</v>
      </c>
      <c r="C10561" s="3">
        <v>9</v>
      </c>
    </row>
    <row r="10562" spans="1:3" x14ac:dyDescent="0.25">
      <c r="A10562" s="1" t="s">
        <v>10561</v>
      </c>
      <c r="C10562" s="3">
        <v>9</v>
      </c>
    </row>
    <row r="10563" spans="1:3" x14ac:dyDescent="0.25">
      <c r="A10563" s="1" t="s">
        <v>10562</v>
      </c>
      <c r="C10563" s="3">
        <v>9</v>
      </c>
    </row>
    <row r="10564" spans="1:3" x14ac:dyDescent="0.25">
      <c r="A10564" s="1" t="s">
        <v>10563</v>
      </c>
      <c r="C10564" s="3">
        <v>9</v>
      </c>
    </row>
    <row r="10565" spans="1:3" x14ac:dyDescent="0.25">
      <c r="A10565" s="1" t="s">
        <v>10564</v>
      </c>
      <c r="C10565" s="3">
        <v>9</v>
      </c>
    </row>
    <row r="10566" spans="1:3" x14ac:dyDescent="0.25">
      <c r="A10566" s="1" t="s">
        <v>10565</v>
      </c>
      <c r="C10566" s="3">
        <v>9</v>
      </c>
    </row>
    <row r="10567" spans="1:3" x14ac:dyDescent="0.25">
      <c r="A10567" s="1" t="s">
        <v>10566</v>
      </c>
      <c r="C10567" s="3">
        <v>9</v>
      </c>
    </row>
    <row r="10568" spans="1:3" x14ac:dyDescent="0.25">
      <c r="A10568" s="1" t="s">
        <v>10567</v>
      </c>
      <c r="C10568" s="3">
        <v>9</v>
      </c>
    </row>
    <row r="10569" spans="1:3" x14ac:dyDescent="0.25">
      <c r="A10569" s="1" t="s">
        <v>10568</v>
      </c>
      <c r="C10569" s="3">
        <v>9</v>
      </c>
    </row>
    <row r="10570" spans="1:3" x14ac:dyDescent="0.25">
      <c r="A10570" s="1" t="s">
        <v>10569</v>
      </c>
      <c r="C10570" s="3">
        <v>9</v>
      </c>
    </row>
    <row r="10571" spans="1:3" x14ac:dyDescent="0.25">
      <c r="A10571" s="1" t="s">
        <v>10570</v>
      </c>
      <c r="C10571" s="3">
        <v>9</v>
      </c>
    </row>
    <row r="10572" spans="1:3" x14ac:dyDescent="0.25">
      <c r="A10572" s="1" t="s">
        <v>10571</v>
      </c>
      <c r="C10572" s="3">
        <v>9</v>
      </c>
    </row>
    <row r="10573" spans="1:3" x14ac:dyDescent="0.25">
      <c r="A10573" s="1" t="s">
        <v>10572</v>
      </c>
      <c r="C10573" s="3">
        <v>9</v>
      </c>
    </row>
    <row r="10574" spans="1:3" x14ac:dyDescent="0.25">
      <c r="A10574" s="1" t="s">
        <v>10573</v>
      </c>
      <c r="C10574" s="3">
        <v>9</v>
      </c>
    </row>
    <row r="10575" spans="1:3" x14ac:dyDescent="0.25">
      <c r="A10575" s="1" t="s">
        <v>10574</v>
      </c>
      <c r="C10575" s="3">
        <v>9</v>
      </c>
    </row>
    <row r="10576" spans="1:3" x14ac:dyDescent="0.25">
      <c r="A10576" s="1" t="s">
        <v>10575</v>
      </c>
      <c r="C10576" s="3">
        <v>9</v>
      </c>
    </row>
    <row r="10577" spans="1:3" x14ac:dyDescent="0.25">
      <c r="A10577" s="1" t="s">
        <v>10576</v>
      </c>
      <c r="C10577" s="3">
        <v>9</v>
      </c>
    </row>
    <row r="10578" spans="1:3" x14ac:dyDescent="0.25">
      <c r="A10578" s="1" t="s">
        <v>10577</v>
      </c>
      <c r="C10578" s="3">
        <v>9</v>
      </c>
    </row>
    <row r="10579" spans="1:3" x14ac:dyDescent="0.25">
      <c r="A10579" s="1" t="s">
        <v>10578</v>
      </c>
      <c r="C10579" s="3">
        <v>9</v>
      </c>
    </row>
    <row r="10580" spans="1:3" x14ac:dyDescent="0.25">
      <c r="A10580" s="1" t="s">
        <v>10579</v>
      </c>
      <c r="C10580" s="3">
        <v>9</v>
      </c>
    </row>
    <row r="10581" spans="1:3" x14ac:dyDescent="0.25">
      <c r="A10581" s="1" t="s">
        <v>10580</v>
      </c>
      <c r="C10581" s="3">
        <v>9</v>
      </c>
    </row>
    <row r="10582" spans="1:3" x14ac:dyDescent="0.25">
      <c r="A10582" s="1" t="s">
        <v>10581</v>
      </c>
      <c r="C10582" s="3">
        <v>9</v>
      </c>
    </row>
    <row r="10583" spans="1:3" x14ac:dyDescent="0.25">
      <c r="A10583" s="1" t="s">
        <v>10582</v>
      </c>
      <c r="C10583" s="3">
        <v>9</v>
      </c>
    </row>
    <row r="10584" spans="1:3" x14ac:dyDescent="0.25">
      <c r="A10584" s="1" t="s">
        <v>10583</v>
      </c>
      <c r="C10584" s="3">
        <v>9</v>
      </c>
    </row>
    <row r="10585" spans="1:3" x14ac:dyDescent="0.25">
      <c r="A10585" s="1" t="s">
        <v>10584</v>
      </c>
      <c r="C10585" s="3">
        <v>9</v>
      </c>
    </row>
    <row r="10586" spans="1:3" x14ac:dyDescent="0.25">
      <c r="A10586" s="1" t="s">
        <v>10585</v>
      </c>
      <c r="C10586" s="3">
        <v>9</v>
      </c>
    </row>
    <row r="10587" spans="1:3" x14ac:dyDescent="0.25">
      <c r="A10587" s="1" t="s">
        <v>10586</v>
      </c>
      <c r="C10587" s="3">
        <v>9</v>
      </c>
    </row>
    <row r="10588" spans="1:3" x14ac:dyDescent="0.25">
      <c r="A10588" s="1" t="s">
        <v>10587</v>
      </c>
      <c r="C10588" s="3">
        <v>9</v>
      </c>
    </row>
    <row r="10589" spans="1:3" x14ac:dyDescent="0.25">
      <c r="A10589" s="1" t="s">
        <v>10588</v>
      </c>
      <c r="C10589" s="3">
        <v>9</v>
      </c>
    </row>
    <row r="10590" spans="1:3" x14ac:dyDescent="0.25">
      <c r="A10590" s="1" t="s">
        <v>10589</v>
      </c>
      <c r="C10590" s="3">
        <v>9</v>
      </c>
    </row>
    <row r="10591" spans="1:3" x14ac:dyDescent="0.25">
      <c r="A10591" s="1" t="s">
        <v>10590</v>
      </c>
      <c r="C10591" s="3">
        <v>9</v>
      </c>
    </row>
    <row r="10592" spans="1:3" x14ac:dyDescent="0.25">
      <c r="A10592" s="1" t="s">
        <v>10591</v>
      </c>
      <c r="C10592" s="3">
        <v>9</v>
      </c>
    </row>
    <row r="10593" spans="1:3" x14ac:dyDescent="0.25">
      <c r="A10593" s="1" t="s">
        <v>10592</v>
      </c>
      <c r="C10593" s="3">
        <v>9</v>
      </c>
    </row>
    <row r="10594" spans="1:3" x14ac:dyDescent="0.25">
      <c r="A10594" s="1" t="s">
        <v>10593</v>
      </c>
      <c r="C10594" s="3">
        <v>9</v>
      </c>
    </row>
    <row r="10595" spans="1:3" x14ac:dyDescent="0.25">
      <c r="A10595" s="1" t="s">
        <v>10594</v>
      </c>
      <c r="C10595" s="3">
        <v>9</v>
      </c>
    </row>
    <row r="10596" spans="1:3" x14ac:dyDescent="0.25">
      <c r="A10596" s="1" t="s">
        <v>10595</v>
      </c>
      <c r="C10596" s="3">
        <v>9</v>
      </c>
    </row>
    <row r="10597" spans="1:3" x14ac:dyDescent="0.25">
      <c r="A10597" s="1" t="s">
        <v>10596</v>
      </c>
      <c r="C10597" s="3">
        <v>9</v>
      </c>
    </row>
    <row r="10598" spans="1:3" x14ac:dyDescent="0.25">
      <c r="A10598" s="1" t="s">
        <v>10597</v>
      </c>
      <c r="C10598" s="3">
        <v>9</v>
      </c>
    </row>
    <row r="10599" spans="1:3" x14ac:dyDescent="0.25">
      <c r="A10599" s="1" t="s">
        <v>10598</v>
      </c>
      <c r="C10599" s="3">
        <v>9</v>
      </c>
    </row>
    <row r="10600" spans="1:3" x14ac:dyDescent="0.25">
      <c r="A10600" s="1" t="s">
        <v>10599</v>
      </c>
      <c r="C10600" s="3">
        <v>9</v>
      </c>
    </row>
    <row r="10601" spans="1:3" x14ac:dyDescent="0.25">
      <c r="A10601" s="1" t="s">
        <v>10600</v>
      </c>
      <c r="C10601" s="3">
        <v>9</v>
      </c>
    </row>
    <row r="10602" spans="1:3" x14ac:dyDescent="0.25">
      <c r="A10602" s="1" t="s">
        <v>10601</v>
      </c>
      <c r="C10602" s="3">
        <v>9</v>
      </c>
    </row>
    <row r="10603" spans="1:3" x14ac:dyDescent="0.25">
      <c r="A10603" s="1" t="s">
        <v>10602</v>
      </c>
      <c r="C10603" s="3">
        <v>9</v>
      </c>
    </row>
    <row r="10604" spans="1:3" x14ac:dyDescent="0.25">
      <c r="A10604" s="1" t="s">
        <v>10603</v>
      </c>
      <c r="C10604" s="3">
        <v>9</v>
      </c>
    </row>
    <row r="10605" spans="1:3" x14ac:dyDescent="0.25">
      <c r="A10605" s="1" t="s">
        <v>10604</v>
      </c>
      <c r="C10605" s="3">
        <v>9</v>
      </c>
    </row>
    <row r="10606" spans="1:3" x14ac:dyDescent="0.25">
      <c r="A10606" s="1" t="s">
        <v>10605</v>
      </c>
      <c r="C10606" s="3">
        <v>9</v>
      </c>
    </row>
    <row r="10607" spans="1:3" x14ac:dyDescent="0.25">
      <c r="A10607" s="1" t="s">
        <v>10606</v>
      </c>
      <c r="C10607" s="3">
        <v>9</v>
      </c>
    </row>
    <row r="10608" spans="1:3" x14ac:dyDescent="0.25">
      <c r="A10608" s="1" t="s">
        <v>10607</v>
      </c>
      <c r="C10608" s="3">
        <v>9</v>
      </c>
    </row>
    <row r="10609" spans="1:3" x14ac:dyDescent="0.25">
      <c r="A10609" s="1" t="s">
        <v>10608</v>
      </c>
      <c r="C10609" s="3">
        <v>9</v>
      </c>
    </row>
    <row r="10610" spans="1:3" x14ac:dyDescent="0.25">
      <c r="A10610" s="1" t="s">
        <v>10609</v>
      </c>
      <c r="C10610" s="3">
        <v>9</v>
      </c>
    </row>
    <row r="10611" spans="1:3" x14ac:dyDescent="0.25">
      <c r="A10611" s="1" t="s">
        <v>10610</v>
      </c>
      <c r="C10611" s="3">
        <v>9</v>
      </c>
    </row>
    <row r="10612" spans="1:3" x14ac:dyDescent="0.25">
      <c r="A10612" s="1" t="s">
        <v>10611</v>
      </c>
      <c r="C10612" s="3">
        <v>9</v>
      </c>
    </row>
    <row r="10613" spans="1:3" x14ac:dyDescent="0.25">
      <c r="A10613" s="1" t="s">
        <v>10612</v>
      </c>
      <c r="C10613" s="3">
        <v>9</v>
      </c>
    </row>
    <row r="10614" spans="1:3" x14ac:dyDescent="0.25">
      <c r="A10614" s="1" t="s">
        <v>10613</v>
      </c>
      <c r="C10614" s="3">
        <v>9</v>
      </c>
    </row>
    <row r="10615" spans="1:3" x14ac:dyDescent="0.25">
      <c r="A10615" s="1" t="s">
        <v>10614</v>
      </c>
      <c r="C10615" s="3">
        <v>9</v>
      </c>
    </row>
    <row r="10616" spans="1:3" x14ac:dyDescent="0.25">
      <c r="A10616" s="1" t="s">
        <v>10615</v>
      </c>
      <c r="C10616" s="3">
        <v>9</v>
      </c>
    </row>
    <row r="10617" spans="1:3" x14ac:dyDescent="0.25">
      <c r="A10617" s="1" t="s">
        <v>10616</v>
      </c>
      <c r="C10617" s="3">
        <v>9</v>
      </c>
    </row>
    <row r="10618" spans="1:3" x14ac:dyDescent="0.25">
      <c r="A10618" s="1" t="s">
        <v>10617</v>
      </c>
      <c r="C10618" s="3">
        <v>9</v>
      </c>
    </row>
    <row r="10619" spans="1:3" x14ac:dyDescent="0.25">
      <c r="A10619" s="1" t="s">
        <v>10618</v>
      </c>
      <c r="C10619" s="3">
        <v>9</v>
      </c>
    </row>
    <row r="10620" spans="1:3" x14ac:dyDescent="0.25">
      <c r="A10620" s="1" t="s">
        <v>10619</v>
      </c>
      <c r="C10620" s="3">
        <v>9</v>
      </c>
    </row>
    <row r="10621" spans="1:3" x14ac:dyDescent="0.25">
      <c r="A10621" s="1" t="s">
        <v>10620</v>
      </c>
      <c r="C10621" s="3">
        <v>9</v>
      </c>
    </row>
    <row r="10622" spans="1:3" x14ac:dyDescent="0.25">
      <c r="A10622" s="1" t="s">
        <v>10621</v>
      </c>
      <c r="C10622" s="3">
        <v>9</v>
      </c>
    </row>
    <row r="10623" spans="1:3" x14ac:dyDescent="0.25">
      <c r="A10623" s="1" t="s">
        <v>10622</v>
      </c>
      <c r="C10623" s="3">
        <v>9</v>
      </c>
    </row>
    <row r="10624" spans="1:3" x14ac:dyDescent="0.25">
      <c r="A10624" s="1" t="s">
        <v>10623</v>
      </c>
      <c r="C10624" s="3">
        <v>9</v>
      </c>
    </row>
    <row r="10625" spans="1:3" x14ac:dyDescent="0.25">
      <c r="A10625" s="1" t="s">
        <v>10624</v>
      </c>
      <c r="C10625" s="3">
        <v>9</v>
      </c>
    </row>
    <row r="10626" spans="1:3" x14ac:dyDescent="0.25">
      <c r="A10626" s="1" t="s">
        <v>10625</v>
      </c>
      <c r="C10626" s="3">
        <v>9</v>
      </c>
    </row>
    <row r="10627" spans="1:3" x14ac:dyDescent="0.25">
      <c r="A10627" s="1" t="s">
        <v>10626</v>
      </c>
      <c r="C10627" s="3">
        <v>9</v>
      </c>
    </row>
    <row r="10628" spans="1:3" x14ac:dyDescent="0.25">
      <c r="A10628" s="1" t="s">
        <v>10627</v>
      </c>
      <c r="C10628" s="3">
        <v>9</v>
      </c>
    </row>
    <row r="10629" spans="1:3" x14ac:dyDescent="0.25">
      <c r="A10629" s="1" t="s">
        <v>10628</v>
      </c>
      <c r="C10629" s="3">
        <v>9</v>
      </c>
    </row>
    <row r="10630" spans="1:3" x14ac:dyDescent="0.25">
      <c r="A10630" s="1" t="s">
        <v>10629</v>
      </c>
      <c r="C10630" s="3">
        <v>9</v>
      </c>
    </row>
    <row r="10631" spans="1:3" x14ac:dyDescent="0.25">
      <c r="A10631" s="1" t="s">
        <v>10630</v>
      </c>
      <c r="C10631" s="3">
        <v>9</v>
      </c>
    </row>
    <row r="10632" spans="1:3" x14ac:dyDescent="0.25">
      <c r="A10632" s="1" t="s">
        <v>10631</v>
      </c>
      <c r="C10632" s="3">
        <v>9</v>
      </c>
    </row>
    <row r="10633" spans="1:3" x14ac:dyDescent="0.25">
      <c r="A10633" s="1" t="s">
        <v>10632</v>
      </c>
      <c r="C10633" s="3">
        <v>9</v>
      </c>
    </row>
    <row r="10634" spans="1:3" x14ac:dyDescent="0.25">
      <c r="A10634" s="1" t="s">
        <v>10633</v>
      </c>
      <c r="C10634" s="3">
        <v>9</v>
      </c>
    </row>
    <row r="10635" spans="1:3" x14ac:dyDescent="0.25">
      <c r="A10635" s="1" t="s">
        <v>10634</v>
      </c>
      <c r="C10635" s="3">
        <v>9</v>
      </c>
    </row>
    <row r="10636" spans="1:3" x14ac:dyDescent="0.25">
      <c r="A10636" s="1" t="s">
        <v>10635</v>
      </c>
      <c r="C10636" s="3">
        <v>9</v>
      </c>
    </row>
    <row r="10637" spans="1:3" x14ac:dyDescent="0.25">
      <c r="A10637" s="1" t="s">
        <v>10636</v>
      </c>
      <c r="C10637" s="3">
        <v>9</v>
      </c>
    </row>
    <row r="10638" spans="1:3" x14ac:dyDescent="0.25">
      <c r="A10638" s="1" t="s">
        <v>10637</v>
      </c>
      <c r="C10638" s="3">
        <v>9</v>
      </c>
    </row>
    <row r="10639" spans="1:3" x14ac:dyDescent="0.25">
      <c r="A10639" s="1" t="s">
        <v>10638</v>
      </c>
      <c r="C10639" s="3">
        <v>9</v>
      </c>
    </row>
    <row r="10640" spans="1:3" x14ac:dyDescent="0.25">
      <c r="A10640" s="1" t="s">
        <v>10639</v>
      </c>
      <c r="C10640" s="3">
        <v>9</v>
      </c>
    </row>
    <row r="10641" spans="1:3" x14ac:dyDescent="0.25">
      <c r="A10641" s="1" t="s">
        <v>10640</v>
      </c>
      <c r="C10641" s="3">
        <v>9</v>
      </c>
    </row>
    <row r="10642" spans="1:3" x14ac:dyDescent="0.25">
      <c r="A10642" s="1" t="s">
        <v>10641</v>
      </c>
      <c r="C10642" s="3">
        <v>9</v>
      </c>
    </row>
    <row r="10643" spans="1:3" x14ac:dyDescent="0.25">
      <c r="A10643" s="1" t="s">
        <v>10642</v>
      </c>
      <c r="C10643" s="3">
        <v>9</v>
      </c>
    </row>
    <row r="10644" spans="1:3" x14ac:dyDescent="0.25">
      <c r="A10644" s="1" t="s">
        <v>10643</v>
      </c>
      <c r="C10644" s="3">
        <v>9</v>
      </c>
    </row>
    <row r="10645" spans="1:3" x14ac:dyDescent="0.25">
      <c r="A10645" s="1" t="s">
        <v>10644</v>
      </c>
      <c r="C10645" s="3">
        <v>9</v>
      </c>
    </row>
    <row r="10646" spans="1:3" x14ac:dyDescent="0.25">
      <c r="A10646" s="1" t="s">
        <v>10645</v>
      </c>
      <c r="C10646" s="3">
        <v>9</v>
      </c>
    </row>
    <row r="10647" spans="1:3" x14ac:dyDescent="0.25">
      <c r="A10647" s="1" t="s">
        <v>10646</v>
      </c>
      <c r="C10647" s="3">
        <v>9</v>
      </c>
    </row>
    <row r="10648" spans="1:3" x14ac:dyDescent="0.25">
      <c r="A10648" s="1" t="s">
        <v>10647</v>
      </c>
      <c r="C10648" s="3">
        <v>9</v>
      </c>
    </row>
    <row r="10649" spans="1:3" x14ac:dyDescent="0.25">
      <c r="A10649" s="1" t="s">
        <v>10648</v>
      </c>
      <c r="C10649" s="3">
        <v>9</v>
      </c>
    </row>
    <row r="10650" spans="1:3" x14ac:dyDescent="0.25">
      <c r="A10650" s="1" t="s">
        <v>10649</v>
      </c>
      <c r="C10650" s="3">
        <v>9</v>
      </c>
    </row>
    <row r="10651" spans="1:3" x14ac:dyDescent="0.25">
      <c r="A10651" s="1" t="s">
        <v>10650</v>
      </c>
      <c r="C10651" s="3">
        <v>9</v>
      </c>
    </row>
    <row r="10652" spans="1:3" x14ac:dyDescent="0.25">
      <c r="A10652" s="1" t="s">
        <v>10651</v>
      </c>
      <c r="C10652" s="3">
        <v>9</v>
      </c>
    </row>
    <row r="10653" spans="1:3" x14ac:dyDescent="0.25">
      <c r="A10653" s="1" t="s">
        <v>10652</v>
      </c>
      <c r="C10653" s="3">
        <v>9</v>
      </c>
    </row>
    <row r="10654" spans="1:3" x14ac:dyDescent="0.25">
      <c r="A10654" s="1" t="s">
        <v>10653</v>
      </c>
      <c r="C10654" s="3">
        <v>9</v>
      </c>
    </row>
    <row r="10655" spans="1:3" x14ac:dyDescent="0.25">
      <c r="A10655" s="1" t="s">
        <v>10654</v>
      </c>
      <c r="C10655" s="3">
        <v>9</v>
      </c>
    </row>
    <row r="10656" spans="1:3" x14ac:dyDescent="0.25">
      <c r="A10656" s="1" t="s">
        <v>10655</v>
      </c>
      <c r="C10656" s="3">
        <v>9</v>
      </c>
    </row>
    <row r="10657" spans="1:3" x14ac:dyDescent="0.25">
      <c r="A10657" s="1" t="s">
        <v>10656</v>
      </c>
      <c r="C10657" s="3">
        <v>9</v>
      </c>
    </row>
    <row r="10658" spans="1:3" x14ac:dyDescent="0.25">
      <c r="A10658" s="1" t="s">
        <v>10657</v>
      </c>
      <c r="C10658" s="3">
        <v>9</v>
      </c>
    </row>
    <row r="10659" spans="1:3" x14ac:dyDescent="0.25">
      <c r="A10659" s="1" t="s">
        <v>10658</v>
      </c>
      <c r="C10659" s="3">
        <v>9</v>
      </c>
    </row>
    <row r="10660" spans="1:3" x14ac:dyDescent="0.25">
      <c r="A10660" s="1" t="s">
        <v>10659</v>
      </c>
      <c r="C10660" s="3">
        <v>9</v>
      </c>
    </row>
    <row r="10661" spans="1:3" x14ac:dyDescent="0.25">
      <c r="A10661" s="1" t="s">
        <v>10660</v>
      </c>
      <c r="C10661" s="3">
        <v>9</v>
      </c>
    </row>
    <row r="10662" spans="1:3" x14ac:dyDescent="0.25">
      <c r="A10662" s="1" t="s">
        <v>10661</v>
      </c>
      <c r="C10662" s="3">
        <v>9</v>
      </c>
    </row>
    <row r="10663" spans="1:3" x14ac:dyDescent="0.25">
      <c r="A10663" s="1" t="s">
        <v>10662</v>
      </c>
      <c r="C10663" s="3">
        <v>9</v>
      </c>
    </row>
    <row r="10664" spans="1:3" x14ac:dyDescent="0.25">
      <c r="A10664" s="1" t="s">
        <v>10663</v>
      </c>
      <c r="C10664" s="3">
        <v>9</v>
      </c>
    </row>
    <row r="10665" spans="1:3" x14ac:dyDescent="0.25">
      <c r="A10665" s="1" t="s">
        <v>10664</v>
      </c>
      <c r="C10665" s="3">
        <v>9</v>
      </c>
    </row>
    <row r="10666" spans="1:3" x14ac:dyDescent="0.25">
      <c r="A10666" s="1" t="s">
        <v>10665</v>
      </c>
      <c r="C10666" s="3">
        <v>9</v>
      </c>
    </row>
    <row r="10667" spans="1:3" x14ac:dyDescent="0.25">
      <c r="A10667" s="1" t="s">
        <v>10666</v>
      </c>
      <c r="C10667" s="3">
        <v>9</v>
      </c>
    </row>
    <row r="10668" spans="1:3" x14ac:dyDescent="0.25">
      <c r="A10668" s="1" t="s">
        <v>10667</v>
      </c>
      <c r="C10668" s="3">
        <v>9</v>
      </c>
    </row>
    <row r="10669" spans="1:3" x14ac:dyDescent="0.25">
      <c r="A10669" s="1" t="s">
        <v>10668</v>
      </c>
      <c r="C10669" s="3">
        <v>9</v>
      </c>
    </row>
    <row r="10670" spans="1:3" x14ac:dyDescent="0.25">
      <c r="A10670" s="1" t="s">
        <v>10669</v>
      </c>
      <c r="C10670" s="3">
        <v>9</v>
      </c>
    </row>
    <row r="10671" spans="1:3" x14ac:dyDescent="0.25">
      <c r="A10671" s="1" t="s">
        <v>10670</v>
      </c>
      <c r="C10671" s="3">
        <v>9</v>
      </c>
    </row>
    <row r="10672" spans="1:3" x14ac:dyDescent="0.25">
      <c r="A10672" s="1" t="s">
        <v>10671</v>
      </c>
      <c r="C10672" s="3">
        <v>9</v>
      </c>
    </row>
    <row r="10673" spans="1:3" x14ac:dyDescent="0.25">
      <c r="A10673" s="1" t="s">
        <v>10672</v>
      </c>
      <c r="C10673" s="3">
        <v>9</v>
      </c>
    </row>
    <row r="10674" spans="1:3" x14ac:dyDescent="0.25">
      <c r="A10674" s="1" t="s">
        <v>10673</v>
      </c>
      <c r="C10674" s="3">
        <v>9</v>
      </c>
    </row>
    <row r="10675" spans="1:3" x14ac:dyDescent="0.25">
      <c r="A10675" s="1" t="s">
        <v>10674</v>
      </c>
      <c r="C10675" s="3">
        <v>9</v>
      </c>
    </row>
    <row r="10676" spans="1:3" x14ac:dyDescent="0.25">
      <c r="A10676" s="1" t="s">
        <v>10675</v>
      </c>
      <c r="C10676" s="3">
        <v>9</v>
      </c>
    </row>
    <row r="10677" spans="1:3" x14ac:dyDescent="0.25">
      <c r="A10677" s="1" t="s">
        <v>10676</v>
      </c>
      <c r="C10677" s="3">
        <v>9</v>
      </c>
    </row>
    <row r="10678" spans="1:3" x14ac:dyDescent="0.25">
      <c r="A10678" s="1" t="s">
        <v>10677</v>
      </c>
      <c r="C10678" s="3">
        <v>9</v>
      </c>
    </row>
    <row r="10679" spans="1:3" x14ac:dyDescent="0.25">
      <c r="A10679" s="1" t="s">
        <v>10678</v>
      </c>
      <c r="C10679" s="3">
        <v>9</v>
      </c>
    </row>
    <row r="10680" spans="1:3" x14ac:dyDescent="0.25">
      <c r="A10680" s="1" t="s">
        <v>10679</v>
      </c>
      <c r="C10680" s="3">
        <v>9</v>
      </c>
    </row>
    <row r="10681" spans="1:3" x14ac:dyDescent="0.25">
      <c r="A10681" s="1" t="s">
        <v>10680</v>
      </c>
      <c r="C10681" s="3">
        <v>9</v>
      </c>
    </row>
    <row r="10682" spans="1:3" x14ac:dyDescent="0.25">
      <c r="A10682" s="1" t="s">
        <v>10681</v>
      </c>
      <c r="C10682" s="3">
        <v>9</v>
      </c>
    </row>
    <row r="10683" spans="1:3" x14ac:dyDescent="0.25">
      <c r="A10683" s="1" t="s">
        <v>10682</v>
      </c>
      <c r="C10683" s="3">
        <v>9</v>
      </c>
    </row>
    <row r="10684" spans="1:3" x14ac:dyDescent="0.25">
      <c r="A10684" s="1" t="s">
        <v>10683</v>
      </c>
      <c r="C10684" s="3">
        <v>9</v>
      </c>
    </row>
    <row r="10685" spans="1:3" x14ac:dyDescent="0.25">
      <c r="A10685" s="1" t="s">
        <v>10684</v>
      </c>
      <c r="C10685" s="3">
        <v>9</v>
      </c>
    </row>
    <row r="10686" spans="1:3" x14ac:dyDescent="0.25">
      <c r="A10686" s="1" t="s">
        <v>10685</v>
      </c>
      <c r="C10686" s="3">
        <v>9</v>
      </c>
    </row>
    <row r="10687" spans="1:3" x14ac:dyDescent="0.25">
      <c r="A10687" s="1" t="s">
        <v>10686</v>
      </c>
      <c r="C10687" s="3">
        <v>9</v>
      </c>
    </row>
    <row r="10688" spans="1:3" x14ac:dyDescent="0.25">
      <c r="A10688" s="1" t="s">
        <v>10687</v>
      </c>
      <c r="C10688" s="3">
        <v>9</v>
      </c>
    </row>
    <row r="10689" spans="1:3" x14ac:dyDescent="0.25">
      <c r="A10689" s="1" t="s">
        <v>10688</v>
      </c>
      <c r="C10689" s="3">
        <v>9</v>
      </c>
    </row>
    <row r="10690" spans="1:3" x14ac:dyDescent="0.25">
      <c r="A10690" s="1" t="s">
        <v>10689</v>
      </c>
      <c r="C10690" s="3">
        <v>9</v>
      </c>
    </row>
    <row r="10691" spans="1:3" x14ac:dyDescent="0.25">
      <c r="A10691" s="1" t="s">
        <v>10690</v>
      </c>
      <c r="C10691" s="3">
        <v>9</v>
      </c>
    </row>
    <row r="10692" spans="1:3" x14ac:dyDescent="0.25">
      <c r="A10692" s="1" t="s">
        <v>10691</v>
      </c>
      <c r="C10692" s="3">
        <v>9</v>
      </c>
    </row>
    <row r="10693" spans="1:3" x14ac:dyDescent="0.25">
      <c r="A10693" s="1" t="s">
        <v>10692</v>
      </c>
      <c r="C10693" s="3">
        <v>9</v>
      </c>
    </row>
    <row r="10694" spans="1:3" x14ac:dyDescent="0.25">
      <c r="A10694" s="1" t="s">
        <v>10693</v>
      </c>
      <c r="C10694" s="3">
        <v>9</v>
      </c>
    </row>
    <row r="10695" spans="1:3" x14ac:dyDescent="0.25">
      <c r="A10695" s="1" t="s">
        <v>10694</v>
      </c>
      <c r="C10695" s="3">
        <v>9</v>
      </c>
    </row>
    <row r="10696" spans="1:3" x14ac:dyDescent="0.25">
      <c r="A10696" s="1" t="s">
        <v>10695</v>
      </c>
      <c r="C10696" s="3">
        <v>9</v>
      </c>
    </row>
    <row r="10697" spans="1:3" x14ac:dyDescent="0.25">
      <c r="A10697" s="1" t="s">
        <v>10696</v>
      </c>
      <c r="C10697" s="3">
        <v>9</v>
      </c>
    </row>
    <row r="10698" spans="1:3" x14ac:dyDescent="0.25">
      <c r="A10698" s="1" t="s">
        <v>10697</v>
      </c>
      <c r="C10698" s="3">
        <v>9</v>
      </c>
    </row>
    <row r="10699" spans="1:3" x14ac:dyDescent="0.25">
      <c r="A10699" s="1" t="s">
        <v>10698</v>
      </c>
      <c r="C10699" s="3">
        <v>9</v>
      </c>
    </row>
    <row r="10700" spans="1:3" x14ac:dyDescent="0.25">
      <c r="A10700" s="1" t="s">
        <v>10699</v>
      </c>
      <c r="C10700" s="3">
        <v>9</v>
      </c>
    </row>
    <row r="10701" spans="1:3" x14ac:dyDescent="0.25">
      <c r="A10701" s="1" t="s">
        <v>10700</v>
      </c>
      <c r="C10701" s="3">
        <v>9</v>
      </c>
    </row>
    <row r="10702" spans="1:3" x14ac:dyDescent="0.25">
      <c r="A10702" s="1" t="s">
        <v>10701</v>
      </c>
      <c r="C10702" s="3">
        <v>9</v>
      </c>
    </row>
    <row r="10703" spans="1:3" x14ac:dyDescent="0.25">
      <c r="A10703" s="1" t="s">
        <v>10702</v>
      </c>
      <c r="C10703" s="3">
        <v>9</v>
      </c>
    </row>
    <row r="10704" spans="1:3" x14ac:dyDescent="0.25">
      <c r="A10704" s="1" t="s">
        <v>10703</v>
      </c>
      <c r="C10704" s="3">
        <v>9</v>
      </c>
    </row>
    <row r="10705" spans="1:3" x14ac:dyDescent="0.25">
      <c r="A10705" s="1" t="s">
        <v>10704</v>
      </c>
      <c r="C10705" s="3">
        <v>9</v>
      </c>
    </row>
    <row r="10706" spans="1:3" x14ac:dyDescent="0.25">
      <c r="A10706" s="1" t="s">
        <v>10705</v>
      </c>
      <c r="C10706" s="3">
        <v>9</v>
      </c>
    </row>
    <row r="10707" spans="1:3" x14ac:dyDescent="0.25">
      <c r="A10707" s="1" t="s">
        <v>10706</v>
      </c>
      <c r="C10707" s="3">
        <v>9</v>
      </c>
    </row>
    <row r="10708" spans="1:3" x14ac:dyDescent="0.25">
      <c r="A10708" s="1" t="s">
        <v>10707</v>
      </c>
      <c r="C10708" s="3">
        <v>9</v>
      </c>
    </row>
    <row r="10709" spans="1:3" x14ac:dyDescent="0.25">
      <c r="A10709" s="1" t="s">
        <v>10708</v>
      </c>
      <c r="C10709" s="3">
        <v>9</v>
      </c>
    </row>
    <row r="10710" spans="1:3" x14ac:dyDescent="0.25">
      <c r="A10710" s="1" t="s">
        <v>10709</v>
      </c>
      <c r="C10710" s="3">
        <v>9</v>
      </c>
    </row>
    <row r="10711" spans="1:3" x14ac:dyDescent="0.25">
      <c r="A10711" s="1" t="s">
        <v>10710</v>
      </c>
      <c r="C10711" s="3">
        <v>9</v>
      </c>
    </row>
    <row r="10712" spans="1:3" x14ac:dyDescent="0.25">
      <c r="A10712" s="1" t="s">
        <v>10711</v>
      </c>
      <c r="C10712" s="3">
        <v>9</v>
      </c>
    </row>
    <row r="10713" spans="1:3" x14ac:dyDescent="0.25">
      <c r="A10713" s="1" t="s">
        <v>10712</v>
      </c>
      <c r="C10713" s="3">
        <v>9</v>
      </c>
    </row>
    <row r="10714" spans="1:3" x14ac:dyDescent="0.25">
      <c r="A10714" s="1" t="s">
        <v>10713</v>
      </c>
      <c r="C10714" s="3">
        <v>9</v>
      </c>
    </row>
    <row r="10715" spans="1:3" x14ac:dyDescent="0.25">
      <c r="A10715" s="1" t="s">
        <v>10714</v>
      </c>
      <c r="C10715" s="3">
        <v>9</v>
      </c>
    </row>
    <row r="10716" spans="1:3" x14ac:dyDescent="0.25">
      <c r="A10716" s="1" t="s">
        <v>10715</v>
      </c>
      <c r="C10716" s="3">
        <v>9</v>
      </c>
    </row>
    <row r="10717" spans="1:3" x14ac:dyDescent="0.25">
      <c r="A10717" s="1" t="s">
        <v>10716</v>
      </c>
      <c r="C10717" s="3">
        <v>9</v>
      </c>
    </row>
    <row r="10718" spans="1:3" x14ac:dyDescent="0.25">
      <c r="A10718" s="1" t="s">
        <v>10717</v>
      </c>
      <c r="C10718" s="3">
        <v>9</v>
      </c>
    </row>
    <row r="10719" spans="1:3" x14ac:dyDescent="0.25">
      <c r="A10719" s="1" t="s">
        <v>10718</v>
      </c>
      <c r="C10719" s="3">
        <v>9</v>
      </c>
    </row>
    <row r="10720" spans="1:3" x14ac:dyDescent="0.25">
      <c r="A10720" s="1" t="s">
        <v>10719</v>
      </c>
      <c r="C10720" s="3">
        <v>9</v>
      </c>
    </row>
    <row r="10721" spans="1:3" x14ac:dyDescent="0.25">
      <c r="A10721" s="1" t="s">
        <v>10720</v>
      </c>
      <c r="C10721" s="3">
        <v>9</v>
      </c>
    </row>
    <row r="10722" spans="1:3" x14ac:dyDescent="0.25">
      <c r="A10722" s="1" t="s">
        <v>10721</v>
      </c>
      <c r="C10722" s="3">
        <v>9</v>
      </c>
    </row>
    <row r="10723" spans="1:3" x14ac:dyDescent="0.25">
      <c r="A10723" s="1" t="s">
        <v>10722</v>
      </c>
      <c r="C10723" s="3">
        <v>9</v>
      </c>
    </row>
    <row r="10724" spans="1:3" x14ac:dyDescent="0.25">
      <c r="A10724" s="1" t="s">
        <v>10723</v>
      </c>
      <c r="C10724" s="3">
        <v>9</v>
      </c>
    </row>
    <row r="10725" spans="1:3" x14ac:dyDescent="0.25">
      <c r="A10725" s="1" t="s">
        <v>10724</v>
      </c>
      <c r="C10725" s="3">
        <v>9</v>
      </c>
    </row>
    <row r="10726" spans="1:3" x14ac:dyDescent="0.25">
      <c r="A10726" s="1" t="s">
        <v>10725</v>
      </c>
      <c r="C10726" s="3">
        <v>9</v>
      </c>
    </row>
    <row r="10727" spans="1:3" x14ac:dyDescent="0.25">
      <c r="A10727" s="1" t="s">
        <v>10726</v>
      </c>
      <c r="C10727" s="3">
        <v>9</v>
      </c>
    </row>
    <row r="10728" spans="1:3" x14ac:dyDescent="0.25">
      <c r="A10728" s="1" t="s">
        <v>10727</v>
      </c>
      <c r="C10728" s="3">
        <v>9</v>
      </c>
    </row>
    <row r="10729" spans="1:3" x14ac:dyDescent="0.25">
      <c r="A10729" s="1" t="s">
        <v>10728</v>
      </c>
      <c r="C10729" s="3">
        <v>9</v>
      </c>
    </row>
    <row r="10730" spans="1:3" x14ac:dyDescent="0.25">
      <c r="A10730" s="1" t="s">
        <v>10729</v>
      </c>
      <c r="C10730" s="3">
        <v>9</v>
      </c>
    </row>
    <row r="10731" spans="1:3" x14ac:dyDescent="0.25">
      <c r="A10731" s="1" t="s">
        <v>10730</v>
      </c>
      <c r="C10731" s="3">
        <v>9</v>
      </c>
    </row>
    <row r="10732" spans="1:3" x14ac:dyDescent="0.25">
      <c r="A10732" s="1" t="s">
        <v>10731</v>
      </c>
      <c r="C10732" s="3">
        <v>9</v>
      </c>
    </row>
    <row r="10733" spans="1:3" x14ac:dyDescent="0.25">
      <c r="A10733" s="1" t="s">
        <v>10732</v>
      </c>
      <c r="C10733" s="3">
        <v>9</v>
      </c>
    </row>
    <row r="10734" spans="1:3" x14ac:dyDescent="0.25">
      <c r="A10734" s="1" t="s">
        <v>10733</v>
      </c>
      <c r="C10734" s="3">
        <v>9</v>
      </c>
    </row>
    <row r="10735" spans="1:3" x14ac:dyDescent="0.25">
      <c r="A10735" s="1" t="s">
        <v>10734</v>
      </c>
      <c r="C10735" s="3">
        <v>9</v>
      </c>
    </row>
    <row r="10736" spans="1:3" x14ac:dyDescent="0.25">
      <c r="A10736" s="1" t="s">
        <v>10735</v>
      </c>
      <c r="C10736" s="3">
        <v>9</v>
      </c>
    </row>
    <row r="10737" spans="1:3" x14ac:dyDescent="0.25">
      <c r="A10737" s="1" t="s">
        <v>10736</v>
      </c>
      <c r="C10737" s="3">
        <v>9</v>
      </c>
    </row>
    <row r="10738" spans="1:3" x14ac:dyDescent="0.25">
      <c r="A10738" s="1" t="s">
        <v>10737</v>
      </c>
      <c r="C10738" s="3">
        <v>9</v>
      </c>
    </row>
    <row r="10739" spans="1:3" x14ac:dyDescent="0.25">
      <c r="A10739" s="1" t="s">
        <v>10738</v>
      </c>
      <c r="C10739" s="3">
        <v>9</v>
      </c>
    </row>
    <row r="10740" spans="1:3" x14ac:dyDescent="0.25">
      <c r="A10740" s="1" t="s">
        <v>10739</v>
      </c>
      <c r="C10740" s="3">
        <v>9</v>
      </c>
    </row>
    <row r="10741" spans="1:3" x14ac:dyDescent="0.25">
      <c r="A10741" s="1" t="s">
        <v>10740</v>
      </c>
      <c r="C10741" s="3">
        <v>9</v>
      </c>
    </row>
    <row r="10742" spans="1:3" x14ac:dyDescent="0.25">
      <c r="A10742" s="1" t="s">
        <v>10741</v>
      </c>
      <c r="C10742" s="3">
        <v>9</v>
      </c>
    </row>
    <row r="10743" spans="1:3" x14ac:dyDescent="0.25">
      <c r="A10743" s="1" t="s">
        <v>10742</v>
      </c>
      <c r="C10743" s="3">
        <v>9</v>
      </c>
    </row>
    <row r="10744" spans="1:3" x14ac:dyDescent="0.25">
      <c r="A10744" s="1" t="s">
        <v>10743</v>
      </c>
      <c r="C10744" s="3">
        <v>9</v>
      </c>
    </row>
    <row r="10745" spans="1:3" x14ac:dyDescent="0.25">
      <c r="A10745" s="1" t="s">
        <v>10744</v>
      </c>
      <c r="C10745" s="3">
        <v>9</v>
      </c>
    </row>
    <row r="10746" spans="1:3" x14ac:dyDescent="0.25">
      <c r="A10746" s="1" t="s">
        <v>10745</v>
      </c>
      <c r="C10746" s="3">
        <v>9</v>
      </c>
    </row>
    <row r="10747" spans="1:3" x14ac:dyDescent="0.25">
      <c r="A10747" s="1" t="s">
        <v>10746</v>
      </c>
      <c r="C10747" s="3">
        <v>9</v>
      </c>
    </row>
    <row r="10748" spans="1:3" x14ac:dyDescent="0.25">
      <c r="A10748" s="1" t="s">
        <v>10747</v>
      </c>
      <c r="C10748" s="3">
        <v>9</v>
      </c>
    </row>
    <row r="10749" spans="1:3" x14ac:dyDescent="0.25">
      <c r="A10749" s="1" t="s">
        <v>10748</v>
      </c>
      <c r="C10749" s="3">
        <v>9</v>
      </c>
    </row>
    <row r="10750" spans="1:3" x14ac:dyDescent="0.25">
      <c r="A10750" s="1" t="s">
        <v>10749</v>
      </c>
      <c r="C10750" s="3">
        <v>9</v>
      </c>
    </row>
    <row r="10751" spans="1:3" x14ac:dyDescent="0.25">
      <c r="A10751" s="1" t="s">
        <v>10750</v>
      </c>
      <c r="C10751" s="3">
        <v>9</v>
      </c>
    </row>
    <row r="10752" spans="1:3" x14ac:dyDescent="0.25">
      <c r="A10752" s="1" t="s">
        <v>10751</v>
      </c>
      <c r="C10752" s="3">
        <v>9</v>
      </c>
    </row>
    <row r="10753" spans="1:3" x14ac:dyDescent="0.25">
      <c r="A10753" s="1" t="s">
        <v>10752</v>
      </c>
      <c r="C10753" s="3">
        <v>9</v>
      </c>
    </row>
    <row r="10754" spans="1:3" x14ac:dyDescent="0.25">
      <c r="A10754" s="1" t="s">
        <v>10753</v>
      </c>
      <c r="C10754" s="3">
        <v>9</v>
      </c>
    </row>
    <row r="10755" spans="1:3" x14ac:dyDescent="0.25">
      <c r="A10755" s="1" t="s">
        <v>10754</v>
      </c>
      <c r="C10755" s="3">
        <v>9</v>
      </c>
    </row>
    <row r="10756" spans="1:3" x14ac:dyDescent="0.25">
      <c r="A10756" s="1" t="s">
        <v>10755</v>
      </c>
      <c r="C10756" s="3">
        <v>9</v>
      </c>
    </row>
    <row r="10757" spans="1:3" x14ac:dyDescent="0.25">
      <c r="A10757" s="1" t="s">
        <v>10756</v>
      </c>
      <c r="C10757" s="3">
        <v>9</v>
      </c>
    </row>
    <row r="10758" spans="1:3" x14ac:dyDescent="0.25">
      <c r="A10758" s="1" t="s">
        <v>10757</v>
      </c>
      <c r="C10758" s="3">
        <v>9</v>
      </c>
    </row>
    <row r="10759" spans="1:3" x14ac:dyDescent="0.25">
      <c r="A10759" s="1" t="s">
        <v>10758</v>
      </c>
      <c r="C10759" s="3">
        <v>9</v>
      </c>
    </row>
    <row r="10760" spans="1:3" x14ac:dyDescent="0.25">
      <c r="A10760" s="1" t="s">
        <v>10759</v>
      </c>
      <c r="C10760" s="3">
        <v>9</v>
      </c>
    </row>
    <row r="10761" spans="1:3" x14ac:dyDescent="0.25">
      <c r="A10761" s="1" t="s">
        <v>10760</v>
      </c>
      <c r="C10761" s="3">
        <v>9</v>
      </c>
    </row>
    <row r="10762" spans="1:3" x14ac:dyDescent="0.25">
      <c r="A10762" s="1" t="s">
        <v>10761</v>
      </c>
      <c r="C10762" s="3">
        <v>9</v>
      </c>
    </row>
    <row r="10763" spans="1:3" x14ac:dyDescent="0.25">
      <c r="A10763" s="1" t="s">
        <v>10762</v>
      </c>
      <c r="C10763" s="3">
        <v>9</v>
      </c>
    </row>
    <row r="10764" spans="1:3" x14ac:dyDescent="0.25">
      <c r="A10764" s="1" t="s">
        <v>10763</v>
      </c>
      <c r="C10764" s="3">
        <v>9</v>
      </c>
    </row>
    <row r="10765" spans="1:3" x14ac:dyDescent="0.25">
      <c r="A10765" s="1" t="s">
        <v>10764</v>
      </c>
      <c r="C10765" s="3">
        <v>9</v>
      </c>
    </row>
    <row r="10766" spans="1:3" x14ac:dyDescent="0.25">
      <c r="A10766" s="1" t="s">
        <v>10765</v>
      </c>
      <c r="C10766" s="3">
        <v>9</v>
      </c>
    </row>
    <row r="10767" spans="1:3" x14ac:dyDescent="0.25">
      <c r="A10767" s="1" t="s">
        <v>10766</v>
      </c>
      <c r="C10767" s="3">
        <v>9</v>
      </c>
    </row>
    <row r="10768" spans="1:3" x14ac:dyDescent="0.25">
      <c r="A10768" s="1" t="s">
        <v>10767</v>
      </c>
      <c r="C10768" s="3">
        <v>9</v>
      </c>
    </row>
    <row r="10769" spans="1:3" x14ac:dyDescent="0.25">
      <c r="A10769" s="1" t="s">
        <v>10768</v>
      </c>
      <c r="C10769" s="3">
        <v>9</v>
      </c>
    </row>
    <row r="10770" spans="1:3" x14ac:dyDescent="0.25">
      <c r="A10770" s="1" t="s">
        <v>10769</v>
      </c>
      <c r="C10770" s="3">
        <v>9</v>
      </c>
    </row>
    <row r="10771" spans="1:3" x14ac:dyDescent="0.25">
      <c r="A10771" s="1" t="s">
        <v>10770</v>
      </c>
      <c r="C10771" s="3">
        <v>9</v>
      </c>
    </row>
    <row r="10772" spans="1:3" x14ac:dyDescent="0.25">
      <c r="A10772" s="1" t="s">
        <v>10771</v>
      </c>
      <c r="C10772" s="3">
        <v>9</v>
      </c>
    </row>
    <row r="10773" spans="1:3" x14ac:dyDescent="0.25">
      <c r="A10773" s="1" t="s">
        <v>10772</v>
      </c>
      <c r="C10773" s="3">
        <v>9</v>
      </c>
    </row>
    <row r="10774" spans="1:3" x14ac:dyDescent="0.25">
      <c r="A10774" s="1" t="s">
        <v>10773</v>
      </c>
      <c r="C10774" s="3">
        <v>9</v>
      </c>
    </row>
    <row r="10775" spans="1:3" x14ac:dyDescent="0.25">
      <c r="A10775" s="1" t="s">
        <v>10774</v>
      </c>
      <c r="C10775" s="3">
        <v>9</v>
      </c>
    </row>
    <row r="10776" spans="1:3" x14ac:dyDescent="0.25">
      <c r="A10776" s="1" t="s">
        <v>10775</v>
      </c>
      <c r="C10776" s="3">
        <v>9</v>
      </c>
    </row>
    <row r="10777" spans="1:3" x14ac:dyDescent="0.25">
      <c r="A10777" s="1" t="s">
        <v>10776</v>
      </c>
      <c r="C10777" s="3">
        <v>9</v>
      </c>
    </row>
    <row r="10778" spans="1:3" x14ac:dyDescent="0.25">
      <c r="A10778" s="1" t="s">
        <v>10777</v>
      </c>
      <c r="C10778" s="3">
        <v>9</v>
      </c>
    </row>
    <row r="10779" spans="1:3" x14ac:dyDescent="0.25">
      <c r="A10779" s="1" t="s">
        <v>10778</v>
      </c>
      <c r="C10779" s="3">
        <v>9</v>
      </c>
    </row>
    <row r="10780" spans="1:3" x14ac:dyDescent="0.25">
      <c r="A10780" s="1" t="s">
        <v>10779</v>
      </c>
      <c r="C10780" s="3">
        <v>9</v>
      </c>
    </row>
    <row r="10781" spans="1:3" x14ac:dyDescent="0.25">
      <c r="A10781" s="1" t="s">
        <v>10780</v>
      </c>
      <c r="C10781" s="3">
        <v>9</v>
      </c>
    </row>
    <row r="10782" spans="1:3" x14ac:dyDescent="0.25">
      <c r="A10782" s="1" t="s">
        <v>10781</v>
      </c>
      <c r="C10782" s="3">
        <v>9</v>
      </c>
    </row>
    <row r="10783" spans="1:3" x14ac:dyDescent="0.25">
      <c r="A10783" s="1" t="s">
        <v>10782</v>
      </c>
      <c r="C10783" s="3">
        <v>9</v>
      </c>
    </row>
    <row r="10784" spans="1:3" x14ac:dyDescent="0.25">
      <c r="A10784" s="1" t="s">
        <v>10783</v>
      </c>
      <c r="C10784" s="3">
        <v>9</v>
      </c>
    </row>
    <row r="10785" spans="1:3" x14ac:dyDescent="0.25">
      <c r="A10785" s="1" t="s">
        <v>10784</v>
      </c>
      <c r="C10785" s="3">
        <v>9</v>
      </c>
    </row>
    <row r="10786" spans="1:3" x14ac:dyDescent="0.25">
      <c r="A10786" s="1" t="s">
        <v>10785</v>
      </c>
      <c r="C10786" s="3">
        <v>9</v>
      </c>
    </row>
    <row r="10787" spans="1:3" x14ac:dyDescent="0.25">
      <c r="A10787" s="1" t="s">
        <v>10786</v>
      </c>
      <c r="C10787" s="3">
        <v>9</v>
      </c>
    </row>
    <row r="10788" spans="1:3" x14ac:dyDescent="0.25">
      <c r="A10788" s="1" t="s">
        <v>10787</v>
      </c>
      <c r="C10788" s="3">
        <v>9</v>
      </c>
    </row>
    <row r="10789" spans="1:3" x14ac:dyDescent="0.25">
      <c r="A10789" s="1" t="s">
        <v>10788</v>
      </c>
      <c r="C10789" s="3">
        <v>9</v>
      </c>
    </row>
    <row r="10790" spans="1:3" x14ac:dyDescent="0.25">
      <c r="A10790" s="1" t="s">
        <v>10789</v>
      </c>
      <c r="C10790" s="3">
        <v>9</v>
      </c>
    </row>
    <row r="10791" spans="1:3" x14ac:dyDescent="0.25">
      <c r="A10791" s="1" t="s">
        <v>10790</v>
      </c>
      <c r="C10791" s="3">
        <v>9</v>
      </c>
    </row>
    <row r="10792" spans="1:3" x14ac:dyDescent="0.25">
      <c r="A10792" s="1" t="s">
        <v>10791</v>
      </c>
      <c r="C10792" s="3">
        <v>9</v>
      </c>
    </row>
    <row r="10793" spans="1:3" x14ac:dyDescent="0.25">
      <c r="A10793" s="1" t="s">
        <v>10792</v>
      </c>
      <c r="C10793" s="3">
        <v>9</v>
      </c>
    </row>
    <row r="10794" spans="1:3" x14ac:dyDescent="0.25">
      <c r="A10794" s="1" t="s">
        <v>10793</v>
      </c>
      <c r="C10794" s="3">
        <v>9</v>
      </c>
    </row>
    <row r="10795" spans="1:3" x14ac:dyDescent="0.25">
      <c r="A10795" s="1" t="s">
        <v>10794</v>
      </c>
      <c r="C10795" s="3">
        <v>9</v>
      </c>
    </row>
    <row r="10796" spans="1:3" x14ac:dyDescent="0.25">
      <c r="A10796" s="1" t="s">
        <v>10795</v>
      </c>
      <c r="C10796" s="3">
        <v>9</v>
      </c>
    </row>
    <row r="10797" spans="1:3" x14ac:dyDescent="0.25">
      <c r="A10797" s="1" t="s">
        <v>10796</v>
      </c>
      <c r="C10797" s="3">
        <v>9</v>
      </c>
    </row>
    <row r="10798" spans="1:3" x14ac:dyDescent="0.25">
      <c r="A10798" s="1" t="s">
        <v>10797</v>
      </c>
      <c r="C10798" s="3">
        <v>9</v>
      </c>
    </row>
    <row r="10799" spans="1:3" x14ac:dyDescent="0.25">
      <c r="A10799" s="1" t="s">
        <v>10798</v>
      </c>
      <c r="C10799" s="3">
        <v>9</v>
      </c>
    </row>
    <row r="10800" spans="1:3" x14ac:dyDescent="0.25">
      <c r="A10800" s="1" t="s">
        <v>10799</v>
      </c>
      <c r="C10800" s="3">
        <v>9</v>
      </c>
    </row>
    <row r="10801" spans="1:3" x14ac:dyDescent="0.25">
      <c r="A10801" s="1" t="s">
        <v>10800</v>
      </c>
      <c r="C10801" s="3">
        <v>9</v>
      </c>
    </row>
    <row r="10802" spans="1:3" x14ac:dyDescent="0.25">
      <c r="A10802" s="1" t="s">
        <v>10801</v>
      </c>
      <c r="C10802" s="3">
        <v>9</v>
      </c>
    </row>
    <row r="10803" spans="1:3" x14ac:dyDescent="0.25">
      <c r="A10803" s="1" t="s">
        <v>10802</v>
      </c>
      <c r="C10803" s="3">
        <v>9</v>
      </c>
    </row>
    <row r="10804" spans="1:3" x14ac:dyDescent="0.25">
      <c r="A10804" s="1" t="s">
        <v>10803</v>
      </c>
      <c r="C10804" s="3">
        <v>9</v>
      </c>
    </row>
    <row r="10805" spans="1:3" x14ac:dyDescent="0.25">
      <c r="A10805" s="1" t="s">
        <v>10804</v>
      </c>
      <c r="C10805" s="3">
        <v>9</v>
      </c>
    </row>
    <row r="10806" spans="1:3" x14ac:dyDescent="0.25">
      <c r="A10806" s="1" t="s">
        <v>10805</v>
      </c>
      <c r="C10806" s="3">
        <v>9</v>
      </c>
    </row>
    <row r="10807" spans="1:3" x14ac:dyDescent="0.25">
      <c r="A10807" s="1" t="s">
        <v>10806</v>
      </c>
      <c r="C10807" s="3">
        <v>9</v>
      </c>
    </row>
    <row r="10808" spans="1:3" x14ac:dyDescent="0.25">
      <c r="A10808" s="1" t="s">
        <v>10807</v>
      </c>
      <c r="C10808" s="3">
        <v>9</v>
      </c>
    </row>
    <row r="10809" spans="1:3" x14ac:dyDescent="0.25">
      <c r="A10809" s="1" t="s">
        <v>10808</v>
      </c>
      <c r="C10809" s="3">
        <v>9</v>
      </c>
    </row>
    <row r="10810" spans="1:3" x14ac:dyDescent="0.25">
      <c r="A10810" s="1" t="s">
        <v>10809</v>
      </c>
      <c r="C10810" s="3">
        <v>9</v>
      </c>
    </row>
    <row r="10811" spans="1:3" x14ac:dyDescent="0.25">
      <c r="A10811" s="1" t="s">
        <v>10810</v>
      </c>
      <c r="C10811" s="3">
        <v>9</v>
      </c>
    </row>
    <row r="10812" spans="1:3" x14ac:dyDescent="0.25">
      <c r="A10812" s="1" t="s">
        <v>10811</v>
      </c>
      <c r="C10812" s="3">
        <v>9</v>
      </c>
    </row>
    <row r="10813" spans="1:3" x14ac:dyDescent="0.25">
      <c r="A10813" s="1" t="s">
        <v>10812</v>
      </c>
      <c r="C10813" s="3">
        <v>9</v>
      </c>
    </row>
    <row r="10814" spans="1:3" x14ac:dyDescent="0.25">
      <c r="A10814" s="1" t="s">
        <v>10813</v>
      </c>
      <c r="C10814" s="3">
        <v>9</v>
      </c>
    </row>
    <row r="10815" spans="1:3" x14ac:dyDescent="0.25">
      <c r="A10815" s="1" t="s">
        <v>10814</v>
      </c>
      <c r="C10815" s="3">
        <v>9</v>
      </c>
    </row>
    <row r="10816" spans="1:3" x14ac:dyDescent="0.25">
      <c r="A10816" s="1" t="s">
        <v>10815</v>
      </c>
      <c r="C10816" s="3">
        <v>9</v>
      </c>
    </row>
    <row r="10817" spans="1:3" x14ac:dyDescent="0.25">
      <c r="A10817" s="1" t="s">
        <v>10816</v>
      </c>
      <c r="C10817" s="3">
        <v>9</v>
      </c>
    </row>
    <row r="10818" spans="1:3" x14ac:dyDescent="0.25">
      <c r="A10818" s="1" t="s">
        <v>10817</v>
      </c>
      <c r="C10818" s="3">
        <v>9</v>
      </c>
    </row>
    <row r="10819" spans="1:3" x14ac:dyDescent="0.25">
      <c r="A10819" s="1" t="s">
        <v>10818</v>
      </c>
      <c r="C10819" s="3">
        <v>9</v>
      </c>
    </row>
    <row r="10820" spans="1:3" x14ac:dyDescent="0.25">
      <c r="A10820" s="1" t="s">
        <v>10819</v>
      </c>
      <c r="C10820" s="3">
        <v>9</v>
      </c>
    </row>
    <row r="10821" spans="1:3" x14ac:dyDescent="0.25">
      <c r="A10821" s="1" t="s">
        <v>10820</v>
      </c>
      <c r="C10821" s="3">
        <v>9</v>
      </c>
    </row>
    <row r="10822" spans="1:3" x14ac:dyDescent="0.25">
      <c r="A10822" s="1" t="s">
        <v>10821</v>
      </c>
      <c r="C10822" s="3">
        <v>9</v>
      </c>
    </row>
    <row r="10823" spans="1:3" x14ac:dyDescent="0.25">
      <c r="A10823" s="1" t="s">
        <v>10822</v>
      </c>
      <c r="C10823" s="3">
        <v>9</v>
      </c>
    </row>
    <row r="10824" spans="1:3" x14ac:dyDescent="0.25">
      <c r="A10824" s="1" t="s">
        <v>10823</v>
      </c>
      <c r="C10824" s="3">
        <v>9</v>
      </c>
    </row>
    <row r="10825" spans="1:3" x14ac:dyDescent="0.25">
      <c r="A10825" s="1" t="s">
        <v>10824</v>
      </c>
      <c r="C10825" s="3">
        <v>9</v>
      </c>
    </row>
    <row r="10826" spans="1:3" x14ac:dyDescent="0.25">
      <c r="A10826" s="1" t="s">
        <v>10825</v>
      </c>
      <c r="C10826" s="3">
        <v>9</v>
      </c>
    </row>
    <row r="10827" spans="1:3" x14ac:dyDescent="0.25">
      <c r="A10827" s="1" t="s">
        <v>10826</v>
      </c>
      <c r="C10827" s="3">
        <v>9</v>
      </c>
    </row>
    <row r="10828" spans="1:3" x14ac:dyDescent="0.25">
      <c r="A10828" s="1" t="s">
        <v>10827</v>
      </c>
      <c r="C10828" s="3">
        <v>9</v>
      </c>
    </row>
    <row r="10829" spans="1:3" x14ac:dyDescent="0.25">
      <c r="A10829" s="1" t="s">
        <v>10828</v>
      </c>
      <c r="C10829" s="3">
        <v>9</v>
      </c>
    </row>
    <row r="10830" spans="1:3" x14ac:dyDescent="0.25">
      <c r="A10830" s="1" t="s">
        <v>10829</v>
      </c>
      <c r="C10830" s="3">
        <v>9</v>
      </c>
    </row>
    <row r="10831" spans="1:3" x14ac:dyDescent="0.25">
      <c r="A10831" s="1" t="s">
        <v>10830</v>
      </c>
      <c r="C10831" s="3">
        <v>9</v>
      </c>
    </row>
    <row r="10832" spans="1:3" x14ac:dyDescent="0.25">
      <c r="A10832" s="1" t="s">
        <v>10831</v>
      </c>
      <c r="C10832" s="3">
        <v>9</v>
      </c>
    </row>
    <row r="10833" spans="1:3" x14ac:dyDescent="0.25">
      <c r="A10833" s="1" t="s">
        <v>10832</v>
      </c>
      <c r="C10833" s="3">
        <v>9</v>
      </c>
    </row>
    <row r="10834" spans="1:3" x14ac:dyDescent="0.25">
      <c r="A10834" s="1" t="s">
        <v>10833</v>
      </c>
      <c r="C10834" s="3">
        <v>9</v>
      </c>
    </row>
    <row r="10835" spans="1:3" x14ac:dyDescent="0.25">
      <c r="A10835" s="1" t="s">
        <v>10834</v>
      </c>
      <c r="C10835" s="3">
        <v>9</v>
      </c>
    </row>
    <row r="10836" spans="1:3" x14ac:dyDescent="0.25">
      <c r="A10836" s="1" t="s">
        <v>10835</v>
      </c>
      <c r="C10836" s="3">
        <v>9</v>
      </c>
    </row>
    <row r="10837" spans="1:3" x14ac:dyDescent="0.25">
      <c r="A10837" s="1" t="s">
        <v>10836</v>
      </c>
      <c r="C10837" s="3">
        <v>9</v>
      </c>
    </row>
    <row r="10838" spans="1:3" x14ac:dyDescent="0.25">
      <c r="A10838" s="1" t="s">
        <v>10837</v>
      </c>
      <c r="C10838" s="3">
        <v>9</v>
      </c>
    </row>
    <row r="10839" spans="1:3" x14ac:dyDescent="0.25">
      <c r="A10839" s="1" t="s">
        <v>10838</v>
      </c>
      <c r="C10839" s="3">
        <v>9</v>
      </c>
    </row>
    <row r="10840" spans="1:3" x14ac:dyDescent="0.25">
      <c r="A10840" s="1" t="s">
        <v>10839</v>
      </c>
      <c r="C10840" s="3">
        <v>9</v>
      </c>
    </row>
    <row r="10841" spans="1:3" x14ac:dyDescent="0.25">
      <c r="A10841" s="1" t="s">
        <v>10840</v>
      </c>
      <c r="C10841" s="3">
        <v>9</v>
      </c>
    </row>
    <row r="10842" spans="1:3" x14ac:dyDescent="0.25">
      <c r="A10842" s="1" t="s">
        <v>10841</v>
      </c>
      <c r="C10842" s="3">
        <v>9</v>
      </c>
    </row>
    <row r="10843" spans="1:3" x14ac:dyDescent="0.25">
      <c r="A10843" s="1" t="s">
        <v>10842</v>
      </c>
      <c r="C10843" s="3">
        <v>9</v>
      </c>
    </row>
    <row r="10844" spans="1:3" x14ac:dyDescent="0.25">
      <c r="A10844" s="1" t="s">
        <v>10843</v>
      </c>
      <c r="C10844" s="3">
        <v>9</v>
      </c>
    </row>
    <row r="10845" spans="1:3" x14ac:dyDescent="0.25">
      <c r="A10845" s="1" t="s">
        <v>10844</v>
      </c>
      <c r="C10845" s="3">
        <v>9</v>
      </c>
    </row>
    <row r="10846" spans="1:3" x14ac:dyDescent="0.25">
      <c r="A10846" s="1" t="s">
        <v>10845</v>
      </c>
      <c r="C10846" s="3">
        <v>9</v>
      </c>
    </row>
    <row r="10847" spans="1:3" x14ac:dyDescent="0.25">
      <c r="A10847" s="1" t="s">
        <v>10846</v>
      </c>
      <c r="C10847" s="3">
        <v>9</v>
      </c>
    </row>
    <row r="10848" spans="1:3" x14ac:dyDescent="0.25">
      <c r="A10848" s="1" t="s">
        <v>10847</v>
      </c>
      <c r="C10848" s="3">
        <v>9</v>
      </c>
    </row>
    <row r="10849" spans="1:3" x14ac:dyDescent="0.25">
      <c r="A10849" s="1" t="s">
        <v>10848</v>
      </c>
      <c r="C10849" s="3">
        <v>9</v>
      </c>
    </row>
    <row r="10850" spans="1:3" x14ac:dyDescent="0.25">
      <c r="A10850" s="1" t="s">
        <v>10849</v>
      </c>
      <c r="C10850" s="3">
        <v>9</v>
      </c>
    </row>
    <row r="10851" spans="1:3" x14ac:dyDescent="0.25">
      <c r="A10851" s="1" t="s">
        <v>10850</v>
      </c>
      <c r="C10851" s="3">
        <v>9</v>
      </c>
    </row>
    <row r="10852" spans="1:3" x14ac:dyDescent="0.25">
      <c r="A10852" s="1" t="s">
        <v>10851</v>
      </c>
      <c r="C10852" s="3">
        <v>9</v>
      </c>
    </row>
    <row r="10853" spans="1:3" x14ac:dyDescent="0.25">
      <c r="A10853" s="1" t="s">
        <v>10852</v>
      </c>
      <c r="C10853" s="3">
        <v>9</v>
      </c>
    </row>
    <row r="10854" spans="1:3" x14ac:dyDescent="0.25">
      <c r="A10854" s="1" t="s">
        <v>10853</v>
      </c>
      <c r="C10854" s="3">
        <v>9</v>
      </c>
    </row>
    <row r="10855" spans="1:3" x14ac:dyDescent="0.25">
      <c r="A10855" s="1" t="s">
        <v>10854</v>
      </c>
      <c r="C10855" s="3">
        <v>9</v>
      </c>
    </row>
    <row r="10856" spans="1:3" x14ac:dyDescent="0.25">
      <c r="A10856" s="1" t="s">
        <v>10855</v>
      </c>
      <c r="C10856" s="3">
        <v>9</v>
      </c>
    </row>
    <row r="10857" spans="1:3" x14ac:dyDescent="0.25">
      <c r="A10857" s="1" t="s">
        <v>10856</v>
      </c>
      <c r="C10857" s="3">
        <v>9</v>
      </c>
    </row>
    <row r="10858" spans="1:3" x14ac:dyDescent="0.25">
      <c r="A10858" s="1" t="s">
        <v>10857</v>
      </c>
      <c r="C10858" s="3">
        <v>9</v>
      </c>
    </row>
    <row r="10859" spans="1:3" x14ac:dyDescent="0.25">
      <c r="A10859" s="1" t="s">
        <v>10858</v>
      </c>
      <c r="C10859" s="3">
        <v>9</v>
      </c>
    </row>
    <row r="10860" spans="1:3" x14ac:dyDescent="0.25">
      <c r="A10860" s="1" t="s">
        <v>10859</v>
      </c>
      <c r="C10860" s="3">
        <v>9</v>
      </c>
    </row>
    <row r="10861" spans="1:3" x14ac:dyDescent="0.25">
      <c r="A10861" s="1" t="s">
        <v>10860</v>
      </c>
      <c r="C10861" s="3">
        <v>9</v>
      </c>
    </row>
    <row r="10862" spans="1:3" x14ac:dyDescent="0.25">
      <c r="A10862" s="1" t="s">
        <v>10861</v>
      </c>
      <c r="C10862" s="3">
        <v>9</v>
      </c>
    </row>
    <row r="10863" spans="1:3" x14ac:dyDescent="0.25">
      <c r="A10863" s="1" t="s">
        <v>10862</v>
      </c>
      <c r="C10863" s="3">
        <v>9</v>
      </c>
    </row>
    <row r="10864" spans="1:3" x14ac:dyDescent="0.25">
      <c r="A10864" s="1" t="s">
        <v>10863</v>
      </c>
      <c r="C10864" s="3">
        <v>9</v>
      </c>
    </row>
    <row r="10865" spans="1:3" x14ac:dyDescent="0.25">
      <c r="A10865" s="1" t="s">
        <v>10864</v>
      </c>
      <c r="C10865" s="3">
        <v>9</v>
      </c>
    </row>
    <row r="10866" spans="1:3" x14ac:dyDescent="0.25">
      <c r="A10866" s="1" t="s">
        <v>10865</v>
      </c>
      <c r="C10866" s="3">
        <v>9</v>
      </c>
    </row>
    <row r="10867" spans="1:3" x14ac:dyDescent="0.25">
      <c r="A10867" s="1" t="s">
        <v>10866</v>
      </c>
      <c r="C10867" s="3">
        <v>9</v>
      </c>
    </row>
    <row r="10868" spans="1:3" x14ac:dyDescent="0.25">
      <c r="A10868" s="1" t="s">
        <v>10867</v>
      </c>
      <c r="C10868" s="3">
        <v>9</v>
      </c>
    </row>
    <row r="10869" spans="1:3" x14ac:dyDescent="0.25">
      <c r="A10869" s="1" t="s">
        <v>10868</v>
      </c>
      <c r="C10869" s="3">
        <v>9</v>
      </c>
    </row>
    <row r="10870" spans="1:3" x14ac:dyDescent="0.25">
      <c r="A10870" s="1" t="s">
        <v>10869</v>
      </c>
      <c r="C10870" s="3">
        <v>9</v>
      </c>
    </row>
    <row r="10871" spans="1:3" x14ac:dyDescent="0.25">
      <c r="A10871" s="1" t="s">
        <v>10870</v>
      </c>
      <c r="C10871" s="3">
        <v>9</v>
      </c>
    </row>
    <row r="10872" spans="1:3" x14ac:dyDescent="0.25">
      <c r="A10872" s="1" t="s">
        <v>10871</v>
      </c>
      <c r="C10872" s="3">
        <v>9</v>
      </c>
    </row>
    <row r="10873" spans="1:3" x14ac:dyDescent="0.25">
      <c r="A10873" s="1" t="s">
        <v>10872</v>
      </c>
      <c r="C10873" s="3">
        <v>9</v>
      </c>
    </row>
    <row r="10874" spans="1:3" x14ac:dyDescent="0.25">
      <c r="A10874" s="1" t="s">
        <v>10873</v>
      </c>
      <c r="C10874" s="3">
        <v>9</v>
      </c>
    </row>
    <row r="10875" spans="1:3" x14ac:dyDescent="0.25">
      <c r="A10875" s="1" t="s">
        <v>10874</v>
      </c>
      <c r="C10875" s="3">
        <v>9</v>
      </c>
    </row>
    <row r="10876" spans="1:3" x14ac:dyDescent="0.25">
      <c r="A10876" s="1" t="s">
        <v>10875</v>
      </c>
      <c r="C10876" s="3">
        <v>9</v>
      </c>
    </row>
    <row r="10877" spans="1:3" x14ac:dyDescent="0.25">
      <c r="A10877" s="1" t="s">
        <v>10876</v>
      </c>
      <c r="C10877" s="3">
        <v>9</v>
      </c>
    </row>
    <row r="10878" spans="1:3" x14ac:dyDescent="0.25">
      <c r="A10878" s="1" t="s">
        <v>10877</v>
      </c>
      <c r="C10878" s="3">
        <v>9</v>
      </c>
    </row>
    <row r="10879" spans="1:3" x14ac:dyDescent="0.25">
      <c r="A10879" s="1" t="s">
        <v>10878</v>
      </c>
      <c r="C10879" s="3">
        <v>9</v>
      </c>
    </row>
    <row r="10880" spans="1:3" x14ac:dyDescent="0.25">
      <c r="A10880" s="1" t="s">
        <v>10879</v>
      </c>
      <c r="C10880" s="3">
        <v>9</v>
      </c>
    </row>
    <row r="10881" spans="1:3" x14ac:dyDescent="0.25">
      <c r="A10881" s="1" t="s">
        <v>10880</v>
      </c>
      <c r="C10881" s="3">
        <v>9</v>
      </c>
    </row>
    <row r="10882" spans="1:3" x14ac:dyDescent="0.25">
      <c r="A10882" s="1" t="s">
        <v>10881</v>
      </c>
      <c r="C10882" s="3">
        <v>9</v>
      </c>
    </row>
    <row r="10883" spans="1:3" x14ac:dyDescent="0.25">
      <c r="A10883" s="1" t="s">
        <v>10882</v>
      </c>
      <c r="C10883" s="3">
        <v>9</v>
      </c>
    </row>
    <row r="10884" spans="1:3" x14ac:dyDescent="0.25">
      <c r="A10884" s="1" t="s">
        <v>10883</v>
      </c>
      <c r="C10884" s="3">
        <v>9</v>
      </c>
    </row>
    <row r="10885" spans="1:3" x14ac:dyDescent="0.25">
      <c r="A10885" s="1" t="s">
        <v>10884</v>
      </c>
      <c r="C10885" s="3">
        <v>9</v>
      </c>
    </row>
    <row r="10886" spans="1:3" x14ac:dyDescent="0.25">
      <c r="A10886" s="1" t="s">
        <v>10885</v>
      </c>
      <c r="C10886" s="3">
        <v>9</v>
      </c>
    </row>
    <row r="10887" spans="1:3" x14ac:dyDescent="0.25">
      <c r="A10887" s="1" t="s">
        <v>10886</v>
      </c>
      <c r="C10887" s="3">
        <v>9</v>
      </c>
    </row>
    <row r="10888" spans="1:3" x14ac:dyDescent="0.25">
      <c r="A10888" s="1" t="s">
        <v>10887</v>
      </c>
      <c r="C10888" s="3">
        <v>9</v>
      </c>
    </row>
    <row r="10889" spans="1:3" x14ac:dyDescent="0.25">
      <c r="A10889" s="1" t="s">
        <v>10888</v>
      </c>
      <c r="C10889" s="3">
        <v>9</v>
      </c>
    </row>
    <row r="10890" spans="1:3" x14ac:dyDescent="0.25">
      <c r="A10890" s="1" t="s">
        <v>10889</v>
      </c>
      <c r="C10890" s="3">
        <v>9</v>
      </c>
    </row>
    <row r="10891" spans="1:3" x14ac:dyDescent="0.25">
      <c r="A10891" s="1" t="s">
        <v>10890</v>
      </c>
      <c r="C10891" s="3">
        <v>9</v>
      </c>
    </row>
    <row r="10892" spans="1:3" x14ac:dyDescent="0.25">
      <c r="A10892" s="1" t="s">
        <v>10891</v>
      </c>
      <c r="C10892" s="3">
        <v>9</v>
      </c>
    </row>
    <row r="10893" spans="1:3" x14ac:dyDescent="0.25">
      <c r="A10893" s="1" t="s">
        <v>10892</v>
      </c>
      <c r="C10893" s="3">
        <v>9</v>
      </c>
    </row>
    <row r="10894" spans="1:3" x14ac:dyDescent="0.25">
      <c r="A10894" s="1" t="s">
        <v>10893</v>
      </c>
      <c r="C10894" s="3">
        <v>9</v>
      </c>
    </row>
    <row r="10895" spans="1:3" x14ac:dyDescent="0.25">
      <c r="A10895" s="1" t="s">
        <v>10894</v>
      </c>
      <c r="C10895" s="3">
        <v>9</v>
      </c>
    </row>
    <row r="10896" spans="1:3" x14ac:dyDescent="0.25">
      <c r="A10896" s="1" t="s">
        <v>10895</v>
      </c>
      <c r="C10896" s="3">
        <v>9</v>
      </c>
    </row>
    <row r="10897" spans="1:3" x14ac:dyDescent="0.25">
      <c r="A10897" s="1" t="s">
        <v>10896</v>
      </c>
      <c r="C10897" s="3">
        <v>9</v>
      </c>
    </row>
    <row r="10898" spans="1:3" x14ac:dyDescent="0.25">
      <c r="A10898" s="1" t="s">
        <v>10897</v>
      </c>
      <c r="C10898" s="3">
        <v>9</v>
      </c>
    </row>
    <row r="10899" spans="1:3" x14ac:dyDescent="0.25">
      <c r="A10899" s="1" t="s">
        <v>10898</v>
      </c>
      <c r="C10899" s="3">
        <v>9</v>
      </c>
    </row>
    <row r="10900" spans="1:3" x14ac:dyDescent="0.25">
      <c r="A10900" s="1" t="s">
        <v>10899</v>
      </c>
      <c r="C10900" s="3">
        <v>9</v>
      </c>
    </row>
    <row r="10901" spans="1:3" x14ac:dyDescent="0.25">
      <c r="A10901" s="1" t="s">
        <v>10900</v>
      </c>
      <c r="C10901" s="3">
        <v>9</v>
      </c>
    </row>
    <row r="10902" spans="1:3" x14ac:dyDescent="0.25">
      <c r="A10902" s="1" t="s">
        <v>10901</v>
      </c>
      <c r="C10902" s="3">
        <v>9</v>
      </c>
    </row>
    <row r="10903" spans="1:3" x14ac:dyDescent="0.25">
      <c r="A10903" s="1" t="s">
        <v>10902</v>
      </c>
      <c r="C10903" s="3">
        <v>9</v>
      </c>
    </row>
    <row r="10904" spans="1:3" x14ac:dyDescent="0.25">
      <c r="A10904" s="1" t="s">
        <v>10903</v>
      </c>
      <c r="C10904" s="3">
        <v>9</v>
      </c>
    </row>
    <row r="10905" spans="1:3" x14ac:dyDescent="0.25">
      <c r="A10905" s="1" t="s">
        <v>10904</v>
      </c>
      <c r="C10905" s="3">
        <v>9</v>
      </c>
    </row>
    <row r="10906" spans="1:3" x14ac:dyDescent="0.25">
      <c r="A10906" s="1" t="s">
        <v>10905</v>
      </c>
      <c r="C10906" s="3">
        <v>9</v>
      </c>
    </row>
    <row r="10907" spans="1:3" x14ac:dyDescent="0.25">
      <c r="A10907" s="1" t="s">
        <v>10906</v>
      </c>
      <c r="C10907" s="3">
        <v>9</v>
      </c>
    </row>
    <row r="10908" spans="1:3" x14ac:dyDescent="0.25">
      <c r="A10908" s="1" t="s">
        <v>10907</v>
      </c>
      <c r="C10908" s="3">
        <v>9</v>
      </c>
    </row>
    <row r="10909" spans="1:3" x14ac:dyDescent="0.25">
      <c r="A10909" s="1" t="s">
        <v>10908</v>
      </c>
      <c r="C10909" s="3">
        <v>9</v>
      </c>
    </row>
    <row r="10910" spans="1:3" x14ac:dyDescent="0.25">
      <c r="A10910" s="1" t="s">
        <v>10909</v>
      </c>
      <c r="C10910" s="3">
        <v>9</v>
      </c>
    </row>
    <row r="10911" spans="1:3" x14ac:dyDescent="0.25">
      <c r="A10911" s="1" t="s">
        <v>10910</v>
      </c>
      <c r="C10911" s="3">
        <v>9</v>
      </c>
    </row>
    <row r="10912" spans="1:3" x14ac:dyDescent="0.25">
      <c r="A10912" s="1" t="s">
        <v>10911</v>
      </c>
      <c r="C10912" s="3">
        <v>9</v>
      </c>
    </row>
    <row r="10913" spans="1:3" x14ac:dyDescent="0.25">
      <c r="A10913" s="1" t="s">
        <v>10912</v>
      </c>
      <c r="C10913" s="3">
        <v>9</v>
      </c>
    </row>
    <row r="10914" spans="1:3" x14ac:dyDescent="0.25">
      <c r="A10914" s="1" t="s">
        <v>10913</v>
      </c>
      <c r="C10914" s="3">
        <v>9</v>
      </c>
    </row>
    <row r="10915" spans="1:3" x14ac:dyDescent="0.25">
      <c r="A10915" s="1" t="s">
        <v>10914</v>
      </c>
      <c r="C10915" s="3">
        <v>9</v>
      </c>
    </row>
    <row r="10916" spans="1:3" x14ac:dyDescent="0.25">
      <c r="A10916" s="1" t="s">
        <v>10915</v>
      </c>
      <c r="C10916" s="3">
        <v>9</v>
      </c>
    </row>
    <row r="10917" spans="1:3" x14ac:dyDescent="0.25">
      <c r="A10917" s="1" t="s">
        <v>10916</v>
      </c>
      <c r="C10917" s="3">
        <v>9</v>
      </c>
    </row>
    <row r="10918" spans="1:3" x14ac:dyDescent="0.25">
      <c r="A10918" s="1" t="s">
        <v>10917</v>
      </c>
      <c r="C10918" s="3">
        <v>9</v>
      </c>
    </row>
    <row r="10919" spans="1:3" x14ac:dyDescent="0.25">
      <c r="A10919" s="1" t="s">
        <v>10918</v>
      </c>
      <c r="C10919" s="3">
        <v>9</v>
      </c>
    </row>
    <row r="10920" spans="1:3" x14ac:dyDescent="0.25">
      <c r="A10920" s="1" t="s">
        <v>10919</v>
      </c>
      <c r="C10920" s="3">
        <v>9</v>
      </c>
    </row>
    <row r="10921" spans="1:3" x14ac:dyDescent="0.25">
      <c r="A10921" s="1" t="s">
        <v>10920</v>
      </c>
      <c r="C10921" s="3">
        <v>9</v>
      </c>
    </row>
    <row r="10922" spans="1:3" x14ac:dyDescent="0.25">
      <c r="A10922" s="1" t="s">
        <v>10921</v>
      </c>
      <c r="C10922" s="3">
        <v>9</v>
      </c>
    </row>
    <row r="10923" spans="1:3" x14ac:dyDescent="0.25">
      <c r="A10923" s="1" t="s">
        <v>10922</v>
      </c>
      <c r="C10923" s="3">
        <v>9</v>
      </c>
    </row>
    <row r="10924" spans="1:3" x14ac:dyDescent="0.25">
      <c r="A10924" s="1" t="s">
        <v>10923</v>
      </c>
      <c r="C10924" s="3">
        <v>9</v>
      </c>
    </row>
    <row r="10925" spans="1:3" x14ac:dyDescent="0.25">
      <c r="A10925" s="1" t="s">
        <v>10924</v>
      </c>
      <c r="C10925" s="3">
        <v>9</v>
      </c>
    </row>
    <row r="10926" spans="1:3" x14ac:dyDescent="0.25">
      <c r="A10926" s="1" t="s">
        <v>10925</v>
      </c>
      <c r="C10926" s="3">
        <v>9</v>
      </c>
    </row>
    <row r="10927" spans="1:3" x14ac:dyDescent="0.25">
      <c r="A10927" s="1" t="s">
        <v>10926</v>
      </c>
      <c r="C10927" s="3">
        <v>9</v>
      </c>
    </row>
    <row r="10928" spans="1:3" x14ac:dyDescent="0.25">
      <c r="A10928" s="1" t="s">
        <v>10927</v>
      </c>
      <c r="C10928" s="3">
        <v>9</v>
      </c>
    </row>
    <row r="10929" spans="1:3" x14ac:dyDescent="0.25">
      <c r="A10929" s="1" t="s">
        <v>10928</v>
      </c>
      <c r="C10929" s="3">
        <v>9</v>
      </c>
    </row>
    <row r="10930" spans="1:3" x14ac:dyDescent="0.25">
      <c r="A10930" s="1" t="s">
        <v>10929</v>
      </c>
      <c r="C10930" s="3">
        <v>9</v>
      </c>
    </row>
    <row r="10931" spans="1:3" x14ac:dyDescent="0.25">
      <c r="A10931" s="1" t="s">
        <v>10930</v>
      </c>
      <c r="C10931" s="3">
        <v>9</v>
      </c>
    </row>
    <row r="10932" spans="1:3" x14ac:dyDescent="0.25">
      <c r="A10932" s="1" t="s">
        <v>10931</v>
      </c>
      <c r="C10932" s="3">
        <v>9</v>
      </c>
    </row>
    <row r="10933" spans="1:3" x14ac:dyDescent="0.25">
      <c r="A10933" s="1" t="s">
        <v>10932</v>
      </c>
      <c r="C10933" s="3">
        <v>9</v>
      </c>
    </row>
    <row r="10934" spans="1:3" x14ac:dyDescent="0.25">
      <c r="A10934" s="1" t="s">
        <v>10933</v>
      </c>
      <c r="C10934" s="3">
        <v>9</v>
      </c>
    </row>
    <row r="10935" spans="1:3" x14ac:dyDescent="0.25">
      <c r="A10935" s="1" t="s">
        <v>10934</v>
      </c>
      <c r="C10935" s="3">
        <v>9</v>
      </c>
    </row>
    <row r="10936" spans="1:3" x14ac:dyDescent="0.25">
      <c r="A10936" s="1" t="s">
        <v>10935</v>
      </c>
      <c r="C10936" s="3">
        <v>9</v>
      </c>
    </row>
    <row r="10937" spans="1:3" x14ac:dyDescent="0.25">
      <c r="A10937" s="1" t="s">
        <v>10936</v>
      </c>
      <c r="C10937" s="3">
        <v>9</v>
      </c>
    </row>
    <row r="10938" spans="1:3" x14ac:dyDescent="0.25">
      <c r="A10938" s="1" t="s">
        <v>10937</v>
      </c>
      <c r="C10938" s="3">
        <v>9</v>
      </c>
    </row>
    <row r="10939" spans="1:3" x14ac:dyDescent="0.25">
      <c r="A10939" s="1" t="s">
        <v>10938</v>
      </c>
      <c r="C10939" s="3">
        <v>9</v>
      </c>
    </row>
    <row r="10940" spans="1:3" x14ac:dyDescent="0.25">
      <c r="A10940" s="1" t="s">
        <v>10939</v>
      </c>
      <c r="C10940" s="3">
        <v>9</v>
      </c>
    </row>
    <row r="10941" spans="1:3" x14ac:dyDescent="0.25">
      <c r="A10941" s="1" t="s">
        <v>10940</v>
      </c>
      <c r="C10941" s="3">
        <v>9</v>
      </c>
    </row>
    <row r="10942" spans="1:3" x14ac:dyDescent="0.25">
      <c r="A10942" s="1" t="s">
        <v>10941</v>
      </c>
      <c r="C10942" s="3">
        <v>9</v>
      </c>
    </row>
    <row r="10943" spans="1:3" x14ac:dyDescent="0.25">
      <c r="A10943" s="1" t="s">
        <v>10942</v>
      </c>
      <c r="C10943" s="3">
        <v>9</v>
      </c>
    </row>
    <row r="10944" spans="1:3" x14ac:dyDescent="0.25">
      <c r="A10944" s="1" t="s">
        <v>10943</v>
      </c>
      <c r="C10944" s="3">
        <v>9</v>
      </c>
    </row>
    <row r="10945" spans="1:3" x14ac:dyDescent="0.25">
      <c r="A10945" s="1" t="s">
        <v>10944</v>
      </c>
      <c r="C10945" s="3">
        <v>9</v>
      </c>
    </row>
    <row r="10946" spans="1:3" x14ac:dyDescent="0.25">
      <c r="A10946" s="1" t="s">
        <v>10945</v>
      </c>
      <c r="C10946" s="3">
        <v>9</v>
      </c>
    </row>
    <row r="10947" spans="1:3" x14ac:dyDescent="0.25">
      <c r="A10947" s="1" t="s">
        <v>10946</v>
      </c>
      <c r="C10947" s="3">
        <v>9</v>
      </c>
    </row>
    <row r="10948" spans="1:3" x14ac:dyDescent="0.25">
      <c r="A10948" s="1" t="s">
        <v>10947</v>
      </c>
      <c r="C10948" s="3">
        <v>9</v>
      </c>
    </row>
    <row r="10949" spans="1:3" x14ac:dyDescent="0.25">
      <c r="A10949" s="1" t="s">
        <v>10948</v>
      </c>
      <c r="C10949" s="3">
        <v>9</v>
      </c>
    </row>
    <row r="10950" spans="1:3" x14ac:dyDescent="0.25">
      <c r="A10950" s="1" t="s">
        <v>10949</v>
      </c>
      <c r="C10950" s="3">
        <v>9</v>
      </c>
    </row>
    <row r="10951" spans="1:3" x14ac:dyDescent="0.25">
      <c r="A10951" s="1" t="s">
        <v>10950</v>
      </c>
      <c r="C10951" s="3">
        <v>9</v>
      </c>
    </row>
    <row r="10952" spans="1:3" x14ac:dyDescent="0.25">
      <c r="A10952" s="1" t="s">
        <v>10951</v>
      </c>
      <c r="C10952" s="3">
        <v>9</v>
      </c>
    </row>
    <row r="10953" spans="1:3" x14ac:dyDescent="0.25">
      <c r="A10953" s="1" t="s">
        <v>10952</v>
      </c>
      <c r="C10953" s="3">
        <v>9</v>
      </c>
    </row>
    <row r="10954" spans="1:3" x14ac:dyDescent="0.25">
      <c r="A10954" s="1" t="s">
        <v>10953</v>
      </c>
      <c r="C10954" s="3">
        <v>9</v>
      </c>
    </row>
    <row r="10955" spans="1:3" x14ac:dyDescent="0.25">
      <c r="A10955" s="1" t="s">
        <v>10954</v>
      </c>
      <c r="C10955" s="3">
        <v>9</v>
      </c>
    </row>
    <row r="10956" spans="1:3" x14ac:dyDescent="0.25">
      <c r="A10956" s="1" t="s">
        <v>10955</v>
      </c>
      <c r="C10956" s="3">
        <v>9</v>
      </c>
    </row>
    <row r="10957" spans="1:3" x14ac:dyDescent="0.25">
      <c r="A10957" s="1" t="s">
        <v>10956</v>
      </c>
      <c r="C10957" s="3">
        <v>9</v>
      </c>
    </row>
    <row r="10958" spans="1:3" x14ac:dyDescent="0.25">
      <c r="A10958" s="1" t="s">
        <v>10957</v>
      </c>
      <c r="C10958" s="3">
        <v>9</v>
      </c>
    </row>
    <row r="10959" spans="1:3" x14ac:dyDescent="0.25">
      <c r="A10959" s="1" t="s">
        <v>10958</v>
      </c>
      <c r="C10959" s="3">
        <v>9</v>
      </c>
    </row>
    <row r="10960" spans="1:3" x14ac:dyDescent="0.25">
      <c r="A10960" s="1" t="s">
        <v>10959</v>
      </c>
      <c r="C10960" s="3">
        <v>9</v>
      </c>
    </row>
    <row r="10961" spans="1:3" x14ac:dyDescent="0.25">
      <c r="A10961" s="1" t="s">
        <v>10960</v>
      </c>
      <c r="C10961" s="3">
        <v>9</v>
      </c>
    </row>
    <row r="10962" spans="1:3" x14ac:dyDescent="0.25">
      <c r="A10962" s="1" t="s">
        <v>10961</v>
      </c>
      <c r="C10962" s="3">
        <v>9</v>
      </c>
    </row>
    <row r="10963" spans="1:3" x14ac:dyDescent="0.25">
      <c r="A10963" s="1" t="s">
        <v>10962</v>
      </c>
      <c r="C10963" s="3">
        <v>9</v>
      </c>
    </row>
    <row r="10964" spans="1:3" x14ac:dyDescent="0.25">
      <c r="A10964" s="1" t="s">
        <v>10963</v>
      </c>
      <c r="C10964" s="3">
        <v>9</v>
      </c>
    </row>
    <row r="10965" spans="1:3" x14ac:dyDescent="0.25">
      <c r="A10965" s="1" t="s">
        <v>10964</v>
      </c>
      <c r="C10965" s="3">
        <v>9</v>
      </c>
    </row>
    <row r="10966" spans="1:3" x14ac:dyDescent="0.25">
      <c r="A10966" s="1" t="s">
        <v>10965</v>
      </c>
      <c r="C10966" s="3">
        <v>9</v>
      </c>
    </row>
    <row r="10967" spans="1:3" x14ac:dyDescent="0.25">
      <c r="A10967" s="1" t="s">
        <v>10966</v>
      </c>
      <c r="C10967" s="3">
        <v>9</v>
      </c>
    </row>
    <row r="10968" spans="1:3" x14ac:dyDescent="0.25">
      <c r="A10968" s="1" t="s">
        <v>10967</v>
      </c>
      <c r="C10968" s="3">
        <v>9</v>
      </c>
    </row>
    <row r="10969" spans="1:3" x14ac:dyDescent="0.25">
      <c r="A10969" s="1" t="s">
        <v>10968</v>
      </c>
      <c r="C10969" s="3">
        <v>9</v>
      </c>
    </row>
    <row r="10970" spans="1:3" x14ac:dyDescent="0.25">
      <c r="A10970" s="1" t="s">
        <v>10969</v>
      </c>
      <c r="C10970" s="3">
        <v>9</v>
      </c>
    </row>
    <row r="10971" spans="1:3" x14ac:dyDescent="0.25">
      <c r="A10971" s="1" t="s">
        <v>10970</v>
      </c>
      <c r="C10971" s="3">
        <v>9</v>
      </c>
    </row>
    <row r="10972" spans="1:3" x14ac:dyDescent="0.25">
      <c r="A10972" s="1" t="s">
        <v>10971</v>
      </c>
      <c r="C10972" s="3">
        <v>9</v>
      </c>
    </row>
    <row r="10973" spans="1:3" x14ac:dyDescent="0.25">
      <c r="A10973" s="1" t="s">
        <v>10972</v>
      </c>
      <c r="C10973" s="3">
        <v>9</v>
      </c>
    </row>
    <row r="10974" spans="1:3" x14ac:dyDescent="0.25">
      <c r="A10974" s="1" t="s">
        <v>10973</v>
      </c>
      <c r="C10974" s="3">
        <v>9</v>
      </c>
    </row>
    <row r="10975" spans="1:3" x14ac:dyDescent="0.25">
      <c r="A10975" s="1" t="s">
        <v>10974</v>
      </c>
      <c r="C10975" s="3">
        <v>9</v>
      </c>
    </row>
    <row r="10976" spans="1:3" x14ac:dyDescent="0.25">
      <c r="A10976" s="1" t="s">
        <v>10975</v>
      </c>
      <c r="C10976" s="3">
        <v>9</v>
      </c>
    </row>
    <row r="10977" spans="1:3" x14ac:dyDescent="0.25">
      <c r="A10977" s="1" t="s">
        <v>10976</v>
      </c>
      <c r="C10977" s="3">
        <v>9</v>
      </c>
    </row>
    <row r="10978" spans="1:3" x14ac:dyDescent="0.25">
      <c r="A10978" s="1" t="s">
        <v>10977</v>
      </c>
      <c r="C10978" s="3">
        <v>9</v>
      </c>
    </row>
    <row r="10979" spans="1:3" x14ac:dyDescent="0.25">
      <c r="A10979" s="1" t="s">
        <v>10978</v>
      </c>
      <c r="C10979" s="3">
        <v>9</v>
      </c>
    </row>
    <row r="10980" spans="1:3" x14ac:dyDescent="0.25">
      <c r="A10980" s="1" t="s">
        <v>10979</v>
      </c>
      <c r="C10980" s="3">
        <v>9</v>
      </c>
    </row>
    <row r="10981" spans="1:3" x14ac:dyDescent="0.25">
      <c r="A10981" s="1" t="s">
        <v>10980</v>
      </c>
      <c r="C10981" s="3">
        <v>9</v>
      </c>
    </row>
    <row r="10982" spans="1:3" x14ac:dyDescent="0.25">
      <c r="A10982" s="1" t="s">
        <v>10981</v>
      </c>
      <c r="C10982" s="3">
        <v>9</v>
      </c>
    </row>
    <row r="10983" spans="1:3" x14ac:dyDescent="0.25">
      <c r="A10983" s="1" t="s">
        <v>10982</v>
      </c>
      <c r="C10983" s="3">
        <v>9</v>
      </c>
    </row>
    <row r="10984" spans="1:3" x14ac:dyDescent="0.25">
      <c r="A10984" s="1" t="s">
        <v>10983</v>
      </c>
      <c r="C10984" s="3">
        <v>9</v>
      </c>
    </row>
    <row r="10985" spans="1:3" x14ac:dyDescent="0.25">
      <c r="A10985" s="1" t="s">
        <v>10984</v>
      </c>
      <c r="C10985" s="3">
        <v>9</v>
      </c>
    </row>
    <row r="10986" spans="1:3" x14ac:dyDescent="0.25">
      <c r="A10986" s="1" t="s">
        <v>10985</v>
      </c>
      <c r="C10986" s="3">
        <v>9</v>
      </c>
    </row>
    <row r="10987" spans="1:3" x14ac:dyDescent="0.25">
      <c r="A10987" s="1" t="s">
        <v>10986</v>
      </c>
      <c r="C10987" s="3">
        <v>9</v>
      </c>
    </row>
    <row r="10988" spans="1:3" x14ac:dyDescent="0.25">
      <c r="A10988" s="1" t="s">
        <v>10987</v>
      </c>
      <c r="C10988" s="3">
        <v>9</v>
      </c>
    </row>
    <row r="10989" spans="1:3" x14ac:dyDescent="0.25">
      <c r="A10989" s="1" t="s">
        <v>10988</v>
      </c>
      <c r="C10989" s="3">
        <v>9</v>
      </c>
    </row>
    <row r="10990" spans="1:3" x14ac:dyDescent="0.25">
      <c r="A10990" s="1" t="s">
        <v>10989</v>
      </c>
      <c r="C10990" s="3">
        <v>9</v>
      </c>
    </row>
    <row r="10991" spans="1:3" x14ac:dyDescent="0.25">
      <c r="A10991" s="1" t="s">
        <v>10990</v>
      </c>
      <c r="C10991" s="3">
        <v>9</v>
      </c>
    </row>
    <row r="10992" spans="1:3" x14ac:dyDescent="0.25">
      <c r="A10992" s="1" t="s">
        <v>10991</v>
      </c>
      <c r="C10992" s="3">
        <v>9</v>
      </c>
    </row>
    <row r="10993" spans="1:3" x14ac:dyDescent="0.25">
      <c r="A10993" s="1" t="s">
        <v>10992</v>
      </c>
      <c r="C10993" s="3">
        <v>9</v>
      </c>
    </row>
    <row r="10994" spans="1:3" x14ac:dyDescent="0.25">
      <c r="A10994" s="1" t="s">
        <v>10993</v>
      </c>
      <c r="C10994" s="3">
        <v>9</v>
      </c>
    </row>
    <row r="10995" spans="1:3" x14ac:dyDescent="0.25">
      <c r="A10995" s="1" t="s">
        <v>10994</v>
      </c>
      <c r="C10995" s="3">
        <v>9</v>
      </c>
    </row>
    <row r="10996" spans="1:3" x14ac:dyDescent="0.25">
      <c r="A10996" s="1" t="s">
        <v>10995</v>
      </c>
      <c r="C10996" s="3">
        <v>9</v>
      </c>
    </row>
    <row r="10997" spans="1:3" x14ac:dyDescent="0.25">
      <c r="A10997" s="1" t="s">
        <v>10996</v>
      </c>
      <c r="C10997" s="3">
        <v>9</v>
      </c>
    </row>
    <row r="10998" spans="1:3" x14ac:dyDescent="0.25">
      <c r="A10998" s="1" t="s">
        <v>10997</v>
      </c>
      <c r="C10998" s="3">
        <v>9</v>
      </c>
    </row>
    <row r="10999" spans="1:3" x14ac:dyDescent="0.25">
      <c r="A10999" s="1" t="s">
        <v>10998</v>
      </c>
      <c r="C10999" s="3">
        <v>9</v>
      </c>
    </row>
    <row r="11000" spans="1:3" x14ac:dyDescent="0.25">
      <c r="A11000" s="1" t="s">
        <v>10999</v>
      </c>
      <c r="C11000" s="3">
        <v>9</v>
      </c>
    </row>
    <row r="11001" spans="1:3" x14ac:dyDescent="0.25">
      <c r="A11001" s="1" t="s">
        <v>11000</v>
      </c>
      <c r="C11001" s="3">
        <v>9</v>
      </c>
    </row>
    <row r="11002" spans="1:3" x14ac:dyDescent="0.25">
      <c r="A11002" s="1" t="s">
        <v>11001</v>
      </c>
      <c r="C11002" s="3">
        <v>9</v>
      </c>
    </row>
    <row r="11003" spans="1:3" x14ac:dyDescent="0.25">
      <c r="A11003" s="1" t="s">
        <v>11002</v>
      </c>
      <c r="C11003" s="3">
        <v>9</v>
      </c>
    </row>
    <row r="11004" spans="1:3" x14ac:dyDescent="0.25">
      <c r="A11004" s="1" t="s">
        <v>11003</v>
      </c>
      <c r="C11004" s="3">
        <v>9</v>
      </c>
    </row>
    <row r="11005" spans="1:3" x14ac:dyDescent="0.25">
      <c r="A11005" s="1" t="s">
        <v>11004</v>
      </c>
      <c r="C11005" s="3">
        <v>9</v>
      </c>
    </row>
    <row r="11006" spans="1:3" x14ac:dyDescent="0.25">
      <c r="A11006" s="1" t="s">
        <v>11005</v>
      </c>
      <c r="C11006" s="3">
        <v>9</v>
      </c>
    </row>
    <row r="11007" spans="1:3" x14ac:dyDescent="0.25">
      <c r="A11007" s="1" t="s">
        <v>11006</v>
      </c>
      <c r="C11007" s="3">
        <v>9</v>
      </c>
    </row>
    <row r="11008" spans="1:3" x14ac:dyDescent="0.25">
      <c r="A11008" s="1" t="s">
        <v>11007</v>
      </c>
      <c r="C11008" s="3">
        <v>9</v>
      </c>
    </row>
    <row r="11009" spans="1:3" x14ac:dyDescent="0.25">
      <c r="A11009" s="1" t="s">
        <v>11008</v>
      </c>
      <c r="C11009" s="3">
        <v>9</v>
      </c>
    </row>
    <row r="11010" spans="1:3" x14ac:dyDescent="0.25">
      <c r="A11010" s="1" t="s">
        <v>11009</v>
      </c>
      <c r="C11010" s="3">
        <v>9</v>
      </c>
    </row>
    <row r="11011" spans="1:3" x14ac:dyDescent="0.25">
      <c r="A11011" s="1" t="s">
        <v>11010</v>
      </c>
      <c r="C11011" s="3">
        <v>9</v>
      </c>
    </row>
    <row r="11012" spans="1:3" x14ac:dyDescent="0.25">
      <c r="A11012" s="1" t="s">
        <v>11011</v>
      </c>
      <c r="C11012" s="3">
        <v>9</v>
      </c>
    </row>
    <row r="11013" spans="1:3" x14ac:dyDescent="0.25">
      <c r="A11013" s="1" t="s">
        <v>11012</v>
      </c>
      <c r="C11013" s="3">
        <v>9</v>
      </c>
    </row>
    <row r="11014" spans="1:3" x14ac:dyDescent="0.25">
      <c r="A11014" s="1" t="s">
        <v>11013</v>
      </c>
      <c r="C11014" s="3">
        <v>9</v>
      </c>
    </row>
    <row r="11015" spans="1:3" x14ac:dyDescent="0.25">
      <c r="A11015" s="1" t="s">
        <v>11014</v>
      </c>
      <c r="C11015" s="3">
        <v>9</v>
      </c>
    </row>
    <row r="11016" spans="1:3" x14ac:dyDescent="0.25">
      <c r="A11016" s="1" t="s">
        <v>11015</v>
      </c>
      <c r="C11016" s="3">
        <v>9</v>
      </c>
    </row>
    <row r="11017" spans="1:3" x14ac:dyDescent="0.25">
      <c r="A11017" s="1" t="s">
        <v>11016</v>
      </c>
      <c r="C11017" s="3">
        <v>9</v>
      </c>
    </row>
    <row r="11018" spans="1:3" x14ac:dyDescent="0.25">
      <c r="A11018" s="1" t="s">
        <v>11017</v>
      </c>
      <c r="C11018" s="3">
        <v>9</v>
      </c>
    </row>
    <row r="11019" spans="1:3" x14ac:dyDescent="0.25">
      <c r="A11019" s="1" t="s">
        <v>11018</v>
      </c>
      <c r="C11019" s="3">
        <v>9</v>
      </c>
    </row>
    <row r="11020" spans="1:3" x14ac:dyDescent="0.25">
      <c r="A11020" s="1" t="s">
        <v>11019</v>
      </c>
      <c r="C11020" s="3">
        <v>9</v>
      </c>
    </row>
    <row r="11021" spans="1:3" x14ac:dyDescent="0.25">
      <c r="A11021" s="1" t="s">
        <v>11020</v>
      </c>
      <c r="C11021" s="3">
        <v>9</v>
      </c>
    </row>
    <row r="11022" spans="1:3" x14ac:dyDescent="0.25">
      <c r="A11022" s="1" t="s">
        <v>11021</v>
      </c>
      <c r="C11022" s="3">
        <v>9</v>
      </c>
    </row>
    <row r="11023" spans="1:3" x14ac:dyDescent="0.25">
      <c r="A11023" s="1" t="s">
        <v>11022</v>
      </c>
      <c r="C11023" s="3">
        <v>9</v>
      </c>
    </row>
    <row r="11024" spans="1:3" x14ac:dyDescent="0.25">
      <c r="A11024" s="1" t="s">
        <v>11023</v>
      </c>
      <c r="C11024" s="3">
        <v>9</v>
      </c>
    </row>
    <row r="11025" spans="1:3" x14ac:dyDescent="0.25">
      <c r="A11025" s="1" t="s">
        <v>11024</v>
      </c>
      <c r="C11025" s="3">
        <v>9</v>
      </c>
    </row>
    <row r="11026" spans="1:3" x14ac:dyDescent="0.25">
      <c r="A11026" s="1" t="s">
        <v>11025</v>
      </c>
      <c r="C11026" s="3">
        <v>9</v>
      </c>
    </row>
    <row r="11027" spans="1:3" x14ac:dyDescent="0.25">
      <c r="A11027" s="1" t="s">
        <v>11026</v>
      </c>
      <c r="C11027" s="3">
        <v>9</v>
      </c>
    </row>
    <row r="11028" spans="1:3" x14ac:dyDescent="0.25">
      <c r="A11028" s="1" t="s">
        <v>11027</v>
      </c>
      <c r="C11028" s="3">
        <v>9</v>
      </c>
    </row>
    <row r="11029" spans="1:3" x14ac:dyDescent="0.25">
      <c r="A11029" s="1" t="s">
        <v>11028</v>
      </c>
      <c r="C11029" s="3">
        <v>9</v>
      </c>
    </row>
    <row r="11030" spans="1:3" x14ac:dyDescent="0.25">
      <c r="A11030" s="1" t="s">
        <v>11029</v>
      </c>
      <c r="C11030" s="3">
        <v>9</v>
      </c>
    </row>
    <row r="11031" spans="1:3" x14ac:dyDescent="0.25">
      <c r="A11031" s="1" t="s">
        <v>11030</v>
      </c>
      <c r="C11031" s="3">
        <v>9</v>
      </c>
    </row>
    <row r="11032" spans="1:3" x14ac:dyDescent="0.25">
      <c r="A11032" s="1" t="s">
        <v>11031</v>
      </c>
      <c r="C11032" s="3">
        <v>9</v>
      </c>
    </row>
    <row r="11033" spans="1:3" x14ac:dyDescent="0.25">
      <c r="A11033" s="1" t="s">
        <v>11032</v>
      </c>
      <c r="C11033" s="3">
        <v>9</v>
      </c>
    </row>
    <row r="11034" spans="1:3" x14ac:dyDescent="0.25">
      <c r="A11034" s="1" t="s">
        <v>11033</v>
      </c>
      <c r="C11034" s="3">
        <v>9</v>
      </c>
    </row>
    <row r="11035" spans="1:3" x14ac:dyDescent="0.25">
      <c r="A11035" s="1" t="s">
        <v>11034</v>
      </c>
      <c r="C11035" s="3">
        <v>9</v>
      </c>
    </row>
    <row r="11036" spans="1:3" x14ac:dyDescent="0.25">
      <c r="A11036" s="1" t="s">
        <v>11035</v>
      </c>
      <c r="C11036" s="3">
        <v>9</v>
      </c>
    </row>
    <row r="11037" spans="1:3" x14ac:dyDescent="0.25">
      <c r="A11037" s="1" t="s">
        <v>11036</v>
      </c>
      <c r="C11037" s="3">
        <v>9</v>
      </c>
    </row>
    <row r="11038" spans="1:3" x14ac:dyDescent="0.25">
      <c r="A11038" s="1" t="s">
        <v>11037</v>
      </c>
      <c r="C11038" s="3">
        <v>9</v>
      </c>
    </row>
    <row r="11039" spans="1:3" x14ac:dyDescent="0.25">
      <c r="A11039" s="1" t="s">
        <v>11038</v>
      </c>
      <c r="C11039" s="3">
        <v>9</v>
      </c>
    </row>
    <row r="11040" spans="1:3" x14ac:dyDescent="0.25">
      <c r="A11040" s="1" t="s">
        <v>11039</v>
      </c>
      <c r="C11040" s="3">
        <v>9</v>
      </c>
    </row>
    <row r="11041" spans="1:3" x14ac:dyDescent="0.25">
      <c r="A11041" s="1" t="s">
        <v>11040</v>
      </c>
      <c r="C11041" s="3">
        <v>9</v>
      </c>
    </row>
    <row r="11042" spans="1:3" x14ac:dyDescent="0.25">
      <c r="A11042" s="1" t="s">
        <v>11041</v>
      </c>
      <c r="C11042" s="3">
        <v>9</v>
      </c>
    </row>
    <row r="11043" spans="1:3" x14ac:dyDescent="0.25">
      <c r="A11043" s="1" t="s">
        <v>11042</v>
      </c>
      <c r="C11043" s="3">
        <v>9</v>
      </c>
    </row>
    <row r="11044" spans="1:3" x14ac:dyDescent="0.25">
      <c r="A11044" s="1" t="s">
        <v>11043</v>
      </c>
      <c r="C11044" s="3">
        <v>9</v>
      </c>
    </row>
    <row r="11045" spans="1:3" x14ac:dyDescent="0.25">
      <c r="A11045" s="1" t="s">
        <v>11044</v>
      </c>
      <c r="C11045" s="3">
        <v>9</v>
      </c>
    </row>
    <row r="11046" spans="1:3" x14ac:dyDescent="0.25">
      <c r="A11046" s="1" t="s">
        <v>11045</v>
      </c>
      <c r="C11046" s="3">
        <v>9</v>
      </c>
    </row>
    <row r="11047" spans="1:3" x14ac:dyDescent="0.25">
      <c r="A11047" s="1" t="s">
        <v>11046</v>
      </c>
      <c r="C11047" s="3">
        <v>9</v>
      </c>
    </row>
    <row r="11048" spans="1:3" x14ac:dyDescent="0.25">
      <c r="A11048" s="1" t="s">
        <v>11047</v>
      </c>
      <c r="C11048" s="3">
        <v>9</v>
      </c>
    </row>
    <row r="11049" spans="1:3" x14ac:dyDescent="0.25">
      <c r="A11049" s="1" t="s">
        <v>11048</v>
      </c>
      <c r="C11049" s="3">
        <v>9</v>
      </c>
    </row>
    <row r="11050" spans="1:3" x14ac:dyDescent="0.25">
      <c r="A11050" s="1" t="s">
        <v>11049</v>
      </c>
      <c r="C11050" s="3">
        <v>9</v>
      </c>
    </row>
    <row r="11051" spans="1:3" x14ac:dyDescent="0.25">
      <c r="A11051" s="1" t="s">
        <v>11050</v>
      </c>
      <c r="C11051" s="3">
        <v>9</v>
      </c>
    </row>
    <row r="11052" spans="1:3" x14ac:dyDescent="0.25">
      <c r="A11052" s="1" t="s">
        <v>11051</v>
      </c>
      <c r="C11052" s="3">
        <v>9</v>
      </c>
    </row>
    <row r="11053" spans="1:3" x14ac:dyDescent="0.25">
      <c r="A11053" s="1" t="s">
        <v>11052</v>
      </c>
      <c r="C11053" s="3">
        <v>9</v>
      </c>
    </row>
    <row r="11054" spans="1:3" x14ac:dyDescent="0.25">
      <c r="A11054" s="1" t="s">
        <v>11053</v>
      </c>
      <c r="C11054" s="3">
        <v>9</v>
      </c>
    </row>
    <row r="11055" spans="1:3" x14ac:dyDescent="0.25">
      <c r="A11055" s="1" t="s">
        <v>11054</v>
      </c>
      <c r="C11055" s="3">
        <v>9</v>
      </c>
    </row>
    <row r="11056" spans="1:3" x14ac:dyDescent="0.25">
      <c r="A11056" s="1" t="s">
        <v>11055</v>
      </c>
      <c r="C11056" s="3">
        <v>9</v>
      </c>
    </row>
    <row r="11057" spans="1:3" x14ac:dyDescent="0.25">
      <c r="A11057" s="1" t="s">
        <v>11056</v>
      </c>
      <c r="C11057" s="3">
        <v>9</v>
      </c>
    </row>
    <row r="11058" spans="1:3" x14ac:dyDescent="0.25">
      <c r="A11058" s="1" t="s">
        <v>11057</v>
      </c>
      <c r="C11058" s="3">
        <v>9</v>
      </c>
    </row>
    <row r="11059" spans="1:3" x14ac:dyDescent="0.25">
      <c r="A11059" s="1" t="s">
        <v>11058</v>
      </c>
      <c r="C11059" s="3">
        <v>9</v>
      </c>
    </row>
    <row r="11060" spans="1:3" x14ac:dyDescent="0.25">
      <c r="A11060" s="1" t="s">
        <v>11059</v>
      </c>
      <c r="C11060" s="3">
        <v>9</v>
      </c>
    </row>
    <row r="11061" spans="1:3" x14ac:dyDescent="0.25">
      <c r="A11061" s="1" t="s">
        <v>11060</v>
      </c>
      <c r="C11061" s="3">
        <v>9</v>
      </c>
    </row>
    <row r="11062" spans="1:3" x14ac:dyDescent="0.25">
      <c r="A11062" s="1" t="s">
        <v>11061</v>
      </c>
      <c r="C11062" s="3">
        <v>9</v>
      </c>
    </row>
    <row r="11063" spans="1:3" x14ac:dyDescent="0.25">
      <c r="A11063" s="1" t="s">
        <v>11062</v>
      </c>
      <c r="C11063" s="3">
        <v>9</v>
      </c>
    </row>
    <row r="11064" spans="1:3" x14ac:dyDescent="0.25">
      <c r="A11064" s="1" t="s">
        <v>11063</v>
      </c>
      <c r="C11064" s="3">
        <v>9</v>
      </c>
    </row>
    <row r="11065" spans="1:3" x14ac:dyDescent="0.25">
      <c r="A11065" s="1" t="s">
        <v>11064</v>
      </c>
      <c r="C11065" s="3">
        <v>9</v>
      </c>
    </row>
    <row r="11066" spans="1:3" x14ac:dyDescent="0.25">
      <c r="A11066" s="1" t="s">
        <v>11065</v>
      </c>
      <c r="C11066" s="3">
        <v>9</v>
      </c>
    </row>
    <row r="11067" spans="1:3" x14ac:dyDescent="0.25">
      <c r="A11067" s="1" t="s">
        <v>11066</v>
      </c>
      <c r="C11067" s="3">
        <v>9</v>
      </c>
    </row>
    <row r="11068" spans="1:3" x14ac:dyDescent="0.25">
      <c r="A11068" s="1" t="s">
        <v>11067</v>
      </c>
      <c r="C11068" s="3">
        <v>9</v>
      </c>
    </row>
    <row r="11069" spans="1:3" x14ac:dyDescent="0.25">
      <c r="A11069" s="1" t="s">
        <v>11068</v>
      </c>
      <c r="C11069" s="3">
        <v>9</v>
      </c>
    </row>
    <row r="11070" spans="1:3" x14ac:dyDescent="0.25">
      <c r="A11070" s="1" t="s">
        <v>11069</v>
      </c>
      <c r="C11070" s="3">
        <v>9</v>
      </c>
    </row>
    <row r="11071" spans="1:3" x14ac:dyDescent="0.25">
      <c r="A11071" s="1" t="s">
        <v>11070</v>
      </c>
      <c r="C11071" s="3">
        <v>9</v>
      </c>
    </row>
    <row r="11072" spans="1:3" x14ac:dyDescent="0.25">
      <c r="A11072" s="1" t="s">
        <v>11071</v>
      </c>
      <c r="C11072" s="3">
        <v>9</v>
      </c>
    </row>
    <row r="11073" spans="1:3" x14ac:dyDescent="0.25">
      <c r="A11073" s="1" t="s">
        <v>11072</v>
      </c>
      <c r="C11073" s="3">
        <v>9</v>
      </c>
    </row>
    <row r="11074" spans="1:3" x14ac:dyDescent="0.25">
      <c r="A11074" s="1" t="s">
        <v>11073</v>
      </c>
      <c r="C11074" s="3">
        <v>9</v>
      </c>
    </row>
    <row r="11075" spans="1:3" x14ac:dyDescent="0.25">
      <c r="A11075" s="1" t="s">
        <v>11074</v>
      </c>
      <c r="C11075" s="3">
        <v>9</v>
      </c>
    </row>
    <row r="11076" spans="1:3" x14ac:dyDescent="0.25">
      <c r="A11076" s="1" t="s">
        <v>11075</v>
      </c>
      <c r="C11076" s="3">
        <v>9</v>
      </c>
    </row>
    <row r="11077" spans="1:3" x14ac:dyDescent="0.25">
      <c r="A11077" s="1" t="s">
        <v>11076</v>
      </c>
      <c r="C11077" s="3">
        <v>9</v>
      </c>
    </row>
    <row r="11078" spans="1:3" x14ac:dyDescent="0.25">
      <c r="A11078" s="1" t="s">
        <v>11077</v>
      </c>
      <c r="C11078" s="3">
        <v>9</v>
      </c>
    </row>
    <row r="11079" spans="1:3" x14ac:dyDescent="0.25">
      <c r="A11079" s="1" t="s">
        <v>11078</v>
      </c>
      <c r="C11079" s="3">
        <v>9</v>
      </c>
    </row>
    <row r="11080" spans="1:3" x14ac:dyDescent="0.25">
      <c r="A11080" s="1" t="s">
        <v>11079</v>
      </c>
      <c r="C11080" s="3">
        <v>9</v>
      </c>
    </row>
    <row r="11081" spans="1:3" x14ac:dyDescent="0.25">
      <c r="A11081" s="1" t="s">
        <v>11080</v>
      </c>
      <c r="C11081" s="3">
        <v>9</v>
      </c>
    </row>
    <row r="11082" spans="1:3" x14ac:dyDescent="0.25">
      <c r="A11082" s="1" t="s">
        <v>11081</v>
      </c>
      <c r="C11082" s="3">
        <v>9</v>
      </c>
    </row>
    <row r="11083" spans="1:3" x14ac:dyDescent="0.25">
      <c r="A11083" s="1" t="s">
        <v>11082</v>
      </c>
      <c r="C11083" s="3">
        <v>9</v>
      </c>
    </row>
    <row r="11084" spans="1:3" x14ac:dyDescent="0.25">
      <c r="A11084" s="1" t="s">
        <v>11083</v>
      </c>
      <c r="C11084" s="3">
        <v>9</v>
      </c>
    </row>
    <row r="11085" spans="1:3" x14ac:dyDescent="0.25">
      <c r="A11085" s="1" t="s">
        <v>11084</v>
      </c>
      <c r="C11085" s="3">
        <v>9</v>
      </c>
    </row>
    <row r="11086" spans="1:3" x14ac:dyDescent="0.25">
      <c r="A11086" s="1" t="s">
        <v>11085</v>
      </c>
      <c r="C11086" s="3">
        <v>9</v>
      </c>
    </row>
    <row r="11087" spans="1:3" x14ac:dyDescent="0.25">
      <c r="A11087" s="1" t="s">
        <v>11086</v>
      </c>
      <c r="C11087" s="3">
        <v>9</v>
      </c>
    </row>
    <row r="11088" spans="1:3" x14ac:dyDescent="0.25">
      <c r="A11088" s="1" t="s">
        <v>11087</v>
      </c>
      <c r="C11088" s="3">
        <v>9</v>
      </c>
    </row>
    <row r="11089" spans="1:3" x14ac:dyDescent="0.25">
      <c r="A11089" s="1" t="s">
        <v>11088</v>
      </c>
      <c r="C11089" s="3">
        <v>9</v>
      </c>
    </row>
    <row r="11090" spans="1:3" x14ac:dyDescent="0.25">
      <c r="A11090" s="1" t="s">
        <v>11089</v>
      </c>
      <c r="C11090" s="3">
        <v>9</v>
      </c>
    </row>
    <row r="11091" spans="1:3" x14ac:dyDescent="0.25">
      <c r="A11091" s="1" t="s">
        <v>11090</v>
      </c>
      <c r="C11091" s="3">
        <v>9</v>
      </c>
    </row>
    <row r="11092" spans="1:3" x14ac:dyDescent="0.25">
      <c r="A11092" s="1" t="s">
        <v>11091</v>
      </c>
      <c r="C11092" s="3">
        <v>9</v>
      </c>
    </row>
    <row r="11093" spans="1:3" x14ac:dyDescent="0.25">
      <c r="A11093" s="1" t="s">
        <v>11092</v>
      </c>
      <c r="C11093" s="3">
        <v>9</v>
      </c>
    </row>
    <row r="11094" spans="1:3" x14ac:dyDescent="0.25">
      <c r="A11094" s="1" t="s">
        <v>11093</v>
      </c>
      <c r="C11094" s="3">
        <v>9</v>
      </c>
    </row>
    <row r="11095" spans="1:3" x14ac:dyDescent="0.25">
      <c r="A11095" s="1" t="s">
        <v>11094</v>
      </c>
      <c r="C11095" s="3">
        <v>9</v>
      </c>
    </row>
    <row r="11096" spans="1:3" x14ac:dyDescent="0.25">
      <c r="A11096" s="1" t="s">
        <v>11095</v>
      </c>
      <c r="C11096" s="3">
        <v>9</v>
      </c>
    </row>
    <row r="11097" spans="1:3" x14ac:dyDescent="0.25">
      <c r="A11097" s="1" t="s">
        <v>11096</v>
      </c>
      <c r="C11097" s="3">
        <v>9</v>
      </c>
    </row>
    <row r="11098" spans="1:3" x14ac:dyDescent="0.25">
      <c r="A11098" s="1" t="s">
        <v>11097</v>
      </c>
      <c r="C11098" s="3">
        <v>9</v>
      </c>
    </row>
    <row r="11099" spans="1:3" x14ac:dyDescent="0.25">
      <c r="A11099" s="1" t="s">
        <v>11098</v>
      </c>
      <c r="C11099" s="3">
        <v>9</v>
      </c>
    </row>
    <row r="11100" spans="1:3" x14ac:dyDescent="0.25">
      <c r="A11100" s="1" t="s">
        <v>11099</v>
      </c>
      <c r="C11100" s="3">
        <v>9</v>
      </c>
    </row>
    <row r="11101" spans="1:3" x14ac:dyDescent="0.25">
      <c r="A11101" s="1" t="s">
        <v>11100</v>
      </c>
      <c r="C11101" s="3">
        <v>9</v>
      </c>
    </row>
    <row r="11102" spans="1:3" x14ac:dyDescent="0.25">
      <c r="A11102" s="1" t="s">
        <v>11101</v>
      </c>
      <c r="C11102" s="3">
        <v>9</v>
      </c>
    </row>
    <row r="11103" spans="1:3" x14ac:dyDescent="0.25">
      <c r="A11103" s="1" t="s">
        <v>11102</v>
      </c>
      <c r="C11103" s="3">
        <v>9</v>
      </c>
    </row>
    <row r="11104" spans="1:3" x14ac:dyDescent="0.25">
      <c r="A11104" s="1" t="s">
        <v>11103</v>
      </c>
      <c r="C11104" s="3">
        <v>9</v>
      </c>
    </row>
    <row r="11105" spans="1:3" x14ac:dyDescent="0.25">
      <c r="A11105" s="1" t="s">
        <v>11104</v>
      </c>
      <c r="C11105" s="3">
        <v>9</v>
      </c>
    </row>
    <row r="11106" spans="1:3" x14ac:dyDescent="0.25">
      <c r="A11106" s="1" t="s">
        <v>11105</v>
      </c>
      <c r="C11106" s="3">
        <v>9</v>
      </c>
    </row>
    <row r="11107" spans="1:3" x14ac:dyDescent="0.25">
      <c r="A11107" s="1" t="s">
        <v>11106</v>
      </c>
      <c r="C11107" s="3">
        <v>9</v>
      </c>
    </row>
    <row r="11108" spans="1:3" x14ac:dyDescent="0.25">
      <c r="A11108" s="1" t="s">
        <v>11107</v>
      </c>
      <c r="C11108" s="3">
        <v>9</v>
      </c>
    </row>
    <row r="11109" spans="1:3" x14ac:dyDescent="0.25">
      <c r="A11109" s="1" t="s">
        <v>11108</v>
      </c>
      <c r="C11109" s="3">
        <v>9</v>
      </c>
    </row>
    <row r="11110" spans="1:3" x14ac:dyDescent="0.25">
      <c r="A11110" s="1" t="s">
        <v>11109</v>
      </c>
      <c r="C11110" s="3">
        <v>9</v>
      </c>
    </row>
    <row r="11111" spans="1:3" x14ac:dyDescent="0.25">
      <c r="A11111" s="1" t="s">
        <v>11110</v>
      </c>
      <c r="C11111" s="3">
        <v>9</v>
      </c>
    </row>
    <row r="11112" spans="1:3" x14ac:dyDescent="0.25">
      <c r="A11112" s="1" t="s">
        <v>11111</v>
      </c>
      <c r="C11112" s="3">
        <v>9</v>
      </c>
    </row>
    <row r="11113" spans="1:3" x14ac:dyDescent="0.25">
      <c r="A11113" s="1" t="s">
        <v>11112</v>
      </c>
      <c r="C11113" s="3">
        <v>9</v>
      </c>
    </row>
    <row r="11114" spans="1:3" x14ac:dyDescent="0.25">
      <c r="A11114" s="1" t="s">
        <v>11113</v>
      </c>
      <c r="C11114" s="3">
        <v>9</v>
      </c>
    </row>
    <row r="11115" spans="1:3" x14ac:dyDescent="0.25">
      <c r="A11115" s="1" t="s">
        <v>11114</v>
      </c>
      <c r="C11115" s="3">
        <v>9</v>
      </c>
    </row>
    <row r="11116" spans="1:3" x14ac:dyDescent="0.25">
      <c r="A11116" s="1" t="s">
        <v>11115</v>
      </c>
      <c r="C11116" s="3">
        <v>9</v>
      </c>
    </row>
    <row r="11117" spans="1:3" x14ac:dyDescent="0.25">
      <c r="A11117" s="1" t="s">
        <v>11116</v>
      </c>
      <c r="C11117" s="3">
        <v>9</v>
      </c>
    </row>
    <row r="11118" spans="1:3" x14ac:dyDescent="0.25">
      <c r="A11118" s="1" t="s">
        <v>11117</v>
      </c>
      <c r="C11118" s="3">
        <v>9</v>
      </c>
    </row>
    <row r="11119" spans="1:3" x14ac:dyDescent="0.25">
      <c r="A11119" s="1" t="s">
        <v>11118</v>
      </c>
      <c r="C11119" s="3">
        <v>9</v>
      </c>
    </row>
    <row r="11120" spans="1:3" x14ac:dyDescent="0.25">
      <c r="A11120" s="1" t="s">
        <v>11119</v>
      </c>
      <c r="C11120" s="3">
        <v>9</v>
      </c>
    </row>
    <row r="11121" spans="1:3" x14ac:dyDescent="0.25">
      <c r="A11121" s="1" t="s">
        <v>11120</v>
      </c>
      <c r="C11121" s="3">
        <v>9</v>
      </c>
    </row>
    <row r="11122" spans="1:3" x14ac:dyDescent="0.25">
      <c r="A11122" s="1" t="s">
        <v>11121</v>
      </c>
      <c r="C11122" s="3">
        <v>9</v>
      </c>
    </row>
    <row r="11123" spans="1:3" x14ac:dyDescent="0.25">
      <c r="A11123" s="1" t="s">
        <v>11122</v>
      </c>
      <c r="C11123" s="3">
        <v>9</v>
      </c>
    </row>
    <row r="11124" spans="1:3" x14ac:dyDescent="0.25">
      <c r="A11124" s="1" t="s">
        <v>11123</v>
      </c>
      <c r="C11124" s="3">
        <v>9</v>
      </c>
    </row>
    <row r="11125" spans="1:3" x14ac:dyDescent="0.25">
      <c r="A11125" s="1" t="s">
        <v>11124</v>
      </c>
      <c r="C11125" s="3">
        <v>9</v>
      </c>
    </row>
    <row r="11126" spans="1:3" x14ac:dyDescent="0.25">
      <c r="A11126" s="1" t="s">
        <v>11125</v>
      </c>
      <c r="C11126" s="3">
        <v>9</v>
      </c>
    </row>
    <row r="11127" spans="1:3" x14ac:dyDescent="0.25">
      <c r="A11127" s="1" t="s">
        <v>11126</v>
      </c>
      <c r="C11127" s="3">
        <v>9</v>
      </c>
    </row>
    <row r="11128" spans="1:3" x14ac:dyDescent="0.25">
      <c r="A11128" s="1" t="s">
        <v>11127</v>
      </c>
      <c r="C11128" s="3">
        <v>9</v>
      </c>
    </row>
    <row r="11129" spans="1:3" x14ac:dyDescent="0.25">
      <c r="A11129" s="1" t="s">
        <v>11128</v>
      </c>
      <c r="C11129" s="3">
        <v>9</v>
      </c>
    </row>
    <row r="11130" spans="1:3" x14ac:dyDescent="0.25">
      <c r="A11130" s="1" t="s">
        <v>11129</v>
      </c>
      <c r="C11130" s="3">
        <v>9</v>
      </c>
    </row>
    <row r="11131" spans="1:3" x14ac:dyDescent="0.25">
      <c r="A11131" s="1" t="s">
        <v>11130</v>
      </c>
      <c r="C11131" s="3">
        <v>9</v>
      </c>
    </row>
    <row r="11132" spans="1:3" x14ac:dyDescent="0.25">
      <c r="A11132" s="1" t="s">
        <v>11131</v>
      </c>
      <c r="C11132" s="3">
        <v>9</v>
      </c>
    </row>
    <row r="11133" spans="1:3" x14ac:dyDescent="0.25">
      <c r="A11133" s="1" t="s">
        <v>11132</v>
      </c>
      <c r="C11133" s="3">
        <v>9</v>
      </c>
    </row>
    <row r="11134" spans="1:3" x14ac:dyDescent="0.25">
      <c r="A11134" s="1" t="s">
        <v>11133</v>
      </c>
      <c r="C11134" s="3">
        <v>9</v>
      </c>
    </row>
    <row r="11135" spans="1:3" x14ac:dyDescent="0.25">
      <c r="A11135" s="1" t="s">
        <v>11134</v>
      </c>
      <c r="C11135" s="3">
        <v>9</v>
      </c>
    </row>
    <row r="11136" spans="1:3" x14ac:dyDescent="0.25">
      <c r="A11136" s="1" t="s">
        <v>11135</v>
      </c>
      <c r="C11136" s="3">
        <v>9</v>
      </c>
    </row>
    <row r="11137" spans="1:3" x14ac:dyDescent="0.25">
      <c r="A11137" s="1" t="s">
        <v>11136</v>
      </c>
      <c r="C11137" s="3">
        <v>9</v>
      </c>
    </row>
    <row r="11138" spans="1:3" x14ac:dyDescent="0.25">
      <c r="A11138" s="1" t="s">
        <v>11137</v>
      </c>
      <c r="C11138" s="3">
        <v>9</v>
      </c>
    </row>
    <row r="11139" spans="1:3" x14ac:dyDescent="0.25">
      <c r="A11139" s="1" t="s">
        <v>11138</v>
      </c>
      <c r="C11139" s="3">
        <v>9</v>
      </c>
    </row>
    <row r="11140" spans="1:3" x14ac:dyDescent="0.25">
      <c r="A11140" s="1" t="s">
        <v>11139</v>
      </c>
      <c r="C11140" s="3">
        <v>9</v>
      </c>
    </row>
    <row r="11141" spans="1:3" x14ac:dyDescent="0.25">
      <c r="A11141" s="1" t="s">
        <v>11140</v>
      </c>
      <c r="C11141" s="3">
        <v>9</v>
      </c>
    </row>
    <row r="11142" spans="1:3" x14ac:dyDescent="0.25">
      <c r="A11142" s="1" t="s">
        <v>11141</v>
      </c>
      <c r="C11142" s="3">
        <v>9</v>
      </c>
    </row>
    <row r="11143" spans="1:3" x14ac:dyDescent="0.25">
      <c r="A11143" s="1" t="s">
        <v>11142</v>
      </c>
      <c r="C11143" s="3">
        <v>9</v>
      </c>
    </row>
    <row r="11144" spans="1:3" x14ac:dyDescent="0.25">
      <c r="A11144" s="1" t="s">
        <v>11143</v>
      </c>
      <c r="C11144" s="3">
        <v>9</v>
      </c>
    </row>
    <row r="11145" spans="1:3" x14ac:dyDescent="0.25">
      <c r="A11145" s="1" t="s">
        <v>11144</v>
      </c>
      <c r="C11145" s="3">
        <v>9</v>
      </c>
    </row>
    <row r="11146" spans="1:3" x14ac:dyDescent="0.25">
      <c r="A11146" s="1" t="s">
        <v>11145</v>
      </c>
      <c r="C11146" s="3">
        <v>9</v>
      </c>
    </row>
    <row r="11147" spans="1:3" x14ac:dyDescent="0.25">
      <c r="A11147" s="1" t="s">
        <v>11146</v>
      </c>
      <c r="C11147" s="3">
        <v>9</v>
      </c>
    </row>
    <row r="11148" spans="1:3" x14ac:dyDescent="0.25">
      <c r="A11148" s="1" t="s">
        <v>11147</v>
      </c>
      <c r="C11148" s="3">
        <v>9</v>
      </c>
    </row>
    <row r="11149" spans="1:3" x14ac:dyDescent="0.25">
      <c r="A11149" s="1" t="s">
        <v>11148</v>
      </c>
      <c r="C11149" s="3">
        <v>9</v>
      </c>
    </row>
    <row r="11150" spans="1:3" x14ac:dyDescent="0.25">
      <c r="A11150" s="1" t="s">
        <v>11149</v>
      </c>
      <c r="C11150" s="3">
        <v>9</v>
      </c>
    </row>
    <row r="11151" spans="1:3" x14ac:dyDescent="0.25">
      <c r="A11151" s="1" t="s">
        <v>11150</v>
      </c>
      <c r="C11151" s="3">
        <v>9</v>
      </c>
    </row>
    <row r="11152" spans="1:3" x14ac:dyDescent="0.25">
      <c r="A11152" s="1" t="s">
        <v>11151</v>
      </c>
      <c r="C11152" s="3">
        <v>9</v>
      </c>
    </row>
    <row r="11153" spans="1:3" x14ac:dyDescent="0.25">
      <c r="A11153" s="1" t="s">
        <v>11152</v>
      </c>
      <c r="C11153" s="3">
        <v>9</v>
      </c>
    </row>
    <row r="11154" spans="1:3" x14ac:dyDescent="0.25">
      <c r="A11154" s="1" t="s">
        <v>11153</v>
      </c>
      <c r="C11154" s="3">
        <v>9</v>
      </c>
    </row>
    <row r="11155" spans="1:3" x14ac:dyDescent="0.25">
      <c r="A11155" s="1" t="s">
        <v>11154</v>
      </c>
      <c r="C11155" s="3">
        <v>9</v>
      </c>
    </row>
    <row r="11156" spans="1:3" x14ac:dyDescent="0.25">
      <c r="A11156" s="1" t="s">
        <v>11155</v>
      </c>
      <c r="C11156" s="3">
        <v>9</v>
      </c>
    </row>
    <row r="11157" spans="1:3" x14ac:dyDescent="0.25">
      <c r="A11157" s="1" t="s">
        <v>11156</v>
      </c>
      <c r="C11157" s="3">
        <v>9</v>
      </c>
    </row>
    <row r="11158" spans="1:3" x14ac:dyDescent="0.25">
      <c r="A11158" s="1" t="s">
        <v>11157</v>
      </c>
      <c r="C11158" s="3">
        <v>9</v>
      </c>
    </row>
    <row r="11159" spans="1:3" x14ac:dyDescent="0.25">
      <c r="A11159" s="1" t="s">
        <v>11158</v>
      </c>
      <c r="C11159" s="3">
        <v>9</v>
      </c>
    </row>
    <row r="11160" spans="1:3" x14ac:dyDescent="0.25">
      <c r="A11160" s="1" t="s">
        <v>11159</v>
      </c>
      <c r="C11160" s="3">
        <v>9</v>
      </c>
    </row>
    <row r="11161" spans="1:3" x14ac:dyDescent="0.25">
      <c r="A11161" s="1" t="s">
        <v>11160</v>
      </c>
      <c r="C11161" s="3">
        <v>9</v>
      </c>
    </row>
    <row r="11162" spans="1:3" x14ac:dyDescent="0.25">
      <c r="A11162" s="1" t="s">
        <v>11161</v>
      </c>
      <c r="C11162" s="3">
        <v>9</v>
      </c>
    </row>
    <row r="11163" spans="1:3" x14ac:dyDescent="0.25">
      <c r="A11163" s="1" t="s">
        <v>11162</v>
      </c>
      <c r="C11163" s="3">
        <v>9</v>
      </c>
    </row>
    <row r="11164" spans="1:3" x14ac:dyDescent="0.25">
      <c r="A11164" s="1" t="s">
        <v>11163</v>
      </c>
      <c r="C11164" s="3">
        <v>9</v>
      </c>
    </row>
    <row r="11165" spans="1:3" x14ac:dyDescent="0.25">
      <c r="A11165" s="1" t="s">
        <v>11164</v>
      </c>
      <c r="C11165" s="3">
        <v>9</v>
      </c>
    </row>
    <row r="11166" spans="1:3" x14ac:dyDescent="0.25">
      <c r="A11166" s="1" t="s">
        <v>11165</v>
      </c>
      <c r="C11166" s="3">
        <v>9</v>
      </c>
    </row>
    <row r="11167" spans="1:3" x14ac:dyDescent="0.25">
      <c r="A11167" s="1" t="s">
        <v>11166</v>
      </c>
      <c r="C11167" s="3">
        <v>9</v>
      </c>
    </row>
    <row r="11168" spans="1:3" x14ac:dyDescent="0.25">
      <c r="A11168" s="1" t="s">
        <v>11167</v>
      </c>
      <c r="C11168" s="3">
        <v>9</v>
      </c>
    </row>
    <row r="11169" spans="1:3" x14ac:dyDescent="0.25">
      <c r="A11169" s="1" t="s">
        <v>11168</v>
      </c>
      <c r="C11169" s="3">
        <v>9</v>
      </c>
    </row>
    <row r="11170" spans="1:3" x14ac:dyDescent="0.25">
      <c r="A11170" s="1" t="s">
        <v>11169</v>
      </c>
      <c r="C11170" s="3">
        <v>9</v>
      </c>
    </row>
    <row r="11171" spans="1:3" x14ac:dyDescent="0.25">
      <c r="A11171" s="1" t="s">
        <v>11170</v>
      </c>
      <c r="C11171" s="3">
        <v>9</v>
      </c>
    </row>
    <row r="11172" spans="1:3" x14ac:dyDescent="0.25">
      <c r="A11172" s="1" t="s">
        <v>11171</v>
      </c>
      <c r="C11172" s="3">
        <v>9</v>
      </c>
    </row>
    <row r="11173" spans="1:3" x14ac:dyDescent="0.25">
      <c r="A11173" s="1" t="s">
        <v>11172</v>
      </c>
      <c r="C11173" s="3">
        <v>9</v>
      </c>
    </row>
    <row r="11174" spans="1:3" x14ac:dyDescent="0.25">
      <c r="A11174" s="1" t="s">
        <v>11173</v>
      </c>
      <c r="C11174" s="3">
        <v>9</v>
      </c>
    </row>
    <row r="11175" spans="1:3" x14ac:dyDescent="0.25">
      <c r="A11175" s="1" t="s">
        <v>11174</v>
      </c>
      <c r="C11175" s="3">
        <v>9</v>
      </c>
    </row>
    <row r="11176" spans="1:3" x14ac:dyDescent="0.25">
      <c r="A11176" s="1" t="s">
        <v>11175</v>
      </c>
      <c r="C11176" s="3">
        <v>9</v>
      </c>
    </row>
    <row r="11177" spans="1:3" x14ac:dyDescent="0.25">
      <c r="A11177" s="1" t="s">
        <v>11176</v>
      </c>
      <c r="C11177" s="3">
        <v>9</v>
      </c>
    </row>
    <row r="11178" spans="1:3" x14ac:dyDescent="0.25">
      <c r="A11178" s="1" t="s">
        <v>11177</v>
      </c>
      <c r="C11178" s="3">
        <v>9</v>
      </c>
    </row>
    <row r="11179" spans="1:3" x14ac:dyDescent="0.25">
      <c r="A11179" s="1" t="s">
        <v>11178</v>
      </c>
      <c r="C11179" s="3">
        <v>9</v>
      </c>
    </row>
    <row r="11180" spans="1:3" x14ac:dyDescent="0.25">
      <c r="A11180" s="1" t="s">
        <v>11179</v>
      </c>
      <c r="C11180" s="3">
        <v>9</v>
      </c>
    </row>
    <row r="11181" spans="1:3" x14ac:dyDescent="0.25">
      <c r="A11181" s="1" t="s">
        <v>11180</v>
      </c>
      <c r="C11181" s="3">
        <v>9</v>
      </c>
    </row>
    <row r="11182" spans="1:3" x14ac:dyDescent="0.25">
      <c r="A11182" s="1" t="s">
        <v>11181</v>
      </c>
      <c r="C11182" s="3">
        <v>9</v>
      </c>
    </row>
    <row r="11183" spans="1:3" x14ac:dyDescent="0.25">
      <c r="A11183" s="1" t="s">
        <v>11182</v>
      </c>
      <c r="C11183" s="3">
        <v>9</v>
      </c>
    </row>
    <row r="11184" spans="1:3" x14ac:dyDescent="0.25">
      <c r="A11184" s="1" t="s">
        <v>11183</v>
      </c>
      <c r="C11184" s="3">
        <v>9</v>
      </c>
    </row>
    <row r="11185" spans="1:3" x14ac:dyDescent="0.25">
      <c r="A11185" s="1" t="s">
        <v>11184</v>
      </c>
      <c r="C11185" s="3">
        <v>9</v>
      </c>
    </row>
    <row r="11186" spans="1:3" x14ac:dyDescent="0.25">
      <c r="A11186" s="1" t="s">
        <v>11185</v>
      </c>
      <c r="C11186" s="3">
        <v>9</v>
      </c>
    </row>
    <row r="11187" spans="1:3" x14ac:dyDescent="0.25">
      <c r="A11187" s="1" t="s">
        <v>11186</v>
      </c>
      <c r="C11187" s="3">
        <v>8</v>
      </c>
    </row>
    <row r="11188" spans="1:3" x14ac:dyDescent="0.25">
      <c r="A11188" s="1" t="s">
        <v>11187</v>
      </c>
      <c r="C11188" s="3">
        <v>8</v>
      </c>
    </row>
    <row r="11189" spans="1:3" x14ac:dyDescent="0.25">
      <c r="A11189" s="1" t="s">
        <v>11188</v>
      </c>
      <c r="C11189" s="3">
        <v>8</v>
      </c>
    </row>
    <row r="11190" spans="1:3" x14ac:dyDescent="0.25">
      <c r="A11190" s="1" t="s">
        <v>11189</v>
      </c>
      <c r="C11190" s="3">
        <v>8</v>
      </c>
    </row>
    <row r="11191" spans="1:3" x14ac:dyDescent="0.25">
      <c r="A11191" s="1" t="s">
        <v>11190</v>
      </c>
      <c r="C11191" s="3">
        <v>8</v>
      </c>
    </row>
    <row r="11192" spans="1:3" x14ac:dyDescent="0.25">
      <c r="A11192" s="1" t="s">
        <v>11191</v>
      </c>
      <c r="C11192" s="3">
        <v>8</v>
      </c>
    </row>
    <row r="11193" spans="1:3" x14ac:dyDescent="0.25">
      <c r="A11193" s="1" t="s">
        <v>11192</v>
      </c>
      <c r="C11193" s="3">
        <v>8</v>
      </c>
    </row>
    <row r="11194" spans="1:3" x14ac:dyDescent="0.25">
      <c r="A11194" s="1" t="s">
        <v>11193</v>
      </c>
      <c r="C11194" s="3">
        <v>8</v>
      </c>
    </row>
    <row r="11195" spans="1:3" x14ac:dyDescent="0.25">
      <c r="A11195" s="1" t="s">
        <v>11194</v>
      </c>
      <c r="C11195" s="3">
        <v>8</v>
      </c>
    </row>
    <row r="11196" spans="1:3" x14ac:dyDescent="0.25">
      <c r="A11196" s="1" t="s">
        <v>11195</v>
      </c>
      <c r="C11196" s="3">
        <v>8</v>
      </c>
    </row>
    <row r="11197" spans="1:3" x14ac:dyDescent="0.25">
      <c r="A11197" s="1" t="s">
        <v>11196</v>
      </c>
      <c r="C11197" s="3">
        <v>8</v>
      </c>
    </row>
    <row r="11198" spans="1:3" x14ac:dyDescent="0.25">
      <c r="A11198" s="1" t="s">
        <v>11197</v>
      </c>
      <c r="C11198" s="3">
        <v>8</v>
      </c>
    </row>
    <row r="11199" spans="1:3" x14ac:dyDescent="0.25">
      <c r="A11199" s="1" t="s">
        <v>11198</v>
      </c>
      <c r="C11199" s="3">
        <v>8</v>
      </c>
    </row>
    <row r="11200" spans="1:3" x14ac:dyDescent="0.25">
      <c r="A11200" s="1" t="s">
        <v>11199</v>
      </c>
      <c r="C11200" s="3">
        <v>8</v>
      </c>
    </row>
    <row r="11201" spans="1:3" x14ac:dyDescent="0.25">
      <c r="A11201" s="1" t="s">
        <v>11200</v>
      </c>
      <c r="C11201" s="3">
        <v>8</v>
      </c>
    </row>
    <row r="11202" spans="1:3" x14ac:dyDescent="0.25">
      <c r="A11202" s="1" t="s">
        <v>11201</v>
      </c>
      <c r="C11202" s="3">
        <v>8</v>
      </c>
    </row>
    <row r="11203" spans="1:3" x14ac:dyDescent="0.25">
      <c r="A11203" s="1" t="s">
        <v>11202</v>
      </c>
      <c r="C11203" s="3">
        <v>8</v>
      </c>
    </row>
    <row r="11204" spans="1:3" x14ac:dyDescent="0.25">
      <c r="A11204" s="1" t="s">
        <v>11203</v>
      </c>
      <c r="C11204" s="3">
        <v>8</v>
      </c>
    </row>
    <row r="11205" spans="1:3" x14ac:dyDescent="0.25">
      <c r="A11205" s="1" t="s">
        <v>11204</v>
      </c>
      <c r="C11205" s="3">
        <v>8</v>
      </c>
    </row>
    <row r="11206" spans="1:3" x14ac:dyDescent="0.25">
      <c r="A11206" s="1" t="s">
        <v>11205</v>
      </c>
      <c r="C11206" s="3">
        <v>8</v>
      </c>
    </row>
    <row r="11207" spans="1:3" x14ac:dyDescent="0.25">
      <c r="A11207" s="1" t="s">
        <v>11206</v>
      </c>
      <c r="C11207" s="3">
        <v>8</v>
      </c>
    </row>
    <row r="11208" spans="1:3" x14ac:dyDescent="0.25">
      <c r="A11208" s="1" t="s">
        <v>11207</v>
      </c>
      <c r="C11208" s="3">
        <v>8</v>
      </c>
    </row>
    <row r="11209" spans="1:3" x14ac:dyDescent="0.25">
      <c r="A11209" s="1" t="s">
        <v>11208</v>
      </c>
      <c r="C11209" s="3">
        <v>8</v>
      </c>
    </row>
    <row r="11210" spans="1:3" x14ac:dyDescent="0.25">
      <c r="A11210" s="1" t="s">
        <v>11209</v>
      </c>
      <c r="C11210" s="3">
        <v>8</v>
      </c>
    </row>
    <row r="11211" spans="1:3" x14ac:dyDescent="0.25">
      <c r="A11211" s="1" t="s">
        <v>11210</v>
      </c>
      <c r="C11211" s="3">
        <v>8</v>
      </c>
    </row>
    <row r="11212" spans="1:3" x14ac:dyDescent="0.25">
      <c r="A11212" s="1" t="s">
        <v>11211</v>
      </c>
      <c r="C11212" s="3">
        <v>8</v>
      </c>
    </row>
    <row r="11213" spans="1:3" x14ac:dyDescent="0.25">
      <c r="A11213" s="1" t="s">
        <v>11212</v>
      </c>
      <c r="C11213" s="3">
        <v>8</v>
      </c>
    </row>
    <row r="11214" spans="1:3" x14ac:dyDescent="0.25">
      <c r="A11214" s="1" t="s">
        <v>11213</v>
      </c>
      <c r="C11214" s="3">
        <v>8</v>
      </c>
    </row>
    <row r="11215" spans="1:3" x14ac:dyDescent="0.25">
      <c r="A11215" s="1" t="s">
        <v>11214</v>
      </c>
      <c r="C11215" s="3">
        <v>8</v>
      </c>
    </row>
    <row r="11216" spans="1:3" x14ac:dyDescent="0.25">
      <c r="A11216" s="1" t="s">
        <v>11215</v>
      </c>
      <c r="C11216" s="3">
        <v>8</v>
      </c>
    </row>
    <row r="11217" spans="1:3" x14ac:dyDescent="0.25">
      <c r="A11217" s="1" t="s">
        <v>11216</v>
      </c>
      <c r="C11217" s="3">
        <v>8</v>
      </c>
    </row>
    <row r="11218" spans="1:3" x14ac:dyDescent="0.25">
      <c r="A11218" s="1" t="s">
        <v>11217</v>
      </c>
      <c r="C11218" s="3">
        <v>8</v>
      </c>
    </row>
    <row r="11219" spans="1:3" x14ac:dyDescent="0.25">
      <c r="A11219" s="1" t="s">
        <v>11218</v>
      </c>
      <c r="C11219" s="3">
        <v>8</v>
      </c>
    </row>
    <row r="11220" spans="1:3" x14ac:dyDescent="0.25">
      <c r="A11220" s="1" t="s">
        <v>11219</v>
      </c>
      <c r="C11220" s="3">
        <v>8</v>
      </c>
    </row>
    <row r="11221" spans="1:3" x14ac:dyDescent="0.25">
      <c r="A11221" s="1" t="s">
        <v>11220</v>
      </c>
      <c r="C11221" s="3">
        <v>8</v>
      </c>
    </row>
    <row r="11222" spans="1:3" x14ac:dyDescent="0.25">
      <c r="A11222" s="1" t="s">
        <v>11221</v>
      </c>
      <c r="C11222" s="3">
        <v>8</v>
      </c>
    </row>
    <row r="11223" spans="1:3" x14ac:dyDescent="0.25">
      <c r="A11223" s="1" t="s">
        <v>11222</v>
      </c>
      <c r="C11223" s="3">
        <v>8</v>
      </c>
    </row>
    <row r="11224" spans="1:3" x14ac:dyDescent="0.25">
      <c r="A11224" s="1" t="s">
        <v>11223</v>
      </c>
      <c r="C11224" s="3">
        <v>8</v>
      </c>
    </row>
    <row r="11225" spans="1:3" x14ac:dyDescent="0.25">
      <c r="A11225" s="1" t="s">
        <v>11224</v>
      </c>
      <c r="C11225" s="3">
        <v>8</v>
      </c>
    </row>
    <row r="11226" spans="1:3" x14ac:dyDescent="0.25">
      <c r="A11226" s="1" t="s">
        <v>11225</v>
      </c>
      <c r="C11226" s="3">
        <v>8</v>
      </c>
    </row>
    <row r="11227" spans="1:3" x14ac:dyDescent="0.25">
      <c r="A11227" s="1" t="s">
        <v>11226</v>
      </c>
      <c r="C11227" s="3">
        <v>8</v>
      </c>
    </row>
    <row r="11228" spans="1:3" x14ac:dyDescent="0.25">
      <c r="A11228" s="1" t="s">
        <v>11227</v>
      </c>
      <c r="C11228" s="3">
        <v>8</v>
      </c>
    </row>
    <row r="11229" spans="1:3" x14ac:dyDescent="0.25">
      <c r="A11229" s="1" t="s">
        <v>11228</v>
      </c>
      <c r="C11229" s="3">
        <v>8</v>
      </c>
    </row>
    <row r="11230" spans="1:3" x14ac:dyDescent="0.25">
      <c r="A11230" s="1" t="s">
        <v>11229</v>
      </c>
      <c r="C11230" s="3">
        <v>8</v>
      </c>
    </row>
    <row r="11231" spans="1:3" x14ac:dyDescent="0.25">
      <c r="A11231" s="1" t="s">
        <v>11230</v>
      </c>
      <c r="C11231" s="3">
        <v>8</v>
      </c>
    </row>
    <row r="11232" spans="1:3" x14ac:dyDescent="0.25">
      <c r="A11232" s="1" t="s">
        <v>11231</v>
      </c>
      <c r="C11232" s="3">
        <v>8</v>
      </c>
    </row>
    <row r="11233" spans="1:3" x14ac:dyDescent="0.25">
      <c r="A11233" s="1" t="s">
        <v>11232</v>
      </c>
      <c r="C11233" s="3">
        <v>8</v>
      </c>
    </row>
    <row r="11234" spans="1:3" x14ac:dyDescent="0.25">
      <c r="A11234" s="1" t="s">
        <v>11233</v>
      </c>
      <c r="C11234" s="3">
        <v>8</v>
      </c>
    </row>
    <row r="11235" spans="1:3" x14ac:dyDescent="0.25">
      <c r="A11235" s="1" t="s">
        <v>11234</v>
      </c>
      <c r="C11235" s="3">
        <v>8</v>
      </c>
    </row>
    <row r="11236" spans="1:3" x14ac:dyDescent="0.25">
      <c r="A11236" s="1" t="s">
        <v>11235</v>
      </c>
      <c r="C11236" s="3">
        <v>8</v>
      </c>
    </row>
    <row r="11237" spans="1:3" x14ac:dyDescent="0.25">
      <c r="A11237" s="1" t="s">
        <v>11236</v>
      </c>
      <c r="C11237" s="3">
        <v>8</v>
      </c>
    </row>
    <row r="11238" spans="1:3" x14ac:dyDescent="0.25">
      <c r="A11238" s="1" t="s">
        <v>11237</v>
      </c>
      <c r="C11238" s="3">
        <v>8</v>
      </c>
    </row>
    <row r="11239" spans="1:3" x14ac:dyDescent="0.25">
      <c r="A11239" s="1" t="s">
        <v>11238</v>
      </c>
      <c r="C11239" s="3">
        <v>8</v>
      </c>
    </row>
    <row r="11240" spans="1:3" x14ac:dyDescent="0.25">
      <c r="A11240" s="1" t="s">
        <v>11239</v>
      </c>
      <c r="C11240" s="3">
        <v>8</v>
      </c>
    </row>
    <row r="11241" spans="1:3" x14ac:dyDescent="0.25">
      <c r="A11241" s="1" t="s">
        <v>11240</v>
      </c>
      <c r="C11241" s="3">
        <v>8</v>
      </c>
    </row>
    <row r="11242" spans="1:3" x14ac:dyDescent="0.25">
      <c r="A11242" s="1" t="s">
        <v>11241</v>
      </c>
      <c r="C11242" s="3">
        <v>8</v>
      </c>
    </row>
    <row r="11243" spans="1:3" x14ac:dyDescent="0.25">
      <c r="A11243" s="1" t="s">
        <v>11242</v>
      </c>
      <c r="C11243" s="3">
        <v>8</v>
      </c>
    </row>
    <row r="11244" spans="1:3" x14ac:dyDescent="0.25">
      <c r="A11244" s="1" t="s">
        <v>11243</v>
      </c>
      <c r="C11244" s="3">
        <v>8</v>
      </c>
    </row>
    <row r="11245" spans="1:3" x14ac:dyDescent="0.25">
      <c r="A11245" s="1" t="s">
        <v>11244</v>
      </c>
      <c r="C11245" s="3">
        <v>8</v>
      </c>
    </row>
    <row r="11246" spans="1:3" x14ac:dyDescent="0.25">
      <c r="A11246" s="1" t="s">
        <v>11245</v>
      </c>
      <c r="C11246" s="3">
        <v>8</v>
      </c>
    </row>
    <row r="11247" spans="1:3" x14ac:dyDescent="0.25">
      <c r="A11247" s="1" t="s">
        <v>11246</v>
      </c>
      <c r="C11247" s="3">
        <v>8</v>
      </c>
    </row>
    <row r="11248" spans="1:3" x14ac:dyDescent="0.25">
      <c r="A11248" s="1" t="s">
        <v>11247</v>
      </c>
      <c r="C11248" s="3">
        <v>8</v>
      </c>
    </row>
    <row r="11249" spans="1:3" x14ac:dyDescent="0.25">
      <c r="A11249" s="1" t="s">
        <v>11248</v>
      </c>
      <c r="C11249" s="3">
        <v>8</v>
      </c>
    </row>
    <row r="11250" spans="1:3" x14ac:dyDescent="0.25">
      <c r="A11250" s="1" t="s">
        <v>11249</v>
      </c>
      <c r="C11250" s="3">
        <v>8</v>
      </c>
    </row>
    <row r="11251" spans="1:3" x14ac:dyDescent="0.25">
      <c r="A11251" s="1" t="s">
        <v>11250</v>
      </c>
      <c r="C11251" s="3">
        <v>8</v>
      </c>
    </row>
    <row r="11252" spans="1:3" x14ac:dyDescent="0.25">
      <c r="A11252" s="1" t="s">
        <v>11251</v>
      </c>
      <c r="C11252" s="3">
        <v>8</v>
      </c>
    </row>
    <row r="11253" spans="1:3" x14ac:dyDescent="0.25">
      <c r="A11253" s="1" t="s">
        <v>11252</v>
      </c>
      <c r="C11253" s="3">
        <v>8</v>
      </c>
    </row>
    <row r="11254" spans="1:3" x14ac:dyDescent="0.25">
      <c r="A11254" s="1" t="s">
        <v>11253</v>
      </c>
      <c r="C11254" s="3">
        <v>8</v>
      </c>
    </row>
    <row r="11255" spans="1:3" x14ac:dyDescent="0.25">
      <c r="A11255" s="1" t="s">
        <v>11254</v>
      </c>
      <c r="C11255" s="3">
        <v>8</v>
      </c>
    </row>
    <row r="11256" spans="1:3" x14ac:dyDescent="0.25">
      <c r="A11256" s="1" t="s">
        <v>11255</v>
      </c>
      <c r="C11256" s="3">
        <v>8</v>
      </c>
    </row>
    <row r="11257" spans="1:3" x14ac:dyDescent="0.25">
      <c r="A11257" s="1" t="s">
        <v>11256</v>
      </c>
      <c r="C11257" s="3">
        <v>8</v>
      </c>
    </row>
    <row r="11258" spans="1:3" x14ac:dyDescent="0.25">
      <c r="A11258" s="1" t="s">
        <v>11257</v>
      </c>
      <c r="C11258" s="3">
        <v>8</v>
      </c>
    </row>
    <row r="11259" spans="1:3" x14ac:dyDescent="0.25">
      <c r="A11259" s="1" t="s">
        <v>11258</v>
      </c>
      <c r="C11259" s="3">
        <v>8</v>
      </c>
    </row>
    <row r="11260" spans="1:3" x14ac:dyDescent="0.25">
      <c r="A11260" s="1" t="s">
        <v>11259</v>
      </c>
      <c r="C11260" s="3">
        <v>8</v>
      </c>
    </row>
    <row r="11261" spans="1:3" x14ac:dyDescent="0.25">
      <c r="A11261" s="1" t="s">
        <v>11260</v>
      </c>
      <c r="C11261" s="3">
        <v>8</v>
      </c>
    </row>
    <row r="11262" spans="1:3" x14ac:dyDescent="0.25">
      <c r="A11262" s="1" t="s">
        <v>11261</v>
      </c>
      <c r="C11262" s="3">
        <v>8</v>
      </c>
    </row>
    <row r="11263" spans="1:3" x14ac:dyDescent="0.25">
      <c r="A11263" s="1" t="s">
        <v>11262</v>
      </c>
      <c r="C11263" s="3">
        <v>8</v>
      </c>
    </row>
    <row r="11264" spans="1:3" x14ac:dyDescent="0.25">
      <c r="A11264" s="1" t="s">
        <v>11263</v>
      </c>
      <c r="C11264" s="3">
        <v>8</v>
      </c>
    </row>
    <row r="11265" spans="1:3" x14ac:dyDescent="0.25">
      <c r="A11265" s="1" t="s">
        <v>11264</v>
      </c>
      <c r="C11265" s="3">
        <v>8</v>
      </c>
    </row>
    <row r="11266" spans="1:3" x14ac:dyDescent="0.25">
      <c r="A11266" s="1" t="s">
        <v>11265</v>
      </c>
      <c r="C11266" s="3">
        <v>8</v>
      </c>
    </row>
    <row r="11267" spans="1:3" x14ac:dyDescent="0.25">
      <c r="A11267" s="1" t="s">
        <v>11266</v>
      </c>
      <c r="C11267" s="3">
        <v>8</v>
      </c>
    </row>
    <row r="11268" spans="1:3" x14ac:dyDescent="0.25">
      <c r="A11268" s="1" t="s">
        <v>11267</v>
      </c>
      <c r="C11268" s="3">
        <v>8</v>
      </c>
    </row>
    <row r="11269" spans="1:3" x14ac:dyDescent="0.25">
      <c r="A11269" s="1" t="s">
        <v>11268</v>
      </c>
      <c r="C11269" s="3">
        <v>8</v>
      </c>
    </row>
    <row r="11270" spans="1:3" x14ac:dyDescent="0.25">
      <c r="A11270" s="1" t="s">
        <v>11269</v>
      </c>
      <c r="C11270" s="3">
        <v>8</v>
      </c>
    </row>
    <row r="11271" spans="1:3" x14ac:dyDescent="0.25">
      <c r="A11271" s="1" t="s">
        <v>11270</v>
      </c>
      <c r="C11271" s="3">
        <v>8</v>
      </c>
    </row>
    <row r="11272" spans="1:3" x14ac:dyDescent="0.25">
      <c r="A11272" s="1" t="s">
        <v>11271</v>
      </c>
      <c r="C11272" s="3">
        <v>8</v>
      </c>
    </row>
    <row r="11273" spans="1:3" x14ac:dyDescent="0.25">
      <c r="A11273" s="1" t="s">
        <v>11272</v>
      </c>
      <c r="C11273" s="3">
        <v>8</v>
      </c>
    </row>
    <row r="11274" spans="1:3" x14ac:dyDescent="0.25">
      <c r="A11274" s="1" t="s">
        <v>11273</v>
      </c>
      <c r="C11274" s="3">
        <v>8</v>
      </c>
    </row>
    <row r="11275" spans="1:3" x14ac:dyDescent="0.25">
      <c r="A11275" s="1" t="s">
        <v>11274</v>
      </c>
      <c r="C11275" s="3">
        <v>8</v>
      </c>
    </row>
    <row r="11276" spans="1:3" x14ac:dyDescent="0.25">
      <c r="A11276" s="1" t="s">
        <v>11275</v>
      </c>
      <c r="C11276" s="3">
        <v>8</v>
      </c>
    </row>
    <row r="11277" spans="1:3" x14ac:dyDescent="0.25">
      <c r="A11277" s="1" t="s">
        <v>11276</v>
      </c>
      <c r="C11277" s="3">
        <v>8</v>
      </c>
    </row>
    <row r="11278" spans="1:3" x14ac:dyDescent="0.25">
      <c r="A11278" s="1" t="s">
        <v>11277</v>
      </c>
      <c r="C11278" s="3">
        <v>8</v>
      </c>
    </row>
    <row r="11279" spans="1:3" x14ac:dyDescent="0.25">
      <c r="A11279" s="1" t="s">
        <v>11278</v>
      </c>
      <c r="C11279" s="3">
        <v>8</v>
      </c>
    </row>
    <row r="11280" spans="1:3" x14ac:dyDescent="0.25">
      <c r="A11280" s="1" t="s">
        <v>11279</v>
      </c>
      <c r="C11280" s="3">
        <v>8</v>
      </c>
    </row>
    <row r="11281" spans="1:3" x14ac:dyDescent="0.25">
      <c r="A11281" s="1" t="s">
        <v>11280</v>
      </c>
      <c r="C11281" s="3">
        <v>8</v>
      </c>
    </row>
    <row r="11282" spans="1:3" x14ac:dyDescent="0.25">
      <c r="A11282" s="1" t="s">
        <v>11281</v>
      </c>
      <c r="C11282" s="3">
        <v>8</v>
      </c>
    </row>
    <row r="11283" spans="1:3" x14ac:dyDescent="0.25">
      <c r="A11283" s="1" t="s">
        <v>11282</v>
      </c>
      <c r="C11283" s="3">
        <v>8</v>
      </c>
    </row>
    <row r="11284" spans="1:3" x14ac:dyDescent="0.25">
      <c r="A11284" s="1" t="s">
        <v>11283</v>
      </c>
      <c r="C11284" s="3">
        <v>8</v>
      </c>
    </row>
    <row r="11285" spans="1:3" x14ac:dyDescent="0.25">
      <c r="A11285" s="1" t="s">
        <v>11284</v>
      </c>
      <c r="C11285" s="3">
        <v>8</v>
      </c>
    </row>
    <row r="11286" spans="1:3" x14ac:dyDescent="0.25">
      <c r="A11286" s="1" t="s">
        <v>11285</v>
      </c>
      <c r="C11286" s="3">
        <v>8</v>
      </c>
    </row>
    <row r="11287" spans="1:3" x14ac:dyDescent="0.25">
      <c r="A11287" s="1" t="s">
        <v>11286</v>
      </c>
      <c r="C11287" s="3">
        <v>8</v>
      </c>
    </row>
    <row r="11288" spans="1:3" x14ac:dyDescent="0.25">
      <c r="A11288" s="1" t="s">
        <v>11287</v>
      </c>
      <c r="C11288" s="3">
        <v>8</v>
      </c>
    </row>
    <row r="11289" spans="1:3" x14ac:dyDescent="0.25">
      <c r="A11289" s="1" t="s">
        <v>11288</v>
      </c>
      <c r="C11289" s="3">
        <v>8</v>
      </c>
    </row>
    <row r="11290" spans="1:3" x14ac:dyDescent="0.25">
      <c r="A11290" s="1" t="s">
        <v>11289</v>
      </c>
      <c r="C11290" s="3">
        <v>8</v>
      </c>
    </row>
    <row r="11291" spans="1:3" x14ac:dyDescent="0.25">
      <c r="A11291" s="1" t="s">
        <v>11290</v>
      </c>
      <c r="C11291" s="3">
        <v>8</v>
      </c>
    </row>
    <row r="11292" spans="1:3" x14ac:dyDescent="0.25">
      <c r="A11292" s="1" t="s">
        <v>11291</v>
      </c>
      <c r="C11292" s="3">
        <v>8</v>
      </c>
    </row>
    <row r="11293" spans="1:3" x14ac:dyDescent="0.25">
      <c r="A11293" s="1" t="s">
        <v>11292</v>
      </c>
      <c r="C11293" s="3">
        <v>8</v>
      </c>
    </row>
    <row r="11294" spans="1:3" x14ac:dyDescent="0.25">
      <c r="A11294" s="1" t="s">
        <v>11293</v>
      </c>
      <c r="C11294" s="3">
        <v>8</v>
      </c>
    </row>
    <row r="11295" spans="1:3" x14ac:dyDescent="0.25">
      <c r="A11295" s="1" t="s">
        <v>11294</v>
      </c>
      <c r="C11295" s="3">
        <v>8</v>
      </c>
    </row>
    <row r="11296" spans="1:3" x14ac:dyDescent="0.25">
      <c r="A11296" s="1" t="s">
        <v>11295</v>
      </c>
      <c r="C11296" s="3">
        <v>8</v>
      </c>
    </row>
    <row r="11297" spans="1:3" x14ac:dyDescent="0.25">
      <c r="A11297" s="1" t="s">
        <v>11296</v>
      </c>
      <c r="C11297" s="3">
        <v>8</v>
      </c>
    </row>
    <row r="11298" spans="1:3" x14ac:dyDescent="0.25">
      <c r="A11298" s="1" t="s">
        <v>11297</v>
      </c>
      <c r="C11298" s="3">
        <v>8</v>
      </c>
    </row>
    <row r="11299" spans="1:3" x14ac:dyDescent="0.25">
      <c r="A11299" s="1" t="s">
        <v>11298</v>
      </c>
      <c r="C11299" s="3">
        <v>8</v>
      </c>
    </row>
    <row r="11300" spans="1:3" x14ac:dyDescent="0.25">
      <c r="A11300" s="1" t="s">
        <v>11299</v>
      </c>
      <c r="C11300" s="3">
        <v>8</v>
      </c>
    </row>
    <row r="11301" spans="1:3" x14ac:dyDescent="0.25">
      <c r="A11301" s="1" t="s">
        <v>11300</v>
      </c>
      <c r="C11301" s="3">
        <v>8</v>
      </c>
    </row>
    <row r="11302" spans="1:3" x14ac:dyDescent="0.25">
      <c r="A11302" s="1" t="s">
        <v>11301</v>
      </c>
      <c r="C11302" s="3">
        <v>8</v>
      </c>
    </row>
    <row r="11303" spans="1:3" x14ac:dyDescent="0.25">
      <c r="A11303" s="1" t="s">
        <v>11302</v>
      </c>
      <c r="C11303" s="3">
        <v>8</v>
      </c>
    </row>
    <row r="11304" spans="1:3" x14ac:dyDescent="0.25">
      <c r="A11304" s="1" t="s">
        <v>11303</v>
      </c>
      <c r="C11304" s="3">
        <v>8</v>
      </c>
    </row>
    <row r="11305" spans="1:3" x14ac:dyDescent="0.25">
      <c r="A11305" s="1" t="s">
        <v>11304</v>
      </c>
      <c r="C11305" s="3">
        <v>8</v>
      </c>
    </row>
    <row r="11306" spans="1:3" x14ac:dyDescent="0.25">
      <c r="A11306" s="1" t="s">
        <v>11305</v>
      </c>
      <c r="C11306" s="3">
        <v>8</v>
      </c>
    </row>
    <row r="11307" spans="1:3" x14ac:dyDescent="0.25">
      <c r="A11307" s="1" t="s">
        <v>11306</v>
      </c>
      <c r="C11307" s="3">
        <v>8</v>
      </c>
    </row>
    <row r="11308" spans="1:3" x14ac:dyDescent="0.25">
      <c r="A11308" s="1" t="s">
        <v>11307</v>
      </c>
      <c r="C11308" s="3">
        <v>8</v>
      </c>
    </row>
    <row r="11309" spans="1:3" x14ac:dyDescent="0.25">
      <c r="A11309" s="1" t="s">
        <v>11308</v>
      </c>
      <c r="C11309" s="3">
        <v>8</v>
      </c>
    </row>
    <row r="11310" spans="1:3" x14ac:dyDescent="0.25">
      <c r="A11310" s="1" t="s">
        <v>11309</v>
      </c>
      <c r="C11310" s="3">
        <v>8</v>
      </c>
    </row>
    <row r="11311" spans="1:3" x14ac:dyDescent="0.25">
      <c r="A11311" s="1" t="s">
        <v>11310</v>
      </c>
      <c r="C11311" s="3">
        <v>8</v>
      </c>
    </row>
    <row r="11312" spans="1:3" x14ac:dyDescent="0.25">
      <c r="A11312" s="1" t="s">
        <v>11311</v>
      </c>
      <c r="C11312" s="3">
        <v>8</v>
      </c>
    </row>
    <row r="11313" spans="1:3" x14ac:dyDescent="0.25">
      <c r="A11313" s="1" t="s">
        <v>11312</v>
      </c>
      <c r="C11313" s="3">
        <v>8</v>
      </c>
    </row>
    <row r="11314" spans="1:3" x14ac:dyDescent="0.25">
      <c r="A11314" s="1" t="s">
        <v>11313</v>
      </c>
      <c r="C11314" s="3">
        <v>8</v>
      </c>
    </row>
    <row r="11315" spans="1:3" x14ac:dyDescent="0.25">
      <c r="A11315" s="1" t="s">
        <v>11314</v>
      </c>
      <c r="C11315" s="3">
        <v>8</v>
      </c>
    </row>
    <row r="11316" spans="1:3" x14ac:dyDescent="0.25">
      <c r="A11316" s="1" t="s">
        <v>11315</v>
      </c>
      <c r="C11316" s="3">
        <v>8</v>
      </c>
    </row>
    <row r="11317" spans="1:3" x14ac:dyDescent="0.25">
      <c r="A11317" s="1" t="s">
        <v>11316</v>
      </c>
      <c r="C11317" s="3">
        <v>8</v>
      </c>
    </row>
    <row r="11318" spans="1:3" x14ac:dyDescent="0.25">
      <c r="A11318" s="1" t="s">
        <v>11317</v>
      </c>
      <c r="C11318" s="3">
        <v>8</v>
      </c>
    </row>
    <row r="11319" spans="1:3" x14ac:dyDescent="0.25">
      <c r="A11319" s="1" t="s">
        <v>11318</v>
      </c>
      <c r="C11319" s="3">
        <v>8</v>
      </c>
    </row>
    <row r="11320" spans="1:3" x14ac:dyDescent="0.25">
      <c r="A11320" s="1" t="s">
        <v>11319</v>
      </c>
      <c r="C11320" s="3">
        <v>8</v>
      </c>
    </row>
    <row r="11321" spans="1:3" x14ac:dyDescent="0.25">
      <c r="A11321" s="1" t="s">
        <v>11320</v>
      </c>
      <c r="C11321" s="3">
        <v>8</v>
      </c>
    </row>
    <row r="11322" spans="1:3" x14ac:dyDescent="0.25">
      <c r="A11322" s="1" t="s">
        <v>11321</v>
      </c>
      <c r="C11322" s="3">
        <v>8</v>
      </c>
    </row>
    <row r="11323" spans="1:3" x14ac:dyDescent="0.25">
      <c r="A11323" s="1" t="s">
        <v>11322</v>
      </c>
      <c r="C11323" s="3">
        <v>8</v>
      </c>
    </row>
    <row r="11324" spans="1:3" x14ac:dyDescent="0.25">
      <c r="A11324" s="1" t="s">
        <v>11323</v>
      </c>
      <c r="C11324" s="3">
        <v>8</v>
      </c>
    </row>
    <row r="11325" spans="1:3" x14ac:dyDescent="0.25">
      <c r="A11325" s="1" t="s">
        <v>11324</v>
      </c>
      <c r="C11325" s="3">
        <v>8</v>
      </c>
    </row>
    <row r="11326" spans="1:3" x14ac:dyDescent="0.25">
      <c r="A11326" s="1" t="s">
        <v>11325</v>
      </c>
      <c r="C11326" s="3">
        <v>8</v>
      </c>
    </row>
    <row r="11327" spans="1:3" x14ac:dyDescent="0.25">
      <c r="A11327" s="1" t="s">
        <v>11326</v>
      </c>
      <c r="C11327" s="3">
        <v>8</v>
      </c>
    </row>
    <row r="11328" spans="1:3" x14ac:dyDescent="0.25">
      <c r="A11328" s="1" t="s">
        <v>11327</v>
      </c>
      <c r="C11328" s="3">
        <v>8</v>
      </c>
    </row>
    <row r="11329" spans="1:3" x14ac:dyDescent="0.25">
      <c r="A11329" s="1" t="s">
        <v>11328</v>
      </c>
      <c r="C11329" s="3">
        <v>8</v>
      </c>
    </row>
    <row r="11330" spans="1:3" x14ac:dyDescent="0.25">
      <c r="A11330" s="1" t="s">
        <v>11329</v>
      </c>
      <c r="C11330" s="3">
        <v>8</v>
      </c>
    </row>
    <row r="11331" spans="1:3" x14ac:dyDescent="0.25">
      <c r="A11331" s="1" t="s">
        <v>11330</v>
      </c>
      <c r="C11331" s="3">
        <v>8</v>
      </c>
    </row>
    <row r="11332" spans="1:3" x14ac:dyDescent="0.25">
      <c r="A11332" s="1" t="s">
        <v>11331</v>
      </c>
      <c r="C11332" s="3">
        <v>8</v>
      </c>
    </row>
    <row r="11333" spans="1:3" x14ac:dyDescent="0.25">
      <c r="A11333" s="1" t="s">
        <v>11332</v>
      </c>
      <c r="C11333" s="3">
        <v>8</v>
      </c>
    </row>
    <row r="11334" spans="1:3" x14ac:dyDescent="0.25">
      <c r="A11334" s="1" t="s">
        <v>11333</v>
      </c>
      <c r="C11334" s="3">
        <v>8</v>
      </c>
    </row>
    <row r="11335" spans="1:3" x14ac:dyDescent="0.25">
      <c r="A11335" s="1" t="s">
        <v>11334</v>
      </c>
      <c r="C11335" s="3">
        <v>8</v>
      </c>
    </row>
    <row r="11336" spans="1:3" x14ac:dyDescent="0.25">
      <c r="A11336" s="1" t="s">
        <v>11335</v>
      </c>
      <c r="C11336" s="3">
        <v>8</v>
      </c>
    </row>
    <row r="11337" spans="1:3" x14ac:dyDescent="0.25">
      <c r="A11337" s="1" t="s">
        <v>11336</v>
      </c>
      <c r="C11337" s="3">
        <v>8</v>
      </c>
    </row>
    <row r="11338" spans="1:3" x14ac:dyDescent="0.25">
      <c r="A11338" s="1" t="s">
        <v>11337</v>
      </c>
      <c r="C11338" s="3">
        <v>8</v>
      </c>
    </row>
    <row r="11339" spans="1:3" x14ac:dyDescent="0.25">
      <c r="A11339" s="1" t="s">
        <v>11338</v>
      </c>
      <c r="C11339" s="3">
        <v>8</v>
      </c>
    </row>
    <row r="11340" spans="1:3" x14ac:dyDescent="0.25">
      <c r="A11340" s="1" t="s">
        <v>11339</v>
      </c>
      <c r="C11340" s="3">
        <v>8</v>
      </c>
    </row>
    <row r="11341" spans="1:3" x14ac:dyDescent="0.25">
      <c r="A11341" s="1" t="s">
        <v>11340</v>
      </c>
      <c r="C11341" s="3">
        <v>8</v>
      </c>
    </row>
    <row r="11342" spans="1:3" x14ac:dyDescent="0.25">
      <c r="A11342" s="1" t="s">
        <v>11341</v>
      </c>
      <c r="C11342" s="3">
        <v>8</v>
      </c>
    </row>
    <row r="11343" spans="1:3" x14ac:dyDescent="0.25">
      <c r="A11343" s="1" t="s">
        <v>11342</v>
      </c>
      <c r="C11343" s="3">
        <v>8</v>
      </c>
    </row>
    <row r="11344" spans="1:3" x14ac:dyDescent="0.25">
      <c r="A11344" s="1" t="s">
        <v>11343</v>
      </c>
      <c r="C11344" s="3">
        <v>8</v>
      </c>
    </row>
    <row r="11345" spans="1:3" x14ac:dyDescent="0.25">
      <c r="A11345" s="1" t="s">
        <v>11344</v>
      </c>
      <c r="C11345" s="3">
        <v>8</v>
      </c>
    </row>
    <row r="11346" spans="1:3" x14ac:dyDescent="0.25">
      <c r="A11346" s="1" t="s">
        <v>11345</v>
      </c>
      <c r="C11346" s="3">
        <v>8</v>
      </c>
    </row>
    <row r="11347" spans="1:3" x14ac:dyDescent="0.25">
      <c r="A11347" s="1" t="s">
        <v>11346</v>
      </c>
      <c r="C11347" s="3">
        <v>8</v>
      </c>
    </row>
    <row r="11348" spans="1:3" x14ac:dyDescent="0.25">
      <c r="A11348" s="1" t="s">
        <v>11347</v>
      </c>
      <c r="C11348" s="3">
        <v>8</v>
      </c>
    </row>
    <row r="11349" spans="1:3" x14ac:dyDescent="0.25">
      <c r="A11349" s="1" t="s">
        <v>11348</v>
      </c>
      <c r="C11349" s="3">
        <v>8</v>
      </c>
    </row>
    <row r="11350" spans="1:3" x14ac:dyDescent="0.25">
      <c r="A11350" s="1" t="s">
        <v>11349</v>
      </c>
      <c r="C11350" s="3">
        <v>8</v>
      </c>
    </row>
    <row r="11351" spans="1:3" x14ac:dyDescent="0.25">
      <c r="A11351" s="1" t="s">
        <v>11350</v>
      </c>
      <c r="C11351" s="3">
        <v>8</v>
      </c>
    </row>
    <row r="11352" spans="1:3" x14ac:dyDescent="0.25">
      <c r="A11352" s="1" t="s">
        <v>11351</v>
      </c>
      <c r="C11352" s="3">
        <v>8</v>
      </c>
    </row>
    <row r="11353" spans="1:3" x14ac:dyDescent="0.25">
      <c r="A11353" s="1" t="s">
        <v>11352</v>
      </c>
      <c r="C11353" s="3">
        <v>8</v>
      </c>
    </row>
    <row r="11354" spans="1:3" x14ac:dyDescent="0.25">
      <c r="A11354" s="1" t="s">
        <v>11353</v>
      </c>
      <c r="C11354" s="3">
        <v>8</v>
      </c>
    </row>
    <row r="11355" spans="1:3" x14ac:dyDescent="0.25">
      <c r="A11355" s="1" t="s">
        <v>11354</v>
      </c>
      <c r="C11355" s="3">
        <v>8</v>
      </c>
    </row>
    <row r="11356" spans="1:3" x14ac:dyDescent="0.25">
      <c r="A11356" s="1" t="s">
        <v>11355</v>
      </c>
      <c r="C11356" s="3">
        <v>8</v>
      </c>
    </row>
    <row r="11357" spans="1:3" x14ac:dyDescent="0.25">
      <c r="A11357" s="1" t="s">
        <v>11356</v>
      </c>
      <c r="C11357" s="3">
        <v>8</v>
      </c>
    </row>
    <row r="11358" spans="1:3" x14ac:dyDescent="0.25">
      <c r="A11358" s="1" t="s">
        <v>11357</v>
      </c>
      <c r="C11358" s="3">
        <v>8</v>
      </c>
    </row>
    <row r="11359" spans="1:3" x14ac:dyDescent="0.25">
      <c r="A11359" s="1" t="s">
        <v>11358</v>
      </c>
      <c r="C11359" s="3">
        <v>8</v>
      </c>
    </row>
    <row r="11360" spans="1:3" x14ac:dyDescent="0.25">
      <c r="A11360" s="1" t="s">
        <v>11359</v>
      </c>
      <c r="C11360" s="3">
        <v>8</v>
      </c>
    </row>
    <row r="11361" spans="1:3" x14ac:dyDescent="0.25">
      <c r="A11361" s="1" t="s">
        <v>11360</v>
      </c>
      <c r="C11361" s="3">
        <v>8</v>
      </c>
    </row>
    <row r="11362" spans="1:3" x14ac:dyDescent="0.25">
      <c r="A11362" s="1" t="s">
        <v>11361</v>
      </c>
      <c r="C11362" s="3">
        <v>8</v>
      </c>
    </row>
    <row r="11363" spans="1:3" x14ac:dyDescent="0.25">
      <c r="A11363" s="1" t="s">
        <v>11362</v>
      </c>
      <c r="C11363" s="3">
        <v>8</v>
      </c>
    </row>
    <row r="11364" spans="1:3" x14ac:dyDescent="0.25">
      <c r="A11364" s="1" t="s">
        <v>11363</v>
      </c>
      <c r="C11364" s="3">
        <v>8</v>
      </c>
    </row>
    <row r="11365" spans="1:3" x14ac:dyDescent="0.25">
      <c r="A11365" s="1" t="s">
        <v>11364</v>
      </c>
      <c r="C11365" s="3">
        <v>8</v>
      </c>
    </row>
    <row r="11366" spans="1:3" x14ac:dyDescent="0.25">
      <c r="A11366" s="1" t="s">
        <v>11365</v>
      </c>
      <c r="C11366" s="3">
        <v>8</v>
      </c>
    </row>
    <row r="11367" spans="1:3" x14ac:dyDescent="0.25">
      <c r="A11367" s="1" t="s">
        <v>11366</v>
      </c>
      <c r="C11367" s="3">
        <v>8</v>
      </c>
    </row>
    <row r="11368" spans="1:3" x14ac:dyDescent="0.25">
      <c r="A11368" s="1" t="s">
        <v>11367</v>
      </c>
      <c r="C11368" s="3">
        <v>8</v>
      </c>
    </row>
    <row r="11369" spans="1:3" x14ac:dyDescent="0.25">
      <c r="A11369" s="1" t="s">
        <v>11368</v>
      </c>
      <c r="C11369" s="3">
        <v>8</v>
      </c>
    </row>
    <row r="11370" spans="1:3" x14ac:dyDescent="0.25">
      <c r="A11370" s="1" t="s">
        <v>11369</v>
      </c>
      <c r="C11370" s="3">
        <v>8</v>
      </c>
    </row>
    <row r="11371" spans="1:3" x14ac:dyDescent="0.25">
      <c r="A11371" s="1" t="s">
        <v>11370</v>
      </c>
      <c r="C11371" s="3">
        <v>8</v>
      </c>
    </row>
    <row r="11372" spans="1:3" x14ac:dyDescent="0.25">
      <c r="A11372" s="1" t="s">
        <v>11371</v>
      </c>
      <c r="C11372" s="3">
        <v>8</v>
      </c>
    </row>
    <row r="11373" spans="1:3" x14ac:dyDescent="0.25">
      <c r="A11373" s="1" t="s">
        <v>11372</v>
      </c>
      <c r="C11373" s="3">
        <v>8</v>
      </c>
    </row>
    <row r="11374" spans="1:3" x14ac:dyDescent="0.25">
      <c r="A11374" s="1" t="s">
        <v>11373</v>
      </c>
      <c r="C11374" s="3">
        <v>8</v>
      </c>
    </row>
    <row r="11375" spans="1:3" x14ac:dyDescent="0.25">
      <c r="A11375" s="1" t="s">
        <v>11374</v>
      </c>
      <c r="C11375" s="3">
        <v>8</v>
      </c>
    </row>
    <row r="11376" spans="1:3" x14ac:dyDescent="0.25">
      <c r="A11376" s="1" t="s">
        <v>11375</v>
      </c>
      <c r="C11376" s="3">
        <v>8</v>
      </c>
    </row>
    <row r="11377" spans="1:3" x14ac:dyDescent="0.25">
      <c r="A11377" s="1" t="s">
        <v>11376</v>
      </c>
      <c r="C11377" s="3">
        <v>8</v>
      </c>
    </row>
    <row r="11378" spans="1:3" x14ac:dyDescent="0.25">
      <c r="A11378" s="1" t="s">
        <v>11377</v>
      </c>
      <c r="C11378" s="3">
        <v>8</v>
      </c>
    </row>
    <row r="11379" spans="1:3" x14ac:dyDescent="0.25">
      <c r="A11379" s="1" t="s">
        <v>11378</v>
      </c>
      <c r="C11379" s="3">
        <v>8</v>
      </c>
    </row>
    <row r="11380" spans="1:3" x14ac:dyDescent="0.25">
      <c r="A11380" s="1" t="s">
        <v>11379</v>
      </c>
      <c r="C11380" s="3">
        <v>8</v>
      </c>
    </row>
    <row r="11381" spans="1:3" x14ac:dyDescent="0.25">
      <c r="A11381" s="1" t="s">
        <v>11380</v>
      </c>
      <c r="C11381" s="3">
        <v>8</v>
      </c>
    </row>
    <row r="11382" spans="1:3" x14ac:dyDescent="0.25">
      <c r="A11382" s="1" t="s">
        <v>11381</v>
      </c>
      <c r="C11382" s="3">
        <v>8</v>
      </c>
    </row>
    <row r="11383" spans="1:3" x14ac:dyDescent="0.25">
      <c r="A11383" s="1" t="s">
        <v>11382</v>
      </c>
      <c r="C11383" s="3">
        <v>8</v>
      </c>
    </row>
    <row r="11384" spans="1:3" x14ac:dyDescent="0.25">
      <c r="A11384" s="1" t="s">
        <v>11383</v>
      </c>
      <c r="C11384" s="3">
        <v>8</v>
      </c>
    </row>
    <row r="11385" spans="1:3" x14ac:dyDescent="0.25">
      <c r="A11385" s="1" t="s">
        <v>11384</v>
      </c>
      <c r="C11385" s="3">
        <v>8</v>
      </c>
    </row>
    <row r="11386" spans="1:3" x14ac:dyDescent="0.25">
      <c r="A11386" s="1" t="s">
        <v>11385</v>
      </c>
      <c r="C11386" s="3">
        <v>8</v>
      </c>
    </row>
    <row r="11387" spans="1:3" x14ac:dyDescent="0.25">
      <c r="A11387" s="1" t="s">
        <v>11386</v>
      </c>
      <c r="C11387" s="3">
        <v>8</v>
      </c>
    </row>
    <row r="11388" spans="1:3" x14ac:dyDescent="0.25">
      <c r="A11388" s="1" t="s">
        <v>11387</v>
      </c>
      <c r="C11388" s="3">
        <v>8</v>
      </c>
    </row>
    <row r="11389" spans="1:3" x14ac:dyDescent="0.25">
      <c r="A11389" s="1" t="s">
        <v>11388</v>
      </c>
      <c r="C11389" s="3">
        <v>8</v>
      </c>
    </row>
    <row r="11390" spans="1:3" x14ac:dyDescent="0.25">
      <c r="A11390" s="1" t="s">
        <v>11389</v>
      </c>
      <c r="C11390" s="3">
        <v>8</v>
      </c>
    </row>
    <row r="11391" spans="1:3" x14ac:dyDescent="0.25">
      <c r="A11391" s="1" t="s">
        <v>11390</v>
      </c>
      <c r="C11391" s="3">
        <v>8</v>
      </c>
    </row>
    <row r="11392" spans="1:3" x14ac:dyDescent="0.25">
      <c r="A11392" s="1" t="s">
        <v>11391</v>
      </c>
      <c r="C11392" s="3">
        <v>8</v>
      </c>
    </row>
    <row r="11393" spans="1:3" x14ac:dyDescent="0.25">
      <c r="A11393" s="1" t="s">
        <v>11392</v>
      </c>
      <c r="C11393" s="3">
        <v>8</v>
      </c>
    </row>
    <row r="11394" spans="1:3" x14ac:dyDescent="0.25">
      <c r="A11394" s="1" t="s">
        <v>11393</v>
      </c>
      <c r="C11394" s="3">
        <v>8</v>
      </c>
    </row>
    <row r="11395" spans="1:3" x14ac:dyDescent="0.25">
      <c r="A11395" s="1" t="s">
        <v>11394</v>
      </c>
      <c r="C11395" s="3">
        <v>8</v>
      </c>
    </row>
    <row r="11396" spans="1:3" x14ac:dyDescent="0.25">
      <c r="A11396" s="1" t="s">
        <v>11395</v>
      </c>
      <c r="C11396" s="3">
        <v>8</v>
      </c>
    </row>
    <row r="11397" spans="1:3" x14ac:dyDescent="0.25">
      <c r="A11397" s="1" t="s">
        <v>11396</v>
      </c>
      <c r="C11397" s="3">
        <v>8</v>
      </c>
    </row>
    <row r="11398" spans="1:3" x14ac:dyDescent="0.25">
      <c r="A11398" s="1" t="s">
        <v>11397</v>
      </c>
      <c r="C11398" s="3">
        <v>8</v>
      </c>
    </row>
    <row r="11399" spans="1:3" x14ac:dyDescent="0.25">
      <c r="A11399" s="1" t="s">
        <v>11398</v>
      </c>
      <c r="C11399" s="3">
        <v>8</v>
      </c>
    </row>
    <row r="11400" spans="1:3" x14ac:dyDescent="0.25">
      <c r="A11400" s="1" t="s">
        <v>11399</v>
      </c>
      <c r="C11400" s="3">
        <v>8</v>
      </c>
    </row>
    <row r="11401" spans="1:3" x14ac:dyDescent="0.25">
      <c r="A11401" s="1" t="s">
        <v>11400</v>
      </c>
      <c r="C11401" s="3">
        <v>8</v>
      </c>
    </row>
    <row r="11402" spans="1:3" x14ac:dyDescent="0.25">
      <c r="A11402" s="1" t="s">
        <v>11401</v>
      </c>
      <c r="C11402" s="3">
        <v>8</v>
      </c>
    </row>
    <row r="11403" spans="1:3" x14ac:dyDescent="0.25">
      <c r="A11403" s="1" t="s">
        <v>11402</v>
      </c>
      <c r="C11403" s="3">
        <v>8</v>
      </c>
    </row>
    <row r="11404" spans="1:3" x14ac:dyDescent="0.25">
      <c r="A11404" s="1" t="s">
        <v>11403</v>
      </c>
      <c r="C11404" s="3">
        <v>8</v>
      </c>
    </row>
    <row r="11405" spans="1:3" x14ac:dyDescent="0.25">
      <c r="A11405" s="1" t="s">
        <v>11404</v>
      </c>
      <c r="C11405" s="3">
        <v>8</v>
      </c>
    </row>
    <row r="11406" spans="1:3" x14ac:dyDescent="0.25">
      <c r="A11406" s="1" t="s">
        <v>11405</v>
      </c>
      <c r="C11406" s="3">
        <v>8</v>
      </c>
    </row>
    <row r="11407" spans="1:3" x14ac:dyDescent="0.25">
      <c r="A11407" s="1" t="s">
        <v>11406</v>
      </c>
      <c r="C11407" s="3">
        <v>8</v>
      </c>
    </row>
    <row r="11408" spans="1:3" x14ac:dyDescent="0.25">
      <c r="A11408" s="1" t="s">
        <v>11407</v>
      </c>
      <c r="C11408" s="3">
        <v>8</v>
      </c>
    </row>
    <row r="11409" spans="1:3" x14ac:dyDescent="0.25">
      <c r="A11409" s="1" t="s">
        <v>11408</v>
      </c>
      <c r="C11409" s="3">
        <v>8</v>
      </c>
    </row>
    <row r="11410" spans="1:3" x14ac:dyDescent="0.25">
      <c r="A11410" s="1" t="s">
        <v>11409</v>
      </c>
      <c r="C11410" s="3">
        <v>8</v>
      </c>
    </row>
    <row r="11411" spans="1:3" x14ac:dyDescent="0.25">
      <c r="A11411" s="1" t="s">
        <v>11410</v>
      </c>
      <c r="C11411" s="3">
        <v>8</v>
      </c>
    </row>
    <row r="11412" spans="1:3" x14ac:dyDescent="0.25">
      <c r="A11412" s="1" t="s">
        <v>11411</v>
      </c>
      <c r="C11412" s="3">
        <v>8</v>
      </c>
    </row>
    <row r="11413" spans="1:3" x14ac:dyDescent="0.25">
      <c r="A11413" s="1" t="s">
        <v>11412</v>
      </c>
      <c r="C11413" s="3">
        <v>8</v>
      </c>
    </row>
    <row r="11414" spans="1:3" x14ac:dyDescent="0.25">
      <c r="A11414" s="1" t="s">
        <v>11413</v>
      </c>
      <c r="C11414" s="3">
        <v>8</v>
      </c>
    </row>
    <row r="11415" spans="1:3" x14ac:dyDescent="0.25">
      <c r="A11415" s="1" t="s">
        <v>11414</v>
      </c>
      <c r="C11415" s="3">
        <v>8</v>
      </c>
    </row>
    <row r="11416" spans="1:3" x14ac:dyDescent="0.25">
      <c r="A11416" s="1" t="s">
        <v>11415</v>
      </c>
      <c r="C11416" s="3">
        <v>8</v>
      </c>
    </row>
    <row r="11417" spans="1:3" x14ac:dyDescent="0.25">
      <c r="A11417" s="1" t="s">
        <v>11416</v>
      </c>
      <c r="C11417" s="3">
        <v>8</v>
      </c>
    </row>
    <row r="11418" spans="1:3" x14ac:dyDescent="0.25">
      <c r="A11418" s="1" t="s">
        <v>11417</v>
      </c>
      <c r="C11418" s="3">
        <v>8</v>
      </c>
    </row>
    <row r="11419" spans="1:3" x14ac:dyDescent="0.25">
      <c r="A11419" s="1" t="s">
        <v>11418</v>
      </c>
      <c r="C11419" s="3">
        <v>8</v>
      </c>
    </row>
    <row r="11420" spans="1:3" x14ac:dyDescent="0.25">
      <c r="A11420" s="1" t="s">
        <v>11419</v>
      </c>
      <c r="C11420" s="3">
        <v>8</v>
      </c>
    </row>
    <row r="11421" spans="1:3" x14ac:dyDescent="0.25">
      <c r="A11421" s="1" t="s">
        <v>11420</v>
      </c>
      <c r="C11421" s="3">
        <v>8</v>
      </c>
    </row>
    <row r="11422" spans="1:3" x14ac:dyDescent="0.25">
      <c r="A11422" s="1" t="s">
        <v>11421</v>
      </c>
      <c r="C11422" s="3">
        <v>8</v>
      </c>
    </row>
    <row r="11423" spans="1:3" x14ac:dyDescent="0.25">
      <c r="A11423" s="1" t="s">
        <v>11422</v>
      </c>
      <c r="C11423" s="3">
        <v>8</v>
      </c>
    </row>
    <row r="11424" spans="1:3" x14ac:dyDescent="0.25">
      <c r="A11424" s="1" t="s">
        <v>11423</v>
      </c>
      <c r="C11424" s="3">
        <v>8</v>
      </c>
    </row>
    <row r="11425" spans="1:3" x14ac:dyDescent="0.25">
      <c r="A11425" s="1" t="s">
        <v>11424</v>
      </c>
      <c r="C11425" s="3">
        <v>8</v>
      </c>
    </row>
    <row r="11426" spans="1:3" x14ac:dyDescent="0.25">
      <c r="A11426" s="1" t="s">
        <v>11425</v>
      </c>
      <c r="C11426" s="3">
        <v>8</v>
      </c>
    </row>
    <row r="11427" spans="1:3" x14ac:dyDescent="0.25">
      <c r="A11427" s="1" t="s">
        <v>11426</v>
      </c>
      <c r="C11427" s="3">
        <v>8</v>
      </c>
    </row>
    <row r="11428" spans="1:3" x14ac:dyDescent="0.25">
      <c r="A11428" s="1" t="s">
        <v>11427</v>
      </c>
      <c r="C11428" s="3">
        <v>8</v>
      </c>
    </row>
    <row r="11429" spans="1:3" x14ac:dyDescent="0.25">
      <c r="A11429" s="1" t="s">
        <v>11428</v>
      </c>
      <c r="C11429" s="3">
        <v>8</v>
      </c>
    </row>
    <row r="11430" spans="1:3" x14ac:dyDescent="0.25">
      <c r="A11430" s="1" t="s">
        <v>11429</v>
      </c>
      <c r="C11430" s="3">
        <v>8</v>
      </c>
    </row>
    <row r="11431" spans="1:3" x14ac:dyDescent="0.25">
      <c r="A11431" s="1" t="s">
        <v>11430</v>
      </c>
      <c r="C11431" s="3">
        <v>8</v>
      </c>
    </row>
    <row r="11432" spans="1:3" x14ac:dyDescent="0.25">
      <c r="A11432" s="1" t="s">
        <v>11431</v>
      </c>
      <c r="C11432" s="3">
        <v>8</v>
      </c>
    </row>
    <row r="11433" spans="1:3" x14ac:dyDescent="0.25">
      <c r="A11433" s="1" t="s">
        <v>11432</v>
      </c>
      <c r="C11433" s="3">
        <v>8</v>
      </c>
    </row>
    <row r="11434" spans="1:3" x14ac:dyDescent="0.25">
      <c r="A11434" s="1" t="s">
        <v>11433</v>
      </c>
      <c r="C11434" s="3">
        <v>8</v>
      </c>
    </row>
    <row r="11435" spans="1:3" x14ac:dyDescent="0.25">
      <c r="A11435" s="1" t="s">
        <v>11434</v>
      </c>
      <c r="C11435" s="3">
        <v>8</v>
      </c>
    </row>
    <row r="11436" spans="1:3" x14ac:dyDescent="0.25">
      <c r="A11436" s="1" t="s">
        <v>11435</v>
      </c>
      <c r="C11436" s="3">
        <v>8</v>
      </c>
    </row>
    <row r="11437" spans="1:3" x14ac:dyDescent="0.25">
      <c r="A11437" s="1" t="s">
        <v>11436</v>
      </c>
      <c r="C11437" s="3">
        <v>8</v>
      </c>
    </row>
    <row r="11438" spans="1:3" x14ac:dyDescent="0.25">
      <c r="A11438" s="1" t="s">
        <v>11437</v>
      </c>
      <c r="C11438" s="3">
        <v>8</v>
      </c>
    </row>
    <row r="11439" spans="1:3" x14ac:dyDescent="0.25">
      <c r="A11439" s="1" t="s">
        <v>11438</v>
      </c>
      <c r="C11439" s="3">
        <v>8</v>
      </c>
    </row>
    <row r="11440" spans="1:3" x14ac:dyDescent="0.25">
      <c r="A11440" s="1" t="s">
        <v>11439</v>
      </c>
      <c r="C11440" s="3">
        <v>8</v>
      </c>
    </row>
    <row r="11441" spans="1:3" x14ac:dyDescent="0.25">
      <c r="A11441" s="1" t="s">
        <v>11440</v>
      </c>
      <c r="C11441" s="3">
        <v>8</v>
      </c>
    </row>
    <row r="11442" spans="1:3" x14ac:dyDescent="0.25">
      <c r="A11442" s="1" t="s">
        <v>11441</v>
      </c>
      <c r="C11442" s="3">
        <v>8</v>
      </c>
    </row>
    <row r="11443" spans="1:3" x14ac:dyDescent="0.25">
      <c r="A11443" s="1" t="s">
        <v>11442</v>
      </c>
      <c r="C11443" s="3">
        <v>8</v>
      </c>
    </row>
    <row r="11444" spans="1:3" x14ac:dyDescent="0.25">
      <c r="A11444" s="1" t="s">
        <v>11443</v>
      </c>
      <c r="C11444" s="3">
        <v>8</v>
      </c>
    </row>
    <row r="11445" spans="1:3" x14ac:dyDescent="0.25">
      <c r="A11445" s="1" t="s">
        <v>11444</v>
      </c>
      <c r="C11445" s="3">
        <v>8</v>
      </c>
    </row>
    <row r="11446" spans="1:3" x14ac:dyDescent="0.25">
      <c r="A11446" s="1" t="s">
        <v>11445</v>
      </c>
      <c r="C11446" s="3">
        <v>8</v>
      </c>
    </row>
    <row r="11447" spans="1:3" x14ac:dyDescent="0.25">
      <c r="A11447" s="1" t="s">
        <v>11446</v>
      </c>
      <c r="C11447" s="3">
        <v>8</v>
      </c>
    </row>
    <row r="11448" spans="1:3" x14ac:dyDescent="0.25">
      <c r="A11448" s="1" t="s">
        <v>11447</v>
      </c>
      <c r="C11448" s="3">
        <v>8</v>
      </c>
    </row>
    <row r="11449" spans="1:3" x14ac:dyDescent="0.25">
      <c r="A11449" s="1" t="s">
        <v>11448</v>
      </c>
      <c r="C11449" s="3">
        <v>8</v>
      </c>
    </row>
    <row r="11450" spans="1:3" x14ac:dyDescent="0.25">
      <c r="A11450" s="1" t="s">
        <v>11449</v>
      </c>
      <c r="C11450" s="3">
        <v>8</v>
      </c>
    </row>
    <row r="11451" spans="1:3" x14ac:dyDescent="0.25">
      <c r="A11451" s="1" t="s">
        <v>11450</v>
      </c>
      <c r="C11451" s="3">
        <v>8</v>
      </c>
    </row>
    <row r="11452" spans="1:3" x14ac:dyDescent="0.25">
      <c r="A11452" s="1" t="s">
        <v>11451</v>
      </c>
      <c r="C11452" s="3">
        <v>8</v>
      </c>
    </row>
    <row r="11453" spans="1:3" x14ac:dyDescent="0.25">
      <c r="A11453" s="1" t="s">
        <v>11452</v>
      </c>
      <c r="C11453" s="3">
        <v>8</v>
      </c>
    </row>
    <row r="11454" spans="1:3" x14ac:dyDescent="0.25">
      <c r="A11454" s="1" t="s">
        <v>11453</v>
      </c>
      <c r="C11454" s="3">
        <v>8</v>
      </c>
    </row>
    <row r="11455" spans="1:3" x14ac:dyDescent="0.25">
      <c r="A11455" s="1" t="s">
        <v>11454</v>
      </c>
      <c r="C11455" s="3">
        <v>8</v>
      </c>
    </row>
    <row r="11456" spans="1:3" x14ac:dyDescent="0.25">
      <c r="A11456" s="1" t="s">
        <v>11455</v>
      </c>
      <c r="C11456" s="3">
        <v>8</v>
      </c>
    </row>
    <row r="11457" spans="1:3" x14ac:dyDescent="0.25">
      <c r="A11457" s="1" t="s">
        <v>11456</v>
      </c>
      <c r="C11457" s="3">
        <v>8</v>
      </c>
    </row>
    <row r="11458" spans="1:3" x14ac:dyDescent="0.25">
      <c r="A11458" s="1" t="s">
        <v>11457</v>
      </c>
      <c r="C11458" s="3">
        <v>8</v>
      </c>
    </row>
    <row r="11459" spans="1:3" x14ac:dyDescent="0.25">
      <c r="A11459" s="1" t="s">
        <v>11458</v>
      </c>
      <c r="C11459" s="3">
        <v>8</v>
      </c>
    </row>
    <row r="11460" spans="1:3" x14ac:dyDescent="0.25">
      <c r="A11460" s="1" t="s">
        <v>11459</v>
      </c>
      <c r="C11460" s="3">
        <v>8</v>
      </c>
    </row>
    <row r="11461" spans="1:3" x14ac:dyDescent="0.25">
      <c r="A11461" s="1" t="s">
        <v>11460</v>
      </c>
      <c r="C11461" s="3">
        <v>8</v>
      </c>
    </row>
    <row r="11462" spans="1:3" x14ac:dyDescent="0.25">
      <c r="A11462" s="1" t="s">
        <v>11461</v>
      </c>
      <c r="C11462" s="3">
        <v>8</v>
      </c>
    </row>
    <row r="11463" spans="1:3" x14ac:dyDescent="0.25">
      <c r="A11463" s="1" t="s">
        <v>11462</v>
      </c>
      <c r="C11463" s="3">
        <v>8</v>
      </c>
    </row>
    <row r="11464" spans="1:3" x14ac:dyDescent="0.25">
      <c r="A11464" s="1" t="s">
        <v>11463</v>
      </c>
      <c r="C11464" s="3">
        <v>8</v>
      </c>
    </row>
    <row r="11465" spans="1:3" x14ac:dyDescent="0.25">
      <c r="A11465" s="1" t="s">
        <v>11464</v>
      </c>
      <c r="C11465" s="3">
        <v>8</v>
      </c>
    </row>
    <row r="11466" spans="1:3" x14ac:dyDescent="0.25">
      <c r="A11466" s="1" t="s">
        <v>11465</v>
      </c>
      <c r="C11466" s="3">
        <v>8</v>
      </c>
    </row>
    <row r="11467" spans="1:3" x14ac:dyDescent="0.25">
      <c r="A11467" s="1" t="s">
        <v>11466</v>
      </c>
      <c r="C11467" s="3">
        <v>8</v>
      </c>
    </row>
    <row r="11468" spans="1:3" x14ac:dyDescent="0.25">
      <c r="A11468" s="1" t="s">
        <v>11467</v>
      </c>
      <c r="C11468" s="3">
        <v>8</v>
      </c>
    </row>
    <row r="11469" spans="1:3" x14ac:dyDescent="0.25">
      <c r="A11469" s="1" t="s">
        <v>11468</v>
      </c>
      <c r="C11469" s="3">
        <v>8</v>
      </c>
    </row>
    <row r="11470" spans="1:3" x14ac:dyDescent="0.25">
      <c r="A11470" s="1" t="s">
        <v>11469</v>
      </c>
      <c r="C11470" s="3">
        <v>8</v>
      </c>
    </row>
    <row r="11471" spans="1:3" x14ac:dyDescent="0.25">
      <c r="A11471" s="1" t="s">
        <v>11470</v>
      </c>
      <c r="C11471" s="3">
        <v>8</v>
      </c>
    </row>
    <row r="11472" spans="1:3" x14ac:dyDescent="0.25">
      <c r="A11472" s="1" t="s">
        <v>11471</v>
      </c>
      <c r="C11472" s="3">
        <v>8</v>
      </c>
    </row>
    <row r="11473" spans="1:3" x14ac:dyDescent="0.25">
      <c r="A11473" s="1" t="s">
        <v>11472</v>
      </c>
      <c r="C11473" s="3">
        <v>8</v>
      </c>
    </row>
    <row r="11474" spans="1:3" x14ac:dyDescent="0.25">
      <c r="A11474" s="1" t="s">
        <v>11473</v>
      </c>
      <c r="C11474" s="3">
        <v>8</v>
      </c>
    </row>
    <row r="11475" spans="1:3" x14ac:dyDescent="0.25">
      <c r="A11475" s="1" t="s">
        <v>11474</v>
      </c>
      <c r="C11475" s="3">
        <v>8</v>
      </c>
    </row>
    <row r="11476" spans="1:3" x14ac:dyDescent="0.25">
      <c r="A11476" s="1" t="s">
        <v>11475</v>
      </c>
      <c r="C11476" s="3">
        <v>8</v>
      </c>
    </row>
    <row r="11477" spans="1:3" x14ac:dyDescent="0.25">
      <c r="A11477" s="1" t="s">
        <v>11476</v>
      </c>
      <c r="C11477" s="3">
        <v>8</v>
      </c>
    </row>
    <row r="11478" spans="1:3" x14ac:dyDescent="0.25">
      <c r="A11478" s="1" t="s">
        <v>11477</v>
      </c>
      <c r="C11478" s="3">
        <v>8</v>
      </c>
    </row>
    <row r="11479" spans="1:3" x14ac:dyDescent="0.25">
      <c r="A11479" s="1" t="s">
        <v>11478</v>
      </c>
      <c r="C11479" s="3">
        <v>8</v>
      </c>
    </row>
    <row r="11480" spans="1:3" x14ac:dyDescent="0.25">
      <c r="A11480" s="1" t="s">
        <v>11479</v>
      </c>
      <c r="C11480" s="3">
        <v>8</v>
      </c>
    </row>
    <row r="11481" spans="1:3" x14ac:dyDescent="0.25">
      <c r="A11481" s="1" t="s">
        <v>11480</v>
      </c>
      <c r="C11481" s="3">
        <v>8</v>
      </c>
    </row>
    <row r="11482" spans="1:3" x14ac:dyDescent="0.25">
      <c r="A11482" s="1" t="s">
        <v>11481</v>
      </c>
      <c r="C11482" s="3">
        <v>8</v>
      </c>
    </row>
    <row r="11483" spans="1:3" x14ac:dyDescent="0.25">
      <c r="A11483" s="1" t="s">
        <v>11482</v>
      </c>
      <c r="C11483" s="3">
        <v>8</v>
      </c>
    </row>
    <row r="11484" spans="1:3" x14ac:dyDescent="0.25">
      <c r="A11484" s="1" t="s">
        <v>11483</v>
      </c>
      <c r="C11484" s="3">
        <v>8</v>
      </c>
    </row>
    <row r="11485" spans="1:3" x14ac:dyDescent="0.25">
      <c r="A11485" s="1" t="s">
        <v>11484</v>
      </c>
      <c r="C11485" s="3">
        <v>8</v>
      </c>
    </row>
    <row r="11486" spans="1:3" x14ac:dyDescent="0.25">
      <c r="A11486" s="1" t="s">
        <v>11485</v>
      </c>
      <c r="C11486" s="3">
        <v>8</v>
      </c>
    </row>
    <row r="11487" spans="1:3" x14ac:dyDescent="0.25">
      <c r="A11487" s="1" t="s">
        <v>11486</v>
      </c>
      <c r="C11487" s="3">
        <v>8</v>
      </c>
    </row>
    <row r="11488" spans="1:3" x14ac:dyDescent="0.25">
      <c r="A11488" s="1" t="s">
        <v>11487</v>
      </c>
      <c r="C11488" s="3">
        <v>8</v>
      </c>
    </row>
    <row r="11489" spans="1:3" x14ac:dyDescent="0.25">
      <c r="A11489" s="1" t="s">
        <v>11488</v>
      </c>
      <c r="C11489" s="3">
        <v>8</v>
      </c>
    </row>
    <row r="11490" spans="1:3" x14ac:dyDescent="0.25">
      <c r="A11490" s="1" t="s">
        <v>11489</v>
      </c>
      <c r="C11490" s="3">
        <v>8</v>
      </c>
    </row>
    <row r="11491" spans="1:3" x14ac:dyDescent="0.25">
      <c r="A11491" s="1" t="s">
        <v>11490</v>
      </c>
      <c r="C11491" s="3">
        <v>8</v>
      </c>
    </row>
    <row r="11492" spans="1:3" x14ac:dyDescent="0.25">
      <c r="A11492" s="1" t="s">
        <v>11491</v>
      </c>
      <c r="C11492" s="3">
        <v>8</v>
      </c>
    </row>
    <row r="11493" spans="1:3" x14ac:dyDescent="0.25">
      <c r="A11493" s="1" t="s">
        <v>11492</v>
      </c>
      <c r="C11493" s="3">
        <v>8</v>
      </c>
    </row>
    <row r="11494" spans="1:3" x14ac:dyDescent="0.25">
      <c r="A11494" s="1" t="s">
        <v>11493</v>
      </c>
      <c r="C11494" s="3">
        <v>8</v>
      </c>
    </row>
    <row r="11495" spans="1:3" x14ac:dyDescent="0.25">
      <c r="A11495" s="1" t="s">
        <v>11494</v>
      </c>
      <c r="C11495" s="3">
        <v>8</v>
      </c>
    </row>
    <row r="11496" spans="1:3" x14ac:dyDescent="0.25">
      <c r="A11496" s="1" t="s">
        <v>11495</v>
      </c>
      <c r="C11496" s="3">
        <v>8</v>
      </c>
    </row>
    <row r="11497" spans="1:3" x14ac:dyDescent="0.25">
      <c r="A11497" s="1" t="s">
        <v>11496</v>
      </c>
      <c r="C11497" s="3">
        <v>8</v>
      </c>
    </row>
    <row r="11498" spans="1:3" x14ac:dyDescent="0.25">
      <c r="A11498" s="1" t="s">
        <v>11497</v>
      </c>
      <c r="C11498" s="3">
        <v>8</v>
      </c>
    </row>
    <row r="11499" spans="1:3" x14ac:dyDescent="0.25">
      <c r="A11499" s="1" t="s">
        <v>11498</v>
      </c>
      <c r="C11499" s="3">
        <v>8</v>
      </c>
    </row>
    <row r="11500" spans="1:3" x14ac:dyDescent="0.25">
      <c r="A11500" s="1" t="s">
        <v>11499</v>
      </c>
      <c r="C11500" s="3">
        <v>8</v>
      </c>
    </row>
    <row r="11501" spans="1:3" x14ac:dyDescent="0.25">
      <c r="A11501" s="1" t="s">
        <v>11500</v>
      </c>
      <c r="C11501" s="3">
        <v>8</v>
      </c>
    </row>
    <row r="11502" spans="1:3" x14ac:dyDescent="0.25">
      <c r="A11502" s="1" t="s">
        <v>11501</v>
      </c>
      <c r="C11502" s="3">
        <v>8</v>
      </c>
    </row>
    <row r="11503" spans="1:3" x14ac:dyDescent="0.25">
      <c r="A11503" s="1" t="s">
        <v>11502</v>
      </c>
      <c r="C11503" s="3">
        <v>8</v>
      </c>
    </row>
    <row r="11504" spans="1:3" x14ac:dyDescent="0.25">
      <c r="A11504" s="1" t="s">
        <v>11503</v>
      </c>
      <c r="C11504" s="3">
        <v>8</v>
      </c>
    </row>
    <row r="11505" spans="1:3" x14ac:dyDescent="0.25">
      <c r="A11505" s="1" t="s">
        <v>11504</v>
      </c>
      <c r="C11505" s="3">
        <v>8</v>
      </c>
    </row>
    <row r="11506" spans="1:3" x14ac:dyDescent="0.25">
      <c r="A11506" s="1" t="s">
        <v>11505</v>
      </c>
      <c r="C11506" s="3">
        <v>8</v>
      </c>
    </row>
    <row r="11507" spans="1:3" x14ac:dyDescent="0.25">
      <c r="A11507" s="1" t="s">
        <v>11506</v>
      </c>
      <c r="C11507" s="3">
        <v>8</v>
      </c>
    </row>
    <row r="11508" spans="1:3" x14ac:dyDescent="0.25">
      <c r="A11508" s="1" t="s">
        <v>11507</v>
      </c>
      <c r="C11508" s="3">
        <v>8</v>
      </c>
    </row>
    <row r="11509" spans="1:3" x14ac:dyDescent="0.25">
      <c r="A11509" s="1" t="s">
        <v>11508</v>
      </c>
      <c r="C11509" s="3">
        <v>8</v>
      </c>
    </row>
    <row r="11510" spans="1:3" x14ac:dyDescent="0.25">
      <c r="A11510" s="1" t="s">
        <v>11509</v>
      </c>
      <c r="C11510" s="3">
        <v>8</v>
      </c>
    </row>
    <row r="11511" spans="1:3" x14ac:dyDescent="0.25">
      <c r="A11511" s="1" t="s">
        <v>11510</v>
      </c>
      <c r="C11511" s="3">
        <v>8</v>
      </c>
    </row>
    <row r="11512" spans="1:3" x14ac:dyDescent="0.25">
      <c r="A11512" s="1" t="s">
        <v>11511</v>
      </c>
      <c r="C11512" s="3">
        <v>8</v>
      </c>
    </row>
    <row r="11513" spans="1:3" x14ac:dyDescent="0.25">
      <c r="A11513" s="1" t="s">
        <v>11512</v>
      </c>
      <c r="C11513" s="3">
        <v>8</v>
      </c>
    </row>
    <row r="11514" spans="1:3" x14ac:dyDescent="0.25">
      <c r="A11514" s="1" t="s">
        <v>11513</v>
      </c>
      <c r="C11514" s="3">
        <v>8</v>
      </c>
    </row>
    <row r="11515" spans="1:3" x14ac:dyDescent="0.25">
      <c r="A11515" s="1" t="s">
        <v>11514</v>
      </c>
      <c r="C11515" s="3">
        <v>8</v>
      </c>
    </row>
    <row r="11516" spans="1:3" x14ac:dyDescent="0.25">
      <c r="A11516" s="1" t="s">
        <v>11515</v>
      </c>
      <c r="C11516" s="3">
        <v>8</v>
      </c>
    </row>
    <row r="11517" spans="1:3" x14ac:dyDescent="0.25">
      <c r="A11517" s="1" t="s">
        <v>11516</v>
      </c>
      <c r="C11517" s="3">
        <v>8</v>
      </c>
    </row>
    <row r="11518" spans="1:3" x14ac:dyDescent="0.25">
      <c r="A11518" s="1" t="s">
        <v>11517</v>
      </c>
      <c r="C11518" s="3">
        <v>8</v>
      </c>
    </row>
    <row r="11519" spans="1:3" x14ac:dyDescent="0.25">
      <c r="A11519" s="1" t="s">
        <v>11518</v>
      </c>
      <c r="C11519" s="3">
        <v>8</v>
      </c>
    </row>
    <row r="11520" spans="1:3" x14ac:dyDescent="0.25">
      <c r="A11520" s="1" t="s">
        <v>11519</v>
      </c>
      <c r="C11520" s="3">
        <v>8</v>
      </c>
    </row>
    <row r="11521" spans="1:3" x14ac:dyDescent="0.25">
      <c r="A11521" s="1" t="s">
        <v>11520</v>
      </c>
      <c r="C11521" s="3">
        <v>8</v>
      </c>
    </row>
    <row r="11522" spans="1:3" x14ac:dyDescent="0.25">
      <c r="A11522" s="1" t="s">
        <v>11521</v>
      </c>
      <c r="C11522" s="3">
        <v>8</v>
      </c>
    </row>
    <row r="11523" spans="1:3" x14ac:dyDescent="0.25">
      <c r="A11523" s="1" t="s">
        <v>11522</v>
      </c>
      <c r="C11523" s="3">
        <v>8</v>
      </c>
    </row>
    <row r="11524" spans="1:3" x14ac:dyDescent="0.25">
      <c r="A11524" s="1" t="s">
        <v>11523</v>
      </c>
      <c r="C11524" s="3">
        <v>8</v>
      </c>
    </row>
    <row r="11525" spans="1:3" x14ac:dyDescent="0.25">
      <c r="A11525" s="1" t="s">
        <v>11524</v>
      </c>
      <c r="C11525" s="3">
        <v>8</v>
      </c>
    </row>
    <row r="11526" spans="1:3" x14ac:dyDescent="0.25">
      <c r="A11526" s="1" t="s">
        <v>11525</v>
      </c>
      <c r="C11526" s="3">
        <v>8</v>
      </c>
    </row>
    <row r="11527" spans="1:3" x14ac:dyDescent="0.25">
      <c r="A11527" s="1" t="s">
        <v>11526</v>
      </c>
      <c r="C11527" s="3">
        <v>8</v>
      </c>
    </row>
    <row r="11528" spans="1:3" x14ac:dyDescent="0.25">
      <c r="A11528" s="1" t="s">
        <v>11527</v>
      </c>
      <c r="C11528" s="3">
        <v>8</v>
      </c>
    </row>
    <row r="11529" spans="1:3" x14ac:dyDescent="0.25">
      <c r="A11529" s="1" t="s">
        <v>11528</v>
      </c>
      <c r="C11529" s="3">
        <v>8</v>
      </c>
    </row>
    <row r="11530" spans="1:3" x14ac:dyDescent="0.25">
      <c r="A11530" s="1" t="s">
        <v>11529</v>
      </c>
      <c r="C11530" s="3">
        <v>8</v>
      </c>
    </row>
    <row r="11531" spans="1:3" x14ac:dyDescent="0.25">
      <c r="A11531" s="1" t="s">
        <v>11530</v>
      </c>
      <c r="C11531" s="3">
        <v>8</v>
      </c>
    </row>
    <row r="11532" spans="1:3" x14ac:dyDescent="0.25">
      <c r="A11532" s="1" t="s">
        <v>11531</v>
      </c>
      <c r="C11532" s="3">
        <v>8</v>
      </c>
    </row>
    <row r="11533" spans="1:3" x14ac:dyDescent="0.25">
      <c r="A11533" s="1" t="s">
        <v>11532</v>
      </c>
      <c r="C11533" s="3">
        <v>8</v>
      </c>
    </row>
    <row r="11534" spans="1:3" x14ac:dyDescent="0.25">
      <c r="A11534" s="1" t="s">
        <v>11533</v>
      </c>
      <c r="C11534" s="3">
        <v>8</v>
      </c>
    </row>
    <row r="11535" spans="1:3" x14ac:dyDescent="0.25">
      <c r="A11535" s="1" t="s">
        <v>11534</v>
      </c>
      <c r="C11535" s="3">
        <v>8</v>
      </c>
    </row>
    <row r="11536" spans="1:3" x14ac:dyDescent="0.25">
      <c r="A11536" s="1" t="s">
        <v>11535</v>
      </c>
      <c r="C11536" s="3">
        <v>8</v>
      </c>
    </row>
    <row r="11537" spans="1:3" x14ac:dyDescent="0.25">
      <c r="A11537" s="1" t="s">
        <v>11536</v>
      </c>
      <c r="C11537" s="3">
        <v>8</v>
      </c>
    </row>
    <row r="11538" spans="1:3" x14ac:dyDescent="0.25">
      <c r="A11538" s="1" t="s">
        <v>11537</v>
      </c>
      <c r="C11538" s="3">
        <v>8</v>
      </c>
    </row>
    <row r="11539" spans="1:3" x14ac:dyDescent="0.25">
      <c r="A11539" s="1" t="s">
        <v>11538</v>
      </c>
      <c r="C11539" s="3">
        <v>8</v>
      </c>
    </row>
    <row r="11540" spans="1:3" x14ac:dyDescent="0.25">
      <c r="A11540" s="1" t="s">
        <v>11539</v>
      </c>
      <c r="C11540" s="3">
        <v>8</v>
      </c>
    </row>
    <row r="11541" spans="1:3" x14ac:dyDescent="0.25">
      <c r="A11541" s="1" t="s">
        <v>11540</v>
      </c>
      <c r="C11541" s="3">
        <v>8</v>
      </c>
    </row>
    <row r="11542" spans="1:3" x14ac:dyDescent="0.25">
      <c r="A11542" s="1" t="s">
        <v>11541</v>
      </c>
      <c r="C11542" s="3">
        <v>8</v>
      </c>
    </row>
    <row r="11543" spans="1:3" x14ac:dyDescent="0.25">
      <c r="A11543" s="1" t="s">
        <v>11542</v>
      </c>
      <c r="C11543" s="3">
        <v>8</v>
      </c>
    </row>
    <row r="11544" spans="1:3" x14ac:dyDescent="0.25">
      <c r="A11544" s="1" t="s">
        <v>11543</v>
      </c>
      <c r="C11544" s="3">
        <v>8</v>
      </c>
    </row>
    <row r="11545" spans="1:3" x14ac:dyDescent="0.25">
      <c r="A11545" s="1" t="s">
        <v>11544</v>
      </c>
      <c r="C11545" s="3">
        <v>8</v>
      </c>
    </row>
    <row r="11546" spans="1:3" x14ac:dyDescent="0.25">
      <c r="A11546" s="1" t="s">
        <v>11545</v>
      </c>
      <c r="C11546" s="3">
        <v>8</v>
      </c>
    </row>
    <row r="11547" spans="1:3" x14ac:dyDescent="0.25">
      <c r="A11547" s="1" t="s">
        <v>11546</v>
      </c>
      <c r="C11547" s="3">
        <v>8</v>
      </c>
    </row>
    <row r="11548" spans="1:3" x14ac:dyDescent="0.25">
      <c r="A11548" s="1" t="s">
        <v>11547</v>
      </c>
      <c r="C11548" s="3">
        <v>8</v>
      </c>
    </row>
    <row r="11549" spans="1:3" x14ac:dyDescent="0.25">
      <c r="A11549" s="1" t="s">
        <v>11548</v>
      </c>
      <c r="C11549" s="3">
        <v>8</v>
      </c>
    </row>
    <row r="11550" spans="1:3" x14ac:dyDescent="0.25">
      <c r="A11550" s="1" t="s">
        <v>11549</v>
      </c>
      <c r="C11550" s="3">
        <v>8</v>
      </c>
    </row>
    <row r="11551" spans="1:3" x14ac:dyDescent="0.25">
      <c r="A11551" s="1" t="s">
        <v>11550</v>
      </c>
      <c r="C11551" s="3">
        <v>8</v>
      </c>
    </row>
    <row r="11552" spans="1:3" x14ac:dyDescent="0.25">
      <c r="A11552" s="1" t="s">
        <v>11551</v>
      </c>
      <c r="C11552" s="3">
        <v>8</v>
      </c>
    </row>
    <row r="11553" spans="1:3" x14ac:dyDescent="0.25">
      <c r="A11553" s="1" t="s">
        <v>11552</v>
      </c>
      <c r="C11553" s="3">
        <v>8</v>
      </c>
    </row>
    <row r="11554" spans="1:3" x14ac:dyDescent="0.25">
      <c r="A11554" s="1" t="s">
        <v>11553</v>
      </c>
      <c r="C11554" s="3">
        <v>8</v>
      </c>
    </row>
    <row r="11555" spans="1:3" x14ac:dyDescent="0.25">
      <c r="A11555" s="1" t="s">
        <v>11554</v>
      </c>
      <c r="C11555" s="3">
        <v>8</v>
      </c>
    </row>
    <row r="11556" spans="1:3" x14ac:dyDescent="0.25">
      <c r="A11556" s="1" t="s">
        <v>11555</v>
      </c>
      <c r="C11556" s="3">
        <v>8</v>
      </c>
    </row>
    <row r="11557" spans="1:3" x14ac:dyDescent="0.25">
      <c r="A11557" s="1" t="s">
        <v>11556</v>
      </c>
      <c r="C11557" s="3">
        <v>8</v>
      </c>
    </row>
    <row r="11558" spans="1:3" x14ac:dyDescent="0.25">
      <c r="A11558" s="1" t="s">
        <v>11557</v>
      </c>
      <c r="C11558" s="3">
        <v>8</v>
      </c>
    </row>
    <row r="11559" spans="1:3" x14ac:dyDescent="0.25">
      <c r="A11559" s="1" t="s">
        <v>11558</v>
      </c>
      <c r="C11559" s="3">
        <v>8</v>
      </c>
    </row>
    <row r="11560" spans="1:3" x14ac:dyDescent="0.25">
      <c r="A11560" s="1" t="s">
        <v>11559</v>
      </c>
      <c r="C11560" s="3">
        <v>8</v>
      </c>
    </row>
    <row r="11561" spans="1:3" x14ac:dyDescent="0.25">
      <c r="A11561" s="1" t="s">
        <v>11560</v>
      </c>
      <c r="C11561" s="3">
        <v>8</v>
      </c>
    </row>
    <row r="11562" spans="1:3" x14ac:dyDescent="0.25">
      <c r="A11562" s="1" t="s">
        <v>11561</v>
      </c>
      <c r="C11562" s="3">
        <v>8</v>
      </c>
    </row>
    <row r="11563" spans="1:3" x14ac:dyDescent="0.25">
      <c r="A11563" s="1" t="s">
        <v>11562</v>
      </c>
      <c r="C11563" s="3">
        <v>8</v>
      </c>
    </row>
    <row r="11564" spans="1:3" x14ac:dyDescent="0.25">
      <c r="A11564" s="1" t="s">
        <v>11563</v>
      </c>
      <c r="C11564" s="3">
        <v>8</v>
      </c>
    </row>
    <row r="11565" spans="1:3" x14ac:dyDescent="0.25">
      <c r="A11565" s="1" t="s">
        <v>11564</v>
      </c>
      <c r="C11565" s="3">
        <v>8</v>
      </c>
    </row>
    <row r="11566" spans="1:3" x14ac:dyDescent="0.25">
      <c r="A11566" s="1" t="s">
        <v>11565</v>
      </c>
      <c r="C11566" s="3">
        <v>8</v>
      </c>
    </row>
    <row r="11567" spans="1:3" x14ac:dyDescent="0.25">
      <c r="A11567" s="1" t="s">
        <v>11566</v>
      </c>
      <c r="C11567" s="3">
        <v>8</v>
      </c>
    </row>
    <row r="11568" spans="1:3" x14ac:dyDescent="0.25">
      <c r="A11568" s="1" t="s">
        <v>11567</v>
      </c>
      <c r="C11568" s="3">
        <v>8</v>
      </c>
    </row>
    <row r="11569" spans="1:3" x14ac:dyDescent="0.25">
      <c r="A11569" s="1" t="s">
        <v>11568</v>
      </c>
      <c r="C11569" s="3">
        <v>8</v>
      </c>
    </row>
    <row r="11570" spans="1:3" x14ac:dyDescent="0.25">
      <c r="A11570" s="1" t="s">
        <v>11569</v>
      </c>
      <c r="C11570" s="3">
        <v>8</v>
      </c>
    </row>
    <row r="11571" spans="1:3" x14ac:dyDescent="0.25">
      <c r="A11571" s="1" t="s">
        <v>11570</v>
      </c>
      <c r="C11571" s="3">
        <v>8</v>
      </c>
    </row>
    <row r="11572" spans="1:3" x14ac:dyDescent="0.25">
      <c r="A11572" s="1" t="s">
        <v>11571</v>
      </c>
      <c r="C11572" s="3">
        <v>8</v>
      </c>
    </row>
    <row r="11573" spans="1:3" x14ac:dyDescent="0.25">
      <c r="A11573" s="1" t="s">
        <v>11572</v>
      </c>
      <c r="C11573" s="3">
        <v>8</v>
      </c>
    </row>
    <row r="11574" spans="1:3" x14ac:dyDescent="0.25">
      <c r="A11574" s="1" t="s">
        <v>11573</v>
      </c>
      <c r="C11574" s="3">
        <v>8</v>
      </c>
    </row>
    <row r="11575" spans="1:3" x14ac:dyDescent="0.25">
      <c r="A11575" s="1" t="s">
        <v>11574</v>
      </c>
      <c r="C11575" s="3">
        <v>8</v>
      </c>
    </row>
    <row r="11576" spans="1:3" x14ac:dyDescent="0.25">
      <c r="A11576" s="1" t="s">
        <v>11575</v>
      </c>
      <c r="C11576" s="3">
        <v>8</v>
      </c>
    </row>
    <row r="11577" spans="1:3" x14ac:dyDescent="0.25">
      <c r="A11577" s="1" t="s">
        <v>11576</v>
      </c>
      <c r="C11577" s="3">
        <v>8</v>
      </c>
    </row>
    <row r="11578" spans="1:3" x14ac:dyDescent="0.25">
      <c r="A11578" s="1" t="s">
        <v>11577</v>
      </c>
      <c r="C11578" s="3">
        <v>8</v>
      </c>
    </row>
    <row r="11579" spans="1:3" x14ac:dyDescent="0.25">
      <c r="A11579" s="1" t="s">
        <v>11578</v>
      </c>
      <c r="C11579" s="3">
        <v>8</v>
      </c>
    </row>
    <row r="11580" spans="1:3" x14ac:dyDescent="0.25">
      <c r="A11580" s="1" t="s">
        <v>11579</v>
      </c>
      <c r="C11580" s="3">
        <v>8</v>
      </c>
    </row>
    <row r="11581" spans="1:3" x14ac:dyDescent="0.25">
      <c r="A11581" s="1" t="s">
        <v>11580</v>
      </c>
      <c r="C11581" s="3">
        <v>8</v>
      </c>
    </row>
    <row r="11582" spans="1:3" x14ac:dyDescent="0.25">
      <c r="A11582" s="1" t="s">
        <v>11581</v>
      </c>
      <c r="C11582" s="3">
        <v>8</v>
      </c>
    </row>
    <row r="11583" spans="1:3" x14ac:dyDescent="0.25">
      <c r="A11583" s="1" t="s">
        <v>11582</v>
      </c>
      <c r="C11583" s="3">
        <v>8</v>
      </c>
    </row>
    <row r="11584" spans="1:3" x14ac:dyDescent="0.25">
      <c r="A11584" s="1" t="s">
        <v>11583</v>
      </c>
      <c r="C11584" s="3">
        <v>8</v>
      </c>
    </row>
    <row r="11585" spans="1:3" x14ac:dyDescent="0.25">
      <c r="A11585" s="1" t="s">
        <v>11584</v>
      </c>
      <c r="C11585" s="3">
        <v>8</v>
      </c>
    </row>
    <row r="11586" spans="1:3" x14ac:dyDescent="0.25">
      <c r="A11586" s="1" t="s">
        <v>11585</v>
      </c>
      <c r="C11586" s="3">
        <v>8</v>
      </c>
    </row>
    <row r="11587" spans="1:3" x14ac:dyDescent="0.25">
      <c r="A11587" s="1" t="s">
        <v>11586</v>
      </c>
      <c r="C11587" s="3">
        <v>8</v>
      </c>
    </row>
    <row r="11588" spans="1:3" x14ac:dyDescent="0.25">
      <c r="A11588" s="1" t="s">
        <v>11587</v>
      </c>
      <c r="C11588" s="3">
        <v>8</v>
      </c>
    </row>
    <row r="11589" spans="1:3" x14ac:dyDescent="0.25">
      <c r="A11589" s="1" t="s">
        <v>11588</v>
      </c>
      <c r="C11589" s="3">
        <v>8</v>
      </c>
    </row>
    <row r="11590" spans="1:3" x14ac:dyDescent="0.25">
      <c r="A11590" s="1" t="s">
        <v>11589</v>
      </c>
      <c r="C11590" s="3">
        <v>8</v>
      </c>
    </row>
    <row r="11591" spans="1:3" x14ac:dyDescent="0.25">
      <c r="A11591" s="1" t="s">
        <v>11590</v>
      </c>
      <c r="C11591" s="3">
        <v>8</v>
      </c>
    </row>
    <row r="11592" spans="1:3" x14ac:dyDescent="0.25">
      <c r="A11592" s="1" t="s">
        <v>11591</v>
      </c>
      <c r="C11592" s="3">
        <v>8</v>
      </c>
    </row>
    <row r="11593" spans="1:3" x14ac:dyDescent="0.25">
      <c r="A11593" s="1" t="s">
        <v>11592</v>
      </c>
      <c r="C11593" s="3">
        <v>8</v>
      </c>
    </row>
    <row r="11594" spans="1:3" x14ac:dyDescent="0.25">
      <c r="A11594" s="1" t="s">
        <v>11593</v>
      </c>
      <c r="C11594" s="3">
        <v>8</v>
      </c>
    </row>
    <row r="11595" spans="1:3" x14ac:dyDescent="0.25">
      <c r="A11595" s="1" t="s">
        <v>11594</v>
      </c>
      <c r="C11595" s="3">
        <v>8</v>
      </c>
    </row>
    <row r="11596" spans="1:3" x14ac:dyDescent="0.25">
      <c r="A11596" s="1" t="s">
        <v>11595</v>
      </c>
      <c r="C11596" s="3">
        <v>8</v>
      </c>
    </row>
    <row r="11597" spans="1:3" x14ac:dyDescent="0.25">
      <c r="A11597" s="1" t="s">
        <v>11596</v>
      </c>
      <c r="C11597" s="3">
        <v>8</v>
      </c>
    </row>
    <row r="11598" spans="1:3" x14ac:dyDescent="0.25">
      <c r="A11598" s="1" t="s">
        <v>11597</v>
      </c>
      <c r="C11598" s="3">
        <v>8</v>
      </c>
    </row>
    <row r="11599" spans="1:3" x14ac:dyDescent="0.25">
      <c r="A11599" s="1" t="s">
        <v>11598</v>
      </c>
      <c r="C11599" s="3">
        <v>8</v>
      </c>
    </row>
    <row r="11600" spans="1:3" x14ac:dyDescent="0.25">
      <c r="A11600" s="1" t="s">
        <v>11599</v>
      </c>
      <c r="C11600" s="3">
        <v>8</v>
      </c>
    </row>
    <row r="11601" spans="1:3" x14ac:dyDescent="0.25">
      <c r="A11601" s="1" t="s">
        <v>11600</v>
      </c>
      <c r="C11601" s="3">
        <v>8</v>
      </c>
    </row>
    <row r="11602" spans="1:3" x14ac:dyDescent="0.25">
      <c r="A11602" s="1" t="s">
        <v>11601</v>
      </c>
      <c r="C11602" s="3">
        <v>8</v>
      </c>
    </row>
    <row r="11603" spans="1:3" x14ac:dyDescent="0.25">
      <c r="A11603" s="1" t="s">
        <v>11602</v>
      </c>
      <c r="C11603" s="3">
        <v>8</v>
      </c>
    </row>
    <row r="11604" spans="1:3" x14ac:dyDescent="0.25">
      <c r="A11604" s="1" t="s">
        <v>11603</v>
      </c>
      <c r="C11604" s="3">
        <v>8</v>
      </c>
    </row>
    <row r="11605" spans="1:3" x14ac:dyDescent="0.25">
      <c r="A11605" s="1" t="s">
        <v>11604</v>
      </c>
      <c r="C11605" s="3">
        <v>8</v>
      </c>
    </row>
    <row r="11606" spans="1:3" x14ac:dyDescent="0.25">
      <c r="A11606" s="1" t="s">
        <v>11605</v>
      </c>
      <c r="C11606" s="3">
        <v>8</v>
      </c>
    </row>
    <row r="11607" spans="1:3" x14ac:dyDescent="0.25">
      <c r="A11607" s="1" t="s">
        <v>11606</v>
      </c>
      <c r="C11607" s="3">
        <v>8</v>
      </c>
    </row>
    <row r="11608" spans="1:3" x14ac:dyDescent="0.25">
      <c r="A11608" s="1" t="s">
        <v>11607</v>
      </c>
      <c r="C11608" s="3">
        <v>8</v>
      </c>
    </row>
    <row r="11609" spans="1:3" x14ac:dyDescent="0.25">
      <c r="A11609" s="1" t="s">
        <v>11608</v>
      </c>
      <c r="C11609" s="3">
        <v>8</v>
      </c>
    </row>
    <row r="11610" spans="1:3" x14ac:dyDescent="0.25">
      <c r="A11610" s="1" t="s">
        <v>11609</v>
      </c>
      <c r="C11610" s="3">
        <v>8</v>
      </c>
    </row>
    <row r="11611" spans="1:3" x14ac:dyDescent="0.25">
      <c r="A11611" s="1" t="s">
        <v>11610</v>
      </c>
      <c r="C11611" s="3">
        <v>8</v>
      </c>
    </row>
    <row r="11612" spans="1:3" x14ac:dyDescent="0.25">
      <c r="A11612" s="1" t="s">
        <v>11611</v>
      </c>
      <c r="C11612" s="3">
        <v>8</v>
      </c>
    </row>
    <row r="11613" spans="1:3" x14ac:dyDescent="0.25">
      <c r="A11613" s="1" t="s">
        <v>11612</v>
      </c>
      <c r="C11613" s="3">
        <v>8</v>
      </c>
    </row>
    <row r="11614" spans="1:3" x14ac:dyDescent="0.25">
      <c r="A11614" s="1" t="s">
        <v>11613</v>
      </c>
      <c r="C11614" s="3">
        <v>8</v>
      </c>
    </row>
    <row r="11615" spans="1:3" x14ac:dyDescent="0.25">
      <c r="A11615" s="1" t="s">
        <v>11614</v>
      </c>
      <c r="C11615" s="3">
        <v>8</v>
      </c>
    </row>
    <row r="11616" spans="1:3" x14ac:dyDescent="0.25">
      <c r="A11616" s="1" t="s">
        <v>11615</v>
      </c>
      <c r="C11616" s="3">
        <v>8</v>
      </c>
    </row>
    <row r="11617" spans="1:3" x14ac:dyDescent="0.25">
      <c r="A11617" s="1" t="s">
        <v>11616</v>
      </c>
      <c r="C11617" s="3">
        <v>8</v>
      </c>
    </row>
    <row r="11618" spans="1:3" x14ac:dyDescent="0.25">
      <c r="A11618" s="1" t="s">
        <v>11617</v>
      </c>
      <c r="C11618" s="3">
        <v>8</v>
      </c>
    </row>
    <row r="11619" spans="1:3" x14ac:dyDescent="0.25">
      <c r="A11619" s="1" t="s">
        <v>11618</v>
      </c>
      <c r="C11619" s="3">
        <v>8</v>
      </c>
    </row>
    <row r="11620" spans="1:3" x14ac:dyDescent="0.25">
      <c r="A11620" s="1" t="s">
        <v>11619</v>
      </c>
      <c r="C11620" s="3">
        <v>8</v>
      </c>
    </row>
    <row r="11621" spans="1:3" x14ac:dyDescent="0.25">
      <c r="A11621" s="1" t="s">
        <v>11620</v>
      </c>
      <c r="C11621" s="3">
        <v>8</v>
      </c>
    </row>
    <row r="11622" spans="1:3" x14ac:dyDescent="0.25">
      <c r="A11622" s="1" t="s">
        <v>11621</v>
      </c>
      <c r="C11622" s="3">
        <v>8</v>
      </c>
    </row>
    <row r="11623" spans="1:3" x14ac:dyDescent="0.25">
      <c r="A11623" s="1" t="s">
        <v>11622</v>
      </c>
      <c r="C11623" s="3">
        <v>8</v>
      </c>
    </row>
    <row r="11624" spans="1:3" x14ac:dyDescent="0.25">
      <c r="A11624" s="1" t="s">
        <v>11623</v>
      </c>
      <c r="C11624" s="3">
        <v>8</v>
      </c>
    </row>
    <row r="11625" spans="1:3" x14ac:dyDescent="0.25">
      <c r="A11625" s="1" t="s">
        <v>11624</v>
      </c>
      <c r="C11625" s="3">
        <v>8</v>
      </c>
    </row>
    <row r="11626" spans="1:3" x14ac:dyDescent="0.25">
      <c r="A11626" s="1" t="s">
        <v>11625</v>
      </c>
      <c r="C11626" s="3">
        <v>8</v>
      </c>
    </row>
    <row r="11627" spans="1:3" x14ac:dyDescent="0.25">
      <c r="A11627" s="1" t="s">
        <v>11626</v>
      </c>
      <c r="C11627" s="3">
        <v>8</v>
      </c>
    </row>
    <row r="11628" spans="1:3" x14ac:dyDescent="0.25">
      <c r="A11628" s="1" t="s">
        <v>11627</v>
      </c>
      <c r="C11628" s="3">
        <v>8</v>
      </c>
    </row>
    <row r="11629" spans="1:3" x14ac:dyDescent="0.25">
      <c r="A11629" s="1" t="s">
        <v>11628</v>
      </c>
      <c r="C11629" s="3">
        <v>8</v>
      </c>
    </row>
    <row r="11630" spans="1:3" x14ac:dyDescent="0.25">
      <c r="A11630" s="1" t="s">
        <v>11629</v>
      </c>
      <c r="C11630" s="3">
        <v>8</v>
      </c>
    </row>
    <row r="11631" spans="1:3" x14ac:dyDescent="0.25">
      <c r="A11631" s="1" t="s">
        <v>11630</v>
      </c>
      <c r="C11631" s="3">
        <v>8</v>
      </c>
    </row>
    <row r="11632" spans="1:3" x14ac:dyDescent="0.25">
      <c r="A11632" s="1" t="s">
        <v>11631</v>
      </c>
      <c r="C11632" s="3">
        <v>8</v>
      </c>
    </row>
    <row r="11633" spans="1:3" x14ac:dyDescent="0.25">
      <c r="A11633" s="1" t="s">
        <v>11632</v>
      </c>
      <c r="C11633" s="3">
        <v>8</v>
      </c>
    </row>
    <row r="11634" spans="1:3" x14ac:dyDescent="0.25">
      <c r="A11634" s="1" t="s">
        <v>11633</v>
      </c>
      <c r="C11634" s="3">
        <v>8</v>
      </c>
    </row>
    <row r="11635" spans="1:3" x14ac:dyDescent="0.25">
      <c r="A11635" s="1" t="s">
        <v>11634</v>
      </c>
      <c r="C11635" s="3">
        <v>8</v>
      </c>
    </row>
    <row r="11636" spans="1:3" x14ac:dyDescent="0.25">
      <c r="A11636" s="1" t="s">
        <v>11635</v>
      </c>
      <c r="C11636" s="3">
        <v>8</v>
      </c>
    </row>
    <row r="11637" spans="1:3" x14ac:dyDescent="0.25">
      <c r="A11637" s="1" t="s">
        <v>11636</v>
      </c>
      <c r="C11637" s="3">
        <v>8</v>
      </c>
    </row>
    <row r="11638" spans="1:3" x14ac:dyDescent="0.25">
      <c r="A11638" s="1" t="s">
        <v>11637</v>
      </c>
      <c r="C11638" s="3">
        <v>8</v>
      </c>
    </row>
    <row r="11639" spans="1:3" x14ac:dyDescent="0.25">
      <c r="A11639" s="1" t="s">
        <v>11638</v>
      </c>
      <c r="C11639" s="3">
        <v>8</v>
      </c>
    </row>
    <row r="11640" spans="1:3" x14ac:dyDescent="0.25">
      <c r="A11640" s="1" t="s">
        <v>11639</v>
      </c>
      <c r="C11640" s="3">
        <v>8</v>
      </c>
    </row>
    <row r="11641" spans="1:3" x14ac:dyDescent="0.25">
      <c r="A11641" s="1" t="s">
        <v>11640</v>
      </c>
      <c r="C11641" s="3">
        <v>8</v>
      </c>
    </row>
    <row r="11642" spans="1:3" x14ac:dyDescent="0.25">
      <c r="A11642" s="1" t="s">
        <v>11641</v>
      </c>
      <c r="C11642" s="3">
        <v>8</v>
      </c>
    </row>
    <row r="11643" spans="1:3" x14ac:dyDescent="0.25">
      <c r="A11643" s="1" t="s">
        <v>11642</v>
      </c>
      <c r="C11643" s="3">
        <v>8</v>
      </c>
    </row>
    <row r="11644" spans="1:3" x14ac:dyDescent="0.25">
      <c r="A11644" s="1" t="s">
        <v>11643</v>
      </c>
      <c r="C11644" s="3">
        <v>8</v>
      </c>
    </row>
    <row r="11645" spans="1:3" x14ac:dyDescent="0.25">
      <c r="A11645" s="1" t="s">
        <v>11644</v>
      </c>
      <c r="C11645" s="3">
        <v>8</v>
      </c>
    </row>
    <row r="11646" spans="1:3" x14ac:dyDescent="0.25">
      <c r="A11646" s="1" t="s">
        <v>11645</v>
      </c>
      <c r="C11646" s="3">
        <v>8</v>
      </c>
    </row>
    <row r="11647" spans="1:3" x14ac:dyDescent="0.25">
      <c r="A11647" s="1" t="s">
        <v>11646</v>
      </c>
      <c r="C11647" s="3">
        <v>8</v>
      </c>
    </row>
    <row r="11648" spans="1:3" x14ac:dyDescent="0.25">
      <c r="A11648" s="1" t="s">
        <v>11647</v>
      </c>
      <c r="C11648" s="3">
        <v>8</v>
      </c>
    </row>
    <row r="11649" spans="1:3" x14ac:dyDescent="0.25">
      <c r="A11649" s="1" t="s">
        <v>11648</v>
      </c>
      <c r="C11649" s="3">
        <v>8</v>
      </c>
    </row>
    <row r="11650" spans="1:3" x14ac:dyDescent="0.25">
      <c r="A11650" s="1" t="s">
        <v>11649</v>
      </c>
      <c r="C11650" s="3">
        <v>8</v>
      </c>
    </row>
    <row r="11651" spans="1:3" x14ac:dyDescent="0.25">
      <c r="A11651" s="1" t="s">
        <v>11650</v>
      </c>
      <c r="C11651" s="3">
        <v>8</v>
      </c>
    </row>
    <row r="11652" spans="1:3" x14ac:dyDescent="0.25">
      <c r="A11652" s="1" t="s">
        <v>11651</v>
      </c>
      <c r="C11652" s="3">
        <v>8</v>
      </c>
    </row>
    <row r="11653" spans="1:3" x14ac:dyDescent="0.25">
      <c r="A11653" s="1" t="s">
        <v>11652</v>
      </c>
      <c r="C11653" s="3">
        <v>8</v>
      </c>
    </row>
    <row r="11654" spans="1:3" x14ac:dyDescent="0.25">
      <c r="A11654" s="1" t="s">
        <v>11653</v>
      </c>
      <c r="C11654" s="3">
        <v>8</v>
      </c>
    </row>
    <row r="11655" spans="1:3" x14ac:dyDescent="0.25">
      <c r="A11655" s="1" t="s">
        <v>11654</v>
      </c>
      <c r="C11655" s="3">
        <v>8</v>
      </c>
    </row>
    <row r="11656" spans="1:3" x14ac:dyDescent="0.25">
      <c r="A11656" s="1" t="s">
        <v>11655</v>
      </c>
      <c r="C11656" s="3">
        <v>8</v>
      </c>
    </row>
    <row r="11657" spans="1:3" x14ac:dyDescent="0.25">
      <c r="A11657" s="1" t="s">
        <v>11656</v>
      </c>
      <c r="C11657" s="3">
        <v>8</v>
      </c>
    </row>
    <row r="11658" spans="1:3" x14ac:dyDescent="0.25">
      <c r="A11658" s="1" t="s">
        <v>11657</v>
      </c>
      <c r="C11658" s="3">
        <v>8</v>
      </c>
    </row>
    <row r="11659" spans="1:3" x14ac:dyDescent="0.25">
      <c r="A11659" s="1" t="s">
        <v>11658</v>
      </c>
      <c r="C11659" s="3">
        <v>8</v>
      </c>
    </row>
    <row r="11660" spans="1:3" x14ac:dyDescent="0.25">
      <c r="A11660" s="1" t="s">
        <v>11659</v>
      </c>
      <c r="C11660" s="3">
        <v>8</v>
      </c>
    </row>
    <row r="11661" spans="1:3" x14ac:dyDescent="0.25">
      <c r="A11661" s="1" t="s">
        <v>11660</v>
      </c>
      <c r="C11661" s="3">
        <v>8</v>
      </c>
    </row>
    <row r="11662" spans="1:3" x14ac:dyDescent="0.25">
      <c r="A11662" s="1" t="s">
        <v>11661</v>
      </c>
      <c r="C11662" s="3">
        <v>8</v>
      </c>
    </row>
    <row r="11663" spans="1:3" x14ac:dyDescent="0.25">
      <c r="A11663" s="1" t="s">
        <v>11662</v>
      </c>
      <c r="C11663" s="3">
        <v>8</v>
      </c>
    </row>
    <row r="11664" spans="1:3" x14ac:dyDescent="0.25">
      <c r="A11664" s="1" t="s">
        <v>11663</v>
      </c>
      <c r="C11664" s="3">
        <v>8</v>
      </c>
    </row>
    <row r="11665" spans="1:3" x14ac:dyDescent="0.25">
      <c r="A11665" s="1" t="s">
        <v>11664</v>
      </c>
      <c r="C11665" s="3">
        <v>8</v>
      </c>
    </row>
    <row r="11666" spans="1:3" x14ac:dyDescent="0.25">
      <c r="A11666" s="1" t="s">
        <v>11665</v>
      </c>
      <c r="C11666" s="3">
        <v>8</v>
      </c>
    </row>
    <row r="11667" spans="1:3" x14ac:dyDescent="0.25">
      <c r="A11667" s="1" t="s">
        <v>11666</v>
      </c>
      <c r="C11667" s="3">
        <v>8</v>
      </c>
    </row>
    <row r="11668" spans="1:3" x14ac:dyDescent="0.25">
      <c r="A11668" s="1" t="s">
        <v>11667</v>
      </c>
      <c r="C11668" s="3">
        <v>8</v>
      </c>
    </row>
    <row r="11669" spans="1:3" x14ac:dyDescent="0.25">
      <c r="A11669" s="1" t="s">
        <v>11668</v>
      </c>
      <c r="C11669" s="3">
        <v>8</v>
      </c>
    </row>
    <row r="11670" spans="1:3" x14ac:dyDescent="0.25">
      <c r="A11670" s="1" t="s">
        <v>11669</v>
      </c>
      <c r="C11670" s="3">
        <v>8</v>
      </c>
    </row>
    <row r="11671" spans="1:3" x14ac:dyDescent="0.25">
      <c r="A11671" s="1" t="s">
        <v>11670</v>
      </c>
      <c r="C11671" s="3">
        <v>8</v>
      </c>
    </row>
    <row r="11672" spans="1:3" x14ac:dyDescent="0.25">
      <c r="A11672" s="1" t="s">
        <v>11671</v>
      </c>
      <c r="C11672" s="3">
        <v>8</v>
      </c>
    </row>
    <row r="11673" spans="1:3" x14ac:dyDescent="0.25">
      <c r="A11673" s="1" t="s">
        <v>11672</v>
      </c>
      <c r="C11673" s="3">
        <v>8</v>
      </c>
    </row>
    <row r="11674" spans="1:3" x14ac:dyDescent="0.25">
      <c r="A11674" s="1" t="s">
        <v>11673</v>
      </c>
      <c r="C11674" s="3">
        <v>8</v>
      </c>
    </row>
    <row r="11675" spans="1:3" x14ac:dyDescent="0.25">
      <c r="A11675" s="1" t="s">
        <v>11674</v>
      </c>
      <c r="C11675" s="3">
        <v>8</v>
      </c>
    </row>
    <row r="11676" spans="1:3" x14ac:dyDescent="0.25">
      <c r="A11676" s="1" t="s">
        <v>11675</v>
      </c>
      <c r="C11676" s="3">
        <v>8</v>
      </c>
    </row>
    <row r="11677" spans="1:3" x14ac:dyDescent="0.25">
      <c r="A11677" s="1" t="s">
        <v>11676</v>
      </c>
      <c r="C11677" s="3">
        <v>8</v>
      </c>
    </row>
    <row r="11678" spans="1:3" x14ac:dyDescent="0.25">
      <c r="A11678" s="1" t="s">
        <v>11677</v>
      </c>
      <c r="C11678" s="3">
        <v>8</v>
      </c>
    </row>
    <row r="11679" spans="1:3" x14ac:dyDescent="0.25">
      <c r="A11679" s="1" t="s">
        <v>11678</v>
      </c>
      <c r="C11679" s="3">
        <v>8</v>
      </c>
    </row>
    <row r="11680" spans="1:3" x14ac:dyDescent="0.25">
      <c r="A11680" s="1" t="s">
        <v>11679</v>
      </c>
      <c r="C11680" s="3">
        <v>8</v>
      </c>
    </row>
    <row r="11681" spans="1:3" x14ac:dyDescent="0.25">
      <c r="A11681" s="1" t="s">
        <v>11680</v>
      </c>
      <c r="C11681" s="3">
        <v>8</v>
      </c>
    </row>
    <row r="11682" spans="1:3" x14ac:dyDescent="0.25">
      <c r="A11682" s="1" t="s">
        <v>11681</v>
      </c>
      <c r="C11682" s="3">
        <v>8</v>
      </c>
    </row>
    <row r="11683" spans="1:3" x14ac:dyDescent="0.25">
      <c r="A11683" s="1" t="s">
        <v>11682</v>
      </c>
      <c r="C11683" s="3">
        <v>8</v>
      </c>
    </row>
    <row r="11684" spans="1:3" x14ac:dyDescent="0.25">
      <c r="A11684" s="1" t="s">
        <v>11683</v>
      </c>
      <c r="C11684" s="3">
        <v>8</v>
      </c>
    </row>
    <row r="11685" spans="1:3" x14ac:dyDescent="0.25">
      <c r="A11685" s="1" t="s">
        <v>11684</v>
      </c>
      <c r="C11685" s="3">
        <v>8</v>
      </c>
    </row>
    <row r="11686" spans="1:3" x14ac:dyDescent="0.25">
      <c r="A11686" s="1" t="s">
        <v>11685</v>
      </c>
      <c r="C11686" s="3">
        <v>8</v>
      </c>
    </row>
    <row r="11687" spans="1:3" x14ac:dyDescent="0.25">
      <c r="A11687" s="1" t="s">
        <v>11686</v>
      </c>
      <c r="C11687" s="3">
        <v>8</v>
      </c>
    </row>
    <row r="11688" spans="1:3" x14ac:dyDescent="0.25">
      <c r="A11688" s="1" t="s">
        <v>11687</v>
      </c>
      <c r="C11688" s="3">
        <v>8</v>
      </c>
    </row>
    <row r="11689" spans="1:3" x14ac:dyDescent="0.25">
      <c r="A11689" s="1" t="s">
        <v>11688</v>
      </c>
      <c r="C11689" s="3">
        <v>8</v>
      </c>
    </row>
    <row r="11690" spans="1:3" x14ac:dyDescent="0.25">
      <c r="A11690" s="1" t="s">
        <v>11689</v>
      </c>
      <c r="C11690" s="3">
        <v>8</v>
      </c>
    </row>
    <row r="11691" spans="1:3" x14ac:dyDescent="0.25">
      <c r="A11691" s="1" t="s">
        <v>11690</v>
      </c>
      <c r="C11691" s="3">
        <v>8</v>
      </c>
    </row>
    <row r="11692" spans="1:3" x14ac:dyDescent="0.25">
      <c r="A11692" s="1" t="s">
        <v>11691</v>
      </c>
      <c r="C11692" s="3">
        <v>8</v>
      </c>
    </row>
    <row r="11693" spans="1:3" x14ac:dyDescent="0.25">
      <c r="A11693" s="1" t="s">
        <v>11692</v>
      </c>
      <c r="C11693" s="3">
        <v>8</v>
      </c>
    </row>
    <row r="11694" spans="1:3" x14ac:dyDescent="0.25">
      <c r="A11694" s="1" t="s">
        <v>11693</v>
      </c>
      <c r="C11694" s="3">
        <v>8</v>
      </c>
    </row>
    <row r="11695" spans="1:3" x14ac:dyDescent="0.25">
      <c r="A11695" s="1" t="s">
        <v>11694</v>
      </c>
      <c r="C11695" s="3">
        <v>8</v>
      </c>
    </row>
    <row r="11696" spans="1:3" x14ac:dyDescent="0.25">
      <c r="A11696" s="1" t="s">
        <v>11695</v>
      </c>
      <c r="C11696" s="3">
        <v>8</v>
      </c>
    </row>
    <row r="11697" spans="1:3" x14ac:dyDescent="0.25">
      <c r="A11697" s="1" t="s">
        <v>11696</v>
      </c>
      <c r="C11697" s="3">
        <v>8</v>
      </c>
    </row>
    <row r="11698" spans="1:3" x14ac:dyDescent="0.25">
      <c r="A11698" s="1" t="s">
        <v>11697</v>
      </c>
      <c r="C11698" s="3">
        <v>8</v>
      </c>
    </row>
    <row r="11699" spans="1:3" x14ac:dyDescent="0.25">
      <c r="A11699" s="1" t="s">
        <v>11698</v>
      </c>
      <c r="C11699" s="3">
        <v>8</v>
      </c>
    </row>
    <row r="11700" spans="1:3" x14ac:dyDescent="0.25">
      <c r="A11700" s="1" t="s">
        <v>11699</v>
      </c>
      <c r="C11700" s="3">
        <v>8</v>
      </c>
    </row>
    <row r="11701" spans="1:3" x14ac:dyDescent="0.25">
      <c r="A11701" s="1" t="s">
        <v>11700</v>
      </c>
      <c r="C11701" s="3">
        <v>8</v>
      </c>
    </row>
    <row r="11702" spans="1:3" x14ac:dyDescent="0.25">
      <c r="A11702" s="1" t="s">
        <v>11701</v>
      </c>
      <c r="C11702" s="3">
        <v>8</v>
      </c>
    </row>
    <row r="11703" spans="1:3" x14ac:dyDescent="0.25">
      <c r="A11703" s="1" t="s">
        <v>11702</v>
      </c>
      <c r="C11703" s="3">
        <v>8</v>
      </c>
    </row>
    <row r="11704" spans="1:3" x14ac:dyDescent="0.25">
      <c r="A11704" s="1" t="s">
        <v>11703</v>
      </c>
      <c r="C11704" s="3">
        <v>8</v>
      </c>
    </row>
    <row r="11705" spans="1:3" x14ac:dyDescent="0.25">
      <c r="A11705" s="1" t="s">
        <v>11704</v>
      </c>
      <c r="C11705" s="3">
        <v>8</v>
      </c>
    </row>
    <row r="11706" spans="1:3" x14ac:dyDescent="0.25">
      <c r="A11706" s="1" t="s">
        <v>11705</v>
      </c>
      <c r="C11706" s="3">
        <v>8</v>
      </c>
    </row>
    <row r="11707" spans="1:3" x14ac:dyDescent="0.25">
      <c r="A11707" s="1" t="s">
        <v>11706</v>
      </c>
      <c r="C11707" s="3">
        <v>8</v>
      </c>
    </row>
    <row r="11708" spans="1:3" x14ac:dyDescent="0.25">
      <c r="A11708" s="1" t="s">
        <v>11707</v>
      </c>
      <c r="C11708" s="3">
        <v>8</v>
      </c>
    </row>
    <row r="11709" spans="1:3" x14ac:dyDescent="0.25">
      <c r="A11709" s="1" t="s">
        <v>11708</v>
      </c>
      <c r="C11709" s="3">
        <v>8</v>
      </c>
    </row>
    <row r="11710" spans="1:3" x14ac:dyDescent="0.25">
      <c r="A11710" s="1" t="s">
        <v>11709</v>
      </c>
      <c r="C11710" s="3">
        <v>8</v>
      </c>
    </row>
    <row r="11711" spans="1:3" x14ac:dyDescent="0.25">
      <c r="A11711" s="1" t="s">
        <v>11710</v>
      </c>
      <c r="C11711" s="3">
        <v>8</v>
      </c>
    </row>
    <row r="11712" spans="1:3" x14ac:dyDescent="0.25">
      <c r="A11712" s="1" t="s">
        <v>11711</v>
      </c>
      <c r="C11712" s="3">
        <v>8</v>
      </c>
    </row>
    <row r="11713" spans="1:3" x14ac:dyDescent="0.25">
      <c r="A11713" s="1" t="s">
        <v>11712</v>
      </c>
      <c r="C11713" s="3">
        <v>8</v>
      </c>
    </row>
    <row r="11714" spans="1:3" x14ac:dyDescent="0.25">
      <c r="A11714" s="1" t="s">
        <v>11713</v>
      </c>
      <c r="C11714" s="3">
        <v>8</v>
      </c>
    </row>
    <row r="11715" spans="1:3" x14ac:dyDescent="0.25">
      <c r="A11715" s="1" t="s">
        <v>11714</v>
      </c>
      <c r="C11715" s="3">
        <v>8</v>
      </c>
    </row>
    <row r="11716" spans="1:3" x14ac:dyDescent="0.25">
      <c r="A11716" s="1" t="s">
        <v>11715</v>
      </c>
      <c r="C11716" s="3">
        <v>8</v>
      </c>
    </row>
    <row r="11717" spans="1:3" x14ac:dyDescent="0.25">
      <c r="A11717" s="1" t="s">
        <v>11716</v>
      </c>
      <c r="C11717" s="3">
        <v>8</v>
      </c>
    </row>
    <row r="11718" spans="1:3" x14ac:dyDescent="0.25">
      <c r="A11718" s="1" t="s">
        <v>11717</v>
      </c>
      <c r="C11718" s="3">
        <v>8</v>
      </c>
    </row>
    <row r="11719" spans="1:3" x14ac:dyDescent="0.25">
      <c r="A11719" s="1" t="s">
        <v>11718</v>
      </c>
      <c r="C11719" s="3">
        <v>8</v>
      </c>
    </row>
    <row r="11720" spans="1:3" x14ac:dyDescent="0.25">
      <c r="A11720" s="1" t="s">
        <v>11719</v>
      </c>
      <c r="C11720" s="3">
        <v>8</v>
      </c>
    </row>
    <row r="11721" spans="1:3" x14ac:dyDescent="0.25">
      <c r="A11721" s="1" t="s">
        <v>11720</v>
      </c>
      <c r="C11721" s="3">
        <v>8</v>
      </c>
    </row>
    <row r="11722" spans="1:3" x14ac:dyDescent="0.25">
      <c r="A11722" s="1" t="s">
        <v>11721</v>
      </c>
      <c r="C11722" s="3">
        <v>8</v>
      </c>
    </row>
    <row r="11723" spans="1:3" x14ac:dyDescent="0.25">
      <c r="A11723" s="1" t="s">
        <v>11722</v>
      </c>
      <c r="C11723" s="3">
        <v>8</v>
      </c>
    </row>
    <row r="11724" spans="1:3" x14ac:dyDescent="0.25">
      <c r="A11724" s="1" t="s">
        <v>11723</v>
      </c>
      <c r="C11724" s="3">
        <v>8</v>
      </c>
    </row>
    <row r="11725" spans="1:3" x14ac:dyDescent="0.25">
      <c r="A11725" s="1" t="s">
        <v>11724</v>
      </c>
      <c r="C11725" s="3">
        <v>8</v>
      </c>
    </row>
    <row r="11726" spans="1:3" x14ac:dyDescent="0.25">
      <c r="A11726" s="1" t="s">
        <v>11725</v>
      </c>
      <c r="C11726" s="3">
        <v>8</v>
      </c>
    </row>
    <row r="11727" spans="1:3" x14ac:dyDescent="0.25">
      <c r="A11727" s="1" t="s">
        <v>11726</v>
      </c>
      <c r="C11727" s="3">
        <v>8</v>
      </c>
    </row>
    <row r="11728" spans="1:3" x14ac:dyDescent="0.25">
      <c r="A11728" s="1" t="s">
        <v>11727</v>
      </c>
      <c r="C11728" s="3">
        <v>8</v>
      </c>
    </row>
    <row r="11729" spans="1:3" x14ac:dyDescent="0.25">
      <c r="A11729" s="1" t="s">
        <v>11728</v>
      </c>
      <c r="C11729" s="3">
        <v>8</v>
      </c>
    </row>
    <row r="11730" spans="1:3" x14ac:dyDescent="0.25">
      <c r="A11730" s="1" t="s">
        <v>11729</v>
      </c>
      <c r="C11730" s="3">
        <v>8</v>
      </c>
    </row>
    <row r="11731" spans="1:3" x14ac:dyDescent="0.25">
      <c r="A11731" s="1" t="s">
        <v>11730</v>
      </c>
      <c r="C11731" s="3">
        <v>8</v>
      </c>
    </row>
    <row r="11732" spans="1:3" x14ac:dyDescent="0.25">
      <c r="A11732" s="1" t="s">
        <v>11731</v>
      </c>
      <c r="C11732" s="3">
        <v>8</v>
      </c>
    </row>
    <row r="11733" spans="1:3" x14ac:dyDescent="0.25">
      <c r="A11733" s="1" t="s">
        <v>11732</v>
      </c>
      <c r="C11733" s="3">
        <v>8</v>
      </c>
    </row>
    <row r="11734" spans="1:3" x14ac:dyDescent="0.25">
      <c r="A11734" s="1" t="s">
        <v>11733</v>
      </c>
      <c r="C11734" s="3">
        <v>8</v>
      </c>
    </row>
    <row r="11735" spans="1:3" x14ac:dyDescent="0.25">
      <c r="A11735" s="1" t="s">
        <v>11734</v>
      </c>
      <c r="C11735" s="3">
        <v>8</v>
      </c>
    </row>
    <row r="11736" spans="1:3" x14ac:dyDescent="0.25">
      <c r="A11736" s="1" t="s">
        <v>11735</v>
      </c>
      <c r="C11736" s="3">
        <v>8</v>
      </c>
    </row>
    <row r="11737" spans="1:3" x14ac:dyDescent="0.25">
      <c r="A11737" s="1" t="s">
        <v>11736</v>
      </c>
      <c r="C11737" s="3">
        <v>8</v>
      </c>
    </row>
    <row r="11738" spans="1:3" x14ac:dyDescent="0.25">
      <c r="A11738" s="1" t="s">
        <v>11737</v>
      </c>
      <c r="C11738" s="3">
        <v>8</v>
      </c>
    </row>
    <row r="11739" spans="1:3" x14ac:dyDescent="0.25">
      <c r="A11739" s="1" t="s">
        <v>11738</v>
      </c>
      <c r="C11739" s="3">
        <v>8</v>
      </c>
    </row>
    <row r="11740" spans="1:3" x14ac:dyDescent="0.25">
      <c r="A11740" s="1" t="s">
        <v>11739</v>
      </c>
      <c r="C11740" s="3">
        <v>8</v>
      </c>
    </row>
    <row r="11741" spans="1:3" x14ac:dyDescent="0.25">
      <c r="A11741" s="1" t="s">
        <v>11740</v>
      </c>
      <c r="C11741" s="3">
        <v>8</v>
      </c>
    </row>
    <row r="11742" spans="1:3" x14ac:dyDescent="0.25">
      <c r="A11742" s="1" t="s">
        <v>11741</v>
      </c>
      <c r="C11742" s="3">
        <v>8</v>
      </c>
    </row>
    <row r="11743" spans="1:3" x14ac:dyDescent="0.25">
      <c r="A11743" s="1" t="s">
        <v>11742</v>
      </c>
      <c r="C11743" s="3">
        <v>8</v>
      </c>
    </row>
    <row r="11744" spans="1:3" x14ac:dyDescent="0.25">
      <c r="A11744" s="1" t="s">
        <v>11743</v>
      </c>
      <c r="C11744" s="3">
        <v>8</v>
      </c>
    </row>
    <row r="11745" spans="1:3" x14ac:dyDescent="0.25">
      <c r="A11745" s="1" t="s">
        <v>11744</v>
      </c>
      <c r="C11745" s="3">
        <v>8</v>
      </c>
    </row>
    <row r="11746" spans="1:3" x14ac:dyDescent="0.25">
      <c r="A11746" s="1" t="s">
        <v>11745</v>
      </c>
      <c r="C11746" s="3">
        <v>8</v>
      </c>
    </row>
    <row r="11747" spans="1:3" x14ac:dyDescent="0.25">
      <c r="A11747" s="1" t="s">
        <v>11746</v>
      </c>
      <c r="C11747" s="3">
        <v>8</v>
      </c>
    </row>
    <row r="11748" spans="1:3" x14ac:dyDescent="0.25">
      <c r="A11748" s="1" t="s">
        <v>11747</v>
      </c>
      <c r="C11748" s="3">
        <v>8</v>
      </c>
    </row>
    <row r="11749" spans="1:3" x14ac:dyDescent="0.25">
      <c r="A11749" s="1" t="s">
        <v>11748</v>
      </c>
      <c r="C11749" s="3">
        <v>8</v>
      </c>
    </row>
    <row r="11750" spans="1:3" x14ac:dyDescent="0.25">
      <c r="A11750" s="1" t="s">
        <v>11749</v>
      </c>
      <c r="C11750" s="3">
        <v>8</v>
      </c>
    </row>
    <row r="11751" spans="1:3" x14ac:dyDescent="0.25">
      <c r="A11751" s="1" t="s">
        <v>11750</v>
      </c>
      <c r="C11751" s="3">
        <v>8</v>
      </c>
    </row>
    <row r="11752" spans="1:3" x14ac:dyDescent="0.25">
      <c r="A11752" s="1" t="s">
        <v>11751</v>
      </c>
      <c r="C11752" s="3">
        <v>8</v>
      </c>
    </row>
    <row r="11753" spans="1:3" x14ac:dyDescent="0.25">
      <c r="A11753" s="1" t="s">
        <v>11752</v>
      </c>
      <c r="C11753" s="3">
        <v>8</v>
      </c>
    </row>
    <row r="11754" spans="1:3" x14ac:dyDescent="0.25">
      <c r="A11754" s="1" t="s">
        <v>11753</v>
      </c>
      <c r="C11754" s="3">
        <v>8</v>
      </c>
    </row>
    <row r="11755" spans="1:3" x14ac:dyDescent="0.25">
      <c r="A11755" s="1" t="s">
        <v>11754</v>
      </c>
      <c r="C11755" s="3">
        <v>8</v>
      </c>
    </row>
    <row r="11756" spans="1:3" x14ac:dyDescent="0.25">
      <c r="A11756" s="1" t="s">
        <v>11755</v>
      </c>
      <c r="C11756" s="3">
        <v>8</v>
      </c>
    </row>
    <row r="11757" spans="1:3" x14ac:dyDescent="0.25">
      <c r="A11757" s="1" t="s">
        <v>11756</v>
      </c>
      <c r="C11757" s="3">
        <v>8</v>
      </c>
    </row>
    <row r="11758" spans="1:3" x14ac:dyDescent="0.25">
      <c r="A11758" s="1" t="s">
        <v>11757</v>
      </c>
      <c r="C11758" s="3">
        <v>8</v>
      </c>
    </row>
    <row r="11759" spans="1:3" x14ac:dyDescent="0.25">
      <c r="A11759" s="1" t="s">
        <v>11758</v>
      </c>
      <c r="C11759" s="3">
        <v>8</v>
      </c>
    </row>
    <row r="11760" spans="1:3" x14ac:dyDescent="0.25">
      <c r="A11760" s="1" t="s">
        <v>11759</v>
      </c>
      <c r="C11760" s="3">
        <v>8</v>
      </c>
    </row>
    <row r="11761" spans="1:3" x14ac:dyDescent="0.25">
      <c r="A11761" s="1" t="s">
        <v>11760</v>
      </c>
      <c r="C11761" s="3">
        <v>8</v>
      </c>
    </row>
    <row r="11762" spans="1:3" x14ac:dyDescent="0.25">
      <c r="A11762" s="1" t="s">
        <v>11761</v>
      </c>
      <c r="C11762" s="3">
        <v>8</v>
      </c>
    </row>
    <row r="11763" spans="1:3" x14ac:dyDescent="0.25">
      <c r="A11763" s="1" t="s">
        <v>11762</v>
      </c>
      <c r="C11763" s="3">
        <v>8</v>
      </c>
    </row>
    <row r="11764" spans="1:3" x14ac:dyDescent="0.25">
      <c r="A11764" s="1" t="s">
        <v>11763</v>
      </c>
      <c r="C11764" s="3">
        <v>8</v>
      </c>
    </row>
    <row r="11765" spans="1:3" x14ac:dyDescent="0.25">
      <c r="A11765" s="1" t="s">
        <v>11764</v>
      </c>
      <c r="C11765" s="3">
        <v>8</v>
      </c>
    </row>
    <row r="11766" spans="1:3" x14ac:dyDescent="0.25">
      <c r="A11766" s="1" t="s">
        <v>11765</v>
      </c>
      <c r="C11766" s="3">
        <v>8</v>
      </c>
    </row>
    <row r="11767" spans="1:3" x14ac:dyDescent="0.25">
      <c r="A11767" s="1" t="s">
        <v>11766</v>
      </c>
      <c r="C11767" s="3">
        <v>8</v>
      </c>
    </row>
    <row r="11768" spans="1:3" x14ac:dyDescent="0.25">
      <c r="A11768" s="1" t="s">
        <v>11767</v>
      </c>
      <c r="C11768" s="3">
        <v>8</v>
      </c>
    </row>
    <row r="11769" spans="1:3" x14ac:dyDescent="0.25">
      <c r="A11769" s="1" t="s">
        <v>11768</v>
      </c>
      <c r="C11769" s="3">
        <v>8</v>
      </c>
    </row>
    <row r="11770" spans="1:3" x14ac:dyDescent="0.25">
      <c r="A11770" s="1" t="s">
        <v>11769</v>
      </c>
      <c r="C11770" s="3">
        <v>8</v>
      </c>
    </row>
    <row r="11771" spans="1:3" x14ac:dyDescent="0.25">
      <c r="A11771" s="1" t="s">
        <v>11770</v>
      </c>
      <c r="C11771" s="3">
        <v>8</v>
      </c>
    </row>
    <row r="11772" spans="1:3" x14ac:dyDescent="0.25">
      <c r="A11772" s="1" t="s">
        <v>11771</v>
      </c>
      <c r="C11772" s="3">
        <v>8</v>
      </c>
    </row>
    <row r="11773" spans="1:3" x14ac:dyDescent="0.25">
      <c r="A11773" s="1" t="s">
        <v>11772</v>
      </c>
      <c r="C11773" s="3">
        <v>8</v>
      </c>
    </row>
    <row r="11774" spans="1:3" x14ac:dyDescent="0.25">
      <c r="A11774" s="1" t="s">
        <v>11773</v>
      </c>
      <c r="C11774" s="3">
        <v>8</v>
      </c>
    </row>
    <row r="11775" spans="1:3" x14ac:dyDescent="0.25">
      <c r="A11775" s="1" t="s">
        <v>11774</v>
      </c>
      <c r="C11775" s="3">
        <v>8</v>
      </c>
    </row>
    <row r="11776" spans="1:3" x14ac:dyDescent="0.25">
      <c r="A11776" s="1" t="s">
        <v>11775</v>
      </c>
      <c r="C11776" s="3">
        <v>8</v>
      </c>
    </row>
    <row r="11777" spans="1:3" x14ac:dyDescent="0.25">
      <c r="A11777" s="1" t="s">
        <v>11776</v>
      </c>
      <c r="C11777" s="3">
        <v>8</v>
      </c>
    </row>
    <row r="11778" spans="1:3" x14ac:dyDescent="0.25">
      <c r="A11778" s="1" t="s">
        <v>11777</v>
      </c>
      <c r="C11778" s="3">
        <v>8</v>
      </c>
    </row>
    <row r="11779" spans="1:3" x14ac:dyDescent="0.25">
      <c r="A11779" s="1" t="s">
        <v>11778</v>
      </c>
      <c r="C11779" s="3">
        <v>8</v>
      </c>
    </row>
    <row r="11780" spans="1:3" x14ac:dyDescent="0.25">
      <c r="A11780" s="1" t="s">
        <v>11779</v>
      </c>
      <c r="C11780" s="3">
        <v>8</v>
      </c>
    </row>
    <row r="11781" spans="1:3" x14ac:dyDescent="0.25">
      <c r="A11781" s="1" t="s">
        <v>11780</v>
      </c>
      <c r="C11781" s="3">
        <v>8</v>
      </c>
    </row>
    <row r="11782" spans="1:3" x14ac:dyDescent="0.25">
      <c r="A11782" s="1" t="s">
        <v>11781</v>
      </c>
      <c r="C11782" s="3">
        <v>8</v>
      </c>
    </row>
    <row r="11783" spans="1:3" x14ac:dyDescent="0.25">
      <c r="A11783" s="1" t="s">
        <v>11782</v>
      </c>
      <c r="C11783" s="3">
        <v>8</v>
      </c>
    </row>
    <row r="11784" spans="1:3" x14ac:dyDescent="0.25">
      <c r="A11784" s="1" t="s">
        <v>11783</v>
      </c>
      <c r="C11784" s="3">
        <v>8</v>
      </c>
    </row>
    <row r="11785" spans="1:3" x14ac:dyDescent="0.25">
      <c r="A11785" s="1" t="s">
        <v>11784</v>
      </c>
      <c r="C11785" s="3">
        <v>8</v>
      </c>
    </row>
    <row r="11786" spans="1:3" x14ac:dyDescent="0.25">
      <c r="A11786" s="1" t="s">
        <v>11785</v>
      </c>
      <c r="C11786" s="3">
        <v>8</v>
      </c>
    </row>
    <row r="11787" spans="1:3" x14ac:dyDescent="0.25">
      <c r="A11787" s="1" t="s">
        <v>11786</v>
      </c>
      <c r="C11787" s="3">
        <v>8</v>
      </c>
    </row>
    <row r="11788" spans="1:3" x14ac:dyDescent="0.25">
      <c r="A11788" s="1" t="s">
        <v>11787</v>
      </c>
      <c r="C11788" s="3">
        <v>8</v>
      </c>
    </row>
    <row r="11789" spans="1:3" x14ac:dyDescent="0.25">
      <c r="A11789" s="1" t="s">
        <v>11788</v>
      </c>
      <c r="C11789" s="3">
        <v>8</v>
      </c>
    </row>
    <row r="11790" spans="1:3" x14ac:dyDescent="0.25">
      <c r="A11790" s="1" t="s">
        <v>11789</v>
      </c>
      <c r="C11790" s="3">
        <v>8</v>
      </c>
    </row>
    <row r="11791" spans="1:3" x14ac:dyDescent="0.25">
      <c r="A11791" s="1" t="s">
        <v>11790</v>
      </c>
      <c r="C11791" s="3">
        <v>8</v>
      </c>
    </row>
    <row r="11792" spans="1:3" x14ac:dyDescent="0.25">
      <c r="A11792" s="1" t="s">
        <v>11791</v>
      </c>
      <c r="C11792" s="3">
        <v>8</v>
      </c>
    </row>
    <row r="11793" spans="1:3" x14ac:dyDescent="0.25">
      <c r="A11793" s="1" t="s">
        <v>11792</v>
      </c>
      <c r="C11793" s="3">
        <v>8</v>
      </c>
    </row>
    <row r="11794" spans="1:3" x14ac:dyDescent="0.25">
      <c r="A11794" s="1" t="s">
        <v>11793</v>
      </c>
      <c r="C11794" s="3">
        <v>8</v>
      </c>
    </row>
    <row r="11795" spans="1:3" x14ac:dyDescent="0.25">
      <c r="A11795" s="1" t="s">
        <v>11794</v>
      </c>
      <c r="C11795" s="3">
        <v>8</v>
      </c>
    </row>
    <row r="11796" spans="1:3" x14ac:dyDescent="0.25">
      <c r="A11796" s="1" t="s">
        <v>11795</v>
      </c>
      <c r="C11796" s="3">
        <v>8</v>
      </c>
    </row>
    <row r="11797" spans="1:3" x14ac:dyDescent="0.25">
      <c r="A11797" s="1" t="s">
        <v>11796</v>
      </c>
      <c r="C11797" s="3">
        <v>8</v>
      </c>
    </row>
    <row r="11798" spans="1:3" x14ac:dyDescent="0.25">
      <c r="A11798" s="1" t="s">
        <v>11797</v>
      </c>
      <c r="C11798" s="3">
        <v>8</v>
      </c>
    </row>
    <row r="11799" spans="1:3" x14ac:dyDescent="0.25">
      <c r="A11799" s="1" t="s">
        <v>11798</v>
      </c>
      <c r="C11799" s="3">
        <v>8</v>
      </c>
    </row>
    <row r="11800" spans="1:3" x14ac:dyDescent="0.25">
      <c r="A11800" s="1" t="s">
        <v>11799</v>
      </c>
      <c r="C11800" s="3">
        <v>8</v>
      </c>
    </row>
    <row r="11801" spans="1:3" x14ac:dyDescent="0.25">
      <c r="A11801" s="1" t="s">
        <v>11800</v>
      </c>
      <c r="C11801" s="3">
        <v>8</v>
      </c>
    </row>
    <row r="11802" spans="1:3" x14ac:dyDescent="0.25">
      <c r="A11802" s="1" t="s">
        <v>11801</v>
      </c>
      <c r="C11802" s="3">
        <v>8</v>
      </c>
    </row>
    <row r="11803" spans="1:3" x14ac:dyDescent="0.25">
      <c r="A11803" s="1" t="s">
        <v>11802</v>
      </c>
      <c r="C11803" s="3">
        <v>8</v>
      </c>
    </row>
    <row r="11804" spans="1:3" x14ac:dyDescent="0.25">
      <c r="A11804" s="1" t="s">
        <v>11803</v>
      </c>
      <c r="C11804" s="3">
        <v>8</v>
      </c>
    </row>
    <row r="11805" spans="1:3" x14ac:dyDescent="0.25">
      <c r="A11805" s="1" t="s">
        <v>11804</v>
      </c>
      <c r="C11805" s="3">
        <v>8</v>
      </c>
    </row>
    <row r="11806" spans="1:3" x14ac:dyDescent="0.25">
      <c r="A11806" s="1" t="s">
        <v>11805</v>
      </c>
      <c r="C11806" s="3">
        <v>8</v>
      </c>
    </row>
    <row r="11807" spans="1:3" x14ac:dyDescent="0.25">
      <c r="A11807" s="1" t="s">
        <v>11806</v>
      </c>
      <c r="C11807" s="3">
        <v>8</v>
      </c>
    </row>
    <row r="11808" spans="1:3" x14ac:dyDescent="0.25">
      <c r="A11808" s="1" t="s">
        <v>11807</v>
      </c>
      <c r="C11808" s="3">
        <v>8</v>
      </c>
    </row>
    <row r="11809" spans="1:3" x14ac:dyDescent="0.25">
      <c r="A11809" s="1" t="s">
        <v>11808</v>
      </c>
      <c r="C11809" s="3">
        <v>8</v>
      </c>
    </row>
    <row r="11810" spans="1:3" x14ac:dyDescent="0.25">
      <c r="A11810" s="1" t="s">
        <v>11809</v>
      </c>
      <c r="C11810" s="3">
        <v>8</v>
      </c>
    </row>
    <row r="11811" spans="1:3" x14ac:dyDescent="0.25">
      <c r="A11811" s="1" t="s">
        <v>11810</v>
      </c>
      <c r="C11811" s="3">
        <v>8</v>
      </c>
    </row>
    <row r="11812" spans="1:3" x14ac:dyDescent="0.25">
      <c r="A11812" s="1" t="s">
        <v>11811</v>
      </c>
      <c r="C11812" s="3">
        <v>8</v>
      </c>
    </row>
    <row r="11813" spans="1:3" x14ac:dyDescent="0.25">
      <c r="A11813" s="1" t="s">
        <v>11812</v>
      </c>
      <c r="C11813" s="3">
        <v>8</v>
      </c>
    </row>
    <row r="11814" spans="1:3" x14ac:dyDescent="0.25">
      <c r="A11814" s="1" t="s">
        <v>11813</v>
      </c>
      <c r="C11814" s="3">
        <v>8</v>
      </c>
    </row>
    <row r="11815" spans="1:3" x14ac:dyDescent="0.25">
      <c r="A11815" s="1" t="s">
        <v>11814</v>
      </c>
      <c r="C11815" s="3">
        <v>8</v>
      </c>
    </row>
    <row r="11816" spans="1:3" x14ac:dyDescent="0.25">
      <c r="A11816" s="1" t="s">
        <v>11815</v>
      </c>
      <c r="C11816" s="3">
        <v>8</v>
      </c>
    </row>
    <row r="11817" spans="1:3" x14ac:dyDescent="0.25">
      <c r="A11817" s="1" t="s">
        <v>11816</v>
      </c>
      <c r="C11817" s="3">
        <v>8</v>
      </c>
    </row>
    <row r="11818" spans="1:3" x14ac:dyDescent="0.25">
      <c r="A11818" s="1" t="s">
        <v>11817</v>
      </c>
      <c r="C11818" s="3">
        <v>8</v>
      </c>
    </row>
    <row r="11819" spans="1:3" x14ac:dyDescent="0.25">
      <c r="A11819" s="1" t="s">
        <v>11818</v>
      </c>
      <c r="C11819" s="3">
        <v>8</v>
      </c>
    </row>
    <row r="11820" spans="1:3" x14ac:dyDescent="0.25">
      <c r="A11820" s="1" t="s">
        <v>11819</v>
      </c>
      <c r="C11820" s="3">
        <v>8</v>
      </c>
    </row>
    <row r="11821" spans="1:3" x14ac:dyDescent="0.25">
      <c r="A11821" s="1" t="s">
        <v>11820</v>
      </c>
      <c r="C11821" s="3">
        <v>8</v>
      </c>
    </row>
    <row r="11822" spans="1:3" x14ac:dyDescent="0.25">
      <c r="A11822" s="1" t="s">
        <v>11821</v>
      </c>
      <c r="C11822" s="3">
        <v>8</v>
      </c>
    </row>
    <row r="11823" spans="1:3" x14ac:dyDescent="0.25">
      <c r="A11823" s="1" t="s">
        <v>11822</v>
      </c>
      <c r="C11823" s="3">
        <v>8</v>
      </c>
    </row>
    <row r="11824" spans="1:3" x14ac:dyDescent="0.25">
      <c r="A11824" s="1" t="s">
        <v>11823</v>
      </c>
      <c r="C11824" s="3">
        <v>8</v>
      </c>
    </row>
    <row r="11825" spans="1:3" x14ac:dyDescent="0.25">
      <c r="A11825" s="1" t="s">
        <v>11824</v>
      </c>
      <c r="C11825" s="3">
        <v>8</v>
      </c>
    </row>
    <row r="11826" spans="1:3" x14ac:dyDescent="0.25">
      <c r="A11826" s="1" t="s">
        <v>11825</v>
      </c>
      <c r="C11826" s="3">
        <v>8</v>
      </c>
    </row>
    <row r="11827" spans="1:3" x14ac:dyDescent="0.25">
      <c r="A11827" s="1" t="s">
        <v>11826</v>
      </c>
      <c r="C11827" s="3">
        <v>8</v>
      </c>
    </row>
    <row r="11828" spans="1:3" x14ac:dyDescent="0.25">
      <c r="A11828" s="1" t="s">
        <v>11827</v>
      </c>
      <c r="C11828" s="3">
        <v>8</v>
      </c>
    </row>
    <row r="11829" spans="1:3" x14ac:dyDescent="0.25">
      <c r="A11829" s="1" t="s">
        <v>11828</v>
      </c>
      <c r="C11829" s="3">
        <v>8</v>
      </c>
    </row>
    <row r="11830" spans="1:3" x14ac:dyDescent="0.25">
      <c r="A11830" s="1" t="s">
        <v>11829</v>
      </c>
      <c r="C11830" s="3">
        <v>8</v>
      </c>
    </row>
    <row r="11831" spans="1:3" x14ac:dyDescent="0.25">
      <c r="A11831" s="1" t="s">
        <v>11830</v>
      </c>
      <c r="C11831" s="3">
        <v>8</v>
      </c>
    </row>
    <row r="11832" spans="1:3" x14ac:dyDescent="0.25">
      <c r="A11832" s="1" t="s">
        <v>11831</v>
      </c>
      <c r="C11832" s="3">
        <v>8</v>
      </c>
    </row>
    <row r="11833" spans="1:3" x14ac:dyDescent="0.25">
      <c r="A11833" s="1" t="s">
        <v>11832</v>
      </c>
      <c r="C11833" s="3">
        <v>8</v>
      </c>
    </row>
    <row r="11834" spans="1:3" x14ac:dyDescent="0.25">
      <c r="A11834" s="1" t="s">
        <v>11833</v>
      </c>
      <c r="C11834" s="3">
        <v>8</v>
      </c>
    </row>
    <row r="11835" spans="1:3" x14ac:dyDescent="0.25">
      <c r="A11835" s="1" t="s">
        <v>11834</v>
      </c>
      <c r="C11835" s="3">
        <v>8</v>
      </c>
    </row>
    <row r="11836" spans="1:3" x14ac:dyDescent="0.25">
      <c r="A11836" s="1" t="s">
        <v>11835</v>
      </c>
      <c r="C11836" s="3">
        <v>8</v>
      </c>
    </row>
    <row r="11837" spans="1:3" x14ac:dyDescent="0.25">
      <c r="A11837" s="1" t="s">
        <v>11836</v>
      </c>
      <c r="C11837" s="3">
        <v>8</v>
      </c>
    </row>
    <row r="11838" spans="1:3" x14ac:dyDescent="0.25">
      <c r="A11838" s="1" t="s">
        <v>11837</v>
      </c>
      <c r="C11838" s="3">
        <v>8</v>
      </c>
    </row>
    <row r="11839" spans="1:3" x14ac:dyDescent="0.25">
      <c r="A11839" s="1" t="s">
        <v>11838</v>
      </c>
      <c r="C11839" s="3">
        <v>8</v>
      </c>
    </row>
    <row r="11840" spans="1:3" x14ac:dyDescent="0.25">
      <c r="A11840" s="1" t="s">
        <v>11839</v>
      </c>
      <c r="C11840" s="3">
        <v>8</v>
      </c>
    </row>
    <row r="11841" spans="1:3" x14ac:dyDescent="0.25">
      <c r="A11841" s="1" t="s">
        <v>11840</v>
      </c>
      <c r="C11841" s="3">
        <v>8</v>
      </c>
    </row>
    <row r="11842" spans="1:3" x14ac:dyDescent="0.25">
      <c r="A11842" s="1" t="s">
        <v>11841</v>
      </c>
      <c r="C11842" s="3">
        <v>8</v>
      </c>
    </row>
    <row r="11843" spans="1:3" x14ac:dyDescent="0.25">
      <c r="A11843" s="1" t="s">
        <v>11842</v>
      </c>
      <c r="C11843" s="3">
        <v>8</v>
      </c>
    </row>
    <row r="11844" spans="1:3" x14ac:dyDescent="0.25">
      <c r="A11844" s="1" t="s">
        <v>11843</v>
      </c>
      <c r="C11844" s="3">
        <v>8</v>
      </c>
    </row>
    <row r="11845" spans="1:3" x14ac:dyDescent="0.25">
      <c r="A11845" s="1" t="s">
        <v>11844</v>
      </c>
      <c r="C11845" s="3">
        <v>8</v>
      </c>
    </row>
    <row r="11846" spans="1:3" x14ac:dyDescent="0.25">
      <c r="A11846" s="1" t="s">
        <v>11845</v>
      </c>
      <c r="C11846" s="3">
        <v>8</v>
      </c>
    </row>
    <row r="11847" spans="1:3" x14ac:dyDescent="0.25">
      <c r="A11847" s="1" t="s">
        <v>11846</v>
      </c>
      <c r="C11847" s="3">
        <v>8</v>
      </c>
    </row>
    <row r="11848" spans="1:3" x14ac:dyDescent="0.25">
      <c r="A11848" s="1" t="s">
        <v>11847</v>
      </c>
      <c r="C11848" s="3">
        <v>8</v>
      </c>
    </row>
    <row r="11849" spans="1:3" x14ac:dyDescent="0.25">
      <c r="A11849" s="1" t="s">
        <v>11848</v>
      </c>
      <c r="C11849" s="3">
        <v>8</v>
      </c>
    </row>
    <row r="11850" spans="1:3" x14ac:dyDescent="0.25">
      <c r="A11850" s="1" t="s">
        <v>11849</v>
      </c>
      <c r="C11850" s="3">
        <v>8</v>
      </c>
    </row>
    <row r="11851" spans="1:3" x14ac:dyDescent="0.25">
      <c r="A11851" s="1" t="s">
        <v>11850</v>
      </c>
      <c r="C11851" s="3">
        <v>8</v>
      </c>
    </row>
    <row r="11852" spans="1:3" x14ac:dyDescent="0.25">
      <c r="A11852" s="1" t="s">
        <v>11851</v>
      </c>
      <c r="C11852" s="3">
        <v>8</v>
      </c>
    </row>
    <row r="11853" spans="1:3" x14ac:dyDescent="0.25">
      <c r="A11853" s="1" t="s">
        <v>11852</v>
      </c>
      <c r="C11853" s="3">
        <v>8</v>
      </c>
    </row>
    <row r="11854" spans="1:3" x14ac:dyDescent="0.25">
      <c r="A11854" s="1" t="s">
        <v>11853</v>
      </c>
      <c r="C11854" s="3">
        <v>8</v>
      </c>
    </row>
    <row r="11855" spans="1:3" x14ac:dyDescent="0.25">
      <c r="A11855" s="1" t="s">
        <v>11854</v>
      </c>
      <c r="C11855" s="3">
        <v>8</v>
      </c>
    </row>
    <row r="11856" spans="1:3" x14ac:dyDescent="0.25">
      <c r="A11856" s="1" t="s">
        <v>11855</v>
      </c>
      <c r="C11856" s="3">
        <v>8</v>
      </c>
    </row>
    <row r="11857" spans="1:3" x14ac:dyDescent="0.25">
      <c r="A11857" s="1" t="s">
        <v>11856</v>
      </c>
      <c r="C11857" s="3">
        <v>8</v>
      </c>
    </row>
    <row r="11858" spans="1:3" x14ac:dyDescent="0.25">
      <c r="A11858" s="1" t="s">
        <v>11857</v>
      </c>
      <c r="C11858" s="3">
        <v>8</v>
      </c>
    </row>
    <row r="11859" spans="1:3" x14ac:dyDescent="0.25">
      <c r="A11859" s="1" t="s">
        <v>11858</v>
      </c>
      <c r="C11859" s="3">
        <v>8</v>
      </c>
    </row>
    <row r="11860" spans="1:3" x14ac:dyDescent="0.25">
      <c r="A11860" s="1" t="s">
        <v>11859</v>
      </c>
      <c r="C11860" s="3">
        <v>8</v>
      </c>
    </row>
    <row r="11861" spans="1:3" x14ac:dyDescent="0.25">
      <c r="A11861" s="1" t="s">
        <v>11860</v>
      </c>
      <c r="C11861" s="3">
        <v>8</v>
      </c>
    </row>
    <row r="11862" spans="1:3" x14ac:dyDescent="0.25">
      <c r="A11862" s="1" t="s">
        <v>11861</v>
      </c>
      <c r="C11862" s="3">
        <v>8</v>
      </c>
    </row>
    <row r="11863" spans="1:3" x14ac:dyDescent="0.25">
      <c r="A11863" s="1" t="s">
        <v>11862</v>
      </c>
      <c r="C11863" s="3">
        <v>8</v>
      </c>
    </row>
    <row r="11864" spans="1:3" x14ac:dyDescent="0.25">
      <c r="A11864" s="1" t="s">
        <v>11863</v>
      </c>
      <c r="C11864" s="3">
        <v>8</v>
      </c>
    </row>
    <row r="11865" spans="1:3" x14ac:dyDescent="0.25">
      <c r="A11865" s="1" t="s">
        <v>11864</v>
      </c>
      <c r="C11865" s="3">
        <v>8</v>
      </c>
    </row>
    <row r="11866" spans="1:3" x14ac:dyDescent="0.25">
      <c r="A11866" s="1" t="s">
        <v>11865</v>
      </c>
      <c r="C11866" s="3">
        <v>8</v>
      </c>
    </row>
    <row r="11867" spans="1:3" x14ac:dyDescent="0.25">
      <c r="A11867" s="1" t="s">
        <v>11866</v>
      </c>
      <c r="C11867" s="3">
        <v>8</v>
      </c>
    </row>
    <row r="11868" spans="1:3" x14ac:dyDescent="0.25">
      <c r="A11868" s="1" t="s">
        <v>11867</v>
      </c>
      <c r="C11868" s="3">
        <v>8</v>
      </c>
    </row>
    <row r="11869" spans="1:3" x14ac:dyDescent="0.25">
      <c r="A11869" s="1" t="s">
        <v>11868</v>
      </c>
      <c r="C11869" s="3">
        <v>8</v>
      </c>
    </row>
    <row r="11870" spans="1:3" x14ac:dyDescent="0.25">
      <c r="A11870" s="1" t="s">
        <v>11869</v>
      </c>
      <c r="C11870" s="3">
        <v>8</v>
      </c>
    </row>
    <row r="11871" spans="1:3" x14ac:dyDescent="0.25">
      <c r="A11871" s="1" t="s">
        <v>11870</v>
      </c>
      <c r="C11871" s="3">
        <v>8</v>
      </c>
    </row>
    <row r="11872" spans="1:3" x14ac:dyDescent="0.25">
      <c r="A11872" s="1" t="s">
        <v>11871</v>
      </c>
      <c r="C11872" s="3">
        <v>8</v>
      </c>
    </row>
    <row r="11873" spans="1:3" x14ac:dyDescent="0.25">
      <c r="A11873" s="1" t="s">
        <v>11872</v>
      </c>
      <c r="C11873" s="3">
        <v>8</v>
      </c>
    </row>
    <row r="11874" spans="1:3" x14ac:dyDescent="0.25">
      <c r="A11874" s="1" t="s">
        <v>11873</v>
      </c>
      <c r="C11874" s="3">
        <v>8</v>
      </c>
    </row>
    <row r="11875" spans="1:3" x14ac:dyDescent="0.25">
      <c r="A11875" s="1" t="s">
        <v>11874</v>
      </c>
      <c r="C11875" s="3">
        <v>8</v>
      </c>
    </row>
    <row r="11876" spans="1:3" x14ac:dyDescent="0.25">
      <c r="A11876" s="1" t="s">
        <v>11875</v>
      </c>
      <c r="C11876" s="3">
        <v>8</v>
      </c>
    </row>
    <row r="11877" spans="1:3" x14ac:dyDescent="0.25">
      <c r="A11877" s="1" t="s">
        <v>11876</v>
      </c>
      <c r="C11877" s="3">
        <v>8</v>
      </c>
    </row>
    <row r="11878" spans="1:3" x14ac:dyDescent="0.25">
      <c r="A11878" s="1" t="s">
        <v>11877</v>
      </c>
      <c r="C11878" s="3">
        <v>8</v>
      </c>
    </row>
    <row r="11879" spans="1:3" x14ac:dyDescent="0.25">
      <c r="A11879" s="1" t="s">
        <v>11878</v>
      </c>
      <c r="C11879" s="3">
        <v>8</v>
      </c>
    </row>
    <row r="11880" spans="1:3" x14ac:dyDescent="0.25">
      <c r="A11880" s="1" t="s">
        <v>11879</v>
      </c>
      <c r="C11880" s="3">
        <v>8</v>
      </c>
    </row>
    <row r="11881" spans="1:3" x14ac:dyDescent="0.25">
      <c r="A11881" s="1" t="s">
        <v>11880</v>
      </c>
      <c r="C11881" s="3">
        <v>8</v>
      </c>
    </row>
    <row r="11882" spans="1:3" x14ac:dyDescent="0.25">
      <c r="A11882" s="1" t="s">
        <v>11881</v>
      </c>
      <c r="C11882" s="3">
        <v>8</v>
      </c>
    </row>
    <row r="11883" spans="1:3" x14ac:dyDescent="0.25">
      <c r="A11883" s="1" t="s">
        <v>11882</v>
      </c>
      <c r="C11883" s="3">
        <v>8</v>
      </c>
    </row>
    <row r="11884" spans="1:3" x14ac:dyDescent="0.25">
      <c r="A11884" s="1" t="s">
        <v>11883</v>
      </c>
      <c r="C11884" s="3">
        <v>8</v>
      </c>
    </row>
    <row r="11885" spans="1:3" x14ac:dyDescent="0.25">
      <c r="A11885" s="1" t="s">
        <v>11884</v>
      </c>
      <c r="C11885" s="3">
        <v>8</v>
      </c>
    </row>
    <row r="11886" spans="1:3" x14ac:dyDescent="0.25">
      <c r="A11886" s="1" t="s">
        <v>11885</v>
      </c>
      <c r="C11886" s="3">
        <v>8</v>
      </c>
    </row>
    <row r="11887" spans="1:3" x14ac:dyDescent="0.25">
      <c r="A11887" s="1" t="s">
        <v>11886</v>
      </c>
      <c r="C11887" s="3">
        <v>8</v>
      </c>
    </row>
    <row r="11888" spans="1:3" x14ac:dyDescent="0.25">
      <c r="A11888" s="1" t="s">
        <v>11887</v>
      </c>
      <c r="C11888" s="3">
        <v>8</v>
      </c>
    </row>
    <row r="11889" spans="1:3" x14ac:dyDescent="0.25">
      <c r="A11889" s="1" t="s">
        <v>11888</v>
      </c>
      <c r="C11889" s="3">
        <v>8</v>
      </c>
    </row>
    <row r="11890" spans="1:3" x14ac:dyDescent="0.25">
      <c r="A11890" s="1" t="s">
        <v>11889</v>
      </c>
      <c r="C11890" s="3">
        <v>8</v>
      </c>
    </row>
    <row r="11891" spans="1:3" x14ac:dyDescent="0.25">
      <c r="A11891" s="1" t="s">
        <v>11890</v>
      </c>
      <c r="C11891" s="3">
        <v>8</v>
      </c>
    </row>
    <row r="11892" spans="1:3" x14ac:dyDescent="0.25">
      <c r="A11892" s="1" t="s">
        <v>11891</v>
      </c>
      <c r="C11892" s="3">
        <v>8</v>
      </c>
    </row>
    <row r="11893" spans="1:3" x14ac:dyDescent="0.25">
      <c r="A11893" s="1" t="s">
        <v>11892</v>
      </c>
      <c r="C11893" s="3">
        <v>8</v>
      </c>
    </row>
    <row r="11894" spans="1:3" x14ac:dyDescent="0.25">
      <c r="A11894" s="1" t="s">
        <v>11893</v>
      </c>
      <c r="C11894" s="3">
        <v>8</v>
      </c>
    </row>
    <row r="11895" spans="1:3" x14ac:dyDescent="0.25">
      <c r="A11895" s="1" t="s">
        <v>11894</v>
      </c>
      <c r="C11895" s="3">
        <v>8</v>
      </c>
    </row>
    <row r="11896" spans="1:3" x14ac:dyDescent="0.25">
      <c r="A11896" s="1" t="s">
        <v>11895</v>
      </c>
      <c r="C11896" s="3">
        <v>8</v>
      </c>
    </row>
    <row r="11897" spans="1:3" x14ac:dyDescent="0.25">
      <c r="A11897" s="1" t="s">
        <v>11896</v>
      </c>
      <c r="C11897" s="3">
        <v>8</v>
      </c>
    </row>
    <row r="11898" spans="1:3" x14ac:dyDescent="0.25">
      <c r="A11898" s="1" t="s">
        <v>11897</v>
      </c>
      <c r="C11898" s="3">
        <v>8</v>
      </c>
    </row>
    <row r="11899" spans="1:3" x14ac:dyDescent="0.25">
      <c r="A11899" s="1" t="s">
        <v>11898</v>
      </c>
      <c r="C11899" s="3">
        <v>8</v>
      </c>
    </row>
    <row r="11900" spans="1:3" x14ac:dyDescent="0.25">
      <c r="A11900" s="1" t="s">
        <v>11899</v>
      </c>
      <c r="C11900" s="3">
        <v>8</v>
      </c>
    </row>
    <row r="11901" spans="1:3" x14ac:dyDescent="0.25">
      <c r="A11901" s="1" t="s">
        <v>11900</v>
      </c>
      <c r="C11901" s="3">
        <v>8</v>
      </c>
    </row>
    <row r="11902" spans="1:3" x14ac:dyDescent="0.25">
      <c r="A11902" s="1" t="s">
        <v>11901</v>
      </c>
      <c r="C11902" s="3">
        <v>8</v>
      </c>
    </row>
    <row r="11903" spans="1:3" x14ac:dyDescent="0.25">
      <c r="A11903" s="1" t="s">
        <v>11902</v>
      </c>
      <c r="C11903" s="3">
        <v>8</v>
      </c>
    </row>
    <row r="11904" spans="1:3" x14ac:dyDescent="0.25">
      <c r="A11904" s="1" t="s">
        <v>11903</v>
      </c>
      <c r="C11904" s="3">
        <v>8</v>
      </c>
    </row>
    <row r="11905" spans="1:3" x14ac:dyDescent="0.25">
      <c r="A11905" s="1" t="s">
        <v>11904</v>
      </c>
      <c r="C11905" s="3">
        <v>8</v>
      </c>
    </row>
    <row r="11906" spans="1:3" x14ac:dyDescent="0.25">
      <c r="A11906" s="1" t="s">
        <v>11905</v>
      </c>
      <c r="C11906" s="3">
        <v>8</v>
      </c>
    </row>
    <row r="11907" spans="1:3" x14ac:dyDescent="0.25">
      <c r="A11907" s="1" t="s">
        <v>11906</v>
      </c>
      <c r="C11907" s="3">
        <v>8</v>
      </c>
    </row>
    <row r="11908" spans="1:3" x14ac:dyDescent="0.25">
      <c r="A11908" s="1" t="s">
        <v>11907</v>
      </c>
      <c r="C11908" s="3">
        <v>8</v>
      </c>
    </row>
    <row r="11909" spans="1:3" x14ac:dyDescent="0.25">
      <c r="A11909" s="1" t="s">
        <v>11908</v>
      </c>
      <c r="C11909" s="3">
        <v>8</v>
      </c>
    </row>
    <row r="11910" spans="1:3" x14ac:dyDescent="0.25">
      <c r="A11910" s="1" t="s">
        <v>11909</v>
      </c>
      <c r="C11910" s="3">
        <v>8</v>
      </c>
    </row>
    <row r="11911" spans="1:3" x14ac:dyDescent="0.25">
      <c r="A11911" s="1" t="s">
        <v>11910</v>
      </c>
      <c r="C11911" s="3">
        <v>8</v>
      </c>
    </row>
    <row r="11912" spans="1:3" x14ac:dyDescent="0.25">
      <c r="A11912" s="1" t="s">
        <v>11911</v>
      </c>
      <c r="C11912" s="3">
        <v>8</v>
      </c>
    </row>
    <row r="11913" spans="1:3" x14ac:dyDescent="0.25">
      <c r="A11913" s="1" t="s">
        <v>11912</v>
      </c>
      <c r="C11913" s="3">
        <v>8</v>
      </c>
    </row>
    <row r="11914" spans="1:3" x14ac:dyDescent="0.25">
      <c r="A11914" s="1" t="s">
        <v>11913</v>
      </c>
      <c r="C11914" s="3">
        <v>8</v>
      </c>
    </row>
    <row r="11915" spans="1:3" x14ac:dyDescent="0.25">
      <c r="A11915" s="1" t="s">
        <v>11914</v>
      </c>
      <c r="C11915" s="3">
        <v>8</v>
      </c>
    </row>
    <row r="11916" spans="1:3" x14ac:dyDescent="0.25">
      <c r="A11916" s="1" t="s">
        <v>11915</v>
      </c>
      <c r="C11916" s="3">
        <v>8</v>
      </c>
    </row>
    <row r="11917" spans="1:3" x14ac:dyDescent="0.25">
      <c r="A11917" s="1" t="s">
        <v>11916</v>
      </c>
      <c r="C11917" s="3">
        <v>8</v>
      </c>
    </row>
    <row r="11918" spans="1:3" x14ac:dyDescent="0.25">
      <c r="A11918" s="1" t="s">
        <v>11917</v>
      </c>
      <c r="C11918" s="3">
        <v>8</v>
      </c>
    </row>
    <row r="11919" spans="1:3" x14ac:dyDescent="0.25">
      <c r="A11919" s="1" t="s">
        <v>11918</v>
      </c>
      <c r="C11919" s="3">
        <v>8</v>
      </c>
    </row>
    <row r="11920" spans="1:3" x14ac:dyDescent="0.25">
      <c r="A11920" s="1" t="s">
        <v>11919</v>
      </c>
      <c r="C11920" s="3">
        <v>8</v>
      </c>
    </row>
    <row r="11921" spans="1:3" x14ac:dyDescent="0.25">
      <c r="A11921" s="1" t="s">
        <v>11920</v>
      </c>
      <c r="C11921" s="3">
        <v>8</v>
      </c>
    </row>
    <row r="11922" spans="1:3" x14ac:dyDescent="0.25">
      <c r="A11922" s="1" t="s">
        <v>11921</v>
      </c>
      <c r="C11922" s="3">
        <v>8</v>
      </c>
    </row>
    <row r="11923" spans="1:3" x14ac:dyDescent="0.25">
      <c r="A11923" s="1" t="s">
        <v>11922</v>
      </c>
      <c r="C11923" s="3">
        <v>8</v>
      </c>
    </row>
    <row r="11924" spans="1:3" x14ac:dyDescent="0.25">
      <c r="A11924" s="1" t="s">
        <v>11923</v>
      </c>
      <c r="C11924" s="3">
        <v>8</v>
      </c>
    </row>
    <row r="11925" spans="1:3" x14ac:dyDescent="0.25">
      <c r="A11925" s="1" t="s">
        <v>11924</v>
      </c>
      <c r="C11925" s="3">
        <v>8</v>
      </c>
    </row>
    <row r="11926" spans="1:3" x14ac:dyDescent="0.25">
      <c r="A11926" s="1" t="s">
        <v>11925</v>
      </c>
      <c r="C11926" s="3">
        <v>8</v>
      </c>
    </row>
    <row r="11927" spans="1:3" x14ac:dyDescent="0.25">
      <c r="A11927" s="1" t="s">
        <v>11926</v>
      </c>
      <c r="C11927" s="3">
        <v>8</v>
      </c>
    </row>
    <row r="11928" spans="1:3" x14ac:dyDescent="0.25">
      <c r="A11928" s="1" t="s">
        <v>11927</v>
      </c>
      <c r="C11928" s="3">
        <v>8</v>
      </c>
    </row>
    <row r="11929" spans="1:3" x14ac:dyDescent="0.25">
      <c r="A11929" s="1" t="s">
        <v>11928</v>
      </c>
      <c r="C11929" s="3">
        <v>8</v>
      </c>
    </row>
    <row r="11930" spans="1:3" x14ac:dyDescent="0.25">
      <c r="A11930" s="1" t="s">
        <v>11929</v>
      </c>
      <c r="C11930" s="3">
        <v>8</v>
      </c>
    </row>
    <row r="11931" spans="1:3" x14ac:dyDescent="0.25">
      <c r="A11931" s="1" t="s">
        <v>11930</v>
      </c>
      <c r="C11931" s="3">
        <v>8</v>
      </c>
    </row>
    <row r="11932" spans="1:3" x14ac:dyDescent="0.25">
      <c r="A11932" s="1" t="s">
        <v>11931</v>
      </c>
      <c r="C11932" s="3">
        <v>8</v>
      </c>
    </row>
    <row r="11933" spans="1:3" x14ac:dyDescent="0.25">
      <c r="A11933" s="1" t="s">
        <v>11932</v>
      </c>
      <c r="C11933" s="3">
        <v>8</v>
      </c>
    </row>
    <row r="11934" spans="1:3" x14ac:dyDescent="0.25">
      <c r="A11934" s="1" t="s">
        <v>11933</v>
      </c>
      <c r="C11934" s="3">
        <v>8</v>
      </c>
    </row>
    <row r="11935" spans="1:3" x14ac:dyDescent="0.25">
      <c r="A11935" s="1" t="s">
        <v>11934</v>
      </c>
      <c r="C11935" s="3">
        <v>8</v>
      </c>
    </row>
    <row r="11936" spans="1:3" x14ac:dyDescent="0.25">
      <c r="A11936" s="1" t="s">
        <v>11935</v>
      </c>
      <c r="C11936" s="3">
        <v>8</v>
      </c>
    </row>
    <row r="11937" spans="1:3" x14ac:dyDescent="0.25">
      <c r="A11937" s="1" t="s">
        <v>11936</v>
      </c>
      <c r="C11937" s="3">
        <v>8</v>
      </c>
    </row>
    <row r="11938" spans="1:3" x14ac:dyDescent="0.25">
      <c r="A11938" s="1" t="s">
        <v>11937</v>
      </c>
      <c r="C11938" s="3">
        <v>8</v>
      </c>
    </row>
    <row r="11939" spans="1:3" x14ac:dyDescent="0.25">
      <c r="A11939" s="1" t="s">
        <v>11938</v>
      </c>
      <c r="C11939" s="3">
        <v>8</v>
      </c>
    </row>
    <row r="11940" spans="1:3" x14ac:dyDescent="0.25">
      <c r="A11940" s="1" t="s">
        <v>11939</v>
      </c>
      <c r="C11940" s="3">
        <v>8</v>
      </c>
    </row>
    <row r="11941" spans="1:3" x14ac:dyDescent="0.25">
      <c r="A11941" s="1" t="s">
        <v>11940</v>
      </c>
      <c r="C11941" s="3">
        <v>8</v>
      </c>
    </row>
    <row r="11942" spans="1:3" x14ac:dyDescent="0.25">
      <c r="A11942" s="1" t="s">
        <v>11941</v>
      </c>
      <c r="C11942" s="3">
        <v>8</v>
      </c>
    </row>
    <row r="11943" spans="1:3" x14ac:dyDescent="0.25">
      <c r="A11943" s="1" t="s">
        <v>11942</v>
      </c>
      <c r="C11943" s="3">
        <v>8</v>
      </c>
    </row>
    <row r="11944" spans="1:3" x14ac:dyDescent="0.25">
      <c r="A11944" s="1" t="s">
        <v>11943</v>
      </c>
      <c r="C11944" s="3">
        <v>8</v>
      </c>
    </row>
    <row r="11945" spans="1:3" x14ac:dyDescent="0.25">
      <c r="A11945" s="1" t="s">
        <v>11944</v>
      </c>
      <c r="C11945" s="3">
        <v>8</v>
      </c>
    </row>
    <row r="11946" spans="1:3" x14ac:dyDescent="0.25">
      <c r="A11946" s="1" t="s">
        <v>11945</v>
      </c>
      <c r="C11946" s="3">
        <v>8</v>
      </c>
    </row>
    <row r="11947" spans="1:3" x14ac:dyDescent="0.25">
      <c r="A11947" s="1" t="s">
        <v>11946</v>
      </c>
      <c r="C11947" s="3">
        <v>8</v>
      </c>
    </row>
    <row r="11948" spans="1:3" x14ac:dyDescent="0.25">
      <c r="A11948" s="1" t="s">
        <v>11947</v>
      </c>
      <c r="C11948" s="3">
        <v>8</v>
      </c>
    </row>
    <row r="11949" spans="1:3" x14ac:dyDescent="0.25">
      <c r="A11949" s="1" t="s">
        <v>11948</v>
      </c>
      <c r="C11949" s="3">
        <v>8</v>
      </c>
    </row>
    <row r="11950" spans="1:3" x14ac:dyDescent="0.25">
      <c r="A11950" s="1" t="s">
        <v>11949</v>
      </c>
      <c r="C11950" s="3">
        <v>8</v>
      </c>
    </row>
    <row r="11951" spans="1:3" x14ac:dyDescent="0.25">
      <c r="A11951" s="1" t="s">
        <v>11950</v>
      </c>
      <c r="C11951" s="3">
        <v>8</v>
      </c>
    </row>
    <row r="11952" spans="1:3" x14ac:dyDescent="0.25">
      <c r="A11952" s="1" t="s">
        <v>11951</v>
      </c>
      <c r="C11952" s="3">
        <v>8</v>
      </c>
    </row>
    <row r="11953" spans="1:3" x14ac:dyDescent="0.25">
      <c r="A11953" s="1" t="s">
        <v>11952</v>
      </c>
      <c r="C11953" s="3">
        <v>8</v>
      </c>
    </row>
    <row r="11954" spans="1:3" x14ac:dyDescent="0.25">
      <c r="A11954" s="1" t="s">
        <v>11953</v>
      </c>
      <c r="C11954" s="3">
        <v>8</v>
      </c>
    </row>
    <row r="11955" spans="1:3" x14ac:dyDescent="0.25">
      <c r="A11955" s="1" t="s">
        <v>11954</v>
      </c>
      <c r="C11955" s="3">
        <v>8</v>
      </c>
    </row>
    <row r="11956" spans="1:3" x14ac:dyDescent="0.25">
      <c r="A11956" s="1" t="s">
        <v>11955</v>
      </c>
      <c r="C11956" s="3">
        <v>8</v>
      </c>
    </row>
    <row r="11957" spans="1:3" x14ac:dyDescent="0.25">
      <c r="A11957" s="1" t="s">
        <v>11956</v>
      </c>
      <c r="C11957" s="3">
        <v>8</v>
      </c>
    </row>
    <row r="11958" spans="1:3" x14ac:dyDescent="0.25">
      <c r="A11958" s="1" t="s">
        <v>11957</v>
      </c>
      <c r="C11958" s="3">
        <v>8</v>
      </c>
    </row>
    <row r="11959" spans="1:3" x14ac:dyDescent="0.25">
      <c r="A11959" s="1" t="s">
        <v>11958</v>
      </c>
      <c r="C11959" s="3">
        <v>8</v>
      </c>
    </row>
    <row r="11960" spans="1:3" x14ac:dyDescent="0.25">
      <c r="A11960" s="1" t="s">
        <v>11959</v>
      </c>
      <c r="C11960" s="3">
        <v>8</v>
      </c>
    </row>
    <row r="11961" spans="1:3" x14ac:dyDescent="0.25">
      <c r="A11961" s="1" t="s">
        <v>11960</v>
      </c>
      <c r="C11961" s="3">
        <v>8</v>
      </c>
    </row>
    <row r="11962" spans="1:3" x14ac:dyDescent="0.25">
      <c r="A11962" s="1" t="s">
        <v>11961</v>
      </c>
      <c r="C11962" s="3">
        <v>8</v>
      </c>
    </row>
    <row r="11963" spans="1:3" x14ac:dyDescent="0.25">
      <c r="A11963" s="1" t="s">
        <v>11962</v>
      </c>
      <c r="C11963" s="3">
        <v>8</v>
      </c>
    </row>
    <row r="11964" spans="1:3" x14ac:dyDescent="0.25">
      <c r="A11964" s="1" t="s">
        <v>11963</v>
      </c>
      <c r="C11964" s="3">
        <v>8</v>
      </c>
    </row>
    <row r="11965" spans="1:3" x14ac:dyDescent="0.25">
      <c r="A11965" s="1" t="s">
        <v>11964</v>
      </c>
      <c r="C11965" s="3">
        <v>8</v>
      </c>
    </row>
    <row r="11966" spans="1:3" x14ac:dyDescent="0.25">
      <c r="A11966" s="1" t="s">
        <v>11965</v>
      </c>
      <c r="C11966" s="3">
        <v>8</v>
      </c>
    </row>
    <row r="11967" spans="1:3" x14ac:dyDescent="0.25">
      <c r="A11967" s="1" t="s">
        <v>11966</v>
      </c>
      <c r="C11967" s="3">
        <v>8</v>
      </c>
    </row>
    <row r="11968" spans="1:3" x14ac:dyDescent="0.25">
      <c r="A11968" s="1" t="s">
        <v>11967</v>
      </c>
      <c r="C11968" s="3">
        <v>8</v>
      </c>
    </row>
    <row r="11969" spans="1:3" x14ac:dyDescent="0.25">
      <c r="A11969" s="1" t="s">
        <v>11968</v>
      </c>
      <c r="C11969" s="3">
        <v>8</v>
      </c>
    </row>
    <row r="11970" spans="1:3" x14ac:dyDescent="0.25">
      <c r="A11970" s="1" t="s">
        <v>11969</v>
      </c>
      <c r="C11970" s="3">
        <v>8</v>
      </c>
    </row>
    <row r="11971" spans="1:3" x14ac:dyDescent="0.25">
      <c r="A11971" s="1" t="s">
        <v>11970</v>
      </c>
      <c r="C11971" s="3">
        <v>8</v>
      </c>
    </row>
    <row r="11972" spans="1:3" x14ac:dyDescent="0.25">
      <c r="A11972" s="1" t="s">
        <v>11971</v>
      </c>
      <c r="C11972" s="3">
        <v>8</v>
      </c>
    </row>
    <row r="11973" spans="1:3" x14ac:dyDescent="0.25">
      <c r="A11973" s="1" t="s">
        <v>11972</v>
      </c>
      <c r="C11973" s="3">
        <v>8</v>
      </c>
    </row>
    <row r="11974" spans="1:3" x14ac:dyDescent="0.25">
      <c r="A11974" s="1" t="s">
        <v>11973</v>
      </c>
      <c r="C11974" s="3">
        <v>8</v>
      </c>
    </row>
    <row r="11975" spans="1:3" x14ac:dyDescent="0.25">
      <c r="A11975" s="1" t="s">
        <v>11974</v>
      </c>
      <c r="C11975" s="3">
        <v>8</v>
      </c>
    </row>
    <row r="11976" spans="1:3" x14ac:dyDescent="0.25">
      <c r="A11976" s="1" t="s">
        <v>11975</v>
      </c>
      <c r="C11976" s="3">
        <v>8</v>
      </c>
    </row>
    <row r="11977" spans="1:3" x14ac:dyDescent="0.25">
      <c r="A11977" s="1" t="s">
        <v>11976</v>
      </c>
      <c r="C11977" s="3">
        <v>8</v>
      </c>
    </row>
    <row r="11978" spans="1:3" x14ac:dyDescent="0.25">
      <c r="A11978" s="1" t="s">
        <v>11977</v>
      </c>
      <c r="C11978" s="3">
        <v>8</v>
      </c>
    </row>
    <row r="11979" spans="1:3" x14ac:dyDescent="0.25">
      <c r="A11979" s="1" t="s">
        <v>11978</v>
      </c>
      <c r="C11979" s="3">
        <v>8</v>
      </c>
    </row>
    <row r="11980" spans="1:3" x14ac:dyDescent="0.25">
      <c r="A11980" s="1" t="s">
        <v>11979</v>
      </c>
      <c r="C11980" s="3">
        <v>8</v>
      </c>
    </row>
    <row r="11981" spans="1:3" x14ac:dyDescent="0.25">
      <c r="A11981" s="1" t="s">
        <v>11980</v>
      </c>
      <c r="C11981" s="3">
        <v>8</v>
      </c>
    </row>
    <row r="11982" spans="1:3" x14ac:dyDescent="0.25">
      <c r="A11982" s="1" t="s">
        <v>11981</v>
      </c>
      <c r="C11982" s="3">
        <v>8</v>
      </c>
    </row>
    <row r="11983" spans="1:3" x14ac:dyDescent="0.25">
      <c r="A11983" s="1" t="s">
        <v>11982</v>
      </c>
      <c r="C11983" s="3">
        <v>8</v>
      </c>
    </row>
    <row r="11984" spans="1:3" x14ac:dyDescent="0.25">
      <c r="A11984" s="1" t="s">
        <v>11983</v>
      </c>
      <c r="C11984" s="3">
        <v>8</v>
      </c>
    </row>
    <row r="11985" spans="1:3" x14ac:dyDescent="0.25">
      <c r="A11985" s="1" t="s">
        <v>11984</v>
      </c>
      <c r="C11985" s="3">
        <v>8</v>
      </c>
    </row>
    <row r="11986" spans="1:3" x14ac:dyDescent="0.25">
      <c r="A11986" s="1" t="s">
        <v>11985</v>
      </c>
      <c r="C11986" s="3">
        <v>8</v>
      </c>
    </row>
    <row r="11987" spans="1:3" x14ac:dyDescent="0.25">
      <c r="A11987" s="1" t="s">
        <v>11986</v>
      </c>
      <c r="C11987" s="3">
        <v>8</v>
      </c>
    </row>
    <row r="11988" spans="1:3" x14ac:dyDescent="0.25">
      <c r="A11988" s="1" t="s">
        <v>11987</v>
      </c>
      <c r="C11988" s="3">
        <v>8</v>
      </c>
    </row>
    <row r="11989" spans="1:3" x14ac:dyDescent="0.25">
      <c r="A11989" s="1" t="s">
        <v>11988</v>
      </c>
      <c r="C11989" s="3">
        <v>8</v>
      </c>
    </row>
    <row r="11990" spans="1:3" x14ac:dyDescent="0.25">
      <c r="A11990" s="1" t="s">
        <v>11989</v>
      </c>
      <c r="C11990" s="3">
        <v>8</v>
      </c>
    </row>
    <row r="11991" spans="1:3" x14ac:dyDescent="0.25">
      <c r="A11991" s="1" t="s">
        <v>11990</v>
      </c>
      <c r="C11991" s="3">
        <v>8</v>
      </c>
    </row>
    <row r="11992" spans="1:3" x14ac:dyDescent="0.25">
      <c r="A11992" s="1" t="s">
        <v>11991</v>
      </c>
      <c r="C11992" s="3">
        <v>8</v>
      </c>
    </row>
    <row r="11993" spans="1:3" x14ac:dyDescent="0.25">
      <c r="A11993" s="1" t="s">
        <v>11992</v>
      </c>
      <c r="C11993" s="3">
        <v>8</v>
      </c>
    </row>
    <row r="11994" spans="1:3" x14ac:dyDescent="0.25">
      <c r="A11994" s="1" t="s">
        <v>11993</v>
      </c>
      <c r="C11994" s="3">
        <v>8</v>
      </c>
    </row>
    <row r="11995" spans="1:3" x14ac:dyDescent="0.25">
      <c r="A11995" s="1" t="s">
        <v>11994</v>
      </c>
      <c r="C11995" s="3">
        <v>8</v>
      </c>
    </row>
    <row r="11996" spans="1:3" x14ac:dyDescent="0.25">
      <c r="A11996" s="1" t="s">
        <v>11995</v>
      </c>
      <c r="C11996" s="3">
        <v>7</v>
      </c>
    </row>
    <row r="11997" spans="1:3" x14ac:dyDescent="0.25">
      <c r="A11997" s="1" t="s">
        <v>11996</v>
      </c>
      <c r="C11997" s="3">
        <v>7</v>
      </c>
    </row>
    <row r="11998" spans="1:3" x14ac:dyDescent="0.25">
      <c r="A11998" s="1" t="s">
        <v>11997</v>
      </c>
      <c r="C11998" s="3">
        <v>7</v>
      </c>
    </row>
    <row r="11999" spans="1:3" x14ac:dyDescent="0.25">
      <c r="A11999" s="1" t="s">
        <v>11998</v>
      </c>
      <c r="C11999" s="3">
        <v>7</v>
      </c>
    </row>
    <row r="12000" spans="1:3" x14ac:dyDescent="0.25">
      <c r="A12000" s="1" t="s">
        <v>11999</v>
      </c>
      <c r="C12000" s="3">
        <v>7</v>
      </c>
    </row>
    <row r="12001" spans="1:3" x14ac:dyDescent="0.25">
      <c r="A12001" s="1" t="s">
        <v>12000</v>
      </c>
      <c r="C12001" s="3">
        <v>7</v>
      </c>
    </row>
    <row r="12002" spans="1:3" x14ac:dyDescent="0.25">
      <c r="A12002" s="1" t="s">
        <v>12001</v>
      </c>
      <c r="C12002" s="3">
        <v>7</v>
      </c>
    </row>
    <row r="12003" spans="1:3" x14ac:dyDescent="0.25">
      <c r="A12003" s="1" t="s">
        <v>12002</v>
      </c>
      <c r="C12003" s="3">
        <v>7</v>
      </c>
    </row>
    <row r="12004" spans="1:3" x14ac:dyDescent="0.25">
      <c r="A12004" s="1" t="s">
        <v>12003</v>
      </c>
      <c r="C12004" s="3">
        <v>7</v>
      </c>
    </row>
    <row r="12005" spans="1:3" x14ac:dyDescent="0.25">
      <c r="A12005" s="1" t="s">
        <v>12004</v>
      </c>
      <c r="C12005" s="3">
        <v>7</v>
      </c>
    </row>
    <row r="12006" spans="1:3" x14ac:dyDescent="0.25">
      <c r="A12006" s="1" t="s">
        <v>12005</v>
      </c>
      <c r="C12006" s="3">
        <v>7</v>
      </c>
    </row>
    <row r="12007" spans="1:3" x14ac:dyDescent="0.25">
      <c r="A12007" s="1" t="s">
        <v>12006</v>
      </c>
      <c r="C12007" s="3">
        <v>7</v>
      </c>
    </row>
    <row r="12008" spans="1:3" x14ac:dyDescent="0.25">
      <c r="A12008" s="1" t="s">
        <v>12007</v>
      </c>
      <c r="C12008" s="3">
        <v>7</v>
      </c>
    </row>
    <row r="12009" spans="1:3" x14ac:dyDescent="0.25">
      <c r="A12009" s="1" t="s">
        <v>12008</v>
      </c>
      <c r="C12009" s="3">
        <v>7</v>
      </c>
    </row>
    <row r="12010" spans="1:3" x14ac:dyDescent="0.25">
      <c r="A12010" s="1" t="s">
        <v>12009</v>
      </c>
      <c r="C12010" s="3">
        <v>7</v>
      </c>
    </row>
    <row r="12011" spans="1:3" x14ac:dyDescent="0.25">
      <c r="A12011" s="1" t="s">
        <v>12010</v>
      </c>
      <c r="C12011" s="3">
        <v>7</v>
      </c>
    </row>
    <row r="12012" spans="1:3" x14ac:dyDescent="0.25">
      <c r="A12012" s="1" t="s">
        <v>12011</v>
      </c>
      <c r="C12012" s="3">
        <v>7</v>
      </c>
    </row>
    <row r="12013" spans="1:3" x14ac:dyDescent="0.25">
      <c r="A12013" s="1" t="s">
        <v>12012</v>
      </c>
      <c r="C12013" s="3">
        <v>7</v>
      </c>
    </row>
    <row r="12014" spans="1:3" x14ac:dyDescent="0.25">
      <c r="A12014" s="1" t="s">
        <v>12013</v>
      </c>
      <c r="C12014" s="3">
        <v>7</v>
      </c>
    </row>
    <row r="12015" spans="1:3" x14ac:dyDescent="0.25">
      <c r="A12015" s="1" t="s">
        <v>12014</v>
      </c>
      <c r="C12015" s="3">
        <v>7</v>
      </c>
    </row>
    <row r="12016" spans="1:3" x14ac:dyDescent="0.25">
      <c r="A12016" s="1" t="s">
        <v>12015</v>
      </c>
      <c r="C12016" s="3">
        <v>7</v>
      </c>
    </row>
    <row r="12017" spans="1:3" x14ac:dyDescent="0.25">
      <c r="A12017" s="1" t="s">
        <v>12016</v>
      </c>
      <c r="C12017" s="3">
        <v>7</v>
      </c>
    </row>
    <row r="12018" spans="1:3" x14ac:dyDescent="0.25">
      <c r="A12018" s="1" t="s">
        <v>12017</v>
      </c>
      <c r="C12018" s="3">
        <v>7</v>
      </c>
    </row>
    <row r="12019" spans="1:3" x14ac:dyDescent="0.25">
      <c r="A12019" s="1" t="s">
        <v>12018</v>
      </c>
      <c r="C12019" s="3">
        <v>7</v>
      </c>
    </row>
    <row r="12020" spans="1:3" x14ac:dyDescent="0.25">
      <c r="A12020" s="1" t="s">
        <v>12019</v>
      </c>
      <c r="C12020" s="3">
        <v>7</v>
      </c>
    </row>
    <row r="12021" spans="1:3" x14ac:dyDescent="0.25">
      <c r="A12021" s="1" t="s">
        <v>12020</v>
      </c>
      <c r="C12021" s="3">
        <v>7</v>
      </c>
    </row>
    <row r="12022" spans="1:3" x14ac:dyDescent="0.25">
      <c r="A12022" s="1" t="s">
        <v>12021</v>
      </c>
      <c r="C12022" s="3">
        <v>7</v>
      </c>
    </row>
    <row r="12023" spans="1:3" x14ac:dyDescent="0.25">
      <c r="A12023" s="1" t="s">
        <v>12022</v>
      </c>
      <c r="C12023" s="3">
        <v>7</v>
      </c>
    </row>
    <row r="12024" spans="1:3" x14ac:dyDescent="0.25">
      <c r="A12024" s="1" t="s">
        <v>12023</v>
      </c>
      <c r="C12024" s="3">
        <v>7</v>
      </c>
    </row>
    <row r="12025" spans="1:3" x14ac:dyDescent="0.25">
      <c r="A12025" s="1" t="s">
        <v>12024</v>
      </c>
      <c r="C12025" s="3">
        <v>7</v>
      </c>
    </row>
    <row r="12026" spans="1:3" x14ac:dyDescent="0.25">
      <c r="A12026" s="1" t="s">
        <v>12025</v>
      </c>
      <c r="C12026" s="3">
        <v>7</v>
      </c>
    </row>
    <row r="12027" spans="1:3" x14ac:dyDescent="0.25">
      <c r="A12027" s="1" t="s">
        <v>12026</v>
      </c>
      <c r="C12027" s="3">
        <v>7</v>
      </c>
    </row>
    <row r="12028" spans="1:3" x14ac:dyDescent="0.25">
      <c r="A12028" s="1" t="s">
        <v>12027</v>
      </c>
      <c r="C12028" s="3">
        <v>7</v>
      </c>
    </row>
    <row r="12029" spans="1:3" x14ac:dyDescent="0.25">
      <c r="A12029" s="1" t="s">
        <v>12028</v>
      </c>
      <c r="C12029" s="3">
        <v>7</v>
      </c>
    </row>
    <row r="12030" spans="1:3" x14ac:dyDescent="0.25">
      <c r="A12030" s="1" t="s">
        <v>12029</v>
      </c>
      <c r="C12030" s="3">
        <v>7</v>
      </c>
    </row>
    <row r="12031" spans="1:3" x14ac:dyDescent="0.25">
      <c r="A12031" s="1" t="s">
        <v>12030</v>
      </c>
      <c r="C12031" s="3">
        <v>7</v>
      </c>
    </row>
    <row r="12032" spans="1:3" x14ac:dyDescent="0.25">
      <c r="A12032" s="1" t="s">
        <v>12031</v>
      </c>
      <c r="C12032" s="3">
        <v>7</v>
      </c>
    </row>
    <row r="12033" spans="1:3" x14ac:dyDescent="0.25">
      <c r="A12033" s="1" t="s">
        <v>12032</v>
      </c>
      <c r="C12033" s="3">
        <v>7</v>
      </c>
    </row>
    <row r="12034" spans="1:3" x14ac:dyDescent="0.25">
      <c r="A12034" s="1" t="s">
        <v>12033</v>
      </c>
      <c r="C12034" s="3">
        <v>7</v>
      </c>
    </row>
    <row r="12035" spans="1:3" x14ac:dyDescent="0.25">
      <c r="A12035" s="1" t="s">
        <v>12034</v>
      </c>
      <c r="C12035" s="3">
        <v>7</v>
      </c>
    </row>
    <row r="12036" spans="1:3" x14ac:dyDescent="0.25">
      <c r="A12036" s="1" t="s">
        <v>12035</v>
      </c>
      <c r="C12036" s="3">
        <v>7</v>
      </c>
    </row>
    <row r="12037" spans="1:3" x14ac:dyDescent="0.25">
      <c r="A12037" s="1" t="s">
        <v>12036</v>
      </c>
      <c r="C12037" s="3">
        <v>7</v>
      </c>
    </row>
    <row r="12038" spans="1:3" x14ac:dyDescent="0.25">
      <c r="A12038" s="1" t="s">
        <v>12037</v>
      </c>
      <c r="C12038" s="3">
        <v>7</v>
      </c>
    </row>
    <row r="12039" spans="1:3" x14ac:dyDescent="0.25">
      <c r="A12039" s="1" t="s">
        <v>12038</v>
      </c>
      <c r="C12039" s="3">
        <v>7</v>
      </c>
    </row>
    <row r="12040" spans="1:3" x14ac:dyDescent="0.25">
      <c r="A12040" s="1" t="s">
        <v>12039</v>
      </c>
      <c r="C12040" s="3">
        <v>7</v>
      </c>
    </row>
    <row r="12041" spans="1:3" x14ac:dyDescent="0.25">
      <c r="A12041" s="1" t="s">
        <v>12040</v>
      </c>
      <c r="C12041" s="3">
        <v>7</v>
      </c>
    </row>
    <row r="12042" spans="1:3" x14ac:dyDescent="0.25">
      <c r="A12042" s="1" t="s">
        <v>12041</v>
      </c>
      <c r="C12042" s="3">
        <v>7</v>
      </c>
    </row>
    <row r="12043" spans="1:3" x14ac:dyDescent="0.25">
      <c r="A12043" s="1" t="s">
        <v>12042</v>
      </c>
      <c r="C12043" s="3">
        <v>7</v>
      </c>
    </row>
    <row r="12044" spans="1:3" x14ac:dyDescent="0.25">
      <c r="A12044" s="1" t="s">
        <v>12043</v>
      </c>
      <c r="C12044" s="3">
        <v>7</v>
      </c>
    </row>
    <row r="12045" spans="1:3" x14ac:dyDescent="0.25">
      <c r="A12045" s="1" t="s">
        <v>12044</v>
      </c>
      <c r="C12045" s="3">
        <v>7</v>
      </c>
    </row>
    <row r="12046" spans="1:3" x14ac:dyDescent="0.25">
      <c r="A12046" s="1" t="s">
        <v>12045</v>
      </c>
      <c r="C12046" s="3">
        <v>7</v>
      </c>
    </row>
    <row r="12047" spans="1:3" x14ac:dyDescent="0.25">
      <c r="A12047" s="1" t="s">
        <v>12046</v>
      </c>
      <c r="C12047" s="3">
        <v>7</v>
      </c>
    </row>
    <row r="12048" spans="1:3" x14ac:dyDescent="0.25">
      <c r="A12048" s="1" t="s">
        <v>12047</v>
      </c>
      <c r="C12048" s="3">
        <v>7</v>
      </c>
    </row>
    <row r="12049" spans="1:3" x14ac:dyDescent="0.25">
      <c r="A12049" s="1" t="s">
        <v>12048</v>
      </c>
      <c r="C12049" s="3">
        <v>7</v>
      </c>
    </row>
    <row r="12050" spans="1:3" x14ac:dyDescent="0.25">
      <c r="A12050" s="1" t="s">
        <v>12049</v>
      </c>
      <c r="C12050" s="3">
        <v>7</v>
      </c>
    </row>
    <row r="12051" spans="1:3" x14ac:dyDescent="0.25">
      <c r="A12051" s="1" t="s">
        <v>12050</v>
      </c>
      <c r="C12051" s="3">
        <v>7</v>
      </c>
    </row>
    <row r="12052" spans="1:3" x14ac:dyDescent="0.25">
      <c r="A12052" s="1" t="s">
        <v>12051</v>
      </c>
      <c r="C12052" s="3">
        <v>7</v>
      </c>
    </row>
    <row r="12053" spans="1:3" x14ac:dyDescent="0.25">
      <c r="A12053" s="1" t="s">
        <v>12052</v>
      </c>
      <c r="C12053" s="3">
        <v>7</v>
      </c>
    </row>
    <row r="12054" spans="1:3" x14ac:dyDescent="0.25">
      <c r="A12054" s="1" t="s">
        <v>12053</v>
      </c>
      <c r="C12054" s="3">
        <v>7</v>
      </c>
    </row>
    <row r="12055" spans="1:3" x14ac:dyDescent="0.25">
      <c r="A12055" s="1" t="s">
        <v>12054</v>
      </c>
      <c r="C12055" s="3">
        <v>7</v>
      </c>
    </row>
    <row r="12056" spans="1:3" x14ac:dyDescent="0.25">
      <c r="A12056" s="1" t="s">
        <v>12055</v>
      </c>
      <c r="C12056" s="3">
        <v>7</v>
      </c>
    </row>
    <row r="12057" spans="1:3" x14ac:dyDescent="0.25">
      <c r="A12057" s="1" t="s">
        <v>12056</v>
      </c>
      <c r="C12057" s="3">
        <v>7</v>
      </c>
    </row>
    <row r="12058" spans="1:3" x14ac:dyDescent="0.25">
      <c r="A12058" s="1" t="s">
        <v>12057</v>
      </c>
      <c r="C12058" s="3">
        <v>7</v>
      </c>
    </row>
    <row r="12059" spans="1:3" x14ac:dyDescent="0.25">
      <c r="A12059" s="1" t="s">
        <v>12058</v>
      </c>
      <c r="C12059" s="3">
        <v>7</v>
      </c>
    </row>
    <row r="12060" spans="1:3" x14ac:dyDescent="0.25">
      <c r="A12060" s="1" t="s">
        <v>12059</v>
      </c>
      <c r="C12060" s="3">
        <v>7</v>
      </c>
    </row>
    <row r="12061" spans="1:3" x14ac:dyDescent="0.25">
      <c r="A12061" s="1" t="s">
        <v>12060</v>
      </c>
      <c r="C12061" s="3">
        <v>7</v>
      </c>
    </row>
    <row r="12062" spans="1:3" x14ac:dyDescent="0.25">
      <c r="A12062" s="1" t="s">
        <v>12061</v>
      </c>
      <c r="C12062" s="3">
        <v>7</v>
      </c>
    </row>
    <row r="12063" spans="1:3" x14ac:dyDescent="0.25">
      <c r="A12063" s="1" t="s">
        <v>12062</v>
      </c>
      <c r="C12063" s="3">
        <v>7</v>
      </c>
    </row>
    <row r="12064" spans="1:3" x14ac:dyDescent="0.25">
      <c r="A12064" s="1" t="s">
        <v>12063</v>
      </c>
      <c r="C12064" s="3">
        <v>7</v>
      </c>
    </row>
    <row r="12065" spans="1:3" x14ac:dyDescent="0.25">
      <c r="A12065" s="1" t="s">
        <v>12064</v>
      </c>
      <c r="C12065" s="3">
        <v>7</v>
      </c>
    </row>
    <row r="12066" spans="1:3" x14ac:dyDescent="0.25">
      <c r="A12066" s="1" t="s">
        <v>12065</v>
      </c>
      <c r="C12066" s="3">
        <v>7</v>
      </c>
    </row>
    <row r="12067" spans="1:3" x14ac:dyDescent="0.25">
      <c r="A12067" s="1" t="s">
        <v>12066</v>
      </c>
      <c r="C12067" s="3">
        <v>7</v>
      </c>
    </row>
    <row r="12068" spans="1:3" x14ac:dyDescent="0.25">
      <c r="A12068" s="1" t="s">
        <v>12067</v>
      </c>
      <c r="C12068" s="3">
        <v>7</v>
      </c>
    </row>
    <row r="12069" spans="1:3" x14ac:dyDescent="0.25">
      <c r="A12069" s="1" t="s">
        <v>12068</v>
      </c>
      <c r="C12069" s="3">
        <v>7</v>
      </c>
    </row>
    <row r="12070" spans="1:3" x14ac:dyDescent="0.25">
      <c r="A12070" s="1" t="s">
        <v>12069</v>
      </c>
      <c r="C12070" s="3">
        <v>7</v>
      </c>
    </row>
    <row r="12071" spans="1:3" x14ac:dyDescent="0.25">
      <c r="A12071" s="1" t="s">
        <v>12070</v>
      </c>
      <c r="C12071" s="3">
        <v>7</v>
      </c>
    </row>
    <row r="12072" spans="1:3" x14ac:dyDescent="0.25">
      <c r="A12072" s="1" t="s">
        <v>12071</v>
      </c>
      <c r="C12072" s="3">
        <v>7</v>
      </c>
    </row>
    <row r="12073" spans="1:3" x14ac:dyDescent="0.25">
      <c r="A12073" s="1" t="s">
        <v>12072</v>
      </c>
      <c r="C12073" s="3">
        <v>7</v>
      </c>
    </row>
    <row r="12074" spans="1:3" x14ac:dyDescent="0.25">
      <c r="A12074" s="1" t="s">
        <v>12073</v>
      </c>
      <c r="C12074" s="3">
        <v>7</v>
      </c>
    </row>
    <row r="12075" spans="1:3" x14ac:dyDescent="0.25">
      <c r="A12075" s="1" t="s">
        <v>12074</v>
      </c>
      <c r="C12075" s="3">
        <v>7</v>
      </c>
    </row>
    <row r="12076" spans="1:3" x14ac:dyDescent="0.25">
      <c r="A12076" s="1" t="s">
        <v>12075</v>
      </c>
      <c r="C12076" s="3">
        <v>7</v>
      </c>
    </row>
    <row r="12077" spans="1:3" x14ac:dyDescent="0.25">
      <c r="A12077" s="1" t="s">
        <v>12076</v>
      </c>
      <c r="C12077" s="3">
        <v>7</v>
      </c>
    </row>
    <row r="12078" spans="1:3" x14ac:dyDescent="0.25">
      <c r="A12078" s="1" t="s">
        <v>12077</v>
      </c>
      <c r="C12078" s="3">
        <v>7</v>
      </c>
    </row>
    <row r="12079" spans="1:3" x14ac:dyDescent="0.25">
      <c r="A12079" s="1" t="s">
        <v>12078</v>
      </c>
      <c r="C12079" s="3">
        <v>7</v>
      </c>
    </row>
    <row r="12080" spans="1:3" x14ac:dyDescent="0.25">
      <c r="A12080" s="1" t="s">
        <v>12079</v>
      </c>
      <c r="C12080" s="3">
        <v>7</v>
      </c>
    </row>
    <row r="12081" spans="1:3" x14ac:dyDescent="0.25">
      <c r="A12081" s="1" t="s">
        <v>12080</v>
      </c>
      <c r="C12081" s="3">
        <v>7</v>
      </c>
    </row>
    <row r="12082" spans="1:3" x14ac:dyDescent="0.25">
      <c r="A12082" s="1" t="s">
        <v>12081</v>
      </c>
      <c r="C12082" s="3">
        <v>7</v>
      </c>
    </row>
    <row r="12083" spans="1:3" x14ac:dyDescent="0.25">
      <c r="A12083" s="1" t="s">
        <v>12082</v>
      </c>
      <c r="C12083" s="3">
        <v>7</v>
      </c>
    </row>
    <row r="12084" spans="1:3" x14ac:dyDescent="0.25">
      <c r="A12084" s="1" t="s">
        <v>12083</v>
      </c>
      <c r="C12084" s="3">
        <v>7</v>
      </c>
    </row>
    <row r="12085" spans="1:3" x14ac:dyDescent="0.25">
      <c r="A12085" s="1" t="s">
        <v>12084</v>
      </c>
      <c r="C12085" s="3">
        <v>7</v>
      </c>
    </row>
    <row r="12086" spans="1:3" x14ac:dyDescent="0.25">
      <c r="A12086" s="1" t="s">
        <v>12085</v>
      </c>
      <c r="C12086" s="3">
        <v>7</v>
      </c>
    </row>
    <row r="12087" spans="1:3" x14ac:dyDescent="0.25">
      <c r="A12087" s="1" t="s">
        <v>12086</v>
      </c>
      <c r="C12087" s="3">
        <v>7</v>
      </c>
    </row>
    <row r="12088" spans="1:3" x14ac:dyDescent="0.25">
      <c r="A12088" s="1" t="s">
        <v>12087</v>
      </c>
      <c r="C12088" s="3">
        <v>7</v>
      </c>
    </row>
    <row r="12089" spans="1:3" x14ac:dyDescent="0.25">
      <c r="A12089" s="1" t="s">
        <v>12088</v>
      </c>
      <c r="C12089" s="3">
        <v>7</v>
      </c>
    </row>
    <row r="12090" spans="1:3" x14ac:dyDescent="0.25">
      <c r="A12090" s="1" t="s">
        <v>12089</v>
      </c>
      <c r="C12090" s="3">
        <v>7</v>
      </c>
    </row>
    <row r="12091" spans="1:3" x14ac:dyDescent="0.25">
      <c r="A12091" s="1" t="s">
        <v>12090</v>
      </c>
      <c r="C12091" s="3">
        <v>7</v>
      </c>
    </row>
    <row r="12092" spans="1:3" x14ac:dyDescent="0.25">
      <c r="A12092" s="1" t="s">
        <v>12091</v>
      </c>
      <c r="C12092" s="3">
        <v>7</v>
      </c>
    </row>
    <row r="12093" spans="1:3" x14ac:dyDescent="0.25">
      <c r="A12093" s="1" t="s">
        <v>12092</v>
      </c>
      <c r="C12093" s="3">
        <v>7</v>
      </c>
    </row>
    <row r="12094" spans="1:3" x14ac:dyDescent="0.25">
      <c r="A12094" s="1" t="s">
        <v>12093</v>
      </c>
      <c r="C12094" s="3">
        <v>7</v>
      </c>
    </row>
    <row r="12095" spans="1:3" x14ac:dyDescent="0.25">
      <c r="A12095" s="1" t="s">
        <v>12094</v>
      </c>
      <c r="C12095" s="3">
        <v>7</v>
      </c>
    </row>
    <row r="12096" spans="1:3" x14ac:dyDescent="0.25">
      <c r="A12096" s="1" t="s">
        <v>12095</v>
      </c>
      <c r="C12096" s="3">
        <v>7</v>
      </c>
    </row>
    <row r="12097" spans="1:3" x14ac:dyDescent="0.25">
      <c r="A12097" s="1" t="s">
        <v>12096</v>
      </c>
      <c r="C12097" s="3">
        <v>7</v>
      </c>
    </row>
    <row r="12098" spans="1:3" x14ac:dyDescent="0.25">
      <c r="A12098" s="1" t="s">
        <v>12097</v>
      </c>
      <c r="C12098" s="3">
        <v>7</v>
      </c>
    </row>
    <row r="12099" spans="1:3" x14ac:dyDescent="0.25">
      <c r="A12099" s="1" t="s">
        <v>12098</v>
      </c>
      <c r="C12099" s="3">
        <v>7</v>
      </c>
    </row>
    <row r="12100" spans="1:3" x14ac:dyDescent="0.25">
      <c r="A12100" s="1" t="s">
        <v>12099</v>
      </c>
      <c r="C12100" s="3">
        <v>7</v>
      </c>
    </row>
    <row r="12101" spans="1:3" x14ac:dyDescent="0.25">
      <c r="A12101" s="1" t="s">
        <v>12100</v>
      </c>
      <c r="C12101" s="3">
        <v>7</v>
      </c>
    </row>
    <row r="12102" spans="1:3" x14ac:dyDescent="0.25">
      <c r="A12102" s="1" t="s">
        <v>12101</v>
      </c>
      <c r="C12102" s="3">
        <v>7</v>
      </c>
    </row>
    <row r="12103" spans="1:3" x14ac:dyDescent="0.25">
      <c r="A12103" s="1" t="s">
        <v>12102</v>
      </c>
      <c r="C12103" s="3">
        <v>7</v>
      </c>
    </row>
    <row r="12104" spans="1:3" x14ac:dyDescent="0.25">
      <c r="A12104" s="1" t="s">
        <v>12103</v>
      </c>
      <c r="C12104" s="3">
        <v>7</v>
      </c>
    </row>
    <row r="12105" spans="1:3" x14ac:dyDescent="0.25">
      <c r="A12105" s="1" t="s">
        <v>12104</v>
      </c>
      <c r="C12105" s="3">
        <v>7</v>
      </c>
    </row>
    <row r="12106" spans="1:3" x14ac:dyDescent="0.25">
      <c r="A12106" s="1" t="s">
        <v>12105</v>
      </c>
      <c r="C12106" s="3">
        <v>7</v>
      </c>
    </row>
    <row r="12107" spans="1:3" x14ac:dyDescent="0.25">
      <c r="A12107" s="1" t="s">
        <v>12106</v>
      </c>
      <c r="C12107" s="3">
        <v>7</v>
      </c>
    </row>
    <row r="12108" spans="1:3" x14ac:dyDescent="0.25">
      <c r="A12108" s="1" t="s">
        <v>12107</v>
      </c>
      <c r="C12108" s="3">
        <v>7</v>
      </c>
    </row>
    <row r="12109" spans="1:3" x14ac:dyDescent="0.25">
      <c r="A12109" s="1" t="s">
        <v>12108</v>
      </c>
      <c r="C12109" s="3">
        <v>7</v>
      </c>
    </row>
    <row r="12110" spans="1:3" x14ac:dyDescent="0.25">
      <c r="A12110" s="1" t="s">
        <v>12109</v>
      </c>
      <c r="C12110" s="3">
        <v>7</v>
      </c>
    </row>
    <row r="12111" spans="1:3" x14ac:dyDescent="0.25">
      <c r="A12111" s="1" t="s">
        <v>12110</v>
      </c>
      <c r="C12111" s="3">
        <v>7</v>
      </c>
    </row>
    <row r="12112" spans="1:3" x14ac:dyDescent="0.25">
      <c r="A12112" s="1" t="s">
        <v>12111</v>
      </c>
      <c r="C12112" s="3">
        <v>7</v>
      </c>
    </row>
    <row r="12113" spans="1:3" x14ac:dyDescent="0.25">
      <c r="A12113" s="1" t="s">
        <v>12112</v>
      </c>
      <c r="C12113" s="3">
        <v>7</v>
      </c>
    </row>
    <row r="12114" spans="1:3" x14ac:dyDescent="0.25">
      <c r="A12114" s="1" t="s">
        <v>12113</v>
      </c>
      <c r="C12114" s="3">
        <v>7</v>
      </c>
    </row>
    <row r="12115" spans="1:3" x14ac:dyDescent="0.25">
      <c r="A12115" s="1" t="s">
        <v>12114</v>
      </c>
      <c r="C12115" s="3">
        <v>7</v>
      </c>
    </row>
    <row r="12116" spans="1:3" x14ac:dyDescent="0.25">
      <c r="A12116" s="1" t="s">
        <v>12115</v>
      </c>
      <c r="C12116" s="3">
        <v>7</v>
      </c>
    </row>
    <row r="12117" spans="1:3" x14ac:dyDescent="0.25">
      <c r="A12117" s="1" t="s">
        <v>12116</v>
      </c>
      <c r="C12117" s="3">
        <v>7</v>
      </c>
    </row>
    <row r="12118" spans="1:3" x14ac:dyDescent="0.25">
      <c r="A12118" s="1" t="s">
        <v>12117</v>
      </c>
      <c r="C12118" s="3">
        <v>7</v>
      </c>
    </row>
    <row r="12119" spans="1:3" x14ac:dyDescent="0.25">
      <c r="A12119" s="1" t="s">
        <v>12118</v>
      </c>
      <c r="C12119" s="3">
        <v>7</v>
      </c>
    </row>
    <row r="12120" spans="1:3" x14ac:dyDescent="0.25">
      <c r="A12120" s="1" t="s">
        <v>12119</v>
      </c>
      <c r="C12120" s="3">
        <v>7</v>
      </c>
    </row>
    <row r="12121" spans="1:3" x14ac:dyDescent="0.25">
      <c r="A12121" s="1" t="s">
        <v>12120</v>
      </c>
      <c r="C12121" s="3">
        <v>7</v>
      </c>
    </row>
    <row r="12122" spans="1:3" x14ac:dyDescent="0.25">
      <c r="A12122" s="1" t="s">
        <v>12121</v>
      </c>
      <c r="C12122" s="3">
        <v>7</v>
      </c>
    </row>
    <row r="12123" spans="1:3" x14ac:dyDescent="0.25">
      <c r="A12123" s="1" t="s">
        <v>12122</v>
      </c>
      <c r="C12123" s="3">
        <v>7</v>
      </c>
    </row>
    <row r="12124" spans="1:3" x14ac:dyDescent="0.25">
      <c r="A12124" s="1" t="s">
        <v>12123</v>
      </c>
      <c r="C12124" s="3">
        <v>7</v>
      </c>
    </row>
    <row r="12125" spans="1:3" x14ac:dyDescent="0.25">
      <c r="A12125" s="1" t="s">
        <v>12124</v>
      </c>
      <c r="C12125" s="3">
        <v>7</v>
      </c>
    </row>
    <row r="12126" spans="1:3" x14ac:dyDescent="0.25">
      <c r="A12126" s="1" t="s">
        <v>12125</v>
      </c>
      <c r="C12126" s="3">
        <v>7</v>
      </c>
    </row>
    <row r="12127" spans="1:3" x14ac:dyDescent="0.25">
      <c r="A12127" s="1" t="s">
        <v>12126</v>
      </c>
      <c r="C12127" s="3">
        <v>7</v>
      </c>
    </row>
    <row r="12128" spans="1:3" x14ac:dyDescent="0.25">
      <c r="A12128" s="1" t="s">
        <v>12127</v>
      </c>
      <c r="C12128" s="3">
        <v>7</v>
      </c>
    </row>
    <row r="12129" spans="1:3" x14ac:dyDescent="0.25">
      <c r="A12129" s="1" t="s">
        <v>12128</v>
      </c>
      <c r="C12129" s="3">
        <v>7</v>
      </c>
    </row>
    <row r="12130" spans="1:3" x14ac:dyDescent="0.25">
      <c r="A12130" s="1" t="s">
        <v>12129</v>
      </c>
      <c r="C12130" s="3">
        <v>7</v>
      </c>
    </row>
    <row r="12131" spans="1:3" x14ac:dyDescent="0.25">
      <c r="A12131" s="1" t="s">
        <v>12130</v>
      </c>
      <c r="C12131" s="3">
        <v>7</v>
      </c>
    </row>
    <row r="12132" spans="1:3" x14ac:dyDescent="0.25">
      <c r="A12132" s="1" t="s">
        <v>12131</v>
      </c>
      <c r="C12132" s="3">
        <v>7</v>
      </c>
    </row>
    <row r="12133" spans="1:3" x14ac:dyDescent="0.25">
      <c r="A12133" s="1" t="s">
        <v>12132</v>
      </c>
      <c r="C12133" s="3">
        <v>7</v>
      </c>
    </row>
    <row r="12134" spans="1:3" x14ac:dyDescent="0.25">
      <c r="A12134" s="1" t="s">
        <v>12133</v>
      </c>
      <c r="C12134" s="3">
        <v>7</v>
      </c>
    </row>
    <row r="12135" spans="1:3" x14ac:dyDescent="0.25">
      <c r="A12135" s="1" t="s">
        <v>12134</v>
      </c>
      <c r="C12135" s="3">
        <v>7</v>
      </c>
    </row>
    <row r="12136" spans="1:3" x14ac:dyDescent="0.25">
      <c r="A12136" s="1" t="s">
        <v>12135</v>
      </c>
      <c r="C12136" s="3">
        <v>7</v>
      </c>
    </row>
    <row r="12137" spans="1:3" x14ac:dyDescent="0.25">
      <c r="A12137" s="1" t="s">
        <v>12136</v>
      </c>
      <c r="C12137" s="3">
        <v>7</v>
      </c>
    </row>
    <row r="12138" spans="1:3" x14ac:dyDescent="0.25">
      <c r="A12138" s="1" t="s">
        <v>12137</v>
      </c>
      <c r="C12138" s="3">
        <v>7</v>
      </c>
    </row>
    <row r="12139" spans="1:3" x14ac:dyDescent="0.25">
      <c r="A12139" s="1" t="s">
        <v>12138</v>
      </c>
      <c r="C12139" s="3">
        <v>7</v>
      </c>
    </row>
    <row r="12140" spans="1:3" x14ac:dyDescent="0.25">
      <c r="A12140" s="1" t="s">
        <v>12139</v>
      </c>
      <c r="C12140" s="3">
        <v>7</v>
      </c>
    </row>
    <row r="12141" spans="1:3" x14ac:dyDescent="0.25">
      <c r="A12141" s="1" t="s">
        <v>12140</v>
      </c>
      <c r="C12141" s="3">
        <v>7</v>
      </c>
    </row>
    <row r="12142" spans="1:3" x14ac:dyDescent="0.25">
      <c r="A12142" s="1" t="s">
        <v>12141</v>
      </c>
      <c r="C12142" s="3">
        <v>7</v>
      </c>
    </row>
    <row r="12143" spans="1:3" x14ac:dyDescent="0.25">
      <c r="A12143" s="1" t="s">
        <v>12142</v>
      </c>
      <c r="C12143" s="3">
        <v>7</v>
      </c>
    </row>
    <row r="12144" spans="1:3" x14ac:dyDescent="0.25">
      <c r="A12144" s="1" t="s">
        <v>12143</v>
      </c>
      <c r="C12144" s="3">
        <v>7</v>
      </c>
    </row>
    <row r="12145" spans="1:3" x14ac:dyDescent="0.25">
      <c r="A12145" s="1" t="s">
        <v>12144</v>
      </c>
      <c r="C12145" s="3">
        <v>7</v>
      </c>
    </row>
    <row r="12146" spans="1:3" x14ac:dyDescent="0.25">
      <c r="A12146" s="1" t="s">
        <v>12145</v>
      </c>
      <c r="C12146" s="3">
        <v>7</v>
      </c>
    </row>
    <row r="12147" spans="1:3" x14ac:dyDescent="0.25">
      <c r="A12147" s="1" t="s">
        <v>12146</v>
      </c>
      <c r="C12147" s="3">
        <v>7</v>
      </c>
    </row>
    <row r="12148" spans="1:3" x14ac:dyDescent="0.25">
      <c r="A12148" s="1" t="s">
        <v>12147</v>
      </c>
      <c r="C12148" s="3">
        <v>7</v>
      </c>
    </row>
    <row r="12149" spans="1:3" x14ac:dyDescent="0.25">
      <c r="A12149" s="1" t="s">
        <v>12148</v>
      </c>
      <c r="C12149" s="3">
        <v>7</v>
      </c>
    </row>
    <row r="12150" spans="1:3" x14ac:dyDescent="0.25">
      <c r="A12150" s="1" t="s">
        <v>12149</v>
      </c>
      <c r="C12150" s="3">
        <v>7</v>
      </c>
    </row>
    <row r="12151" spans="1:3" x14ac:dyDescent="0.25">
      <c r="A12151" s="1" t="s">
        <v>12150</v>
      </c>
      <c r="C12151" s="3">
        <v>7</v>
      </c>
    </row>
    <row r="12152" spans="1:3" x14ac:dyDescent="0.25">
      <c r="A12152" s="1" t="s">
        <v>12151</v>
      </c>
      <c r="C12152" s="3">
        <v>7</v>
      </c>
    </row>
    <row r="12153" spans="1:3" x14ac:dyDescent="0.25">
      <c r="A12153" s="1" t="s">
        <v>12152</v>
      </c>
      <c r="C12153" s="3">
        <v>7</v>
      </c>
    </row>
    <row r="12154" spans="1:3" x14ac:dyDescent="0.25">
      <c r="A12154" s="1" t="s">
        <v>12153</v>
      </c>
      <c r="C12154" s="3">
        <v>7</v>
      </c>
    </row>
    <row r="12155" spans="1:3" x14ac:dyDescent="0.25">
      <c r="A12155" s="1" t="s">
        <v>12154</v>
      </c>
      <c r="C12155" s="3">
        <v>7</v>
      </c>
    </row>
    <row r="12156" spans="1:3" x14ac:dyDescent="0.25">
      <c r="A12156" s="1" t="s">
        <v>12155</v>
      </c>
      <c r="C12156" s="3">
        <v>7</v>
      </c>
    </row>
    <row r="12157" spans="1:3" x14ac:dyDescent="0.25">
      <c r="A12157" s="1" t="s">
        <v>12156</v>
      </c>
      <c r="C12157" s="3">
        <v>7</v>
      </c>
    </row>
    <row r="12158" spans="1:3" x14ac:dyDescent="0.25">
      <c r="A12158" s="1" t="s">
        <v>12157</v>
      </c>
      <c r="C12158" s="3">
        <v>7</v>
      </c>
    </row>
    <row r="12159" spans="1:3" x14ac:dyDescent="0.25">
      <c r="A12159" s="1" t="s">
        <v>12158</v>
      </c>
      <c r="C12159" s="3">
        <v>7</v>
      </c>
    </row>
    <row r="12160" spans="1:3" x14ac:dyDescent="0.25">
      <c r="A12160" s="1" t="s">
        <v>12159</v>
      </c>
      <c r="C12160" s="3">
        <v>7</v>
      </c>
    </row>
    <row r="12161" spans="1:3" x14ac:dyDescent="0.25">
      <c r="A12161" s="1" t="s">
        <v>12160</v>
      </c>
      <c r="C12161" s="3">
        <v>7</v>
      </c>
    </row>
    <row r="12162" spans="1:3" x14ac:dyDescent="0.25">
      <c r="A12162" s="1" t="s">
        <v>12161</v>
      </c>
      <c r="C12162" s="3">
        <v>7</v>
      </c>
    </row>
    <row r="12163" spans="1:3" x14ac:dyDescent="0.25">
      <c r="A12163" s="1" t="s">
        <v>12162</v>
      </c>
      <c r="C12163" s="3">
        <v>7</v>
      </c>
    </row>
    <row r="12164" spans="1:3" x14ac:dyDescent="0.25">
      <c r="A12164" s="1" t="s">
        <v>12163</v>
      </c>
      <c r="C12164" s="3">
        <v>7</v>
      </c>
    </row>
    <row r="12165" spans="1:3" x14ac:dyDescent="0.25">
      <c r="A12165" s="1" t="s">
        <v>12164</v>
      </c>
      <c r="C12165" s="3">
        <v>7</v>
      </c>
    </row>
    <row r="12166" spans="1:3" x14ac:dyDescent="0.25">
      <c r="A12166" s="1" t="s">
        <v>12165</v>
      </c>
      <c r="C12166" s="3">
        <v>7</v>
      </c>
    </row>
    <row r="12167" spans="1:3" x14ac:dyDescent="0.25">
      <c r="A12167" s="1" t="s">
        <v>12166</v>
      </c>
      <c r="C12167" s="3">
        <v>7</v>
      </c>
    </row>
    <row r="12168" spans="1:3" x14ac:dyDescent="0.25">
      <c r="A12168" s="1" t="s">
        <v>12167</v>
      </c>
      <c r="C12168" s="3">
        <v>7</v>
      </c>
    </row>
    <row r="12169" spans="1:3" x14ac:dyDescent="0.25">
      <c r="A12169" s="1" t="s">
        <v>12168</v>
      </c>
      <c r="C12169" s="3">
        <v>7</v>
      </c>
    </row>
    <row r="12170" spans="1:3" x14ac:dyDescent="0.25">
      <c r="A12170" s="1" t="s">
        <v>12169</v>
      </c>
      <c r="C12170" s="3">
        <v>7</v>
      </c>
    </row>
    <row r="12171" spans="1:3" x14ac:dyDescent="0.25">
      <c r="A12171" s="1" t="s">
        <v>12170</v>
      </c>
      <c r="C12171" s="3">
        <v>7</v>
      </c>
    </row>
    <row r="12172" spans="1:3" x14ac:dyDescent="0.25">
      <c r="A12172" s="1" t="s">
        <v>12171</v>
      </c>
      <c r="C12172" s="3">
        <v>7</v>
      </c>
    </row>
    <row r="12173" spans="1:3" x14ac:dyDescent="0.25">
      <c r="A12173" s="1" t="s">
        <v>12172</v>
      </c>
      <c r="C12173" s="3">
        <v>7</v>
      </c>
    </row>
    <row r="12174" spans="1:3" x14ac:dyDescent="0.25">
      <c r="A12174" s="1" t="s">
        <v>12173</v>
      </c>
      <c r="C12174" s="3">
        <v>7</v>
      </c>
    </row>
    <row r="12175" spans="1:3" x14ac:dyDescent="0.25">
      <c r="A12175" s="1" t="s">
        <v>12174</v>
      </c>
      <c r="C12175" s="3">
        <v>7</v>
      </c>
    </row>
    <row r="12176" spans="1:3" x14ac:dyDescent="0.25">
      <c r="A12176" s="1" t="s">
        <v>12175</v>
      </c>
      <c r="C12176" s="3">
        <v>7</v>
      </c>
    </row>
    <row r="12177" spans="1:3" x14ac:dyDescent="0.25">
      <c r="A12177" s="1" t="s">
        <v>12176</v>
      </c>
      <c r="C12177" s="3">
        <v>7</v>
      </c>
    </row>
    <row r="12178" spans="1:3" x14ac:dyDescent="0.25">
      <c r="A12178" s="1" t="s">
        <v>12177</v>
      </c>
      <c r="C12178" s="3">
        <v>7</v>
      </c>
    </row>
    <row r="12179" spans="1:3" x14ac:dyDescent="0.25">
      <c r="A12179" s="1" t="s">
        <v>12178</v>
      </c>
      <c r="C12179" s="3">
        <v>7</v>
      </c>
    </row>
    <row r="12180" spans="1:3" x14ac:dyDescent="0.25">
      <c r="A12180" s="1" t="s">
        <v>12179</v>
      </c>
      <c r="C12180" s="3">
        <v>7</v>
      </c>
    </row>
    <row r="12181" spans="1:3" x14ac:dyDescent="0.25">
      <c r="A12181" s="1" t="s">
        <v>12180</v>
      </c>
      <c r="C12181" s="3">
        <v>7</v>
      </c>
    </row>
    <row r="12182" spans="1:3" x14ac:dyDescent="0.25">
      <c r="A12182" s="1" t="s">
        <v>12181</v>
      </c>
      <c r="C12182" s="3">
        <v>7</v>
      </c>
    </row>
    <row r="12183" spans="1:3" x14ac:dyDescent="0.25">
      <c r="A12183" s="1" t="s">
        <v>12182</v>
      </c>
      <c r="C12183" s="3">
        <v>7</v>
      </c>
    </row>
    <row r="12184" spans="1:3" x14ac:dyDescent="0.25">
      <c r="A12184" s="1" t="s">
        <v>12183</v>
      </c>
      <c r="C12184" s="3">
        <v>7</v>
      </c>
    </row>
    <row r="12185" spans="1:3" x14ac:dyDescent="0.25">
      <c r="A12185" s="1" t="s">
        <v>12184</v>
      </c>
      <c r="C12185" s="3">
        <v>7</v>
      </c>
    </row>
    <row r="12186" spans="1:3" x14ac:dyDescent="0.25">
      <c r="A12186" s="1" t="s">
        <v>12185</v>
      </c>
      <c r="C12186" s="3">
        <v>7</v>
      </c>
    </row>
    <row r="12187" spans="1:3" x14ac:dyDescent="0.25">
      <c r="A12187" s="1" t="s">
        <v>12186</v>
      </c>
      <c r="C12187" s="3">
        <v>7</v>
      </c>
    </row>
    <row r="12188" spans="1:3" x14ac:dyDescent="0.25">
      <c r="A12188" s="1" t="s">
        <v>12187</v>
      </c>
      <c r="C12188" s="3">
        <v>7</v>
      </c>
    </row>
    <row r="12189" spans="1:3" x14ac:dyDescent="0.25">
      <c r="A12189" s="1" t="s">
        <v>12188</v>
      </c>
      <c r="C12189" s="3">
        <v>7</v>
      </c>
    </row>
    <row r="12190" spans="1:3" x14ac:dyDescent="0.25">
      <c r="A12190" s="1" t="s">
        <v>12189</v>
      </c>
      <c r="C12190" s="3">
        <v>7</v>
      </c>
    </row>
    <row r="12191" spans="1:3" x14ac:dyDescent="0.25">
      <c r="A12191" s="1" t="s">
        <v>12190</v>
      </c>
      <c r="C12191" s="3">
        <v>7</v>
      </c>
    </row>
    <row r="12192" spans="1:3" x14ac:dyDescent="0.25">
      <c r="A12192" s="1" t="s">
        <v>12191</v>
      </c>
      <c r="C12192" s="3">
        <v>7</v>
      </c>
    </row>
    <row r="12193" spans="1:3" x14ac:dyDescent="0.25">
      <c r="A12193" s="1" t="s">
        <v>12192</v>
      </c>
      <c r="C12193" s="3">
        <v>7</v>
      </c>
    </row>
    <row r="12194" spans="1:3" x14ac:dyDescent="0.25">
      <c r="A12194" s="1" t="s">
        <v>12193</v>
      </c>
      <c r="C12194" s="3">
        <v>7</v>
      </c>
    </row>
    <row r="12195" spans="1:3" x14ac:dyDescent="0.25">
      <c r="A12195" s="1" t="s">
        <v>12194</v>
      </c>
      <c r="C12195" s="3">
        <v>7</v>
      </c>
    </row>
    <row r="12196" spans="1:3" x14ac:dyDescent="0.25">
      <c r="A12196" s="1" t="s">
        <v>12195</v>
      </c>
      <c r="C12196" s="3">
        <v>7</v>
      </c>
    </row>
    <row r="12197" spans="1:3" x14ac:dyDescent="0.25">
      <c r="A12197" s="1" t="s">
        <v>12196</v>
      </c>
      <c r="C12197" s="3">
        <v>7</v>
      </c>
    </row>
    <row r="12198" spans="1:3" x14ac:dyDescent="0.25">
      <c r="A12198" s="1" t="s">
        <v>12197</v>
      </c>
      <c r="C12198" s="3">
        <v>7</v>
      </c>
    </row>
    <row r="12199" spans="1:3" x14ac:dyDescent="0.25">
      <c r="A12199" s="1" t="s">
        <v>12198</v>
      </c>
      <c r="C12199" s="3">
        <v>7</v>
      </c>
    </row>
    <row r="12200" spans="1:3" x14ac:dyDescent="0.25">
      <c r="A12200" s="1" t="s">
        <v>12199</v>
      </c>
      <c r="C12200" s="3">
        <v>7</v>
      </c>
    </row>
    <row r="12201" spans="1:3" x14ac:dyDescent="0.25">
      <c r="A12201" s="1" t="s">
        <v>12200</v>
      </c>
      <c r="C12201" s="3">
        <v>7</v>
      </c>
    </row>
    <row r="12202" spans="1:3" x14ac:dyDescent="0.25">
      <c r="A12202" s="1" t="s">
        <v>12201</v>
      </c>
      <c r="C12202" s="3">
        <v>7</v>
      </c>
    </row>
    <row r="12203" spans="1:3" x14ac:dyDescent="0.25">
      <c r="A12203" s="1" t="s">
        <v>12202</v>
      </c>
      <c r="C12203" s="3">
        <v>7</v>
      </c>
    </row>
    <row r="12204" spans="1:3" x14ac:dyDescent="0.25">
      <c r="A12204" s="1" t="s">
        <v>12203</v>
      </c>
      <c r="C12204" s="3">
        <v>7</v>
      </c>
    </row>
    <row r="12205" spans="1:3" x14ac:dyDescent="0.25">
      <c r="A12205" s="1" t="s">
        <v>12204</v>
      </c>
      <c r="C12205" s="3">
        <v>7</v>
      </c>
    </row>
    <row r="12206" spans="1:3" x14ac:dyDescent="0.25">
      <c r="A12206" s="1" t="s">
        <v>12205</v>
      </c>
      <c r="C12206" s="3">
        <v>7</v>
      </c>
    </row>
    <row r="12207" spans="1:3" x14ac:dyDescent="0.25">
      <c r="A12207" s="1" t="s">
        <v>12206</v>
      </c>
      <c r="C12207" s="3">
        <v>7</v>
      </c>
    </row>
    <row r="12208" spans="1:3" x14ac:dyDescent="0.25">
      <c r="A12208" s="1" t="s">
        <v>12207</v>
      </c>
      <c r="C12208" s="3">
        <v>7</v>
      </c>
    </row>
    <row r="12209" spans="1:3" x14ac:dyDescent="0.25">
      <c r="A12209" s="1" t="s">
        <v>12208</v>
      </c>
      <c r="C12209" s="3">
        <v>7</v>
      </c>
    </row>
    <row r="12210" spans="1:3" x14ac:dyDescent="0.25">
      <c r="A12210" s="1" t="s">
        <v>12209</v>
      </c>
      <c r="C12210" s="3">
        <v>7</v>
      </c>
    </row>
    <row r="12211" spans="1:3" x14ac:dyDescent="0.25">
      <c r="A12211" s="1" t="s">
        <v>12210</v>
      </c>
      <c r="C12211" s="3">
        <v>7</v>
      </c>
    </row>
    <row r="12212" spans="1:3" x14ac:dyDescent="0.25">
      <c r="A12212" s="1" t="s">
        <v>12211</v>
      </c>
      <c r="C12212" s="3">
        <v>7</v>
      </c>
    </row>
    <row r="12213" spans="1:3" x14ac:dyDescent="0.25">
      <c r="A12213" s="1" t="s">
        <v>12212</v>
      </c>
      <c r="C12213" s="3">
        <v>7</v>
      </c>
    </row>
    <row r="12214" spans="1:3" x14ac:dyDescent="0.25">
      <c r="A12214" s="1" t="s">
        <v>12213</v>
      </c>
      <c r="C12214" s="3">
        <v>7</v>
      </c>
    </row>
    <row r="12215" spans="1:3" x14ac:dyDescent="0.25">
      <c r="A12215" s="1" t="s">
        <v>12214</v>
      </c>
      <c r="C12215" s="3">
        <v>7</v>
      </c>
    </row>
    <row r="12216" spans="1:3" x14ac:dyDescent="0.25">
      <c r="A12216" s="1" t="s">
        <v>12215</v>
      </c>
      <c r="C12216" s="3">
        <v>7</v>
      </c>
    </row>
    <row r="12217" spans="1:3" x14ac:dyDescent="0.25">
      <c r="A12217" s="1" t="s">
        <v>12216</v>
      </c>
      <c r="C12217" s="3">
        <v>7</v>
      </c>
    </row>
    <row r="12218" spans="1:3" x14ac:dyDescent="0.25">
      <c r="A12218" s="1" t="s">
        <v>12217</v>
      </c>
      <c r="C12218" s="3">
        <v>7</v>
      </c>
    </row>
    <row r="12219" spans="1:3" x14ac:dyDescent="0.25">
      <c r="A12219" s="1" t="s">
        <v>12218</v>
      </c>
      <c r="C12219" s="3">
        <v>7</v>
      </c>
    </row>
    <row r="12220" spans="1:3" x14ac:dyDescent="0.25">
      <c r="A12220" s="1" t="s">
        <v>12219</v>
      </c>
      <c r="C12220" s="3">
        <v>7</v>
      </c>
    </row>
    <row r="12221" spans="1:3" x14ac:dyDescent="0.25">
      <c r="A12221" s="1" t="s">
        <v>12220</v>
      </c>
      <c r="C12221" s="3">
        <v>7</v>
      </c>
    </row>
    <row r="12222" spans="1:3" x14ac:dyDescent="0.25">
      <c r="A12222" s="1" t="s">
        <v>12221</v>
      </c>
      <c r="C12222" s="3">
        <v>7</v>
      </c>
    </row>
    <row r="12223" spans="1:3" x14ac:dyDescent="0.25">
      <c r="A12223" s="1" t="s">
        <v>12222</v>
      </c>
      <c r="C12223" s="3">
        <v>7</v>
      </c>
    </row>
    <row r="12224" spans="1:3" x14ac:dyDescent="0.25">
      <c r="A12224" s="1" t="s">
        <v>12223</v>
      </c>
      <c r="C12224" s="3">
        <v>7</v>
      </c>
    </row>
    <row r="12225" spans="1:3" x14ac:dyDescent="0.25">
      <c r="A12225" s="1" t="s">
        <v>12224</v>
      </c>
      <c r="C12225" s="3">
        <v>7</v>
      </c>
    </row>
    <row r="12226" spans="1:3" x14ac:dyDescent="0.25">
      <c r="A12226" s="1" t="s">
        <v>12225</v>
      </c>
      <c r="C12226" s="3">
        <v>7</v>
      </c>
    </row>
    <row r="12227" spans="1:3" x14ac:dyDescent="0.25">
      <c r="A12227" s="1" t="s">
        <v>12226</v>
      </c>
      <c r="C12227" s="3">
        <v>7</v>
      </c>
    </row>
    <row r="12228" spans="1:3" x14ac:dyDescent="0.25">
      <c r="A12228" s="1" t="s">
        <v>12227</v>
      </c>
      <c r="C12228" s="3">
        <v>7</v>
      </c>
    </row>
    <row r="12229" spans="1:3" x14ac:dyDescent="0.25">
      <c r="A12229" s="1" t="s">
        <v>12228</v>
      </c>
      <c r="C12229" s="3">
        <v>7</v>
      </c>
    </row>
    <row r="12230" spans="1:3" x14ac:dyDescent="0.25">
      <c r="A12230" s="1" t="s">
        <v>12229</v>
      </c>
      <c r="C12230" s="3">
        <v>7</v>
      </c>
    </row>
    <row r="12231" spans="1:3" x14ac:dyDescent="0.25">
      <c r="A12231" s="1" t="s">
        <v>12230</v>
      </c>
      <c r="C12231" s="3">
        <v>7</v>
      </c>
    </row>
    <row r="12232" spans="1:3" x14ac:dyDescent="0.25">
      <c r="A12232" s="1" t="s">
        <v>12231</v>
      </c>
      <c r="C12232" s="3">
        <v>7</v>
      </c>
    </row>
    <row r="12233" spans="1:3" x14ac:dyDescent="0.25">
      <c r="A12233" s="1" t="s">
        <v>12232</v>
      </c>
      <c r="C12233" s="3">
        <v>7</v>
      </c>
    </row>
    <row r="12234" spans="1:3" x14ac:dyDescent="0.25">
      <c r="A12234" s="1" t="s">
        <v>12233</v>
      </c>
      <c r="C12234" s="3">
        <v>7</v>
      </c>
    </row>
    <row r="12235" spans="1:3" x14ac:dyDescent="0.25">
      <c r="A12235" s="1" t="s">
        <v>12234</v>
      </c>
      <c r="C12235" s="3">
        <v>7</v>
      </c>
    </row>
    <row r="12236" spans="1:3" x14ac:dyDescent="0.25">
      <c r="A12236" s="1" t="s">
        <v>12235</v>
      </c>
      <c r="C12236" s="3">
        <v>7</v>
      </c>
    </row>
    <row r="12237" spans="1:3" x14ac:dyDescent="0.25">
      <c r="A12237" s="1" t="s">
        <v>12236</v>
      </c>
      <c r="C12237" s="3">
        <v>7</v>
      </c>
    </row>
    <row r="12238" spans="1:3" x14ac:dyDescent="0.25">
      <c r="A12238" s="1" t="s">
        <v>12237</v>
      </c>
      <c r="C12238" s="3">
        <v>7</v>
      </c>
    </row>
    <row r="12239" spans="1:3" x14ac:dyDescent="0.25">
      <c r="A12239" s="1" t="s">
        <v>12238</v>
      </c>
      <c r="C12239" s="3">
        <v>7</v>
      </c>
    </row>
    <row r="12240" spans="1:3" x14ac:dyDescent="0.25">
      <c r="A12240" s="1" t="s">
        <v>12239</v>
      </c>
      <c r="C12240" s="3">
        <v>7</v>
      </c>
    </row>
    <row r="12241" spans="1:3" x14ac:dyDescent="0.25">
      <c r="A12241" s="1" t="s">
        <v>12240</v>
      </c>
      <c r="C12241" s="3">
        <v>7</v>
      </c>
    </row>
    <row r="12242" spans="1:3" x14ac:dyDescent="0.25">
      <c r="A12242" s="1" t="s">
        <v>12241</v>
      </c>
      <c r="C12242" s="3">
        <v>7</v>
      </c>
    </row>
    <row r="12243" spans="1:3" x14ac:dyDescent="0.25">
      <c r="A12243" s="1" t="s">
        <v>12242</v>
      </c>
      <c r="C12243" s="3">
        <v>7</v>
      </c>
    </row>
    <row r="12244" spans="1:3" x14ac:dyDescent="0.25">
      <c r="A12244" s="1" t="s">
        <v>12243</v>
      </c>
      <c r="C12244" s="3">
        <v>7</v>
      </c>
    </row>
    <row r="12245" spans="1:3" x14ac:dyDescent="0.25">
      <c r="A12245" s="1" t="s">
        <v>12244</v>
      </c>
      <c r="C12245" s="3">
        <v>7</v>
      </c>
    </row>
    <row r="12246" spans="1:3" x14ac:dyDescent="0.25">
      <c r="A12246" s="1" t="s">
        <v>12245</v>
      </c>
      <c r="C12246" s="3">
        <v>7</v>
      </c>
    </row>
    <row r="12247" spans="1:3" x14ac:dyDescent="0.25">
      <c r="A12247" s="1" t="s">
        <v>12246</v>
      </c>
      <c r="C12247" s="3">
        <v>7</v>
      </c>
    </row>
    <row r="12248" spans="1:3" x14ac:dyDescent="0.25">
      <c r="A12248" s="1" t="s">
        <v>12247</v>
      </c>
      <c r="C12248" s="3">
        <v>7</v>
      </c>
    </row>
    <row r="12249" spans="1:3" x14ac:dyDescent="0.25">
      <c r="A12249" s="1" t="s">
        <v>12248</v>
      </c>
      <c r="C12249" s="3">
        <v>7</v>
      </c>
    </row>
    <row r="12250" spans="1:3" x14ac:dyDescent="0.25">
      <c r="A12250" s="1" t="s">
        <v>12249</v>
      </c>
      <c r="C12250" s="3">
        <v>7</v>
      </c>
    </row>
    <row r="12251" spans="1:3" x14ac:dyDescent="0.25">
      <c r="A12251" s="1" t="s">
        <v>12250</v>
      </c>
      <c r="C12251" s="3">
        <v>7</v>
      </c>
    </row>
    <row r="12252" spans="1:3" x14ac:dyDescent="0.25">
      <c r="A12252" s="1" t="s">
        <v>12251</v>
      </c>
      <c r="C12252" s="3">
        <v>7</v>
      </c>
    </row>
    <row r="12253" spans="1:3" x14ac:dyDescent="0.25">
      <c r="A12253" s="1" t="s">
        <v>12252</v>
      </c>
      <c r="C12253" s="3">
        <v>7</v>
      </c>
    </row>
    <row r="12254" spans="1:3" x14ac:dyDescent="0.25">
      <c r="A12254" s="1" t="s">
        <v>12253</v>
      </c>
      <c r="C12254" s="3">
        <v>7</v>
      </c>
    </row>
    <row r="12255" spans="1:3" x14ac:dyDescent="0.25">
      <c r="A12255" s="1" t="s">
        <v>12254</v>
      </c>
      <c r="C12255" s="3">
        <v>7</v>
      </c>
    </row>
    <row r="12256" spans="1:3" x14ac:dyDescent="0.25">
      <c r="A12256" s="1" t="s">
        <v>12255</v>
      </c>
      <c r="C12256" s="3">
        <v>7</v>
      </c>
    </row>
    <row r="12257" spans="1:3" x14ac:dyDescent="0.25">
      <c r="A12257" s="1" t="s">
        <v>12256</v>
      </c>
      <c r="C12257" s="3">
        <v>7</v>
      </c>
    </row>
    <row r="12258" spans="1:3" x14ac:dyDescent="0.25">
      <c r="A12258" s="1" t="s">
        <v>12257</v>
      </c>
      <c r="C12258" s="3">
        <v>7</v>
      </c>
    </row>
    <row r="12259" spans="1:3" x14ac:dyDescent="0.25">
      <c r="A12259" s="1" t="s">
        <v>12258</v>
      </c>
      <c r="C12259" s="3">
        <v>7</v>
      </c>
    </row>
    <row r="12260" spans="1:3" x14ac:dyDescent="0.25">
      <c r="A12260" s="1" t="s">
        <v>12259</v>
      </c>
      <c r="C12260" s="3">
        <v>7</v>
      </c>
    </row>
    <row r="12261" spans="1:3" x14ac:dyDescent="0.25">
      <c r="A12261" s="1" t="s">
        <v>12260</v>
      </c>
      <c r="C12261" s="3">
        <v>7</v>
      </c>
    </row>
    <row r="12262" spans="1:3" x14ac:dyDescent="0.25">
      <c r="A12262" s="1" t="s">
        <v>12261</v>
      </c>
      <c r="C12262" s="3">
        <v>7</v>
      </c>
    </row>
    <row r="12263" spans="1:3" x14ac:dyDescent="0.25">
      <c r="A12263" s="1" t="s">
        <v>12262</v>
      </c>
      <c r="C12263" s="3">
        <v>7</v>
      </c>
    </row>
    <row r="12264" spans="1:3" x14ac:dyDescent="0.25">
      <c r="A12264" s="1" t="s">
        <v>12263</v>
      </c>
      <c r="C12264" s="3">
        <v>7</v>
      </c>
    </row>
    <row r="12265" spans="1:3" x14ac:dyDescent="0.25">
      <c r="A12265" s="1" t="s">
        <v>12264</v>
      </c>
      <c r="C12265" s="3">
        <v>7</v>
      </c>
    </row>
    <row r="12266" spans="1:3" x14ac:dyDescent="0.25">
      <c r="A12266" s="1" t="s">
        <v>12265</v>
      </c>
      <c r="C12266" s="3">
        <v>7</v>
      </c>
    </row>
    <row r="12267" spans="1:3" x14ac:dyDescent="0.25">
      <c r="A12267" s="1" t="s">
        <v>12266</v>
      </c>
      <c r="C12267" s="3">
        <v>7</v>
      </c>
    </row>
    <row r="12268" spans="1:3" x14ac:dyDescent="0.25">
      <c r="A12268" s="1" t="s">
        <v>12267</v>
      </c>
      <c r="C12268" s="3">
        <v>7</v>
      </c>
    </row>
    <row r="12269" spans="1:3" x14ac:dyDescent="0.25">
      <c r="A12269" s="1" t="s">
        <v>12268</v>
      </c>
      <c r="C12269" s="3">
        <v>7</v>
      </c>
    </row>
    <row r="12270" spans="1:3" x14ac:dyDescent="0.25">
      <c r="A12270" s="1" t="s">
        <v>12269</v>
      </c>
      <c r="C12270" s="3">
        <v>7</v>
      </c>
    </row>
    <row r="12271" spans="1:3" x14ac:dyDescent="0.25">
      <c r="A12271" s="1" t="s">
        <v>12270</v>
      </c>
      <c r="C12271" s="3">
        <v>7</v>
      </c>
    </row>
    <row r="12272" spans="1:3" x14ac:dyDescent="0.25">
      <c r="A12272" s="1" t="s">
        <v>12271</v>
      </c>
      <c r="C12272" s="3">
        <v>7</v>
      </c>
    </row>
    <row r="12273" spans="1:3" x14ac:dyDescent="0.25">
      <c r="A12273" s="1" t="s">
        <v>12272</v>
      </c>
      <c r="C12273" s="3">
        <v>7</v>
      </c>
    </row>
    <row r="12274" spans="1:3" x14ac:dyDescent="0.25">
      <c r="A12274" s="1" t="s">
        <v>12273</v>
      </c>
      <c r="C12274" s="3">
        <v>7</v>
      </c>
    </row>
    <row r="12275" spans="1:3" x14ac:dyDescent="0.25">
      <c r="A12275" s="1" t="s">
        <v>12274</v>
      </c>
      <c r="C12275" s="3">
        <v>7</v>
      </c>
    </row>
    <row r="12276" spans="1:3" x14ac:dyDescent="0.25">
      <c r="A12276" s="1" t="s">
        <v>12275</v>
      </c>
      <c r="C12276" s="3">
        <v>7</v>
      </c>
    </row>
    <row r="12277" spans="1:3" x14ac:dyDescent="0.25">
      <c r="A12277" s="1" t="s">
        <v>12276</v>
      </c>
      <c r="C12277" s="3">
        <v>7</v>
      </c>
    </row>
    <row r="12278" spans="1:3" x14ac:dyDescent="0.25">
      <c r="A12278" s="1" t="s">
        <v>12277</v>
      </c>
      <c r="C12278" s="3">
        <v>7</v>
      </c>
    </row>
    <row r="12279" spans="1:3" x14ac:dyDescent="0.25">
      <c r="A12279" s="1" t="s">
        <v>12278</v>
      </c>
      <c r="C12279" s="3">
        <v>7</v>
      </c>
    </row>
    <row r="12280" spans="1:3" x14ac:dyDescent="0.25">
      <c r="A12280" s="1" t="s">
        <v>12279</v>
      </c>
      <c r="C12280" s="3">
        <v>7</v>
      </c>
    </row>
    <row r="12281" spans="1:3" x14ac:dyDescent="0.25">
      <c r="A12281" s="1" t="s">
        <v>12280</v>
      </c>
      <c r="C12281" s="3">
        <v>7</v>
      </c>
    </row>
    <row r="12282" spans="1:3" x14ac:dyDescent="0.25">
      <c r="A12282" s="1" t="s">
        <v>12281</v>
      </c>
      <c r="C12282" s="3">
        <v>7</v>
      </c>
    </row>
    <row r="12283" spans="1:3" x14ac:dyDescent="0.25">
      <c r="A12283" s="1" t="s">
        <v>12282</v>
      </c>
      <c r="C12283" s="3">
        <v>7</v>
      </c>
    </row>
    <row r="12284" spans="1:3" x14ac:dyDescent="0.25">
      <c r="A12284" s="1" t="s">
        <v>12283</v>
      </c>
      <c r="C12284" s="3">
        <v>7</v>
      </c>
    </row>
    <row r="12285" spans="1:3" x14ac:dyDescent="0.25">
      <c r="A12285" s="1" t="s">
        <v>12284</v>
      </c>
      <c r="C12285" s="3">
        <v>7</v>
      </c>
    </row>
    <row r="12286" spans="1:3" x14ac:dyDescent="0.25">
      <c r="A12286" s="1" t="s">
        <v>12285</v>
      </c>
      <c r="C12286" s="3">
        <v>7</v>
      </c>
    </row>
    <row r="12287" spans="1:3" x14ac:dyDescent="0.25">
      <c r="A12287" s="1" t="s">
        <v>12286</v>
      </c>
      <c r="C12287" s="3">
        <v>7</v>
      </c>
    </row>
    <row r="12288" spans="1:3" x14ac:dyDescent="0.25">
      <c r="A12288" s="1" t="s">
        <v>12287</v>
      </c>
      <c r="C12288" s="3">
        <v>7</v>
      </c>
    </row>
    <row r="12289" spans="1:3" x14ac:dyDescent="0.25">
      <c r="A12289" s="1" t="s">
        <v>12288</v>
      </c>
      <c r="C12289" s="3">
        <v>7</v>
      </c>
    </row>
    <row r="12290" spans="1:3" x14ac:dyDescent="0.25">
      <c r="A12290" s="1" t="s">
        <v>12289</v>
      </c>
      <c r="C12290" s="3">
        <v>7</v>
      </c>
    </row>
    <row r="12291" spans="1:3" x14ac:dyDescent="0.25">
      <c r="A12291" s="1" t="s">
        <v>12290</v>
      </c>
      <c r="C12291" s="3">
        <v>7</v>
      </c>
    </row>
    <row r="12292" spans="1:3" x14ac:dyDescent="0.25">
      <c r="A12292" s="1" t="s">
        <v>12291</v>
      </c>
      <c r="C12292" s="3">
        <v>7</v>
      </c>
    </row>
    <row r="12293" spans="1:3" x14ac:dyDescent="0.25">
      <c r="A12293" s="1" t="s">
        <v>12292</v>
      </c>
      <c r="C12293" s="3">
        <v>7</v>
      </c>
    </row>
    <row r="12294" spans="1:3" x14ac:dyDescent="0.25">
      <c r="A12294" s="1" t="s">
        <v>12293</v>
      </c>
      <c r="C12294" s="3">
        <v>7</v>
      </c>
    </row>
    <row r="12295" spans="1:3" x14ac:dyDescent="0.25">
      <c r="A12295" s="1" t="s">
        <v>12294</v>
      </c>
      <c r="C12295" s="3">
        <v>7</v>
      </c>
    </row>
    <row r="12296" spans="1:3" x14ac:dyDescent="0.25">
      <c r="A12296" s="1" t="s">
        <v>12295</v>
      </c>
      <c r="C12296" s="3">
        <v>7</v>
      </c>
    </row>
    <row r="12297" spans="1:3" x14ac:dyDescent="0.25">
      <c r="A12297" s="1" t="s">
        <v>12296</v>
      </c>
      <c r="C12297" s="3">
        <v>7</v>
      </c>
    </row>
    <row r="12298" spans="1:3" x14ac:dyDescent="0.25">
      <c r="A12298" s="1" t="s">
        <v>12297</v>
      </c>
      <c r="C12298" s="3">
        <v>7</v>
      </c>
    </row>
    <row r="12299" spans="1:3" x14ac:dyDescent="0.25">
      <c r="A12299" s="1" t="s">
        <v>12298</v>
      </c>
      <c r="C12299" s="3">
        <v>7</v>
      </c>
    </row>
    <row r="12300" spans="1:3" x14ac:dyDescent="0.25">
      <c r="A12300" s="1" t="s">
        <v>12299</v>
      </c>
      <c r="C12300" s="3">
        <v>7</v>
      </c>
    </row>
    <row r="12301" spans="1:3" x14ac:dyDescent="0.25">
      <c r="A12301" s="1" t="s">
        <v>12300</v>
      </c>
      <c r="C12301" s="3">
        <v>7</v>
      </c>
    </row>
    <row r="12302" spans="1:3" x14ac:dyDescent="0.25">
      <c r="A12302" s="1" t="s">
        <v>12301</v>
      </c>
      <c r="C12302" s="3">
        <v>7</v>
      </c>
    </row>
    <row r="12303" spans="1:3" x14ac:dyDescent="0.25">
      <c r="A12303" s="1" t="s">
        <v>12302</v>
      </c>
      <c r="C12303" s="3">
        <v>7</v>
      </c>
    </row>
    <row r="12304" spans="1:3" x14ac:dyDescent="0.25">
      <c r="A12304" s="1" t="s">
        <v>12303</v>
      </c>
      <c r="C12304" s="3">
        <v>7</v>
      </c>
    </row>
    <row r="12305" spans="1:3" x14ac:dyDescent="0.25">
      <c r="A12305" s="1" t="s">
        <v>12304</v>
      </c>
      <c r="C12305" s="3">
        <v>7</v>
      </c>
    </row>
    <row r="12306" spans="1:3" x14ac:dyDescent="0.25">
      <c r="A12306" s="1" t="s">
        <v>12305</v>
      </c>
      <c r="C12306" s="3">
        <v>7</v>
      </c>
    </row>
    <row r="12307" spans="1:3" x14ac:dyDescent="0.25">
      <c r="A12307" s="1" t="s">
        <v>12306</v>
      </c>
      <c r="C12307" s="3">
        <v>7</v>
      </c>
    </row>
    <row r="12308" spans="1:3" x14ac:dyDescent="0.25">
      <c r="A12308" s="1" t="s">
        <v>12307</v>
      </c>
      <c r="C12308" s="3">
        <v>7</v>
      </c>
    </row>
    <row r="12309" spans="1:3" x14ac:dyDescent="0.25">
      <c r="A12309" s="1" t="s">
        <v>12308</v>
      </c>
      <c r="C12309" s="3">
        <v>7</v>
      </c>
    </row>
    <row r="12310" spans="1:3" x14ac:dyDescent="0.25">
      <c r="A12310" s="1" t="s">
        <v>12309</v>
      </c>
      <c r="C12310" s="3">
        <v>7</v>
      </c>
    </row>
    <row r="12311" spans="1:3" x14ac:dyDescent="0.25">
      <c r="A12311" s="1" t="s">
        <v>12310</v>
      </c>
      <c r="C12311" s="3">
        <v>7</v>
      </c>
    </row>
    <row r="12312" spans="1:3" x14ac:dyDescent="0.25">
      <c r="A12312" s="1" t="s">
        <v>12311</v>
      </c>
      <c r="C12312" s="3">
        <v>7</v>
      </c>
    </row>
    <row r="12313" spans="1:3" x14ac:dyDescent="0.25">
      <c r="A12313" s="1" t="s">
        <v>12312</v>
      </c>
      <c r="C12313" s="3">
        <v>7</v>
      </c>
    </row>
    <row r="12314" spans="1:3" x14ac:dyDescent="0.25">
      <c r="A12314" s="1" t="s">
        <v>12313</v>
      </c>
      <c r="C12314" s="3">
        <v>7</v>
      </c>
    </row>
    <row r="12315" spans="1:3" x14ac:dyDescent="0.25">
      <c r="A12315" s="1" t="s">
        <v>12314</v>
      </c>
      <c r="C12315" s="3">
        <v>7</v>
      </c>
    </row>
    <row r="12316" spans="1:3" x14ac:dyDescent="0.25">
      <c r="A12316" s="1" t="s">
        <v>12315</v>
      </c>
      <c r="C12316" s="3">
        <v>7</v>
      </c>
    </row>
    <row r="12317" spans="1:3" x14ac:dyDescent="0.25">
      <c r="A12317" s="1" t="s">
        <v>12316</v>
      </c>
      <c r="C12317" s="3">
        <v>7</v>
      </c>
    </row>
    <row r="12318" spans="1:3" x14ac:dyDescent="0.25">
      <c r="A12318" s="1" t="s">
        <v>12317</v>
      </c>
      <c r="C12318" s="3">
        <v>7</v>
      </c>
    </row>
    <row r="12319" spans="1:3" x14ac:dyDescent="0.25">
      <c r="A12319" s="1" t="s">
        <v>12318</v>
      </c>
      <c r="C12319" s="3">
        <v>7</v>
      </c>
    </row>
    <row r="12320" spans="1:3" x14ac:dyDescent="0.25">
      <c r="A12320" s="1" t="s">
        <v>12319</v>
      </c>
      <c r="C12320" s="3">
        <v>7</v>
      </c>
    </row>
    <row r="12321" spans="1:3" x14ac:dyDescent="0.25">
      <c r="A12321" s="1" t="s">
        <v>12320</v>
      </c>
      <c r="C12321" s="3">
        <v>7</v>
      </c>
    </row>
    <row r="12322" spans="1:3" x14ac:dyDescent="0.25">
      <c r="A12322" s="1" t="s">
        <v>12321</v>
      </c>
      <c r="C12322" s="3">
        <v>7</v>
      </c>
    </row>
    <row r="12323" spans="1:3" x14ac:dyDescent="0.25">
      <c r="A12323" s="1" t="s">
        <v>12322</v>
      </c>
      <c r="C12323" s="3">
        <v>7</v>
      </c>
    </row>
    <row r="12324" spans="1:3" x14ac:dyDescent="0.25">
      <c r="A12324" s="1" t="s">
        <v>12323</v>
      </c>
      <c r="C12324" s="3">
        <v>7</v>
      </c>
    </row>
    <row r="12325" spans="1:3" x14ac:dyDescent="0.25">
      <c r="A12325" s="1" t="s">
        <v>12324</v>
      </c>
      <c r="C12325" s="3">
        <v>7</v>
      </c>
    </row>
    <row r="12326" spans="1:3" x14ac:dyDescent="0.25">
      <c r="A12326" s="1" t="s">
        <v>12325</v>
      </c>
      <c r="C12326" s="3">
        <v>7</v>
      </c>
    </row>
    <row r="12327" spans="1:3" x14ac:dyDescent="0.25">
      <c r="A12327" s="1" t="s">
        <v>12326</v>
      </c>
      <c r="C12327" s="3">
        <v>7</v>
      </c>
    </row>
    <row r="12328" spans="1:3" x14ac:dyDescent="0.25">
      <c r="A12328" s="1" t="s">
        <v>12327</v>
      </c>
      <c r="C12328" s="3">
        <v>7</v>
      </c>
    </row>
    <row r="12329" spans="1:3" x14ac:dyDescent="0.25">
      <c r="A12329" s="1" t="s">
        <v>12328</v>
      </c>
      <c r="C12329" s="3">
        <v>7</v>
      </c>
    </row>
    <row r="12330" spans="1:3" x14ac:dyDescent="0.25">
      <c r="A12330" s="1" t="s">
        <v>12329</v>
      </c>
      <c r="C12330" s="3">
        <v>7</v>
      </c>
    </row>
    <row r="12331" spans="1:3" x14ac:dyDescent="0.25">
      <c r="A12331" s="1" t="s">
        <v>12330</v>
      </c>
      <c r="C12331" s="3">
        <v>7</v>
      </c>
    </row>
    <row r="12332" spans="1:3" x14ac:dyDescent="0.25">
      <c r="A12332" s="1" t="s">
        <v>12331</v>
      </c>
      <c r="C12332" s="3">
        <v>7</v>
      </c>
    </row>
    <row r="12333" spans="1:3" x14ac:dyDescent="0.25">
      <c r="A12333" s="1" t="s">
        <v>12332</v>
      </c>
      <c r="C12333" s="3">
        <v>7</v>
      </c>
    </row>
    <row r="12334" spans="1:3" x14ac:dyDescent="0.25">
      <c r="A12334" s="1" t="s">
        <v>12333</v>
      </c>
      <c r="C12334" s="3">
        <v>7</v>
      </c>
    </row>
    <row r="12335" spans="1:3" x14ac:dyDescent="0.25">
      <c r="A12335" s="1" t="s">
        <v>12334</v>
      </c>
      <c r="C12335" s="3">
        <v>7</v>
      </c>
    </row>
    <row r="12336" spans="1:3" x14ac:dyDescent="0.25">
      <c r="A12336" s="1" t="s">
        <v>12335</v>
      </c>
      <c r="C12336" s="3">
        <v>7</v>
      </c>
    </row>
    <row r="12337" spans="1:3" x14ac:dyDescent="0.25">
      <c r="A12337" s="1" t="s">
        <v>12336</v>
      </c>
      <c r="C12337" s="3">
        <v>7</v>
      </c>
    </row>
    <row r="12338" spans="1:3" x14ac:dyDescent="0.25">
      <c r="A12338" s="1" t="s">
        <v>12337</v>
      </c>
      <c r="C12338" s="3">
        <v>7</v>
      </c>
    </row>
    <row r="12339" spans="1:3" x14ac:dyDescent="0.25">
      <c r="A12339" s="1" t="s">
        <v>12338</v>
      </c>
      <c r="C12339" s="3">
        <v>7</v>
      </c>
    </row>
    <row r="12340" spans="1:3" x14ac:dyDescent="0.25">
      <c r="A12340" s="1" t="s">
        <v>12339</v>
      </c>
      <c r="C12340" s="3">
        <v>7</v>
      </c>
    </row>
    <row r="12341" spans="1:3" x14ac:dyDescent="0.25">
      <c r="A12341" s="1" t="s">
        <v>12340</v>
      </c>
      <c r="C12341" s="3">
        <v>7</v>
      </c>
    </row>
    <row r="12342" spans="1:3" x14ac:dyDescent="0.25">
      <c r="A12342" s="1" t="s">
        <v>12341</v>
      </c>
      <c r="C12342" s="3">
        <v>7</v>
      </c>
    </row>
    <row r="12343" spans="1:3" x14ac:dyDescent="0.25">
      <c r="A12343" s="1" t="s">
        <v>12342</v>
      </c>
      <c r="C12343" s="3">
        <v>7</v>
      </c>
    </row>
    <row r="12344" spans="1:3" x14ac:dyDescent="0.25">
      <c r="A12344" s="1" t="s">
        <v>12343</v>
      </c>
      <c r="C12344" s="3">
        <v>7</v>
      </c>
    </row>
    <row r="12345" spans="1:3" x14ac:dyDescent="0.25">
      <c r="A12345" s="1" t="s">
        <v>12344</v>
      </c>
      <c r="C12345" s="3">
        <v>7</v>
      </c>
    </row>
    <row r="12346" spans="1:3" x14ac:dyDescent="0.25">
      <c r="A12346" s="1" t="s">
        <v>12345</v>
      </c>
      <c r="C12346" s="3">
        <v>7</v>
      </c>
    </row>
    <row r="12347" spans="1:3" x14ac:dyDescent="0.25">
      <c r="A12347" s="1" t="s">
        <v>12346</v>
      </c>
      <c r="C12347" s="3">
        <v>7</v>
      </c>
    </row>
    <row r="12348" spans="1:3" x14ac:dyDescent="0.25">
      <c r="A12348" s="1" t="s">
        <v>12347</v>
      </c>
      <c r="C12348" s="3">
        <v>7</v>
      </c>
    </row>
    <row r="12349" spans="1:3" x14ac:dyDescent="0.25">
      <c r="A12349" s="1" t="s">
        <v>12348</v>
      </c>
      <c r="C12349" s="3">
        <v>7</v>
      </c>
    </row>
    <row r="12350" spans="1:3" x14ac:dyDescent="0.25">
      <c r="A12350" s="1" t="s">
        <v>12349</v>
      </c>
      <c r="C12350" s="3">
        <v>7</v>
      </c>
    </row>
    <row r="12351" spans="1:3" x14ac:dyDescent="0.25">
      <c r="A12351" s="1" t="s">
        <v>12350</v>
      </c>
      <c r="C12351" s="3">
        <v>7</v>
      </c>
    </row>
    <row r="12352" spans="1:3" x14ac:dyDescent="0.25">
      <c r="A12352" s="1" t="s">
        <v>12351</v>
      </c>
      <c r="C12352" s="3">
        <v>7</v>
      </c>
    </row>
    <row r="12353" spans="1:3" x14ac:dyDescent="0.25">
      <c r="A12353" s="1" t="s">
        <v>12352</v>
      </c>
      <c r="C12353" s="3">
        <v>7</v>
      </c>
    </row>
    <row r="12354" spans="1:3" x14ac:dyDescent="0.25">
      <c r="A12354" s="1" t="s">
        <v>12353</v>
      </c>
      <c r="C12354" s="3">
        <v>7</v>
      </c>
    </row>
    <row r="12355" spans="1:3" x14ac:dyDescent="0.25">
      <c r="A12355" s="1" t="s">
        <v>12354</v>
      </c>
      <c r="C12355" s="3">
        <v>7</v>
      </c>
    </row>
    <row r="12356" spans="1:3" x14ac:dyDescent="0.25">
      <c r="A12356" s="1" t="s">
        <v>12355</v>
      </c>
      <c r="C12356" s="3">
        <v>7</v>
      </c>
    </row>
    <row r="12357" spans="1:3" x14ac:dyDescent="0.25">
      <c r="A12357" s="1" t="s">
        <v>12356</v>
      </c>
      <c r="C12357" s="3">
        <v>7</v>
      </c>
    </row>
    <row r="12358" spans="1:3" x14ac:dyDescent="0.25">
      <c r="A12358" s="1" t="s">
        <v>12357</v>
      </c>
      <c r="C12358" s="3">
        <v>7</v>
      </c>
    </row>
    <row r="12359" spans="1:3" x14ac:dyDescent="0.25">
      <c r="A12359" s="1" t="s">
        <v>12358</v>
      </c>
      <c r="C12359" s="3">
        <v>7</v>
      </c>
    </row>
    <row r="12360" spans="1:3" x14ac:dyDescent="0.25">
      <c r="A12360" s="1" t="s">
        <v>12359</v>
      </c>
      <c r="C12360" s="3">
        <v>7</v>
      </c>
    </row>
    <row r="12361" spans="1:3" x14ac:dyDescent="0.25">
      <c r="A12361" s="1" t="s">
        <v>12360</v>
      </c>
      <c r="C12361" s="3">
        <v>7</v>
      </c>
    </row>
    <row r="12362" spans="1:3" x14ac:dyDescent="0.25">
      <c r="A12362" s="1" t="s">
        <v>12361</v>
      </c>
      <c r="C12362" s="3">
        <v>7</v>
      </c>
    </row>
    <row r="12363" spans="1:3" x14ac:dyDescent="0.25">
      <c r="A12363" s="1" t="s">
        <v>12362</v>
      </c>
      <c r="C12363" s="3">
        <v>7</v>
      </c>
    </row>
    <row r="12364" spans="1:3" x14ac:dyDescent="0.25">
      <c r="A12364" s="1" t="s">
        <v>12363</v>
      </c>
      <c r="C12364" s="3">
        <v>7</v>
      </c>
    </row>
    <row r="12365" spans="1:3" x14ac:dyDescent="0.25">
      <c r="A12365" s="1" t="s">
        <v>12364</v>
      </c>
      <c r="C12365" s="3">
        <v>7</v>
      </c>
    </row>
    <row r="12366" spans="1:3" x14ac:dyDescent="0.25">
      <c r="A12366" s="1" t="s">
        <v>12365</v>
      </c>
      <c r="C12366" s="3">
        <v>7</v>
      </c>
    </row>
    <row r="12367" spans="1:3" x14ac:dyDescent="0.25">
      <c r="A12367" s="1" t="s">
        <v>12366</v>
      </c>
      <c r="C12367" s="3">
        <v>7</v>
      </c>
    </row>
    <row r="12368" spans="1:3" x14ac:dyDescent="0.25">
      <c r="A12368" s="1" t="s">
        <v>12367</v>
      </c>
      <c r="C12368" s="3">
        <v>7</v>
      </c>
    </row>
    <row r="12369" spans="1:3" x14ac:dyDescent="0.25">
      <c r="A12369" s="1" t="s">
        <v>12368</v>
      </c>
      <c r="C12369" s="3">
        <v>7</v>
      </c>
    </row>
    <row r="12370" spans="1:3" x14ac:dyDescent="0.25">
      <c r="A12370" s="1" t="s">
        <v>12369</v>
      </c>
      <c r="C12370" s="3">
        <v>7</v>
      </c>
    </row>
    <row r="12371" spans="1:3" x14ac:dyDescent="0.25">
      <c r="A12371" s="1" t="s">
        <v>12370</v>
      </c>
      <c r="C12371" s="3">
        <v>7</v>
      </c>
    </row>
    <row r="12372" spans="1:3" x14ac:dyDescent="0.25">
      <c r="A12372" s="1" t="s">
        <v>12371</v>
      </c>
      <c r="C12372" s="3">
        <v>7</v>
      </c>
    </row>
    <row r="12373" spans="1:3" x14ac:dyDescent="0.25">
      <c r="A12373" s="1" t="s">
        <v>12372</v>
      </c>
      <c r="C12373" s="3">
        <v>7</v>
      </c>
    </row>
    <row r="12374" spans="1:3" x14ac:dyDescent="0.25">
      <c r="A12374" s="1" t="s">
        <v>12373</v>
      </c>
      <c r="C12374" s="3">
        <v>7</v>
      </c>
    </row>
    <row r="12375" spans="1:3" x14ac:dyDescent="0.25">
      <c r="A12375" s="1" t="s">
        <v>12374</v>
      </c>
      <c r="C12375" s="3">
        <v>7</v>
      </c>
    </row>
    <row r="12376" spans="1:3" x14ac:dyDescent="0.25">
      <c r="A12376" s="1" t="s">
        <v>12375</v>
      </c>
      <c r="C12376" s="3">
        <v>7</v>
      </c>
    </row>
    <row r="12377" spans="1:3" x14ac:dyDescent="0.25">
      <c r="A12377" s="1" t="s">
        <v>12376</v>
      </c>
      <c r="C12377" s="3">
        <v>7</v>
      </c>
    </row>
    <row r="12378" spans="1:3" x14ac:dyDescent="0.25">
      <c r="A12378" s="1" t="s">
        <v>12377</v>
      </c>
      <c r="C12378" s="3">
        <v>7</v>
      </c>
    </row>
    <row r="12379" spans="1:3" x14ac:dyDescent="0.25">
      <c r="A12379" s="1" t="s">
        <v>12378</v>
      </c>
      <c r="C12379" s="3">
        <v>7</v>
      </c>
    </row>
    <row r="12380" spans="1:3" x14ac:dyDescent="0.25">
      <c r="A12380" s="1" t="s">
        <v>12379</v>
      </c>
      <c r="C12380" s="3">
        <v>7</v>
      </c>
    </row>
    <row r="12381" spans="1:3" x14ac:dyDescent="0.25">
      <c r="A12381" s="1" t="s">
        <v>12380</v>
      </c>
      <c r="C12381" s="3">
        <v>7</v>
      </c>
    </row>
    <row r="12382" spans="1:3" x14ac:dyDescent="0.25">
      <c r="A12382" s="1" t="s">
        <v>12381</v>
      </c>
      <c r="C12382" s="3">
        <v>7</v>
      </c>
    </row>
    <row r="12383" spans="1:3" x14ac:dyDescent="0.25">
      <c r="A12383" s="1" t="s">
        <v>12382</v>
      </c>
      <c r="C12383" s="3">
        <v>7</v>
      </c>
    </row>
    <row r="12384" spans="1:3" x14ac:dyDescent="0.25">
      <c r="A12384" s="1" t="s">
        <v>12383</v>
      </c>
      <c r="C12384" s="3">
        <v>7</v>
      </c>
    </row>
    <row r="12385" spans="1:3" x14ac:dyDescent="0.25">
      <c r="A12385" s="1" t="s">
        <v>12384</v>
      </c>
      <c r="C12385" s="3">
        <v>7</v>
      </c>
    </row>
    <row r="12386" spans="1:3" x14ac:dyDescent="0.25">
      <c r="A12386" s="1" t="s">
        <v>12385</v>
      </c>
      <c r="C12386" s="3">
        <v>7</v>
      </c>
    </row>
    <row r="12387" spans="1:3" x14ac:dyDescent="0.25">
      <c r="A12387" s="1" t="s">
        <v>12386</v>
      </c>
      <c r="C12387" s="3">
        <v>7</v>
      </c>
    </row>
    <row r="12388" spans="1:3" x14ac:dyDescent="0.25">
      <c r="A12388" s="1" t="s">
        <v>12387</v>
      </c>
      <c r="C12388" s="3">
        <v>7</v>
      </c>
    </row>
    <row r="12389" spans="1:3" x14ac:dyDescent="0.25">
      <c r="A12389" s="1" t="s">
        <v>12388</v>
      </c>
      <c r="C12389" s="3">
        <v>7</v>
      </c>
    </row>
    <row r="12390" spans="1:3" x14ac:dyDescent="0.25">
      <c r="A12390" s="1" t="s">
        <v>12389</v>
      </c>
      <c r="C12390" s="3">
        <v>7</v>
      </c>
    </row>
    <row r="12391" spans="1:3" x14ac:dyDescent="0.25">
      <c r="A12391" s="1" t="s">
        <v>12390</v>
      </c>
      <c r="C12391" s="3">
        <v>7</v>
      </c>
    </row>
    <row r="12392" spans="1:3" x14ac:dyDescent="0.25">
      <c r="A12392" s="1" t="s">
        <v>12391</v>
      </c>
      <c r="C12392" s="3">
        <v>7</v>
      </c>
    </row>
    <row r="12393" spans="1:3" x14ac:dyDescent="0.25">
      <c r="A12393" s="1" t="s">
        <v>12392</v>
      </c>
      <c r="C12393" s="3">
        <v>7</v>
      </c>
    </row>
    <row r="12394" spans="1:3" x14ac:dyDescent="0.25">
      <c r="A12394" s="1" t="s">
        <v>12393</v>
      </c>
      <c r="C12394" s="3">
        <v>7</v>
      </c>
    </row>
    <row r="12395" spans="1:3" x14ac:dyDescent="0.25">
      <c r="A12395" s="1" t="s">
        <v>12394</v>
      </c>
      <c r="C12395" s="3">
        <v>7</v>
      </c>
    </row>
    <row r="12396" spans="1:3" x14ac:dyDescent="0.25">
      <c r="A12396" s="1" t="s">
        <v>12395</v>
      </c>
      <c r="C12396" s="3">
        <v>7</v>
      </c>
    </row>
    <row r="12397" spans="1:3" x14ac:dyDescent="0.25">
      <c r="A12397" s="1" t="s">
        <v>12396</v>
      </c>
      <c r="C12397" s="3">
        <v>7</v>
      </c>
    </row>
    <row r="12398" spans="1:3" x14ac:dyDescent="0.25">
      <c r="A12398" s="1" t="s">
        <v>12397</v>
      </c>
      <c r="C12398" s="3">
        <v>7</v>
      </c>
    </row>
    <row r="12399" spans="1:3" x14ac:dyDescent="0.25">
      <c r="A12399" s="1" t="s">
        <v>12398</v>
      </c>
      <c r="C12399" s="3">
        <v>7</v>
      </c>
    </row>
    <row r="12400" spans="1:3" x14ac:dyDescent="0.25">
      <c r="A12400" s="1" t="s">
        <v>12399</v>
      </c>
      <c r="C12400" s="3">
        <v>7</v>
      </c>
    </row>
    <row r="12401" spans="1:3" x14ac:dyDescent="0.25">
      <c r="A12401" s="1" t="s">
        <v>12400</v>
      </c>
      <c r="C12401" s="3">
        <v>7</v>
      </c>
    </row>
    <row r="12402" spans="1:3" x14ac:dyDescent="0.25">
      <c r="A12402" s="1" t="s">
        <v>12401</v>
      </c>
      <c r="C12402" s="3">
        <v>7</v>
      </c>
    </row>
    <row r="12403" spans="1:3" x14ac:dyDescent="0.25">
      <c r="A12403" s="1" t="s">
        <v>12402</v>
      </c>
      <c r="C12403" s="3">
        <v>7</v>
      </c>
    </row>
    <row r="12404" spans="1:3" x14ac:dyDescent="0.25">
      <c r="A12404" s="1" t="s">
        <v>12403</v>
      </c>
      <c r="C12404" s="3">
        <v>7</v>
      </c>
    </row>
    <row r="12405" spans="1:3" x14ac:dyDescent="0.25">
      <c r="A12405" s="1" t="s">
        <v>12404</v>
      </c>
      <c r="C12405" s="3">
        <v>7</v>
      </c>
    </row>
    <row r="12406" spans="1:3" x14ac:dyDescent="0.25">
      <c r="A12406" s="1" t="s">
        <v>12405</v>
      </c>
      <c r="C12406" s="3">
        <v>7</v>
      </c>
    </row>
    <row r="12407" spans="1:3" x14ac:dyDescent="0.25">
      <c r="A12407" s="1" t="s">
        <v>12406</v>
      </c>
      <c r="C12407" s="3">
        <v>7</v>
      </c>
    </row>
    <row r="12408" spans="1:3" x14ac:dyDescent="0.25">
      <c r="A12408" s="1" t="s">
        <v>12407</v>
      </c>
      <c r="C12408" s="3">
        <v>7</v>
      </c>
    </row>
    <row r="12409" spans="1:3" x14ac:dyDescent="0.25">
      <c r="A12409" s="1" t="s">
        <v>12408</v>
      </c>
      <c r="C12409" s="3">
        <v>7</v>
      </c>
    </row>
    <row r="12410" spans="1:3" x14ac:dyDescent="0.25">
      <c r="A12410" s="1" t="s">
        <v>12409</v>
      </c>
      <c r="C12410" s="3">
        <v>7</v>
      </c>
    </row>
    <row r="12411" spans="1:3" x14ac:dyDescent="0.25">
      <c r="A12411" s="1" t="s">
        <v>12410</v>
      </c>
      <c r="C12411" s="3">
        <v>7</v>
      </c>
    </row>
    <row r="12412" spans="1:3" x14ac:dyDescent="0.25">
      <c r="A12412" s="1" t="s">
        <v>12411</v>
      </c>
      <c r="C12412" s="3">
        <v>7</v>
      </c>
    </row>
    <row r="12413" spans="1:3" x14ac:dyDescent="0.25">
      <c r="A12413" s="1" t="s">
        <v>12412</v>
      </c>
      <c r="C12413" s="3">
        <v>7</v>
      </c>
    </row>
    <row r="12414" spans="1:3" x14ac:dyDescent="0.25">
      <c r="A12414" s="1" t="s">
        <v>12413</v>
      </c>
      <c r="C12414" s="3">
        <v>7</v>
      </c>
    </row>
    <row r="12415" spans="1:3" x14ac:dyDescent="0.25">
      <c r="A12415" s="1" t="s">
        <v>12414</v>
      </c>
      <c r="C12415" s="3">
        <v>7</v>
      </c>
    </row>
    <row r="12416" spans="1:3" x14ac:dyDescent="0.25">
      <c r="A12416" s="1" t="s">
        <v>12415</v>
      </c>
      <c r="C12416" s="3">
        <v>7</v>
      </c>
    </row>
    <row r="12417" spans="1:3" x14ac:dyDescent="0.25">
      <c r="A12417" s="1" t="s">
        <v>12416</v>
      </c>
      <c r="C12417" s="3">
        <v>7</v>
      </c>
    </row>
    <row r="12418" spans="1:3" x14ac:dyDescent="0.25">
      <c r="A12418" s="1" t="s">
        <v>12417</v>
      </c>
      <c r="C12418" s="3">
        <v>7</v>
      </c>
    </row>
    <row r="12419" spans="1:3" x14ac:dyDescent="0.25">
      <c r="A12419" s="1" t="s">
        <v>12418</v>
      </c>
      <c r="C12419" s="3">
        <v>7</v>
      </c>
    </row>
    <row r="12420" spans="1:3" x14ac:dyDescent="0.25">
      <c r="A12420" s="1" t="s">
        <v>12419</v>
      </c>
      <c r="C12420" s="3">
        <v>7</v>
      </c>
    </row>
    <row r="12421" spans="1:3" x14ac:dyDescent="0.25">
      <c r="A12421" s="1" t="s">
        <v>12420</v>
      </c>
      <c r="C12421" s="3">
        <v>7</v>
      </c>
    </row>
    <row r="12422" spans="1:3" x14ac:dyDescent="0.25">
      <c r="A12422" s="1" t="s">
        <v>12421</v>
      </c>
      <c r="C12422" s="3">
        <v>7</v>
      </c>
    </row>
    <row r="12423" spans="1:3" x14ac:dyDescent="0.25">
      <c r="A12423" s="1" t="s">
        <v>12422</v>
      </c>
      <c r="C12423" s="3">
        <v>7</v>
      </c>
    </row>
    <row r="12424" spans="1:3" x14ac:dyDescent="0.25">
      <c r="A12424" s="1" t="s">
        <v>12423</v>
      </c>
      <c r="C12424" s="3">
        <v>7</v>
      </c>
    </row>
    <row r="12425" spans="1:3" x14ac:dyDescent="0.25">
      <c r="A12425" s="1" t="s">
        <v>12424</v>
      </c>
      <c r="C12425" s="3">
        <v>7</v>
      </c>
    </row>
    <row r="12426" spans="1:3" x14ac:dyDescent="0.25">
      <c r="A12426" s="1" t="s">
        <v>12425</v>
      </c>
      <c r="C12426" s="3">
        <v>7</v>
      </c>
    </row>
    <row r="12427" spans="1:3" x14ac:dyDescent="0.25">
      <c r="A12427" s="1" t="s">
        <v>12426</v>
      </c>
      <c r="C12427" s="3">
        <v>7</v>
      </c>
    </row>
    <row r="12428" spans="1:3" x14ac:dyDescent="0.25">
      <c r="A12428" s="1" t="s">
        <v>12427</v>
      </c>
      <c r="C12428" s="3">
        <v>7</v>
      </c>
    </row>
    <row r="12429" spans="1:3" x14ac:dyDescent="0.25">
      <c r="A12429" s="1" t="s">
        <v>12428</v>
      </c>
      <c r="C12429" s="3">
        <v>7</v>
      </c>
    </row>
    <row r="12430" spans="1:3" x14ac:dyDescent="0.25">
      <c r="A12430" s="1" t="s">
        <v>12429</v>
      </c>
      <c r="C12430" s="3">
        <v>7</v>
      </c>
    </row>
    <row r="12431" spans="1:3" x14ac:dyDescent="0.25">
      <c r="A12431" s="1" t="s">
        <v>12430</v>
      </c>
      <c r="C12431" s="3">
        <v>7</v>
      </c>
    </row>
    <row r="12432" spans="1:3" x14ac:dyDescent="0.25">
      <c r="A12432" s="1" t="s">
        <v>12431</v>
      </c>
      <c r="C12432" s="3">
        <v>7</v>
      </c>
    </row>
    <row r="12433" spans="1:3" x14ac:dyDescent="0.25">
      <c r="A12433" s="1" t="s">
        <v>12432</v>
      </c>
      <c r="C12433" s="3">
        <v>7</v>
      </c>
    </row>
    <row r="12434" spans="1:3" x14ac:dyDescent="0.25">
      <c r="A12434" s="1" t="s">
        <v>12433</v>
      </c>
      <c r="C12434" s="3">
        <v>7</v>
      </c>
    </row>
    <row r="12435" spans="1:3" x14ac:dyDescent="0.25">
      <c r="A12435" s="1" t="s">
        <v>12434</v>
      </c>
      <c r="C12435" s="3">
        <v>7</v>
      </c>
    </row>
    <row r="12436" spans="1:3" x14ac:dyDescent="0.25">
      <c r="A12436" s="1" t="s">
        <v>12435</v>
      </c>
      <c r="C12436" s="3">
        <v>7</v>
      </c>
    </row>
    <row r="12437" spans="1:3" x14ac:dyDescent="0.25">
      <c r="A12437" s="1" t="s">
        <v>12436</v>
      </c>
      <c r="C12437" s="3">
        <v>7</v>
      </c>
    </row>
    <row r="12438" spans="1:3" x14ac:dyDescent="0.25">
      <c r="A12438" s="1" t="s">
        <v>12437</v>
      </c>
      <c r="C12438" s="3">
        <v>7</v>
      </c>
    </row>
    <row r="12439" spans="1:3" x14ac:dyDescent="0.25">
      <c r="A12439" s="1" t="s">
        <v>12438</v>
      </c>
      <c r="C12439" s="3">
        <v>7</v>
      </c>
    </row>
    <row r="12440" spans="1:3" x14ac:dyDescent="0.25">
      <c r="A12440" s="1" t="s">
        <v>12439</v>
      </c>
      <c r="C12440" s="3">
        <v>7</v>
      </c>
    </row>
    <row r="12441" spans="1:3" x14ac:dyDescent="0.25">
      <c r="A12441" s="1" t="s">
        <v>12440</v>
      </c>
      <c r="C12441" s="3">
        <v>7</v>
      </c>
    </row>
    <row r="12442" spans="1:3" x14ac:dyDescent="0.25">
      <c r="A12442" s="1" t="s">
        <v>12441</v>
      </c>
      <c r="C12442" s="3">
        <v>7</v>
      </c>
    </row>
    <row r="12443" spans="1:3" x14ac:dyDescent="0.25">
      <c r="A12443" s="1" t="s">
        <v>12442</v>
      </c>
      <c r="C12443" s="3">
        <v>7</v>
      </c>
    </row>
    <row r="12444" spans="1:3" x14ac:dyDescent="0.25">
      <c r="A12444" s="1" t="s">
        <v>12443</v>
      </c>
      <c r="C12444" s="3">
        <v>7</v>
      </c>
    </row>
    <row r="12445" spans="1:3" x14ac:dyDescent="0.25">
      <c r="A12445" s="1" t="s">
        <v>12444</v>
      </c>
      <c r="C12445" s="3">
        <v>7</v>
      </c>
    </row>
    <row r="12446" spans="1:3" x14ac:dyDescent="0.25">
      <c r="A12446" s="1" t="s">
        <v>12445</v>
      </c>
      <c r="C12446" s="3">
        <v>7</v>
      </c>
    </row>
    <row r="12447" spans="1:3" x14ac:dyDescent="0.25">
      <c r="A12447" s="1" t="s">
        <v>12446</v>
      </c>
      <c r="C12447" s="3">
        <v>7</v>
      </c>
    </row>
    <row r="12448" spans="1:3" x14ac:dyDescent="0.25">
      <c r="A12448" s="1" t="s">
        <v>12447</v>
      </c>
      <c r="C12448" s="3">
        <v>7</v>
      </c>
    </row>
    <row r="12449" spans="1:3" x14ac:dyDescent="0.25">
      <c r="A12449" s="1" t="s">
        <v>12448</v>
      </c>
      <c r="C12449" s="3">
        <v>7</v>
      </c>
    </row>
    <row r="12450" spans="1:3" x14ac:dyDescent="0.25">
      <c r="A12450" s="1" t="s">
        <v>12449</v>
      </c>
      <c r="C12450" s="3">
        <v>7</v>
      </c>
    </row>
    <row r="12451" spans="1:3" x14ac:dyDescent="0.25">
      <c r="A12451" s="1" t="s">
        <v>12450</v>
      </c>
      <c r="C12451" s="3">
        <v>7</v>
      </c>
    </row>
    <row r="12452" spans="1:3" x14ac:dyDescent="0.25">
      <c r="A12452" s="1" t="s">
        <v>12451</v>
      </c>
      <c r="C12452" s="3">
        <v>7</v>
      </c>
    </row>
    <row r="12453" spans="1:3" x14ac:dyDescent="0.25">
      <c r="A12453" s="1" t="s">
        <v>12452</v>
      </c>
      <c r="C12453" s="3">
        <v>7</v>
      </c>
    </row>
    <row r="12454" spans="1:3" x14ac:dyDescent="0.25">
      <c r="A12454" s="1" t="s">
        <v>12453</v>
      </c>
      <c r="C12454" s="3">
        <v>7</v>
      </c>
    </row>
    <row r="12455" spans="1:3" x14ac:dyDescent="0.25">
      <c r="A12455" s="1" t="s">
        <v>12454</v>
      </c>
      <c r="C12455" s="3">
        <v>7</v>
      </c>
    </row>
    <row r="12456" spans="1:3" x14ac:dyDescent="0.25">
      <c r="A12456" s="1" t="s">
        <v>12455</v>
      </c>
      <c r="C12456" s="3">
        <v>7</v>
      </c>
    </row>
    <row r="12457" spans="1:3" x14ac:dyDescent="0.25">
      <c r="A12457" s="1" t="s">
        <v>12456</v>
      </c>
      <c r="C12457" s="3">
        <v>7</v>
      </c>
    </row>
    <row r="12458" spans="1:3" x14ac:dyDescent="0.25">
      <c r="A12458" s="1" t="s">
        <v>12457</v>
      </c>
      <c r="C12458" s="3">
        <v>7</v>
      </c>
    </row>
    <row r="12459" spans="1:3" x14ac:dyDescent="0.25">
      <c r="A12459" s="1" t="s">
        <v>12458</v>
      </c>
      <c r="C12459" s="3">
        <v>7</v>
      </c>
    </row>
    <row r="12460" spans="1:3" x14ac:dyDescent="0.25">
      <c r="A12460" s="1" t="s">
        <v>12459</v>
      </c>
      <c r="C12460" s="3">
        <v>7</v>
      </c>
    </row>
    <row r="12461" spans="1:3" x14ac:dyDescent="0.25">
      <c r="A12461" s="1" t="s">
        <v>12460</v>
      </c>
      <c r="C12461" s="3">
        <v>7</v>
      </c>
    </row>
    <row r="12462" spans="1:3" x14ac:dyDescent="0.25">
      <c r="A12462" s="1" t="s">
        <v>12461</v>
      </c>
      <c r="C12462" s="3">
        <v>7</v>
      </c>
    </row>
    <row r="12463" spans="1:3" x14ac:dyDescent="0.25">
      <c r="A12463" s="1" t="s">
        <v>12462</v>
      </c>
      <c r="C12463" s="3">
        <v>7</v>
      </c>
    </row>
    <row r="12464" spans="1:3" x14ac:dyDescent="0.25">
      <c r="A12464" s="1" t="s">
        <v>12463</v>
      </c>
      <c r="C12464" s="3">
        <v>7</v>
      </c>
    </row>
    <row r="12465" spans="1:3" x14ac:dyDescent="0.25">
      <c r="A12465" s="1" t="s">
        <v>12464</v>
      </c>
      <c r="C12465" s="3">
        <v>7</v>
      </c>
    </row>
    <row r="12466" spans="1:3" x14ac:dyDescent="0.25">
      <c r="A12466" s="1" t="s">
        <v>12465</v>
      </c>
      <c r="C12466" s="3">
        <v>7</v>
      </c>
    </row>
    <row r="12467" spans="1:3" x14ac:dyDescent="0.25">
      <c r="A12467" s="1" t="s">
        <v>12466</v>
      </c>
      <c r="C12467" s="3">
        <v>7</v>
      </c>
    </row>
    <row r="12468" spans="1:3" x14ac:dyDescent="0.25">
      <c r="A12468" s="1" t="s">
        <v>12467</v>
      </c>
      <c r="C12468" s="3">
        <v>7</v>
      </c>
    </row>
    <row r="12469" spans="1:3" x14ac:dyDescent="0.25">
      <c r="A12469" s="1" t="s">
        <v>12468</v>
      </c>
      <c r="C12469" s="3">
        <v>7</v>
      </c>
    </row>
    <row r="12470" spans="1:3" x14ac:dyDescent="0.25">
      <c r="A12470" s="1" t="s">
        <v>12469</v>
      </c>
      <c r="C12470" s="3">
        <v>7</v>
      </c>
    </row>
    <row r="12471" spans="1:3" x14ac:dyDescent="0.25">
      <c r="A12471" s="1" t="s">
        <v>12470</v>
      </c>
      <c r="C12471" s="3">
        <v>7</v>
      </c>
    </row>
    <row r="12472" spans="1:3" x14ac:dyDescent="0.25">
      <c r="A12472" s="1" t="s">
        <v>12471</v>
      </c>
      <c r="C12472" s="3">
        <v>7</v>
      </c>
    </row>
    <row r="12473" spans="1:3" x14ac:dyDescent="0.25">
      <c r="A12473" s="1" t="s">
        <v>12472</v>
      </c>
      <c r="C12473" s="3">
        <v>7</v>
      </c>
    </row>
    <row r="12474" spans="1:3" x14ac:dyDescent="0.25">
      <c r="A12474" s="1" t="s">
        <v>12473</v>
      </c>
      <c r="C12474" s="3">
        <v>7</v>
      </c>
    </row>
    <row r="12475" spans="1:3" x14ac:dyDescent="0.25">
      <c r="A12475" s="1" t="s">
        <v>12474</v>
      </c>
      <c r="C12475" s="3">
        <v>7</v>
      </c>
    </row>
    <row r="12476" spans="1:3" x14ac:dyDescent="0.25">
      <c r="A12476" s="1" t="s">
        <v>12475</v>
      </c>
      <c r="C12476" s="3">
        <v>7</v>
      </c>
    </row>
    <row r="12477" spans="1:3" x14ac:dyDescent="0.25">
      <c r="A12477" s="1" t="s">
        <v>12476</v>
      </c>
      <c r="C12477" s="3">
        <v>7</v>
      </c>
    </row>
    <row r="12478" spans="1:3" x14ac:dyDescent="0.25">
      <c r="A12478" s="1" t="s">
        <v>12477</v>
      </c>
      <c r="C12478" s="3">
        <v>7</v>
      </c>
    </row>
    <row r="12479" spans="1:3" x14ac:dyDescent="0.25">
      <c r="A12479" s="1" t="s">
        <v>12478</v>
      </c>
      <c r="C12479" s="3">
        <v>7</v>
      </c>
    </row>
    <row r="12480" spans="1:3" x14ac:dyDescent="0.25">
      <c r="A12480" s="1" t="s">
        <v>12479</v>
      </c>
      <c r="C12480" s="3">
        <v>7</v>
      </c>
    </row>
    <row r="12481" spans="1:3" x14ac:dyDescent="0.25">
      <c r="A12481" s="1" t="s">
        <v>12480</v>
      </c>
      <c r="C12481" s="3">
        <v>7</v>
      </c>
    </row>
    <row r="12482" spans="1:3" x14ac:dyDescent="0.25">
      <c r="A12482" s="1" t="s">
        <v>12481</v>
      </c>
      <c r="C12482" s="3">
        <v>7</v>
      </c>
    </row>
    <row r="12483" spans="1:3" x14ac:dyDescent="0.25">
      <c r="A12483" s="1" t="s">
        <v>12482</v>
      </c>
      <c r="C12483" s="3">
        <v>7</v>
      </c>
    </row>
    <row r="12484" spans="1:3" x14ac:dyDescent="0.25">
      <c r="A12484" s="1" t="s">
        <v>12483</v>
      </c>
      <c r="C12484" s="3">
        <v>7</v>
      </c>
    </row>
    <row r="12485" spans="1:3" x14ac:dyDescent="0.25">
      <c r="A12485" s="1" t="s">
        <v>12484</v>
      </c>
      <c r="C12485" s="3">
        <v>7</v>
      </c>
    </row>
    <row r="12486" spans="1:3" x14ac:dyDescent="0.25">
      <c r="A12486" s="1" t="s">
        <v>12485</v>
      </c>
      <c r="C12486" s="3">
        <v>7</v>
      </c>
    </row>
    <row r="12487" spans="1:3" x14ac:dyDescent="0.25">
      <c r="A12487" s="1" t="s">
        <v>12486</v>
      </c>
      <c r="C12487" s="3">
        <v>7</v>
      </c>
    </row>
    <row r="12488" spans="1:3" x14ac:dyDescent="0.25">
      <c r="A12488" s="1" t="s">
        <v>12487</v>
      </c>
      <c r="C12488" s="3">
        <v>7</v>
      </c>
    </row>
    <row r="12489" spans="1:3" x14ac:dyDescent="0.25">
      <c r="A12489" s="1" t="s">
        <v>12488</v>
      </c>
      <c r="C12489" s="3">
        <v>7</v>
      </c>
    </row>
    <row r="12490" spans="1:3" x14ac:dyDescent="0.25">
      <c r="A12490" s="1" t="s">
        <v>12489</v>
      </c>
      <c r="C12490" s="3">
        <v>7</v>
      </c>
    </row>
    <row r="12491" spans="1:3" x14ac:dyDescent="0.25">
      <c r="A12491" s="1" t="s">
        <v>12490</v>
      </c>
      <c r="C12491" s="3">
        <v>7</v>
      </c>
    </row>
    <row r="12492" spans="1:3" x14ac:dyDescent="0.25">
      <c r="A12492" s="1" t="s">
        <v>12491</v>
      </c>
      <c r="C12492" s="3">
        <v>7</v>
      </c>
    </row>
    <row r="12493" spans="1:3" x14ac:dyDescent="0.25">
      <c r="A12493" s="1" t="s">
        <v>12492</v>
      </c>
      <c r="C12493" s="3">
        <v>7</v>
      </c>
    </row>
    <row r="12494" spans="1:3" x14ac:dyDescent="0.25">
      <c r="A12494" s="1" t="s">
        <v>12493</v>
      </c>
      <c r="C12494" s="3">
        <v>7</v>
      </c>
    </row>
    <row r="12495" spans="1:3" x14ac:dyDescent="0.25">
      <c r="A12495" s="1" t="s">
        <v>12494</v>
      </c>
      <c r="C12495" s="3">
        <v>7</v>
      </c>
    </row>
    <row r="12496" spans="1:3" x14ac:dyDescent="0.25">
      <c r="A12496" s="1" t="s">
        <v>12495</v>
      </c>
      <c r="C12496" s="3">
        <v>7</v>
      </c>
    </row>
    <row r="12497" spans="1:3" x14ac:dyDescent="0.25">
      <c r="A12497" s="1" t="s">
        <v>12496</v>
      </c>
      <c r="C12497" s="3">
        <v>7</v>
      </c>
    </row>
    <row r="12498" spans="1:3" x14ac:dyDescent="0.25">
      <c r="A12498" s="1" t="s">
        <v>12497</v>
      </c>
      <c r="C12498" s="3">
        <v>7</v>
      </c>
    </row>
    <row r="12499" spans="1:3" x14ac:dyDescent="0.25">
      <c r="A12499" s="1" t="s">
        <v>12498</v>
      </c>
      <c r="C12499" s="3">
        <v>7</v>
      </c>
    </row>
    <row r="12500" spans="1:3" x14ac:dyDescent="0.25">
      <c r="A12500" s="1" t="s">
        <v>12499</v>
      </c>
      <c r="C12500" s="3">
        <v>7</v>
      </c>
    </row>
    <row r="12501" spans="1:3" x14ac:dyDescent="0.25">
      <c r="A12501" s="1" t="s">
        <v>12500</v>
      </c>
      <c r="C12501" s="3">
        <v>7</v>
      </c>
    </row>
    <row r="12502" spans="1:3" x14ac:dyDescent="0.25">
      <c r="A12502" s="1" t="s">
        <v>12501</v>
      </c>
      <c r="C12502" s="3">
        <v>7</v>
      </c>
    </row>
    <row r="12503" spans="1:3" x14ac:dyDescent="0.25">
      <c r="A12503" s="1" t="s">
        <v>12502</v>
      </c>
      <c r="C12503" s="3">
        <v>7</v>
      </c>
    </row>
    <row r="12504" spans="1:3" x14ac:dyDescent="0.25">
      <c r="A12504" s="1" t="s">
        <v>12503</v>
      </c>
      <c r="C12504" s="3">
        <v>7</v>
      </c>
    </row>
    <row r="12505" spans="1:3" x14ac:dyDescent="0.25">
      <c r="A12505" s="1" t="s">
        <v>12504</v>
      </c>
      <c r="C12505" s="3">
        <v>7</v>
      </c>
    </row>
    <row r="12506" spans="1:3" x14ac:dyDescent="0.25">
      <c r="A12506" s="1" t="s">
        <v>12505</v>
      </c>
      <c r="C12506" s="3">
        <v>7</v>
      </c>
    </row>
    <row r="12507" spans="1:3" x14ac:dyDescent="0.25">
      <c r="A12507" s="1" t="s">
        <v>12506</v>
      </c>
      <c r="C12507" s="3">
        <v>7</v>
      </c>
    </row>
    <row r="12508" spans="1:3" x14ac:dyDescent="0.25">
      <c r="A12508" s="1" t="s">
        <v>12507</v>
      </c>
      <c r="C12508" s="3">
        <v>7</v>
      </c>
    </row>
    <row r="12509" spans="1:3" x14ac:dyDescent="0.25">
      <c r="A12509" s="1" t="s">
        <v>12508</v>
      </c>
      <c r="C12509" s="3">
        <v>7</v>
      </c>
    </row>
    <row r="12510" spans="1:3" x14ac:dyDescent="0.25">
      <c r="A12510" s="1" t="s">
        <v>12509</v>
      </c>
      <c r="C12510" s="3">
        <v>7</v>
      </c>
    </row>
    <row r="12511" spans="1:3" x14ac:dyDescent="0.25">
      <c r="A12511" s="1" t="s">
        <v>12510</v>
      </c>
      <c r="C12511" s="3">
        <v>7</v>
      </c>
    </row>
    <row r="12512" spans="1:3" x14ac:dyDescent="0.25">
      <c r="A12512" s="1" t="s">
        <v>12511</v>
      </c>
      <c r="C12512" s="3">
        <v>7</v>
      </c>
    </row>
    <row r="12513" spans="1:3" x14ac:dyDescent="0.25">
      <c r="A12513" s="1" t="s">
        <v>12512</v>
      </c>
      <c r="C12513" s="3">
        <v>7</v>
      </c>
    </row>
    <row r="12514" spans="1:3" x14ac:dyDescent="0.25">
      <c r="A12514" s="1" t="s">
        <v>12513</v>
      </c>
      <c r="C12514" s="3">
        <v>7</v>
      </c>
    </row>
    <row r="12515" spans="1:3" x14ac:dyDescent="0.25">
      <c r="A12515" s="1" t="s">
        <v>12514</v>
      </c>
      <c r="C12515" s="3">
        <v>7</v>
      </c>
    </row>
    <row r="12516" spans="1:3" x14ac:dyDescent="0.25">
      <c r="A12516" s="1" t="s">
        <v>12515</v>
      </c>
      <c r="C12516" s="3">
        <v>7</v>
      </c>
    </row>
    <row r="12517" spans="1:3" x14ac:dyDescent="0.25">
      <c r="A12517" s="1" t="s">
        <v>12516</v>
      </c>
      <c r="C12517" s="3">
        <v>7</v>
      </c>
    </row>
    <row r="12518" spans="1:3" x14ac:dyDescent="0.25">
      <c r="A12518" s="1" t="s">
        <v>12517</v>
      </c>
      <c r="C12518" s="3">
        <v>7</v>
      </c>
    </row>
    <row r="12519" spans="1:3" x14ac:dyDescent="0.25">
      <c r="A12519" s="1" t="s">
        <v>12518</v>
      </c>
      <c r="C12519" s="3">
        <v>7</v>
      </c>
    </row>
    <row r="12520" spans="1:3" x14ac:dyDescent="0.25">
      <c r="A12520" s="1" t="s">
        <v>12519</v>
      </c>
      <c r="C12520" s="3">
        <v>7</v>
      </c>
    </row>
    <row r="12521" spans="1:3" x14ac:dyDescent="0.25">
      <c r="A12521" s="1" t="s">
        <v>12520</v>
      </c>
      <c r="C12521" s="3">
        <v>7</v>
      </c>
    </row>
    <row r="12522" spans="1:3" x14ac:dyDescent="0.25">
      <c r="A12522" s="1" t="s">
        <v>12521</v>
      </c>
      <c r="C12522" s="3">
        <v>7</v>
      </c>
    </row>
    <row r="12523" spans="1:3" x14ac:dyDescent="0.25">
      <c r="A12523" s="1" t="s">
        <v>12522</v>
      </c>
      <c r="C12523" s="3">
        <v>7</v>
      </c>
    </row>
    <row r="12524" spans="1:3" x14ac:dyDescent="0.25">
      <c r="A12524" s="1" t="s">
        <v>12523</v>
      </c>
      <c r="C12524" s="3">
        <v>7</v>
      </c>
    </row>
    <row r="12525" spans="1:3" x14ac:dyDescent="0.25">
      <c r="A12525" s="1" t="s">
        <v>12524</v>
      </c>
      <c r="C12525" s="3">
        <v>7</v>
      </c>
    </row>
    <row r="12526" spans="1:3" x14ac:dyDescent="0.25">
      <c r="A12526" s="1" t="s">
        <v>12525</v>
      </c>
      <c r="C12526" s="3">
        <v>7</v>
      </c>
    </row>
    <row r="12527" spans="1:3" x14ac:dyDescent="0.25">
      <c r="A12527" s="1" t="s">
        <v>12526</v>
      </c>
      <c r="C12527" s="3">
        <v>7</v>
      </c>
    </row>
    <row r="12528" spans="1:3" x14ac:dyDescent="0.25">
      <c r="A12528" s="1" t="s">
        <v>12527</v>
      </c>
      <c r="C12528" s="3">
        <v>7</v>
      </c>
    </row>
    <row r="12529" spans="1:3" x14ac:dyDescent="0.25">
      <c r="A12529" s="1" t="s">
        <v>12528</v>
      </c>
      <c r="C12529" s="3">
        <v>7</v>
      </c>
    </row>
    <row r="12530" spans="1:3" x14ac:dyDescent="0.25">
      <c r="A12530" s="1" t="s">
        <v>12529</v>
      </c>
      <c r="C12530" s="3">
        <v>7</v>
      </c>
    </row>
    <row r="12531" spans="1:3" x14ac:dyDescent="0.25">
      <c r="A12531" s="1" t="s">
        <v>12530</v>
      </c>
      <c r="C12531" s="3">
        <v>7</v>
      </c>
    </row>
    <row r="12532" spans="1:3" x14ac:dyDescent="0.25">
      <c r="A12532" s="1" t="s">
        <v>12531</v>
      </c>
      <c r="C12532" s="3">
        <v>7</v>
      </c>
    </row>
    <row r="12533" spans="1:3" x14ac:dyDescent="0.25">
      <c r="A12533" s="1" t="s">
        <v>12532</v>
      </c>
      <c r="C12533" s="3">
        <v>7</v>
      </c>
    </row>
    <row r="12534" spans="1:3" x14ac:dyDescent="0.25">
      <c r="A12534" s="1" t="s">
        <v>12533</v>
      </c>
      <c r="C12534" s="3">
        <v>7</v>
      </c>
    </row>
    <row r="12535" spans="1:3" x14ac:dyDescent="0.25">
      <c r="A12535" s="1" t="s">
        <v>12534</v>
      </c>
      <c r="C12535" s="3">
        <v>7</v>
      </c>
    </row>
    <row r="12536" spans="1:3" x14ac:dyDescent="0.25">
      <c r="A12536" s="1" t="s">
        <v>12535</v>
      </c>
      <c r="C12536" s="3">
        <v>7</v>
      </c>
    </row>
    <row r="12537" spans="1:3" x14ac:dyDescent="0.25">
      <c r="A12537" s="1" t="s">
        <v>12536</v>
      </c>
      <c r="C12537" s="3">
        <v>7</v>
      </c>
    </row>
    <row r="12538" spans="1:3" x14ac:dyDescent="0.25">
      <c r="A12538" s="1" t="s">
        <v>12537</v>
      </c>
      <c r="C12538" s="3">
        <v>7</v>
      </c>
    </row>
    <row r="12539" spans="1:3" x14ac:dyDescent="0.25">
      <c r="A12539" s="1" t="s">
        <v>12538</v>
      </c>
      <c r="C12539" s="3">
        <v>7</v>
      </c>
    </row>
    <row r="12540" spans="1:3" x14ac:dyDescent="0.25">
      <c r="A12540" s="1" t="s">
        <v>12539</v>
      </c>
      <c r="C12540" s="3">
        <v>7</v>
      </c>
    </row>
    <row r="12541" spans="1:3" x14ac:dyDescent="0.25">
      <c r="A12541" s="1" t="s">
        <v>12540</v>
      </c>
      <c r="C12541" s="3">
        <v>7</v>
      </c>
    </row>
    <row r="12542" spans="1:3" x14ac:dyDescent="0.25">
      <c r="A12542" s="1" t="s">
        <v>12541</v>
      </c>
      <c r="C12542" s="3">
        <v>7</v>
      </c>
    </row>
    <row r="12543" spans="1:3" x14ac:dyDescent="0.25">
      <c r="A12543" s="1" t="s">
        <v>12542</v>
      </c>
      <c r="C12543" s="3">
        <v>7</v>
      </c>
    </row>
    <row r="12544" spans="1:3" x14ac:dyDescent="0.25">
      <c r="A12544" s="1" t="s">
        <v>12543</v>
      </c>
      <c r="C12544" s="3">
        <v>7</v>
      </c>
    </row>
    <row r="12545" spans="1:3" x14ac:dyDescent="0.25">
      <c r="A12545" s="1" t="s">
        <v>12544</v>
      </c>
      <c r="C12545" s="3">
        <v>7</v>
      </c>
    </row>
    <row r="12546" spans="1:3" x14ac:dyDescent="0.25">
      <c r="A12546" s="1" t="s">
        <v>12545</v>
      </c>
      <c r="C12546" s="3">
        <v>7</v>
      </c>
    </row>
    <row r="12547" spans="1:3" x14ac:dyDescent="0.25">
      <c r="A12547" s="1" t="s">
        <v>12546</v>
      </c>
      <c r="C12547" s="3">
        <v>7</v>
      </c>
    </row>
    <row r="12548" spans="1:3" x14ac:dyDescent="0.25">
      <c r="A12548" s="1" t="s">
        <v>12547</v>
      </c>
      <c r="C12548" s="3">
        <v>7</v>
      </c>
    </row>
    <row r="12549" spans="1:3" x14ac:dyDescent="0.25">
      <c r="A12549" s="1" t="s">
        <v>12548</v>
      </c>
      <c r="C12549" s="3">
        <v>7</v>
      </c>
    </row>
    <row r="12550" spans="1:3" x14ac:dyDescent="0.25">
      <c r="A12550" s="1" t="s">
        <v>12549</v>
      </c>
      <c r="C12550" s="3">
        <v>7</v>
      </c>
    </row>
    <row r="12551" spans="1:3" x14ac:dyDescent="0.25">
      <c r="A12551" s="1" t="s">
        <v>12550</v>
      </c>
      <c r="C12551" s="3">
        <v>7</v>
      </c>
    </row>
    <row r="12552" spans="1:3" x14ac:dyDescent="0.25">
      <c r="A12552" s="1" t="s">
        <v>12551</v>
      </c>
      <c r="C12552" s="3">
        <v>7</v>
      </c>
    </row>
    <row r="12553" spans="1:3" x14ac:dyDescent="0.25">
      <c r="A12553" s="1" t="s">
        <v>12552</v>
      </c>
      <c r="C12553" s="3">
        <v>7</v>
      </c>
    </row>
    <row r="12554" spans="1:3" x14ac:dyDescent="0.25">
      <c r="A12554" s="1" t="s">
        <v>12553</v>
      </c>
      <c r="C12554" s="3">
        <v>7</v>
      </c>
    </row>
    <row r="12555" spans="1:3" x14ac:dyDescent="0.25">
      <c r="A12555" s="1" t="s">
        <v>12554</v>
      </c>
      <c r="C12555" s="3">
        <v>7</v>
      </c>
    </row>
    <row r="12556" spans="1:3" x14ac:dyDescent="0.25">
      <c r="A12556" s="1" t="s">
        <v>12555</v>
      </c>
      <c r="C12556" s="3">
        <v>7</v>
      </c>
    </row>
    <row r="12557" spans="1:3" x14ac:dyDescent="0.25">
      <c r="A12557" s="1" t="s">
        <v>12556</v>
      </c>
      <c r="C12557" s="3">
        <v>7</v>
      </c>
    </row>
    <row r="12558" spans="1:3" x14ac:dyDescent="0.25">
      <c r="A12558" s="1" t="s">
        <v>12557</v>
      </c>
      <c r="C12558" s="3">
        <v>7</v>
      </c>
    </row>
    <row r="12559" spans="1:3" x14ac:dyDescent="0.25">
      <c r="A12559" s="1" t="s">
        <v>12558</v>
      </c>
      <c r="C12559" s="3">
        <v>7</v>
      </c>
    </row>
    <row r="12560" spans="1:3" x14ac:dyDescent="0.25">
      <c r="A12560" s="1" t="s">
        <v>12559</v>
      </c>
      <c r="C12560" s="3">
        <v>7</v>
      </c>
    </row>
    <row r="12561" spans="1:3" x14ac:dyDescent="0.25">
      <c r="A12561" s="1" t="s">
        <v>12560</v>
      </c>
      <c r="C12561" s="3">
        <v>7</v>
      </c>
    </row>
    <row r="12562" spans="1:3" x14ac:dyDescent="0.25">
      <c r="A12562" s="1" t="s">
        <v>12561</v>
      </c>
      <c r="C12562" s="3">
        <v>7</v>
      </c>
    </row>
    <row r="12563" spans="1:3" x14ac:dyDescent="0.25">
      <c r="A12563" s="1" t="s">
        <v>12562</v>
      </c>
      <c r="C12563" s="3">
        <v>7</v>
      </c>
    </row>
    <row r="12564" spans="1:3" x14ac:dyDescent="0.25">
      <c r="A12564" s="1" t="s">
        <v>12563</v>
      </c>
      <c r="C12564" s="3">
        <v>7</v>
      </c>
    </row>
    <row r="12565" spans="1:3" x14ac:dyDescent="0.25">
      <c r="A12565" s="1" t="s">
        <v>12564</v>
      </c>
      <c r="C12565" s="3">
        <v>7</v>
      </c>
    </row>
    <row r="12566" spans="1:3" x14ac:dyDescent="0.25">
      <c r="A12566" s="1" t="s">
        <v>12565</v>
      </c>
      <c r="C12566" s="3">
        <v>7</v>
      </c>
    </row>
    <row r="12567" spans="1:3" x14ac:dyDescent="0.25">
      <c r="A12567" s="1" t="s">
        <v>12566</v>
      </c>
      <c r="C12567" s="3">
        <v>7</v>
      </c>
    </row>
    <row r="12568" spans="1:3" x14ac:dyDescent="0.25">
      <c r="A12568" s="1" t="s">
        <v>12567</v>
      </c>
      <c r="C12568" s="3">
        <v>7</v>
      </c>
    </row>
    <row r="12569" spans="1:3" x14ac:dyDescent="0.25">
      <c r="A12569" s="1" t="s">
        <v>12568</v>
      </c>
      <c r="C12569" s="3">
        <v>7</v>
      </c>
    </row>
    <row r="12570" spans="1:3" x14ac:dyDescent="0.25">
      <c r="A12570" s="1" t="s">
        <v>12569</v>
      </c>
      <c r="C12570" s="3">
        <v>7</v>
      </c>
    </row>
    <row r="12571" spans="1:3" x14ac:dyDescent="0.25">
      <c r="A12571" s="1" t="s">
        <v>12570</v>
      </c>
      <c r="C12571" s="3">
        <v>7</v>
      </c>
    </row>
    <row r="12572" spans="1:3" x14ac:dyDescent="0.25">
      <c r="A12572" s="1" t="s">
        <v>12571</v>
      </c>
      <c r="C12572" s="3">
        <v>7</v>
      </c>
    </row>
    <row r="12573" spans="1:3" x14ac:dyDescent="0.25">
      <c r="A12573" s="1" t="s">
        <v>12572</v>
      </c>
      <c r="C12573" s="3">
        <v>7</v>
      </c>
    </row>
    <row r="12574" spans="1:3" x14ac:dyDescent="0.25">
      <c r="A12574" s="1" t="s">
        <v>12573</v>
      </c>
      <c r="C12574" s="3">
        <v>7</v>
      </c>
    </row>
    <row r="12575" spans="1:3" x14ac:dyDescent="0.25">
      <c r="A12575" s="1" t="s">
        <v>12574</v>
      </c>
      <c r="C12575" s="3">
        <v>7</v>
      </c>
    </row>
    <row r="12576" spans="1:3" x14ac:dyDescent="0.25">
      <c r="A12576" s="1" t="s">
        <v>12575</v>
      </c>
      <c r="C12576" s="3">
        <v>7</v>
      </c>
    </row>
    <row r="12577" spans="1:3" x14ac:dyDescent="0.25">
      <c r="A12577" s="1" t="s">
        <v>12576</v>
      </c>
      <c r="C12577" s="3">
        <v>7</v>
      </c>
    </row>
    <row r="12578" spans="1:3" x14ac:dyDescent="0.25">
      <c r="A12578" s="1" t="s">
        <v>12577</v>
      </c>
      <c r="C12578" s="3">
        <v>7</v>
      </c>
    </row>
    <row r="12579" spans="1:3" x14ac:dyDescent="0.25">
      <c r="A12579" s="1" t="s">
        <v>12578</v>
      </c>
      <c r="C12579" s="3">
        <v>7</v>
      </c>
    </row>
    <row r="12580" spans="1:3" x14ac:dyDescent="0.25">
      <c r="A12580" s="1" t="s">
        <v>12579</v>
      </c>
      <c r="C12580" s="3">
        <v>7</v>
      </c>
    </row>
    <row r="12581" spans="1:3" x14ac:dyDescent="0.25">
      <c r="A12581" s="1" t="s">
        <v>12580</v>
      </c>
      <c r="C12581" s="3">
        <v>7</v>
      </c>
    </row>
    <row r="12582" spans="1:3" x14ac:dyDescent="0.25">
      <c r="A12582" s="1" t="s">
        <v>12581</v>
      </c>
      <c r="C12582" s="3">
        <v>7</v>
      </c>
    </row>
    <row r="12583" spans="1:3" x14ac:dyDescent="0.25">
      <c r="A12583" s="1" t="s">
        <v>12582</v>
      </c>
      <c r="C12583" s="3">
        <v>7</v>
      </c>
    </row>
    <row r="12584" spans="1:3" x14ac:dyDescent="0.25">
      <c r="A12584" s="1" t="s">
        <v>12583</v>
      </c>
      <c r="C12584" s="3">
        <v>7</v>
      </c>
    </row>
    <row r="12585" spans="1:3" x14ac:dyDescent="0.25">
      <c r="A12585" s="1" t="s">
        <v>12584</v>
      </c>
      <c r="C12585" s="3">
        <v>7</v>
      </c>
    </row>
    <row r="12586" spans="1:3" x14ac:dyDescent="0.25">
      <c r="A12586" s="1" t="s">
        <v>12585</v>
      </c>
      <c r="C12586" s="3">
        <v>7</v>
      </c>
    </row>
    <row r="12587" spans="1:3" x14ac:dyDescent="0.25">
      <c r="A12587" s="1" t="s">
        <v>12586</v>
      </c>
      <c r="C12587" s="3">
        <v>7</v>
      </c>
    </row>
    <row r="12588" spans="1:3" x14ac:dyDescent="0.25">
      <c r="A12588" s="1" t="s">
        <v>12587</v>
      </c>
      <c r="C12588" s="3">
        <v>7</v>
      </c>
    </row>
    <row r="12589" spans="1:3" x14ac:dyDescent="0.25">
      <c r="A12589" s="1" t="s">
        <v>12588</v>
      </c>
      <c r="C12589" s="3">
        <v>7</v>
      </c>
    </row>
    <row r="12590" spans="1:3" x14ac:dyDescent="0.25">
      <c r="A12590" s="1" t="s">
        <v>12589</v>
      </c>
      <c r="C12590" s="3">
        <v>7</v>
      </c>
    </row>
    <row r="12591" spans="1:3" x14ac:dyDescent="0.25">
      <c r="A12591" s="1" t="s">
        <v>12590</v>
      </c>
      <c r="C12591" s="3">
        <v>7</v>
      </c>
    </row>
    <row r="12592" spans="1:3" x14ac:dyDescent="0.25">
      <c r="A12592" s="1" t="s">
        <v>12591</v>
      </c>
      <c r="C12592" s="3">
        <v>7</v>
      </c>
    </row>
    <row r="12593" spans="1:3" x14ac:dyDescent="0.25">
      <c r="A12593" s="1" t="s">
        <v>12592</v>
      </c>
      <c r="C12593" s="3">
        <v>7</v>
      </c>
    </row>
    <row r="12594" spans="1:3" x14ac:dyDescent="0.25">
      <c r="A12594" s="1" t="s">
        <v>12593</v>
      </c>
      <c r="C12594" s="3">
        <v>7</v>
      </c>
    </row>
    <row r="12595" spans="1:3" x14ac:dyDescent="0.25">
      <c r="A12595" s="1" t="s">
        <v>12594</v>
      </c>
      <c r="C12595" s="3">
        <v>7</v>
      </c>
    </row>
    <row r="12596" spans="1:3" x14ac:dyDescent="0.25">
      <c r="A12596" s="1" t="s">
        <v>12595</v>
      </c>
      <c r="C12596" s="3">
        <v>7</v>
      </c>
    </row>
    <row r="12597" spans="1:3" x14ac:dyDescent="0.25">
      <c r="A12597" s="1" t="s">
        <v>12596</v>
      </c>
      <c r="C12597" s="3">
        <v>7</v>
      </c>
    </row>
    <row r="12598" spans="1:3" x14ac:dyDescent="0.25">
      <c r="A12598" s="1" t="s">
        <v>12597</v>
      </c>
      <c r="C12598" s="3">
        <v>7</v>
      </c>
    </row>
    <row r="12599" spans="1:3" x14ac:dyDescent="0.25">
      <c r="A12599" s="1" t="s">
        <v>12598</v>
      </c>
      <c r="C12599" s="3">
        <v>7</v>
      </c>
    </row>
    <row r="12600" spans="1:3" x14ac:dyDescent="0.25">
      <c r="A12600" s="1" t="s">
        <v>12599</v>
      </c>
      <c r="C12600" s="3">
        <v>7</v>
      </c>
    </row>
    <row r="12601" spans="1:3" x14ac:dyDescent="0.25">
      <c r="A12601" s="1" t="s">
        <v>12600</v>
      </c>
      <c r="C12601" s="3">
        <v>7</v>
      </c>
    </row>
    <row r="12602" spans="1:3" x14ac:dyDescent="0.25">
      <c r="A12602" s="1" t="s">
        <v>12601</v>
      </c>
      <c r="C12602" s="3">
        <v>7</v>
      </c>
    </row>
    <row r="12603" spans="1:3" x14ac:dyDescent="0.25">
      <c r="A12603" s="1" t="s">
        <v>12602</v>
      </c>
      <c r="C12603" s="3">
        <v>7</v>
      </c>
    </row>
    <row r="12604" spans="1:3" x14ac:dyDescent="0.25">
      <c r="A12604" s="1" t="s">
        <v>12603</v>
      </c>
      <c r="C12604" s="3">
        <v>7</v>
      </c>
    </row>
    <row r="12605" spans="1:3" x14ac:dyDescent="0.25">
      <c r="A12605" s="1" t="s">
        <v>12604</v>
      </c>
      <c r="C12605" s="3">
        <v>7</v>
      </c>
    </row>
    <row r="12606" spans="1:3" x14ac:dyDescent="0.25">
      <c r="A12606" s="1" t="s">
        <v>12605</v>
      </c>
      <c r="C12606" s="3">
        <v>7</v>
      </c>
    </row>
    <row r="12607" spans="1:3" x14ac:dyDescent="0.25">
      <c r="A12607" s="1" t="s">
        <v>12606</v>
      </c>
      <c r="C12607" s="3">
        <v>7</v>
      </c>
    </row>
    <row r="12608" spans="1:3" x14ac:dyDescent="0.25">
      <c r="A12608" s="1" t="s">
        <v>12607</v>
      </c>
      <c r="C12608" s="3">
        <v>7</v>
      </c>
    </row>
    <row r="12609" spans="1:3" x14ac:dyDescent="0.25">
      <c r="A12609" s="1" t="s">
        <v>12608</v>
      </c>
      <c r="C12609" s="3">
        <v>7</v>
      </c>
    </row>
    <row r="12610" spans="1:3" x14ac:dyDescent="0.25">
      <c r="A12610" s="1" t="s">
        <v>12609</v>
      </c>
      <c r="C12610" s="3">
        <v>7</v>
      </c>
    </row>
    <row r="12611" spans="1:3" x14ac:dyDescent="0.25">
      <c r="A12611" s="1" t="s">
        <v>12610</v>
      </c>
      <c r="C12611" s="3">
        <v>7</v>
      </c>
    </row>
    <row r="12612" spans="1:3" x14ac:dyDescent="0.25">
      <c r="A12612" s="1" t="s">
        <v>12611</v>
      </c>
      <c r="C12612" s="3">
        <v>7</v>
      </c>
    </row>
    <row r="12613" spans="1:3" x14ac:dyDescent="0.25">
      <c r="A12613" s="1" t="s">
        <v>12612</v>
      </c>
      <c r="C12613" s="3">
        <v>7</v>
      </c>
    </row>
    <row r="12614" spans="1:3" x14ac:dyDescent="0.25">
      <c r="A12614" s="1" t="s">
        <v>12613</v>
      </c>
      <c r="C12614" s="3">
        <v>7</v>
      </c>
    </row>
    <row r="12615" spans="1:3" x14ac:dyDescent="0.25">
      <c r="A12615" s="1" t="s">
        <v>12614</v>
      </c>
      <c r="C12615" s="3">
        <v>7</v>
      </c>
    </row>
    <row r="12616" spans="1:3" x14ac:dyDescent="0.25">
      <c r="A12616" s="1" t="s">
        <v>12615</v>
      </c>
      <c r="C12616" s="3">
        <v>7</v>
      </c>
    </row>
    <row r="12617" spans="1:3" x14ac:dyDescent="0.25">
      <c r="A12617" s="1" t="s">
        <v>12616</v>
      </c>
      <c r="C12617" s="3">
        <v>7</v>
      </c>
    </row>
    <row r="12618" spans="1:3" x14ac:dyDescent="0.25">
      <c r="A12618" s="1" t="s">
        <v>12617</v>
      </c>
      <c r="C12618" s="3">
        <v>7</v>
      </c>
    </row>
    <row r="12619" spans="1:3" x14ac:dyDescent="0.25">
      <c r="A12619" s="1" t="s">
        <v>12618</v>
      </c>
      <c r="C12619" s="3">
        <v>7</v>
      </c>
    </row>
    <row r="12620" spans="1:3" x14ac:dyDescent="0.25">
      <c r="A12620" s="1" t="s">
        <v>12619</v>
      </c>
      <c r="C12620" s="3">
        <v>7</v>
      </c>
    </row>
    <row r="12621" spans="1:3" x14ac:dyDescent="0.25">
      <c r="A12621" s="1" t="s">
        <v>12620</v>
      </c>
      <c r="C12621" s="3">
        <v>7</v>
      </c>
    </row>
    <row r="12622" spans="1:3" x14ac:dyDescent="0.25">
      <c r="A12622" s="1" t="s">
        <v>12621</v>
      </c>
      <c r="C12622" s="3">
        <v>7</v>
      </c>
    </row>
    <row r="12623" spans="1:3" x14ac:dyDescent="0.25">
      <c r="A12623" s="1" t="s">
        <v>12622</v>
      </c>
      <c r="C12623" s="3">
        <v>7</v>
      </c>
    </row>
    <row r="12624" spans="1:3" x14ac:dyDescent="0.25">
      <c r="A12624" s="1" t="s">
        <v>12623</v>
      </c>
      <c r="C12624" s="3">
        <v>7</v>
      </c>
    </row>
    <row r="12625" spans="1:3" x14ac:dyDescent="0.25">
      <c r="A12625" s="1" t="s">
        <v>12624</v>
      </c>
      <c r="C12625" s="3">
        <v>7</v>
      </c>
    </row>
    <row r="12626" spans="1:3" x14ac:dyDescent="0.25">
      <c r="A12626" s="1" t="s">
        <v>12625</v>
      </c>
      <c r="C12626" s="3">
        <v>7</v>
      </c>
    </row>
    <row r="12627" spans="1:3" x14ac:dyDescent="0.25">
      <c r="A12627" s="1" t="s">
        <v>12626</v>
      </c>
      <c r="C12627" s="3">
        <v>7</v>
      </c>
    </row>
    <row r="12628" spans="1:3" x14ac:dyDescent="0.25">
      <c r="A12628" s="1" t="s">
        <v>12627</v>
      </c>
      <c r="C12628" s="3">
        <v>7</v>
      </c>
    </row>
    <row r="12629" spans="1:3" x14ac:dyDescent="0.25">
      <c r="A12629" s="1" t="s">
        <v>12628</v>
      </c>
      <c r="C12629" s="3">
        <v>7</v>
      </c>
    </row>
    <row r="12630" spans="1:3" x14ac:dyDescent="0.25">
      <c r="A12630" s="1" t="s">
        <v>12629</v>
      </c>
      <c r="C12630" s="3">
        <v>7</v>
      </c>
    </row>
    <row r="12631" spans="1:3" x14ac:dyDescent="0.25">
      <c r="A12631" s="1" t="s">
        <v>12630</v>
      </c>
      <c r="C12631" s="3">
        <v>7</v>
      </c>
    </row>
    <row r="12632" spans="1:3" x14ac:dyDescent="0.25">
      <c r="A12632" s="1" t="s">
        <v>12631</v>
      </c>
      <c r="C12632" s="3">
        <v>7</v>
      </c>
    </row>
    <row r="12633" spans="1:3" x14ac:dyDescent="0.25">
      <c r="A12633" s="1" t="s">
        <v>12632</v>
      </c>
      <c r="C12633" s="3">
        <v>7</v>
      </c>
    </row>
    <row r="12634" spans="1:3" x14ac:dyDescent="0.25">
      <c r="A12634" s="1" t="s">
        <v>12633</v>
      </c>
      <c r="C12634" s="3">
        <v>7</v>
      </c>
    </row>
    <row r="12635" spans="1:3" x14ac:dyDescent="0.25">
      <c r="A12635" s="1" t="s">
        <v>12634</v>
      </c>
      <c r="C12635" s="3">
        <v>7</v>
      </c>
    </row>
    <row r="12636" spans="1:3" x14ac:dyDescent="0.25">
      <c r="A12636" s="1" t="s">
        <v>12635</v>
      </c>
      <c r="C12636" s="3">
        <v>7</v>
      </c>
    </row>
    <row r="12637" spans="1:3" x14ac:dyDescent="0.25">
      <c r="A12637" s="1" t="s">
        <v>12636</v>
      </c>
      <c r="C12637" s="3">
        <v>7</v>
      </c>
    </row>
    <row r="12638" spans="1:3" x14ac:dyDescent="0.25">
      <c r="A12638" s="1" t="s">
        <v>12637</v>
      </c>
      <c r="C12638" s="3">
        <v>7</v>
      </c>
    </row>
    <row r="12639" spans="1:3" x14ac:dyDescent="0.25">
      <c r="A12639" s="1" t="s">
        <v>12638</v>
      </c>
      <c r="C12639" s="3">
        <v>7</v>
      </c>
    </row>
    <row r="12640" spans="1:3" x14ac:dyDescent="0.25">
      <c r="A12640" s="1" t="s">
        <v>12639</v>
      </c>
      <c r="C12640" s="3">
        <v>7</v>
      </c>
    </row>
    <row r="12641" spans="1:3" x14ac:dyDescent="0.25">
      <c r="A12641" s="1" t="s">
        <v>12640</v>
      </c>
      <c r="C12641" s="3">
        <v>7</v>
      </c>
    </row>
    <row r="12642" spans="1:3" x14ac:dyDescent="0.25">
      <c r="A12642" s="1" t="s">
        <v>12641</v>
      </c>
      <c r="C12642" s="3">
        <v>7</v>
      </c>
    </row>
    <row r="12643" spans="1:3" x14ac:dyDescent="0.25">
      <c r="A12643" s="1" t="s">
        <v>12642</v>
      </c>
      <c r="C12643" s="3">
        <v>7</v>
      </c>
    </row>
    <row r="12644" spans="1:3" x14ac:dyDescent="0.25">
      <c r="A12644" s="1" t="s">
        <v>12643</v>
      </c>
      <c r="C12644" s="3">
        <v>7</v>
      </c>
    </row>
    <row r="12645" spans="1:3" x14ac:dyDescent="0.25">
      <c r="A12645" s="1" t="s">
        <v>12644</v>
      </c>
      <c r="C12645" s="3">
        <v>7</v>
      </c>
    </row>
    <row r="12646" spans="1:3" x14ac:dyDescent="0.25">
      <c r="A12646" s="1" t="s">
        <v>12645</v>
      </c>
      <c r="C12646" s="3">
        <v>7</v>
      </c>
    </row>
    <row r="12647" spans="1:3" x14ac:dyDescent="0.25">
      <c r="A12647" s="1" t="s">
        <v>12646</v>
      </c>
      <c r="C12647" s="3">
        <v>7</v>
      </c>
    </row>
    <row r="12648" spans="1:3" x14ac:dyDescent="0.25">
      <c r="A12648" s="1" t="s">
        <v>12647</v>
      </c>
      <c r="C12648" s="3">
        <v>7</v>
      </c>
    </row>
    <row r="12649" spans="1:3" x14ac:dyDescent="0.25">
      <c r="A12649" s="1" t="s">
        <v>12648</v>
      </c>
      <c r="C12649" s="3">
        <v>7</v>
      </c>
    </row>
    <row r="12650" spans="1:3" x14ac:dyDescent="0.25">
      <c r="A12650" s="1" t="s">
        <v>12649</v>
      </c>
      <c r="C12650" s="3">
        <v>7</v>
      </c>
    </row>
    <row r="12651" spans="1:3" x14ac:dyDescent="0.25">
      <c r="A12651" s="1" t="s">
        <v>12650</v>
      </c>
      <c r="C12651" s="3">
        <v>7</v>
      </c>
    </row>
    <row r="12652" spans="1:3" x14ac:dyDescent="0.25">
      <c r="A12652" s="1" t="s">
        <v>12651</v>
      </c>
      <c r="C12652" s="3">
        <v>7</v>
      </c>
    </row>
    <row r="12653" spans="1:3" x14ac:dyDescent="0.25">
      <c r="A12653" s="1" t="s">
        <v>12652</v>
      </c>
      <c r="C12653" s="3">
        <v>7</v>
      </c>
    </row>
    <row r="12654" spans="1:3" x14ac:dyDescent="0.25">
      <c r="A12654" s="1" t="s">
        <v>12653</v>
      </c>
      <c r="C12654" s="3">
        <v>7</v>
      </c>
    </row>
    <row r="12655" spans="1:3" x14ac:dyDescent="0.25">
      <c r="A12655" s="1" t="s">
        <v>12654</v>
      </c>
      <c r="C12655" s="3">
        <v>7</v>
      </c>
    </row>
    <row r="12656" spans="1:3" x14ac:dyDescent="0.25">
      <c r="A12656" s="1" t="s">
        <v>12655</v>
      </c>
      <c r="C12656" s="3">
        <v>7</v>
      </c>
    </row>
    <row r="12657" spans="1:3" x14ac:dyDescent="0.25">
      <c r="A12657" s="1" t="s">
        <v>12656</v>
      </c>
      <c r="C12657" s="3">
        <v>7</v>
      </c>
    </row>
    <row r="12658" spans="1:3" x14ac:dyDescent="0.25">
      <c r="A12658" s="1" t="s">
        <v>12657</v>
      </c>
      <c r="C12658" s="3">
        <v>7</v>
      </c>
    </row>
    <row r="12659" spans="1:3" x14ac:dyDescent="0.25">
      <c r="A12659" s="1" t="s">
        <v>12658</v>
      </c>
      <c r="C12659" s="3">
        <v>7</v>
      </c>
    </row>
    <row r="12660" spans="1:3" x14ac:dyDescent="0.25">
      <c r="A12660" s="1" t="s">
        <v>12659</v>
      </c>
      <c r="C12660" s="3">
        <v>7</v>
      </c>
    </row>
    <row r="12661" spans="1:3" x14ac:dyDescent="0.25">
      <c r="A12661" s="1" t="s">
        <v>12660</v>
      </c>
      <c r="C12661" s="3">
        <v>7</v>
      </c>
    </row>
    <row r="12662" spans="1:3" x14ac:dyDescent="0.25">
      <c r="A12662" s="1" t="s">
        <v>12661</v>
      </c>
      <c r="C12662" s="3">
        <v>7</v>
      </c>
    </row>
    <row r="12663" spans="1:3" x14ac:dyDescent="0.25">
      <c r="A12663" s="1" t="s">
        <v>12662</v>
      </c>
      <c r="C12663" s="3">
        <v>7</v>
      </c>
    </row>
    <row r="12664" spans="1:3" x14ac:dyDescent="0.25">
      <c r="A12664" s="1" t="s">
        <v>12663</v>
      </c>
      <c r="C12664" s="3">
        <v>7</v>
      </c>
    </row>
    <row r="12665" spans="1:3" x14ac:dyDescent="0.25">
      <c r="A12665" s="1" t="s">
        <v>12664</v>
      </c>
      <c r="C12665" s="3">
        <v>7</v>
      </c>
    </row>
    <row r="12666" spans="1:3" x14ac:dyDescent="0.25">
      <c r="A12666" s="1" t="s">
        <v>12665</v>
      </c>
      <c r="C12666" s="3">
        <v>7</v>
      </c>
    </row>
    <row r="12667" spans="1:3" x14ac:dyDescent="0.25">
      <c r="A12667" s="1" t="s">
        <v>12666</v>
      </c>
      <c r="C12667" s="3">
        <v>7</v>
      </c>
    </row>
    <row r="12668" spans="1:3" x14ac:dyDescent="0.25">
      <c r="A12668" s="1" t="s">
        <v>12667</v>
      </c>
      <c r="C12668" s="3">
        <v>7</v>
      </c>
    </row>
    <row r="12669" spans="1:3" x14ac:dyDescent="0.25">
      <c r="A12669" s="1" t="s">
        <v>12668</v>
      </c>
      <c r="C12669" s="3">
        <v>7</v>
      </c>
    </row>
    <row r="12670" spans="1:3" x14ac:dyDescent="0.25">
      <c r="A12670" s="1" t="s">
        <v>12669</v>
      </c>
      <c r="C12670" s="3">
        <v>7</v>
      </c>
    </row>
    <row r="12671" spans="1:3" x14ac:dyDescent="0.25">
      <c r="A12671" s="1" t="s">
        <v>12670</v>
      </c>
      <c r="C12671" s="3">
        <v>7</v>
      </c>
    </row>
    <row r="12672" spans="1:3" x14ac:dyDescent="0.25">
      <c r="A12672" s="1" t="s">
        <v>12671</v>
      </c>
      <c r="C12672" s="3">
        <v>7</v>
      </c>
    </row>
    <row r="12673" spans="1:3" x14ac:dyDescent="0.25">
      <c r="A12673" s="1" t="s">
        <v>12672</v>
      </c>
      <c r="C12673" s="3">
        <v>7</v>
      </c>
    </row>
    <row r="12674" spans="1:3" x14ac:dyDescent="0.25">
      <c r="A12674" s="1" t="s">
        <v>12673</v>
      </c>
      <c r="C12674" s="3">
        <v>7</v>
      </c>
    </row>
    <row r="12675" spans="1:3" x14ac:dyDescent="0.25">
      <c r="A12675" s="1" t="s">
        <v>12674</v>
      </c>
      <c r="C12675" s="3">
        <v>7</v>
      </c>
    </row>
    <row r="12676" spans="1:3" x14ac:dyDescent="0.25">
      <c r="A12676" s="1" t="s">
        <v>12675</v>
      </c>
      <c r="C12676" s="3">
        <v>7</v>
      </c>
    </row>
    <row r="12677" spans="1:3" x14ac:dyDescent="0.25">
      <c r="A12677" s="1" t="s">
        <v>12676</v>
      </c>
      <c r="C12677" s="3">
        <v>7</v>
      </c>
    </row>
    <row r="12678" spans="1:3" x14ac:dyDescent="0.25">
      <c r="A12678" s="1" t="s">
        <v>12677</v>
      </c>
      <c r="C12678" s="3">
        <v>7</v>
      </c>
    </row>
    <row r="12679" spans="1:3" x14ac:dyDescent="0.25">
      <c r="A12679" s="1" t="s">
        <v>12678</v>
      </c>
      <c r="C12679" s="3">
        <v>7</v>
      </c>
    </row>
    <row r="12680" spans="1:3" x14ac:dyDescent="0.25">
      <c r="A12680" s="1" t="s">
        <v>12679</v>
      </c>
      <c r="C12680" s="3">
        <v>7</v>
      </c>
    </row>
    <row r="12681" spans="1:3" x14ac:dyDescent="0.25">
      <c r="A12681" s="1" t="s">
        <v>12680</v>
      </c>
      <c r="C12681" s="3">
        <v>7</v>
      </c>
    </row>
    <row r="12682" spans="1:3" x14ac:dyDescent="0.25">
      <c r="A12682" s="1" t="s">
        <v>12681</v>
      </c>
      <c r="C12682" s="3">
        <v>7</v>
      </c>
    </row>
    <row r="12683" spans="1:3" x14ac:dyDescent="0.25">
      <c r="A12683" s="1" t="s">
        <v>12682</v>
      </c>
      <c r="C12683" s="3">
        <v>7</v>
      </c>
    </row>
    <row r="12684" spans="1:3" x14ac:dyDescent="0.25">
      <c r="A12684" s="1" t="s">
        <v>12683</v>
      </c>
      <c r="C12684" s="3">
        <v>7</v>
      </c>
    </row>
    <row r="12685" spans="1:3" x14ac:dyDescent="0.25">
      <c r="A12685" s="1" t="s">
        <v>12684</v>
      </c>
      <c r="C12685" s="3">
        <v>7</v>
      </c>
    </row>
    <row r="12686" spans="1:3" x14ac:dyDescent="0.25">
      <c r="A12686" s="1" t="s">
        <v>12685</v>
      </c>
      <c r="C12686" s="3">
        <v>7</v>
      </c>
    </row>
    <row r="12687" spans="1:3" x14ac:dyDescent="0.25">
      <c r="A12687" s="1" t="s">
        <v>12686</v>
      </c>
      <c r="C12687" s="3">
        <v>7</v>
      </c>
    </row>
    <row r="12688" spans="1:3" x14ac:dyDescent="0.25">
      <c r="A12688" s="1" t="s">
        <v>12687</v>
      </c>
      <c r="C12688" s="3">
        <v>7</v>
      </c>
    </row>
    <row r="12689" spans="1:3" x14ac:dyDescent="0.25">
      <c r="A12689" s="1" t="s">
        <v>12688</v>
      </c>
      <c r="C12689" s="3">
        <v>7</v>
      </c>
    </row>
    <row r="12690" spans="1:3" x14ac:dyDescent="0.25">
      <c r="A12690" s="1" t="s">
        <v>12689</v>
      </c>
      <c r="C12690" s="3">
        <v>7</v>
      </c>
    </row>
    <row r="12691" spans="1:3" x14ac:dyDescent="0.25">
      <c r="A12691" s="1" t="s">
        <v>12690</v>
      </c>
      <c r="C12691" s="3">
        <v>7</v>
      </c>
    </row>
    <row r="12692" spans="1:3" x14ac:dyDescent="0.25">
      <c r="A12692" s="1" t="s">
        <v>12691</v>
      </c>
      <c r="C12692" s="3">
        <v>7</v>
      </c>
    </row>
    <row r="12693" spans="1:3" x14ac:dyDescent="0.25">
      <c r="A12693" s="1" t="s">
        <v>12692</v>
      </c>
      <c r="C12693" s="3">
        <v>7</v>
      </c>
    </row>
    <row r="12694" spans="1:3" x14ac:dyDescent="0.25">
      <c r="A12694" s="1" t="s">
        <v>12693</v>
      </c>
      <c r="C12694" s="3">
        <v>7</v>
      </c>
    </row>
    <row r="12695" spans="1:3" x14ac:dyDescent="0.25">
      <c r="A12695" s="1" t="s">
        <v>12694</v>
      </c>
      <c r="C12695" s="3">
        <v>7</v>
      </c>
    </row>
    <row r="12696" spans="1:3" x14ac:dyDescent="0.25">
      <c r="A12696" s="1" t="s">
        <v>12695</v>
      </c>
      <c r="C12696" s="3">
        <v>7</v>
      </c>
    </row>
    <row r="12697" spans="1:3" x14ac:dyDescent="0.25">
      <c r="A12697" s="1" t="s">
        <v>12696</v>
      </c>
      <c r="C12697" s="3">
        <v>7</v>
      </c>
    </row>
    <row r="12698" spans="1:3" x14ac:dyDescent="0.25">
      <c r="A12698" s="1" t="s">
        <v>12697</v>
      </c>
      <c r="C12698" s="3">
        <v>7</v>
      </c>
    </row>
    <row r="12699" spans="1:3" x14ac:dyDescent="0.25">
      <c r="A12699" s="1" t="s">
        <v>12698</v>
      </c>
      <c r="C12699" s="3">
        <v>7</v>
      </c>
    </row>
    <row r="12700" spans="1:3" x14ac:dyDescent="0.25">
      <c r="A12700" s="1" t="s">
        <v>12699</v>
      </c>
      <c r="C12700" s="3">
        <v>7</v>
      </c>
    </row>
    <row r="12701" spans="1:3" x14ac:dyDescent="0.25">
      <c r="A12701" s="1" t="s">
        <v>12700</v>
      </c>
      <c r="C12701" s="3">
        <v>7</v>
      </c>
    </row>
    <row r="12702" spans="1:3" x14ac:dyDescent="0.25">
      <c r="A12702" s="1" t="s">
        <v>12701</v>
      </c>
      <c r="C12702" s="3">
        <v>7</v>
      </c>
    </row>
    <row r="12703" spans="1:3" x14ac:dyDescent="0.25">
      <c r="A12703" s="1" t="s">
        <v>12702</v>
      </c>
      <c r="C12703" s="3">
        <v>7</v>
      </c>
    </row>
    <row r="12704" spans="1:3" x14ac:dyDescent="0.25">
      <c r="A12704" s="1" t="s">
        <v>12703</v>
      </c>
      <c r="C12704" s="3">
        <v>7</v>
      </c>
    </row>
    <row r="12705" spans="1:3" x14ac:dyDescent="0.25">
      <c r="A12705" s="1" t="s">
        <v>12704</v>
      </c>
      <c r="C12705" s="3">
        <v>7</v>
      </c>
    </row>
    <row r="12706" spans="1:3" x14ac:dyDescent="0.25">
      <c r="A12706" s="1" t="s">
        <v>12705</v>
      </c>
      <c r="C12706" s="3">
        <v>7</v>
      </c>
    </row>
    <row r="12707" spans="1:3" x14ac:dyDescent="0.25">
      <c r="A12707" s="1" t="s">
        <v>12706</v>
      </c>
      <c r="C12707" s="3">
        <v>7</v>
      </c>
    </row>
    <row r="12708" spans="1:3" x14ac:dyDescent="0.25">
      <c r="A12708" s="1" t="s">
        <v>12707</v>
      </c>
      <c r="C12708" s="3">
        <v>7</v>
      </c>
    </row>
    <row r="12709" spans="1:3" x14ac:dyDescent="0.25">
      <c r="A12709" s="1" t="s">
        <v>12708</v>
      </c>
      <c r="C12709" s="3">
        <v>7</v>
      </c>
    </row>
    <row r="12710" spans="1:3" x14ac:dyDescent="0.25">
      <c r="A12710" s="1" t="s">
        <v>12709</v>
      </c>
      <c r="C12710" s="3">
        <v>7</v>
      </c>
    </row>
    <row r="12711" spans="1:3" x14ac:dyDescent="0.25">
      <c r="A12711" s="1" t="s">
        <v>12710</v>
      </c>
      <c r="C12711" s="3">
        <v>7</v>
      </c>
    </row>
    <row r="12712" spans="1:3" x14ac:dyDescent="0.25">
      <c r="A12712" s="1" t="s">
        <v>12711</v>
      </c>
      <c r="C12712" s="3">
        <v>7</v>
      </c>
    </row>
    <row r="12713" spans="1:3" x14ac:dyDescent="0.25">
      <c r="A12713" s="1" t="s">
        <v>12712</v>
      </c>
      <c r="C12713" s="3">
        <v>7</v>
      </c>
    </row>
    <row r="12714" spans="1:3" x14ac:dyDescent="0.25">
      <c r="A12714" s="1" t="s">
        <v>12713</v>
      </c>
      <c r="C12714" s="3">
        <v>7</v>
      </c>
    </row>
    <row r="12715" spans="1:3" x14ac:dyDescent="0.25">
      <c r="A12715" s="1" t="s">
        <v>12714</v>
      </c>
      <c r="C12715" s="3">
        <v>7</v>
      </c>
    </row>
    <row r="12716" spans="1:3" x14ac:dyDescent="0.25">
      <c r="A12716" s="1" t="s">
        <v>12715</v>
      </c>
      <c r="C12716" s="3">
        <v>7</v>
      </c>
    </row>
    <row r="12717" spans="1:3" x14ac:dyDescent="0.25">
      <c r="A12717" s="1" t="s">
        <v>12716</v>
      </c>
      <c r="C12717" s="3">
        <v>7</v>
      </c>
    </row>
    <row r="12718" spans="1:3" x14ac:dyDescent="0.25">
      <c r="A12718" s="1" t="s">
        <v>12717</v>
      </c>
      <c r="C12718" s="3">
        <v>7</v>
      </c>
    </row>
    <row r="12719" spans="1:3" x14ac:dyDescent="0.25">
      <c r="A12719" s="1" t="s">
        <v>12718</v>
      </c>
      <c r="C12719" s="3">
        <v>7</v>
      </c>
    </row>
    <row r="12720" spans="1:3" x14ac:dyDescent="0.25">
      <c r="A12720" s="1" t="s">
        <v>12719</v>
      </c>
      <c r="C12720" s="3">
        <v>7</v>
      </c>
    </row>
    <row r="12721" spans="1:3" x14ac:dyDescent="0.25">
      <c r="A12721" s="1" t="s">
        <v>12720</v>
      </c>
      <c r="C12721" s="3">
        <v>7</v>
      </c>
    </row>
    <row r="12722" spans="1:3" x14ac:dyDescent="0.25">
      <c r="A12722" s="1" t="s">
        <v>12721</v>
      </c>
      <c r="C12722" s="3">
        <v>7</v>
      </c>
    </row>
    <row r="12723" spans="1:3" x14ac:dyDescent="0.25">
      <c r="A12723" s="1" t="s">
        <v>12722</v>
      </c>
      <c r="C12723" s="3">
        <v>7</v>
      </c>
    </row>
    <row r="12724" spans="1:3" x14ac:dyDescent="0.25">
      <c r="A12724" s="1" t="s">
        <v>12723</v>
      </c>
      <c r="C12724" s="3">
        <v>7</v>
      </c>
    </row>
    <row r="12725" spans="1:3" x14ac:dyDescent="0.25">
      <c r="A12725" s="1" t="s">
        <v>12724</v>
      </c>
      <c r="C12725" s="3">
        <v>7</v>
      </c>
    </row>
    <row r="12726" spans="1:3" x14ac:dyDescent="0.25">
      <c r="A12726" s="1" t="s">
        <v>12725</v>
      </c>
      <c r="C12726" s="3">
        <v>7</v>
      </c>
    </row>
    <row r="12727" spans="1:3" x14ac:dyDescent="0.25">
      <c r="A12727" s="1" t="s">
        <v>12726</v>
      </c>
      <c r="C12727" s="3">
        <v>7</v>
      </c>
    </row>
    <row r="12728" spans="1:3" x14ac:dyDescent="0.25">
      <c r="A12728" s="1" t="s">
        <v>12727</v>
      </c>
      <c r="C12728" s="3">
        <v>7</v>
      </c>
    </row>
    <row r="12729" spans="1:3" x14ac:dyDescent="0.25">
      <c r="A12729" s="1" t="s">
        <v>12728</v>
      </c>
      <c r="C12729" s="3">
        <v>7</v>
      </c>
    </row>
    <row r="12730" spans="1:3" x14ac:dyDescent="0.25">
      <c r="A12730" s="1" t="s">
        <v>12729</v>
      </c>
      <c r="C12730" s="3">
        <v>7</v>
      </c>
    </row>
    <row r="12731" spans="1:3" x14ac:dyDescent="0.25">
      <c r="A12731" s="1" t="s">
        <v>12730</v>
      </c>
      <c r="C12731" s="3">
        <v>7</v>
      </c>
    </row>
    <row r="12732" spans="1:3" x14ac:dyDescent="0.25">
      <c r="A12732" s="1" t="s">
        <v>12731</v>
      </c>
      <c r="C12732" s="3">
        <v>7</v>
      </c>
    </row>
    <row r="12733" spans="1:3" x14ac:dyDescent="0.25">
      <c r="A12733" s="1" t="s">
        <v>12732</v>
      </c>
      <c r="C12733" s="3">
        <v>7</v>
      </c>
    </row>
    <row r="12734" spans="1:3" x14ac:dyDescent="0.25">
      <c r="A12734" s="1" t="s">
        <v>12733</v>
      </c>
      <c r="C12734" s="3">
        <v>7</v>
      </c>
    </row>
    <row r="12735" spans="1:3" x14ac:dyDescent="0.25">
      <c r="A12735" s="1" t="s">
        <v>12734</v>
      </c>
      <c r="C12735" s="3">
        <v>7</v>
      </c>
    </row>
    <row r="12736" spans="1:3" x14ac:dyDescent="0.25">
      <c r="A12736" s="1" t="s">
        <v>12735</v>
      </c>
      <c r="C12736" s="3">
        <v>7</v>
      </c>
    </row>
    <row r="12737" spans="1:3" x14ac:dyDescent="0.25">
      <c r="A12737" s="1" t="s">
        <v>12736</v>
      </c>
      <c r="C12737" s="3">
        <v>7</v>
      </c>
    </row>
    <row r="12738" spans="1:3" x14ac:dyDescent="0.25">
      <c r="A12738" s="1" t="s">
        <v>12737</v>
      </c>
      <c r="C12738" s="3">
        <v>7</v>
      </c>
    </row>
    <row r="12739" spans="1:3" x14ac:dyDescent="0.25">
      <c r="A12739" s="1" t="s">
        <v>12738</v>
      </c>
      <c r="C12739" s="3">
        <v>7</v>
      </c>
    </row>
    <row r="12740" spans="1:3" x14ac:dyDescent="0.25">
      <c r="A12740" s="1" t="s">
        <v>12739</v>
      </c>
      <c r="C12740" s="3">
        <v>7</v>
      </c>
    </row>
    <row r="12741" spans="1:3" x14ac:dyDescent="0.25">
      <c r="A12741" s="1" t="s">
        <v>12740</v>
      </c>
      <c r="C12741" s="3">
        <v>7</v>
      </c>
    </row>
    <row r="12742" spans="1:3" x14ac:dyDescent="0.25">
      <c r="A12742" s="1" t="s">
        <v>12741</v>
      </c>
      <c r="C12742" s="3">
        <v>7</v>
      </c>
    </row>
    <row r="12743" spans="1:3" x14ac:dyDescent="0.25">
      <c r="A12743" s="1" t="s">
        <v>12742</v>
      </c>
      <c r="C12743" s="3">
        <v>7</v>
      </c>
    </row>
    <row r="12744" spans="1:3" x14ac:dyDescent="0.25">
      <c r="A12744" s="1" t="s">
        <v>12743</v>
      </c>
      <c r="C12744" s="3">
        <v>7</v>
      </c>
    </row>
    <row r="12745" spans="1:3" x14ac:dyDescent="0.25">
      <c r="A12745" s="1" t="s">
        <v>12744</v>
      </c>
      <c r="C12745" s="3">
        <v>7</v>
      </c>
    </row>
    <row r="12746" spans="1:3" x14ac:dyDescent="0.25">
      <c r="A12746" s="1" t="s">
        <v>12745</v>
      </c>
      <c r="C12746" s="3">
        <v>7</v>
      </c>
    </row>
    <row r="12747" spans="1:3" x14ac:dyDescent="0.25">
      <c r="A12747" s="1" t="s">
        <v>12746</v>
      </c>
      <c r="C12747" s="3">
        <v>7</v>
      </c>
    </row>
    <row r="12748" spans="1:3" x14ac:dyDescent="0.25">
      <c r="A12748" s="1" t="s">
        <v>12747</v>
      </c>
      <c r="C12748" s="3">
        <v>7</v>
      </c>
    </row>
    <row r="12749" spans="1:3" x14ac:dyDescent="0.25">
      <c r="A12749" s="1" t="s">
        <v>12748</v>
      </c>
      <c r="C12749" s="3">
        <v>7</v>
      </c>
    </row>
    <row r="12750" spans="1:3" x14ac:dyDescent="0.25">
      <c r="A12750" s="1" t="s">
        <v>12749</v>
      </c>
      <c r="C12750" s="3">
        <v>7</v>
      </c>
    </row>
    <row r="12751" spans="1:3" x14ac:dyDescent="0.25">
      <c r="A12751" s="1" t="s">
        <v>12750</v>
      </c>
      <c r="C12751" s="3">
        <v>7</v>
      </c>
    </row>
    <row r="12752" spans="1:3" x14ac:dyDescent="0.25">
      <c r="A12752" s="1" t="s">
        <v>12751</v>
      </c>
      <c r="C12752" s="3">
        <v>7</v>
      </c>
    </row>
    <row r="12753" spans="1:3" x14ac:dyDescent="0.25">
      <c r="A12753" s="1" t="s">
        <v>12752</v>
      </c>
      <c r="C12753" s="3">
        <v>7</v>
      </c>
    </row>
    <row r="12754" spans="1:3" x14ac:dyDescent="0.25">
      <c r="A12754" s="1" t="s">
        <v>12753</v>
      </c>
      <c r="C12754" s="3">
        <v>7</v>
      </c>
    </row>
    <row r="12755" spans="1:3" x14ac:dyDescent="0.25">
      <c r="A12755" s="1" t="s">
        <v>12754</v>
      </c>
      <c r="C12755" s="3">
        <v>7</v>
      </c>
    </row>
    <row r="12756" spans="1:3" x14ac:dyDescent="0.25">
      <c r="A12756" s="1" t="s">
        <v>12755</v>
      </c>
      <c r="C12756" s="3">
        <v>7</v>
      </c>
    </row>
    <row r="12757" spans="1:3" x14ac:dyDescent="0.25">
      <c r="A12757" s="1" t="s">
        <v>12756</v>
      </c>
      <c r="C12757" s="3">
        <v>7</v>
      </c>
    </row>
    <row r="12758" spans="1:3" x14ac:dyDescent="0.25">
      <c r="A12758" s="1" t="s">
        <v>12757</v>
      </c>
      <c r="C12758" s="3">
        <v>7</v>
      </c>
    </row>
    <row r="12759" spans="1:3" x14ac:dyDescent="0.25">
      <c r="A12759" s="1" t="s">
        <v>12758</v>
      </c>
      <c r="C12759" s="3">
        <v>7</v>
      </c>
    </row>
    <row r="12760" spans="1:3" x14ac:dyDescent="0.25">
      <c r="A12760" s="1" t="s">
        <v>12759</v>
      </c>
      <c r="C12760" s="3">
        <v>7</v>
      </c>
    </row>
    <row r="12761" spans="1:3" x14ac:dyDescent="0.25">
      <c r="A12761" s="1" t="s">
        <v>12760</v>
      </c>
      <c r="C12761" s="3">
        <v>7</v>
      </c>
    </row>
    <row r="12762" spans="1:3" x14ac:dyDescent="0.25">
      <c r="A12762" s="1" t="s">
        <v>12761</v>
      </c>
      <c r="C12762" s="3">
        <v>7</v>
      </c>
    </row>
    <row r="12763" spans="1:3" x14ac:dyDescent="0.25">
      <c r="A12763" s="1" t="s">
        <v>12762</v>
      </c>
      <c r="C12763" s="3">
        <v>7</v>
      </c>
    </row>
    <row r="12764" spans="1:3" x14ac:dyDescent="0.25">
      <c r="A12764" s="1" t="s">
        <v>12763</v>
      </c>
      <c r="C12764" s="3">
        <v>7</v>
      </c>
    </row>
    <row r="12765" spans="1:3" x14ac:dyDescent="0.25">
      <c r="A12765" s="1" t="s">
        <v>12764</v>
      </c>
      <c r="C12765" s="3">
        <v>7</v>
      </c>
    </row>
    <row r="12766" spans="1:3" x14ac:dyDescent="0.25">
      <c r="A12766" s="1" t="s">
        <v>12765</v>
      </c>
      <c r="C12766" s="3">
        <v>7</v>
      </c>
    </row>
    <row r="12767" spans="1:3" x14ac:dyDescent="0.25">
      <c r="A12767" s="1" t="s">
        <v>12766</v>
      </c>
      <c r="C12767" s="3">
        <v>7</v>
      </c>
    </row>
    <row r="12768" spans="1:3" x14ac:dyDescent="0.25">
      <c r="A12768" s="1" t="s">
        <v>12767</v>
      </c>
      <c r="C12768" s="3">
        <v>7</v>
      </c>
    </row>
    <row r="12769" spans="1:3" x14ac:dyDescent="0.25">
      <c r="A12769" s="1" t="s">
        <v>12768</v>
      </c>
      <c r="C12769" s="3">
        <v>7</v>
      </c>
    </row>
    <row r="12770" spans="1:3" x14ac:dyDescent="0.25">
      <c r="A12770" s="1" t="s">
        <v>12769</v>
      </c>
      <c r="C12770" s="3">
        <v>7</v>
      </c>
    </row>
    <row r="12771" spans="1:3" x14ac:dyDescent="0.25">
      <c r="A12771" s="1" t="s">
        <v>12770</v>
      </c>
      <c r="C12771" s="3">
        <v>7</v>
      </c>
    </row>
    <row r="12772" spans="1:3" x14ac:dyDescent="0.25">
      <c r="A12772" s="1" t="s">
        <v>12771</v>
      </c>
      <c r="C12772" s="3">
        <v>7</v>
      </c>
    </row>
    <row r="12773" spans="1:3" x14ac:dyDescent="0.25">
      <c r="A12773" s="1" t="s">
        <v>12772</v>
      </c>
      <c r="C12773" s="3">
        <v>7</v>
      </c>
    </row>
    <row r="12774" spans="1:3" x14ac:dyDescent="0.25">
      <c r="A12774" s="1" t="s">
        <v>12773</v>
      </c>
      <c r="C12774" s="3">
        <v>7</v>
      </c>
    </row>
    <row r="12775" spans="1:3" x14ac:dyDescent="0.25">
      <c r="A12775" s="1" t="s">
        <v>12774</v>
      </c>
      <c r="C12775" s="3">
        <v>7</v>
      </c>
    </row>
    <row r="12776" spans="1:3" x14ac:dyDescent="0.25">
      <c r="A12776" s="1" t="s">
        <v>12775</v>
      </c>
      <c r="C12776" s="3">
        <v>7</v>
      </c>
    </row>
    <row r="12777" spans="1:3" x14ac:dyDescent="0.25">
      <c r="A12777" s="1" t="s">
        <v>12776</v>
      </c>
      <c r="C12777" s="3">
        <v>7</v>
      </c>
    </row>
    <row r="12778" spans="1:3" x14ac:dyDescent="0.25">
      <c r="A12778" s="1" t="s">
        <v>12777</v>
      </c>
      <c r="C12778" s="3">
        <v>7</v>
      </c>
    </row>
    <row r="12779" spans="1:3" x14ac:dyDescent="0.25">
      <c r="A12779" s="1" t="s">
        <v>12778</v>
      </c>
      <c r="C12779" s="3">
        <v>7</v>
      </c>
    </row>
    <row r="12780" spans="1:3" x14ac:dyDescent="0.25">
      <c r="A12780" s="1" t="s">
        <v>12779</v>
      </c>
      <c r="C12780" s="3">
        <v>7</v>
      </c>
    </row>
    <row r="12781" spans="1:3" x14ac:dyDescent="0.25">
      <c r="A12781" s="1" t="s">
        <v>12780</v>
      </c>
      <c r="C12781" s="3">
        <v>7</v>
      </c>
    </row>
    <row r="12782" spans="1:3" x14ac:dyDescent="0.25">
      <c r="A12782" s="1" t="s">
        <v>12781</v>
      </c>
      <c r="C12782" s="3">
        <v>7</v>
      </c>
    </row>
    <row r="12783" spans="1:3" x14ac:dyDescent="0.25">
      <c r="A12783" s="1" t="s">
        <v>12782</v>
      </c>
      <c r="C12783" s="3">
        <v>7</v>
      </c>
    </row>
    <row r="12784" spans="1:3" x14ac:dyDescent="0.25">
      <c r="A12784" s="1" t="s">
        <v>12783</v>
      </c>
      <c r="C12784" s="3">
        <v>7</v>
      </c>
    </row>
    <row r="12785" spans="1:3" x14ac:dyDescent="0.25">
      <c r="A12785" s="1" t="s">
        <v>12784</v>
      </c>
      <c r="C12785" s="3">
        <v>7</v>
      </c>
    </row>
    <row r="12786" spans="1:3" x14ac:dyDescent="0.25">
      <c r="A12786" s="1" t="s">
        <v>12785</v>
      </c>
      <c r="C12786" s="3">
        <v>7</v>
      </c>
    </row>
    <row r="12787" spans="1:3" x14ac:dyDescent="0.25">
      <c r="A12787" s="1" t="s">
        <v>12786</v>
      </c>
      <c r="C12787" s="3">
        <v>7</v>
      </c>
    </row>
    <row r="12788" spans="1:3" x14ac:dyDescent="0.25">
      <c r="A12788" s="1" t="s">
        <v>12787</v>
      </c>
      <c r="C12788" s="3">
        <v>7</v>
      </c>
    </row>
    <row r="12789" spans="1:3" x14ac:dyDescent="0.25">
      <c r="A12789" s="1" t="s">
        <v>12788</v>
      </c>
      <c r="C12789" s="3">
        <v>7</v>
      </c>
    </row>
    <row r="12790" spans="1:3" x14ac:dyDescent="0.25">
      <c r="A12790" s="1" t="s">
        <v>12789</v>
      </c>
      <c r="C12790" s="3">
        <v>7</v>
      </c>
    </row>
    <row r="12791" spans="1:3" x14ac:dyDescent="0.25">
      <c r="A12791" s="1" t="s">
        <v>12790</v>
      </c>
      <c r="C12791" s="3">
        <v>7</v>
      </c>
    </row>
    <row r="12792" spans="1:3" x14ac:dyDescent="0.25">
      <c r="A12792" s="1" t="s">
        <v>12791</v>
      </c>
      <c r="C12792" s="3">
        <v>7</v>
      </c>
    </row>
    <row r="12793" spans="1:3" x14ac:dyDescent="0.25">
      <c r="A12793" s="1" t="s">
        <v>12792</v>
      </c>
      <c r="C12793" s="3">
        <v>7</v>
      </c>
    </row>
    <row r="12794" spans="1:3" x14ac:dyDescent="0.25">
      <c r="A12794" s="1" t="s">
        <v>12793</v>
      </c>
      <c r="C12794" s="3">
        <v>7</v>
      </c>
    </row>
    <row r="12795" spans="1:3" x14ac:dyDescent="0.25">
      <c r="A12795" s="1" t="s">
        <v>12794</v>
      </c>
      <c r="C12795" s="3">
        <v>7</v>
      </c>
    </row>
    <row r="12796" spans="1:3" x14ac:dyDescent="0.25">
      <c r="A12796" s="1" t="s">
        <v>12795</v>
      </c>
      <c r="C12796" s="3">
        <v>7</v>
      </c>
    </row>
    <row r="12797" spans="1:3" x14ac:dyDescent="0.25">
      <c r="A12797" s="1" t="s">
        <v>12796</v>
      </c>
      <c r="C12797" s="3">
        <v>7</v>
      </c>
    </row>
    <row r="12798" spans="1:3" x14ac:dyDescent="0.25">
      <c r="A12798" s="1" t="s">
        <v>12797</v>
      </c>
      <c r="C12798" s="3">
        <v>7</v>
      </c>
    </row>
    <row r="12799" spans="1:3" x14ac:dyDescent="0.25">
      <c r="A12799" s="1" t="s">
        <v>12798</v>
      </c>
      <c r="C12799" s="3">
        <v>7</v>
      </c>
    </row>
    <row r="12800" spans="1:3" x14ac:dyDescent="0.25">
      <c r="A12800" s="1" t="s">
        <v>12799</v>
      </c>
      <c r="C12800" s="3">
        <v>7</v>
      </c>
    </row>
    <row r="12801" spans="1:3" x14ac:dyDescent="0.25">
      <c r="A12801" s="1" t="s">
        <v>12800</v>
      </c>
      <c r="C12801" s="3">
        <v>7</v>
      </c>
    </row>
    <row r="12802" spans="1:3" x14ac:dyDescent="0.25">
      <c r="A12802" s="1" t="s">
        <v>12801</v>
      </c>
      <c r="C12802" s="3">
        <v>7</v>
      </c>
    </row>
    <row r="12803" spans="1:3" x14ac:dyDescent="0.25">
      <c r="A12803" s="1" t="s">
        <v>12802</v>
      </c>
      <c r="C12803" s="3">
        <v>7</v>
      </c>
    </row>
    <row r="12804" spans="1:3" x14ac:dyDescent="0.25">
      <c r="A12804" s="1" t="s">
        <v>12803</v>
      </c>
      <c r="C12804" s="3">
        <v>7</v>
      </c>
    </row>
    <row r="12805" spans="1:3" x14ac:dyDescent="0.25">
      <c r="A12805" s="1" t="s">
        <v>12804</v>
      </c>
      <c r="C12805" s="3">
        <v>7</v>
      </c>
    </row>
    <row r="12806" spans="1:3" x14ac:dyDescent="0.25">
      <c r="A12806" s="1" t="s">
        <v>12805</v>
      </c>
      <c r="C12806" s="3">
        <v>7</v>
      </c>
    </row>
    <row r="12807" spans="1:3" x14ac:dyDescent="0.25">
      <c r="A12807" s="1" t="s">
        <v>12806</v>
      </c>
      <c r="C12807" s="3">
        <v>7</v>
      </c>
    </row>
    <row r="12808" spans="1:3" x14ac:dyDescent="0.25">
      <c r="A12808" s="1" t="s">
        <v>12807</v>
      </c>
      <c r="C12808" s="3">
        <v>7</v>
      </c>
    </row>
    <row r="12809" spans="1:3" x14ac:dyDescent="0.25">
      <c r="A12809" s="1" t="s">
        <v>12808</v>
      </c>
      <c r="C12809" s="3">
        <v>7</v>
      </c>
    </row>
    <row r="12810" spans="1:3" x14ac:dyDescent="0.25">
      <c r="A12810" s="1" t="s">
        <v>12809</v>
      </c>
      <c r="C12810" s="3">
        <v>7</v>
      </c>
    </row>
    <row r="12811" spans="1:3" x14ac:dyDescent="0.25">
      <c r="A12811" s="1" t="s">
        <v>12810</v>
      </c>
      <c r="C12811" s="3">
        <v>7</v>
      </c>
    </row>
    <row r="12812" spans="1:3" x14ac:dyDescent="0.25">
      <c r="A12812" s="1" t="s">
        <v>12811</v>
      </c>
      <c r="C12812" s="3">
        <v>7</v>
      </c>
    </row>
    <row r="12813" spans="1:3" x14ac:dyDescent="0.25">
      <c r="A12813" s="1" t="s">
        <v>12812</v>
      </c>
      <c r="C12813" s="3">
        <v>7</v>
      </c>
    </row>
    <row r="12814" spans="1:3" x14ac:dyDescent="0.25">
      <c r="A12814" s="1" t="s">
        <v>12813</v>
      </c>
      <c r="C12814" s="3">
        <v>7</v>
      </c>
    </row>
    <row r="12815" spans="1:3" x14ac:dyDescent="0.25">
      <c r="A12815" s="1" t="s">
        <v>12814</v>
      </c>
      <c r="C12815" s="3">
        <v>7</v>
      </c>
    </row>
    <row r="12816" spans="1:3" x14ac:dyDescent="0.25">
      <c r="A12816" s="1" t="s">
        <v>12815</v>
      </c>
      <c r="C12816" s="3">
        <v>7</v>
      </c>
    </row>
    <row r="12817" spans="1:3" x14ac:dyDescent="0.25">
      <c r="A12817" s="1" t="s">
        <v>12816</v>
      </c>
      <c r="C12817" s="3">
        <v>7</v>
      </c>
    </row>
    <row r="12818" spans="1:3" x14ac:dyDescent="0.25">
      <c r="A12818" s="1" t="s">
        <v>12817</v>
      </c>
      <c r="C12818" s="3">
        <v>7</v>
      </c>
    </row>
    <row r="12819" spans="1:3" x14ac:dyDescent="0.25">
      <c r="A12819" s="1" t="s">
        <v>12818</v>
      </c>
      <c r="C12819" s="3">
        <v>7</v>
      </c>
    </row>
    <row r="12820" spans="1:3" x14ac:dyDescent="0.25">
      <c r="A12820" s="1" t="s">
        <v>12819</v>
      </c>
      <c r="C12820" s="3">
        <v>7</v>
      </c>
    </row>
    <row r="12821" spans="1:3" x14ac:dyDescent="0.25">
      <c r="A12821" s="1" t="s">
        <v>12820</v>
      </c>
      <c r="C12821" s="3">
        <v>7</v>
      </c>
    </row>
    <row r="12822" spans="1:3" x14ac:dyDescent="0.25">
      <c r="A12822" s="1" t="s">
        <v>12821</v>
      </c>
      <c r="C12822" s="3">
        <v>7</v>
      </c>
    </row>
    <row r="12823" spans="1:3" x14ac:dyDescent="0.25">
      <c r="A12823" s="1" t="s">
        <v>12822</v>
      </c>
      <c r="C12823" s="3">
        <v>7</v>
      </c>
    </row>
    <row r="12824" spans="1:3" x14ac:dyDescent="0.25">
      <c r="A12824" s="1" t="s">
        <v>12823</v>
      </c>
      <c r="C12824" s="3">
        <v>7</v>
      </c>
    </row>
    <row r="12825" spans="1:3" x14ac:dyDescent="0.25">
      <c r="A12825" s="1" t="s">
        <v>12824</v>
      </c>
      <c r="C12825" s="3">
        <v>7</v>
      </c>
    </row>
    <row r="12826" spans="1:3" x14ac:dyDescent="0.25">
      <c r="A12826" s="1" t="s">
        <v>12825</v>
      </c>
      <c r="C12826" s="3">
        <v>7</v>
      </c>
    </row>
    <row r="12827" spans="1:3" x14ac:dyDescent="0.25">
      <c r="A12827" s="1" t="s">
        <v>12826</v>
      </c>
      <c r="C12827" s="3">
        <v>7</v>
      </c>
    </row>
    <row r="12828" spans="1:3" x14ac:dyDescent="0.25">
      <c r="A12828" s="1" t="s">
        <v>12827</v>
      </c>
      <c r="C12828" s="3">
        <v>7</v>
      </c>
    </row>
    <row r="12829" spans="1:3" x14ac:dyDescent="0.25">
      <c r="A12829" s="1" t="s">
        <v>12828</v>
      </c>
      <c r="C12829" s="3">
        <v>7</v>
      </c>
    </row>
    <row r="12830" spans="1:3" x14ac:dyDescent="0.25">
      <c r="A12830" s="1" t="s">
        <v>12829</v>
      </c>
      <c r="C12830" s="3">
        <v>7</v>
      </c>
    </row>
    <row r="12831" spans="1:3" x14ac:dyDescent="0.25">
      <c r="A12831" s="1" t="s">
        <v>12830</v>
      </c>
      <c r="C12831" s="3">
        <v>7</v>
      </c>
    </row>
    <row r="12832" spans="1:3" x14ac:dyDescent="0.25">
      <c r="A12832" s="1" t="s">
        <v>12831</v>
      </c>
      <c r="C12832" s="3">
        <v>7</v>
      </c>
    </row>
    <row r="12833" spans="1:3" x14ac:dyDescent="0.25">
      <c r="A12833" s="1" t="s">
        <v>12832</v>
      </c>
      <c r="C12833" s="3">
        <v>7</v>
      </c>
    </row>
    <row r="12834" spans="1:3" x14ac:dyDescent="0.25">
      <c r="A12834" s="1" t="s">
        <v>12833</v>
      </c>
      <c r="C12834" s="3">
        <v>7</v>
      </c>
    </row>
    <row r="12835" spans="1:3" x14ac:dyDescent="0.25">
      <c r="A12835" s="1" t="s">
        <v>12834</v>
      </c>
      <c r="C12835" s="3">
        <v>7</v>
      </c>
    </row>
    <row r="12836" spans="1:3" x14ac:dyDescent="0.25">
      <c r="A12836" s="1" t="s">
        <v>12835</v>
      </c>
      <c r="C12836" s="3">
        <v>7</v>
      </c>
    </row>
    <row r="12837" spans="1:3" x14ac:dyDescent="0.25">
      <c r="A12837" s="1" t="s">
        <v>12836</v>
      </c>
      <c r="C12837" s="3">
        <v>7</v>
      </c>
    </row>
    <row r="12838" spans="1:3" x14ac:dyDescent="0.25">
      <c r="A12838" s="1" t="s">
        <v>12837</v>
      </c>
      <c r="C12838" s="3">
        <v>7</v>
      </c>
    </row>
    <row r="12839" spans="1:3" x14ac:dyDescent="0.25">
      <c r="A12839" s="1" t="s">
        <v>12838</v>
      </c>
      <c r="C12839" s="3">
        <v>7</v>
      </c>
    </row>
    <row r="12840" spans="1:3" x14ac:dyDescent="0.25">
      <c r="A12840" s="1" t="s">
        <v>12839</v>
      </c>
      <c r="C12840" s="3">
        <v>7</v>
      </c>
    </row>
    <row r="12841" spans="1:3" x14ac:dyDescent="0.25">
      <c r="A12841" s="1" t="s">
        <v>12840</v>
      </c>
      <c r="C12841" s="3">
        <v>7</v>
      </c>
    </row>
    <row r="12842" spans="1:3" x14ac:dyDescent="0.25">
      <c r="A12842" s="1" t="s">
        <v>12841</v>
      </c>
      <c r="C12842" s="3">
        <v>7</v>
      </c>
    </row>
    <row r="12843" spans="1:3" x14ac:dyDescent="0.25">
      <c r="A12843" s="1" t="s">
        <v>12842</v>
      </c>
      <c r="C12843" s="3">
        <v>7</v>
      </c>
    </row>
    <row r="12844" spans="1:3" x14ac:dyDescent="0.25">
      <c r="A12844" s="1" t="s">
        <v>12843</v>
      </c>
      <c r="C12844" s="3">
        <v>7</v>
      </c>
    </row>
    <row r="12845" spans="1:3" x14ac:dyDescent="0.25">
      <c r="A12845" s="1" t="s">
        <v>12844</v>
      </c>
      <c r="C12845" s="3">
        <v>7</v>
      </c>
    </row>
    <row r="12846" spans="1:3" x14ac:dyDescent="0.25">
      <c r="A12846" s="1" t="s">
        <v>12845</v>
      </c>
      <c r="C12846" s="3">
        <v>7</v>
      </c>
    </row>
    <row r="12847" spans="1:3" x14ac:dyDescent="0.25">
      <c r="A12847" s="1" t="s">
        <v>12846</v>
      </c>
      <c r="C12847" s="3">
        <v>7</v>
      </c>
    </row>
    <row r="12848" spans="1:3" x14ac:dyDescent="0.25">
      <c r="A12848" s="1" t="s">
        <v>12847</v>
      </c>
      <c r="C12848" s="3">
        <v>7</v>
      </c>
    </row>
    <row r="12849" spans="1:3" x14ac:dyDescent="0.25">
      <c r="A12849" s="1" t="s">
        <v>12848</v>
      </c>
      <c r="C12849" s="3">
        <v>7</v>
      </c>
    </row>
    <row r="12850" spans="1:3" x14ac:dyDescent="0.25">
      <c r="A12850" s="1" t="s">
        <v>12849</v>
      </c>
      <c r="C12850" s="3">
        <v>7</v>
      </c>
    </row>
    <row r="12851" spans="1:3" x14ac:dyDescent="0.25">
      <c r="A12851" s="1" t="s">
        <v>12850</v>
      </c>
      <c r="C12851" s="3">
        <v>7</v>
      </c>
    </row>
    <row r="12852" spans="1:3" x14ac:dyDescent="0.25">
      <c r="A12852" s="1" t="s">
        <v>12851</v>
      </c>
      <c r="C12852" s="3">
        <v>7</v>
      </c>
    </row>
    <row r="12853" spans="1:3" x14ac:dyDescent="0.25">
      <c r="A12853" s="1" t="s">
        <v>12852</v>
      </c>
      <c r="C12853" s="3">
        <v>7</v>
      </c>
    </row>
    <row r="12854" spans="1:3" x14ac:dyDescent="0.25">
      <c r="A12854" s="1" t="s">
        <v>12853</v>
      </c>
      <c r="C12854" s="3">
        <v>7</v>
      </c>
    </row>
    <row r="12855" spans="1:3" x14ac:dyDescent="0.25">
      <c r="A12855" s="1" t="s">
        <v>12854</v>
      </c>
      <c r="C12855" s="3">
        <v>7</v>
      </c>
    </row>
    <row r="12856" spans="1:3" x14ac:dyDescent="0.25">
      <c r="A12856" s="1" t="s">
        <v>12855</v>
      </c>
      <c r="C12856" s="3">
        <v>7</v>
      </c>
    </row>
    <row r="12857" spans="1:3" x14ac:dyDescent="0.25">
      <c r="A12857" s="1" t="s">
        <v>12856</v>
      </c>
      <c r="C12857" s="3">
        <v>7</v>
      </c>
    </row>
    <row r="12858" spans="1:3" x14ac:dyDescent="0.25">
      <c r="A12858" s="1" t="s">
        <v>12857</v>
      </c>
      <c r="C12858" s="3">
        <v>7</v>
      </c>
    </row>
    <row r="12859" spans="1:3" x14ac:dyDescent="0.25">
      <c r="A12859" s="1" t="s">
        <v>12858</v>
      </c>
      <c r="C12859" s="3">
        <v>7</v>
      </c>
    </row>
    <row r="12860" spans="1:3" x14ac:dyDescent="0.25">
      <c r="A12860" s="1" t="s">
        <v>12859</v>
      </c>
      <c r="C12860" s="3">
        <v>7</v>
      </c>
    </row>
    <row r="12861" spans="1:3" x14ac:dyDescent="0.25">
      <c r="A12861" s="1" t="s">
        <v>12860</v>
      </c>
      <c r="C12861" s="3">
        <v>7</v>
      </c>
    </row>
    <row r="12862" spans="1:3" x14ac:dyDescent="0.25">
      <c r="A12862" s="1" t="s">
        <v>12861</v>
      </c>
      <c r="C12862" s="3">
        <v>7</v>
      </c>
    </row>
    <row r="12863" spans="1:3" x14ac:dyDescent="0.25">
      <c r="A12863" s="1" t="s">
        <v>12862</v>
      </c>
      <c r="C12863" s="3">
        <v>7</v>
      </c>
    </row>
    <row r="12864" spans="1:3" x14ac:dyDescent="0.25">
      <c r="A12864" s="1" t="s">
        <v>12863</v>
      </c>
      <c r="C12864" s="3">
        <v>7</v>
      </c>
    </row>
    <row r="12865" spans="1:3" x14ac:dyDescent="0.25">
      <c r="A12865" s="1" t="s">
        <v>12864</v>
      </c>
      <c r="C12865" s="3">
        <v>7</v>
      </c>
    </row>
    <row r="12866" spans="1:3" x14ac:dyDescent="0.25">
      <c r="A12866" s="1" t="s">
        <v>12865</v>
      </c>
      <c r="C12866" s="3">
        <v>7</v>
      </c>
    </row>
    <row r="12867" spans="1:3" x14ac:dyDescent="0.25">
      <c r="A12867" s="1" t="s">
        <v>12866</v>
      </c>
      <c r="C12867" s="3">
        <v>7</v>
      </c>
    </row>
    <row r="12868" spans="1:3" x14ac:dyDescent="0.25">
      <c r="A12868" s="1" t="s">
        <v>12867</v>
      </c>
      <c r="C12868" s="3">
        <v>7</v>
      </c>
    </row>
    <row r="12869" spans="1:3" x14ac:dyDescent="0.25">
      <c r="A12869" s="1" t="s">
        <v>12868</v>
      </c>
      <c r="C12869" s="3">
        <v>7</v>
      </c>
    </row>
    <row r="12870" spans="1:3" x14ac:dyDescent="0.25">
      <c r="A12870" s="1" t="s">
        <v>12869</v>
      </c>
      <c r="C12870" s="3">
        <v>7</v>
      </c>
    </row>
    <row r="12871" spans="1:3" x14ac:dyDescent="0.25">
      <c r="A12871" s="1" t="s">
        <v>12870</v>
      </c>
      <c r="C12871" s="3">
        <v>7</v>
      </c>
    </row>
    <row r="12872" spans="1:3" x14ac:dyDescent="0.25">
      <c r="A12872" s="1" t="s">
        <v>12871</v>
      </c>
      <c r="C12872" s="3">
        <v>7</v>
      </c>
    </row>
    <row r="12873" spans="1:3" x14ac:dyDescent="0.25">
      <c r="A12873" s="1" t="s">
        <v>12872</v>
      </c>
      <c r="C12873" s="3">
        <v>7</v>
      </c>
    </row>
    <row r="12874" spans="1:3" x14ac:dyDescent="0.25">
      <c r="A12874" s="1" t="s">
        <v>12873</v>
      </c>
      <c r="C12874" s="3">
        <v>7</v>
      </c>
    </row>
    <row r="12875" spans="1:3" x14ac:dyDescent="0.25">
      <c r="A12875" s="1" t="s">
        <v>12874</v>
      </c>
      <c r="C12875" s="3">
        <v>7</v>
      </c>
    </row>
    <row r="12876" spans="1:3" x14ac:dyDescent="0.25">
      <c r="A12876" s="1" t="s">
        <v>12875</v>
      </c>
      <c r="C12876" s="3">
        <v>7</v>
      </c>
    </row>
    <row r="12877" spans="1:3" x14ac:dyDescent="0.25">
      <c r="A12877" s="1" t="s">
        <v>12876</v>
      </c>
      <c r="C12877" s="3">
        <v>7</v>
      </c>
    </row>
    <row r="12878" spans="1:3" x14ac:dyDescent="0.25">
      <c r="A12878" s="1" t="s">
        <v>12877</v>
      </c>
      <c r="C12878" s="3">
        <v>7</v>
      </c>
    </row>
    <row r="12879" spans="1:3" x14ac:dyDescent="0.25">
      <c r="A12879" s="1" t="s">
        <v>12878</v>
      </c>
      <c r="C12879" s="3">
        <v>7</v>
      </c>
    </row>
    <row r="12880" spans="1:3" x14ac:dyDescent="0.25">
      <c r="A12880" s="1" t="s">
        <v>12879</v>
      </c>
      <c r="C12880" s="3">
        <v>7</v>
      </c>
    </row>
    <row r="12881" spans="1:3" x14ac:dyDescent="0.25">
      <c r="A12881" s="1" t="s">
        <v>12880</v>
      </c>
      <c r="C12881" s="3">
        <v>7</v>
      </c>
    </row>
    <row r="12882" spans="1:3" x14ac:dyDescent="0.25">
      <c r="A12882" s="1" t="s">
        <v>12881</v>
      </c>
      <c r="C12882" s="3">
        <v>7</v>
      </c>
    </row>
    <row r="12883" spans="1:3" x14ac:dyDescent="0.25">
      <c r="A12883" s="1" t="s">
        <v>12882</v>
      </c>
      <c r="C12883" s="3">
        <v>7</v>
      </c>
    </row>
    <row r="12884" spans="1:3" x14ac:dyDescent="0.25">
      <c r="A12884" s="1" t="s">
        <v>12883</v>
      </c>
      <c r="C12884" s="3">
        <v>7</v>
      </c>
    </row>
    <row r="12885" spans="1:3" x14ac:dyDescent="0.25">
      <c r="A12885" s="1" t="s">
        <v>12884</v>
      </c>
      <c r="C12885" s="3">
        <v>7</v>
      </c>
    </row>
    <row r="12886" spans="1:3" x14ac:dyDescent="0.25">
      <c r="A12886" s="1" t="s">
        <v>12885</v>
      </c>
      <c r="C12886" s="3">
        <v>7</v>
      </c>
    </row>
    <row r="12887" spans="1:3" x14ac:dyDescent="0.25">
      <c r="A12887" s="1" t="s">
        <v>12886</v>
      </c>
      <c r="C12887" s="3">
        <v>7</v>
      </c>
    </row>
    <row r="12888" spans="1:3" x14ac:dyDescent="0.25">
      <c r="A12888" s="1" t="s">
        <v>12887</v>
      </c>
      <c r="C12888" s="3">
        <v>7</v>
      </c>
    </row>
    <row r="12889" spans="1:3" x14ac:dyDescent="0.25">
      <c r="A12889" s="1" t="s">
        <v>12888</v>
      </c>
      <c r="C12889" s="3">
        <v>7</v>
      </c>
    </row>
    <row r="12890" spans="1:3" x14ac:dyDescent="0.25">
      <c r="A12890" s="1" t="s">
        <v>12889</v>
      </c>
      <c r="C12890" s="3">
        <v>7</v>
      </c>
    </row>
    <row r="12891" spans="1:3" x14ac:dyDescent="0.25">
      <c r="A12891" s="1" t="s">
        <v>12890</v>
      </c>
      <c r="C12891" s="3">
        <v>7</v>
      </c>
    </row>
    <row r="12892" spans="1:3" x14ac:dyDescent="0.25">
      <c r="A12892" s="1" t="s">
        <v>12891</v>
      </c>
      <c r="C12892" s="3">
        <v>7</v>
      </c>
    </row>
    <row r="12893" spans="1:3" x14ac:dyDescent="0.25">
      <c r="A12893" s="1" t="s">
        <v>12892</v>
      </c>
      <c r="C12893" s="3">
        <v>7</v>
      </c>
    </row>
    <row r="12894" spans="1:3" x14ac:dyDescent="0.25">
      <c r="A12894" s="1" t="s">
        <v>12893</v>
      </c>
      <c r="C12894" s="3">
        <v>7</v>
      </c>
    </row>
    <row r="12895" spans="1:3" x14ac:dyDescent="0.25">
      <c r="A12895" s="1" t="s">
        <v>12894</v>
      </c>
      <c r="C12895" s="3">
        <v>7</v>
      </c>
    </row>
    <row r="12896" spans="1:3" x14ac:dyDescent="0.25">
      <c r="A12896" s="1" t="s">
        <v>12895</v>
      </c>
      <c r="C12896" s="3">
        <v>7</v>
      </c>
    </row>
    <row r="12897" spans="1:3" x14ac:dyDescent="0.25">
      <c r="A12897" s="1" t="s">
        <v>12896</v>
      </c>
      <c r="C12897" s="3">
        <v>7</v>
      </c>
    </row>
    <row r="12898" spans="1:3" x14ac:dyDescent="0.25">
      <c r="A12898" s="1" t="s">
        <v>12897</v>
      </c>
      <c r="C12898" s="3">
        <v>7</v>
      </c>
    </row>
    <row r="12899" spans="1:3" x14ac:dyDescent="0.25">
      <c r="A12899" s="1" t="s">
        <v>12898</v>
      </c>
      <c r="C12899" s="3">
        <v>7</v>
      </c>
    </row>
    <row r="12900" spans="1:3" x14ac:dyDescent="0.25">
      <c r="A12900" s="1" t="s">
        <v>12899</v>
      </c>
      <c r="C12900" s="3">
        <v>7</v>
      </c>
    </row>
    <row r="12901" spans="1:3" x14ac:dyDescent="0.25">
      <c r="A12901" s="1" t="s">
        <v>12900</v>
      </c>
      <c r="C12901" s="3">
        <v>7</v>
      </c>
    </row>
    <row r="12902" spans="1:3" x14ac:dyDescent="0.25">
      <c r="A12902" s="1" t="s">
        <v>12901</v>
      </c>
      <c r="C12902" s="3">
        <v>7</v>
      </c>
    </row>
    <row r="12903" spans="1:3" x14ac:dyDescent="0.25">
      <c r="A12903" s="1" t="s">
        <v>12902</v>
      </c>
      <c r="C12903" s="3">
        <v>7</v>
      </c>
    </row>
    <row r="12904" spans="1:3" x14ac:dyDescent="0.25">
      <c r="A12904" s="1" t="s">
        <v>12903</v>
      </c>
      <c r="C12904" s="3">
        <v>7</v>
      </c>
    </row>
    <row r="12905" spans="1:3" x14ac:dyDescent="0.25">
      <c r="A12905" s="1" t="s">
        <v>12904</v>
      </c>
      <c r="C12905" s="3">
        <v>7</v>
      </c>
    </row>
    <row r="12906" spans="1:3" x14ac:dyDescent="0.25">
      <c r="A12906" s="1" t="s">
        <v>12905</v>
      </c>
      <c r="C12906" s="3">
        <v>7</v>
      </c>
    </row>
    <row r="12907" spans="1:3" x14ac:dyDescent="0.25">
      <c r="A12907" s="1" t="s">
        <v>12906</v>
      </c>
      <c r="C12907" s="3">
        <v>7</v>
      </c>
    </row>
    <row r="12908" spans="1:3" x14ac:dyDescent="0.25">
      <c r="A12908" s="1" t="s">
        <v>12907</v>
      </c>
      <c r="C12908" s="3">
        <v>7</v>
      </c>
    </row>
    <row r="12909" spans="1:3" x14ac:dyDescent="0.25">
      <c r="A12909" s="1" t="s">
        <v>12908</v>
      </c>
      <c r="C12909" s="3">
        <v>6</v>
      </c>
    </row>
    <row r="12910" spans="1:3" x14ac:dyDescent="0.25">
      <c r="A12910" s="1" t="s">
        <v>12909</v>
      </c>
      <c r="C12910" s="3">
        <v>6</v>
      </c>
    </row>
    <row r="12911" spans="1:3" x14ac:dyDescent="0.25">
      <c r="A12911" s="1" t="s">
        <v>12910</v>
      </c>
      <c r="C12911" s="3">
        <v>6</v>
      </c>
    </row>
    <row r="12912" spans="1:3" x14ac:dyDescent="0.25">
      <c r="A12912" s="1" t="s">
        <v>12911</v>
      </c>
      <c r="C12912" s="3">
        <v>6</v>
      </c>
    </row>
    <row r="12913" spans="1:3" x14ac:dyDescent="0.25">
      <c r="A12913" s="1" t="s">
        <v>12912</v>
      </c>
      <c r="C12913" s="3">
        <v>6</v>
      </c>
    </row>
    <row r="12914" spans="1:3" x14ac:dyDescent="0.25">
      <c r="A12914" s="1" t="s">
        <v>12913</v>
      </c>
      <c r="C12914" s="3">
        <v>6</v>
      </c>
    </row>
    <row r="12915" spans="1:3" x14ac:dyDescent="0.25">
      <c r="A12915" s="1" t="s">
        <v>12914</v>
      </c>
      <c r="C12915" s="3">
        <v>6</v>
      </c>
    </row>
    <row r="12916" spans="1:3" x14ac:dyDescent="0.25">
      <c r="A12916" s="1" t="s">
        <v>12915</v>
      </c>
      <c r="C12916" s="3">
        <v>6</v>
      </c>
    </row>
    <row r="12917" spans="1:3" x14ac:dyDescent="0.25">
      <c r="A12917" s="1" t="s">
        <v>12916</v>
      </c>
      <c r="C12917" s="3">
        <v>6</v>
      </c>
    </row>
    <row r="12918" spans="1:3" x14ac:dyDescent="0.25">
      <c r="A12918" s="1" t="s">
        <v>12917</v>
      </c>
      <c r="C12918" s="3">
        <v>6</v>
      </c>
    </row>
    <row r="12919" spans="1:3" x14ac:dyDescent="0.25">
      <c r="A12919" s="1" t="s">
        <v>12918</v>
      </c>
      <c r="C12919" s="3">
        <v>6</v>
      </c>
    </row>
    <row r="12920" spans="1:3" x14ac:dyDescent="0.25">
      <c r="A12920" s="1" t="s">
        <v>12919</v>
      </c>
      <c r="C12920" s="3">
        <v>6</v>
      </c>
    </row>
    <row r="12921" spans="1:3" x14ac:dyDescent="0.25">
      <c r="A12921" s="1" t="s">
        <v>12920</v>
      </c>
      <c r="C12921" s="3">
        <v>6</v>
      </c>
    </row>
    <row r="12922" spans="1:3" x14ac:dyDescent="0.25">
      <c r="A12922" s="1" t="s">
        <v>12921</v>
      </c>
      <c r="C12922" s="3">
        <v>6</v>
      </c>
    </row>
    <row r="12923" spans="1:3" x14ac:dyDescent="0.25">
      <c r="A12923" s="1" t="s">
        <v>12922</v>
      </c>
      <c r="C12923" s="3">
        <v>6</v>
      </c>
    </row>
    <row r="12924" spans="1:3" x14ac:dyDescent="0.25">
      <c r="A12924" s="1" t="s">
        <v>12923</v>
      </c>
      <c r="C12924" s="3">
        <v>6</v>
      </c>
    </row>
    <row r="12925" spans="1:3" x14ac:dyDescent="0.25">
      <c r="A12925" s="1" t="s">
        <v>12924</v>
      </c>
      <c r="C12925" s="3">
        <v>6</v>
      </c>
    </row>
    <row r="12926" spans="1:3" x14ac:dyDescent="0.25">
      <c r="A12926" s="1" t="s">
        <v>12925</v>
      </c>
      <c r="C12926" s="3">
        <v>6</v>
      </c>
    </row>
    <row r="12927" spans="1:3" x14ac:dyDescent="0.25">
      <c r="A12927" s="1" t="s">
        <v>12926</v>
      </c>
      <c r="C12927" s="3">
        <v>6</v>
      </c>
    </row>
    <row r="12928" spans="1:3" x14ac:dyDescent="0.25">
      <c r="A12928" s="1" t="s">
        <v>12927</v>
      </c>
      <c r="C12928" s="3">
        <v>6</v>
      </c>
    </row>
    <row r="12929" spans="1:3" x14ac:dyDescent="0.25">
      <c r="A12929" s="1" t="s">
        <v>12928</v>
      </c>
      <c r="C12929" s="3">
        <v>6</v>
      </c>
    </row>
    <row r="12930" spans="1:3" x14ac:dyDescent="0.25">
      <c r="A12930" s="1" t="s">
        <v>12929</v>
      </c>
      <c r="C12930" s="3">
        <v>6</v>
      </c>
    </row>
    <row r="12931" spans="1:3" x14ac:dyDescent="0.25">
      <c r="A12931" s="1" t="s">
        <v>12930</v>
      </c>
      <c r="C12931" s="3">
        <v>6</v>
      </c>
    </row>
    <row r="12932" spans="1:3" x14ac:dyDescent="0.25">
      <c r="A12932" s="1" t="s">
        <v>12931</v>
      </c>
      <c r="C12932" s="3">
        <v>6</v>
      </c>
    </row>
    <row r="12933" spans="1:3" x14ac:dyDescent="0.25">
      <c r="A12933" s="1" t="s">
        <v>12932</v>
      </c>
      <c r="C12933" s="3">
        <v>6</v>
      </c>
    </row>
    <row r="12934" spans="1:3" x14ac:dyDescent="0.25">
      <c r="A12934" s="1" t="s">
        <v>12933</v>
      </c>
      <c r="C12934" s="3">
        <v>6</v>
      </c>
    </row>
    <row r="12935" spans="1:3" x14ac:dyDescent="0.25">
      <c r="A12935" s="1" t="s">
        <v>12934</v>
      </c>
      <c r="C12935" s="3">
        <v>6</v>
      </c>
    </row>
    <row r="12936" spans="1:3" x14ac:dyDescent="0.25">
      <c r="A12936" s="1" t="s">
        <v>12935</v>
      </c>
      <c r="C12936" s="3">
        <v>6</v>
      </c>
    </row>
    <row r="12937" spans="1:3" x14ac:dyDescent="0.25">
      <c r="A12937" s="1" t="s">
        <v>12936</v>
      </c>
      <c r="C12937" s="3">
        <v>6</v>
      </c>
    </row>
    <row r="12938" spans="1:3" x14ac:dyDescent="0.25">
      <c r="A12938" s="1" t="s">
        <v>12937</v>
      </c>
      <c r="C12938" s="3">
        <v>6</v>
      </c>
    </row>
    <row r="12939" spans="1:3" x14ac:dyDescent="0.25">
      <c r="A12939" s="1" t="s">
        <v>12938</v>
      </c>
      <c r="C12939" s="3">
        <v>6</v>
      </c>
    </row>
    <row r="12940" spans="1:3" x14ac:dyDescent="0.25">
      <c r="A12940" s="1" t="s">
        <v>12939</v>
      </c>
      <c r="C12940" s="3">
        <v>6</v>
      </c>
    </row>
    <row r="12941" spans="1:3" x14ac:dyDescent="0.25">
      <c r="A12941" s="1" t="s">
        <v>12940</v>
      </c>
      <c r="C12941" s="3">
        <v>6</v>
      </c>
    </row>
    <row r="12942" spans="1:3" x14ac:dyDescent="0.25">
      <c r="A12942" s="1" t="s">
        <v>12941</v>
      </c>
      <c r="C12942" s="3">
        <v>6</v>
      </c>
    </row>
    <row r="12943" spans="1:3" x14ac:dyDescent="0.25">
      <c r="A12943" s="1" t="s">
        <v>12942</v>
      </c>
      <c r="C12943" s="3">
        <v>6</v>
      </c>
    </row>
    <row r="12944" spans="1:3" x14ac:dyDescent="0.25">
      <c r="A12944" s="1" t="s">
        <v>12943</v>
      </c>
      <c r="C12944" s="3">
        <v>6</v>
      </c>
    </row>
    <row r="12945" spans="1:3" x14ac:dyDescent="0.25">
      <c r="A12945" s="1" t="s">
        <v>12944</v>
      </c>
      <c r="C12945" s="3">
        <v>6</v>
      </c>
    </row>
    <row r="12946" spans="1:3" x14ac:dyDescent="0.25">
      <c r="A12946" s="1" t="s">
        <v>12945</v>
      </c>
      <c r="C12946" s="3">
        <v>6</v>
      </c>
    </row>
    <row r="12947" spans="1:3" x14ac:dyDescent="0.25">
      <c r="A12947" s="1" t="s">
        <v>12946</v>
      </c>
      <c r="C12947" s="3">
        <v>6</v>
      </c>
    </row>
    <row r="12948" spans="1:3" x14ac:dyDescent="0.25">
      <c r="A12948" s="1" t="s">
        <v>12947</v>
      </c>
      <c r="C12948" s="3">
        <v>6</v>
      </c>
    </row>
    <row r="12949" spans="1:3" x14ac:dyDescent="0.25">
      <c r="A12949" s="1" t="s">
        <v>12948</v>
      </c>
      <c r="C12949" s="3">
        <v>6</v>
      </c>
    </row>
    <row r="12950" spans="1:3" x14ac:dyDescent="0.25">
      <c r="A12950" s="1" t="s">
        <v>12949</v>
      </c>
      <c r="C12950" s="3">
        <v>6</v>
      </c>
    </row>
    <row r="12951" spans="1:3" x14ac:dyDescent="0.25">
      <c r="A12951" s="1" t="s">
        <v>12950</v>
      </c>
      <c r="C12951" s="3">
        <v>6</v>
      </c>
    </row>
    <row r="12952" spans="1:3" x14ac:dyDescent="0.25">
      <c r="A12952" s="1" t="s">
        <v>12951</v>
      </c>
      <c r="C12952" s="3">
        <v>6</v>
      </c>
    </row>
    <row r="12953" spans="1:3" x14ac:dyDescent="0.25">
      <c r="A12953" s="1" t="s">
        <v>12952</v>
      </c>
      <c r="C12953" s="3">
        <v>6</v>
      </c>
    </row>
    <row r="12954" spans="1:3" x14ac:dyDescent="0.25">
      <c r="A12954" s="1" t="s">
        <v>12953</v>
      </c>
      <c r="C12954" s="3">
        <v>6</v>
      </c>
    </row>
    <row r="12955" spans="1:3" x14ac:dyDescent="0.25">
      <c r="A12955" s="1" t="s">
        <v>12954</v>
      </c>
      <c r="C12955" s="3">
        <v>6</v>
      </c>
    </row>
    <row r="12956" spans="1:3" x14ac:dyDescent="0.25">
      <c r="A12956" s="1" t="s">
        <v>12955</v>
      </c>
      <c r="C12956" s="3">
        <v>6</v>
      </c>
    </row>
    <row r="12957" spans="1:3" x14ac:dyDescent="0.25">
      <c r="A12957" s="1" t="s">
        <v>12956</v>
      </c>
      <c r="C12957" s="3">
        <v>6</v>
      </c>
    </row>
    <row r="12958" spans="1:3" x14ac:dyDescent="0.25">
      <c r="A12958" s="1" t="s">
        <v>12957</v>
      </c>
      <c r="C12958" s="3">
        <v>6</v>
      </c>
    </row>
    <row r="12959" spans="1:3" x14ac:dyDescent="0.25">
      <c r="A12959" s="1" t="s">
        <v>12958</v>
      </c>
      <c r="C12959" s="3">
        <v>6</v>
      </c>
    </row>
    <row r="12960" spans="1:3" x14ac:dyDescent="0.25">
      <c r="A12960" s="1" t="s">
        <v>12959</v>
      </c>
      <c r="C12960" s="3">
        <v>6</v>
      </c>
    </row>
    <row r="12961" spans="1:3" x14ac:dyDescent="0.25">
      <c r="A12961" s="1" t="s">
        <v>12960</v>
      </c>
      <c r="C12961" s="3">
        <v>6</v>
      </c>
    </row>
    <row r="12962" spans="1:3" x14ac:dyDescent="0.25">
      <c r="A12962" s="1" t="s">
        <v>12961</v>
      </c>
      <c r="C12962" s="3">
        <v>6</v>
      </c>
    </row>
    <row r="12963" spans="1:3" x14ac:dyDescent="0.25">
      <c r="A12963" s="1" t="s">
        <v>12962</v>
      </c>
      <c r="C12963" s="3">
        <v>6</v>
      </c>
    </row>
    <row r="12964" spans="1:3" x14ac:dyDescent="0.25">
      <c r="A12964" s="1" t="s">
        <v>12963</v>
      </c>
      <c r="C12964" s="3">
        <v>6</v>
      </c>
    </row>
    <row r="12965" spans="1:3" x14ac:dyDescent="0.25">
      <c r="A12965" s="1" t="s">
        <v>12964</v>
      </c>
      <c r="C12965" s="3">
        <v>6</v>
      </c>
    </row>
    <row r="12966" spans="1:3" x14ac:dyDescent="0.25">
      <c r="A12966" s="1" t="s">
        <v>12965</v>
      </c>
      <c r="C12966" s="3">
        <v>6</v>
      </c>
    </row>
    <row r="12967" spans="1:3" x14ac:dyDescent="0.25">
      <c r="A12967" s="1" t="s">
        <v>12966</v>
      </c>
      <c r="C12967" s="3">
        <v>6</v>
      </c>
    </row>
    <row r="12968" spans="1:3" x14ac:dyDescent="0.25">
      <c r="A12968" s="1" t="s">
        <v>12967</v>
      </c>
      <c r="C12968" s="3">
        <v>6</v>
      </c>
    </row>
    <row r="12969" spans="1:3" x14ac:dyDescent="0.25">
      <c r="A12969" s="1" t="s">
        <v>12968</v>
      </c>
      <c r="C12969" s="3">
        <v>6</v>
      </c>
    </row>
    <row r="12970" spans="1:3" x14ac:dyDescent="0.25">
      <c r="A12970" s="1" t="s">
        <v>12969</v>
      </c>
      <c r="C12970" s="3">
        <v>6</v>
      </c>
    </row>
    <row r="12971" spans="1:3" x14ac:dyDescent="0.25">
      <c r="A12971" s="1" t="s">
        <v>12970</v>
      </c>
      <c r="C12971" s="3">
        <v>6</v>
      </c>
    </row>
    <row r="12972" spans="1:3" x14ac:dyDescent="0.25">
      <c r="A12972" s="1" t="s">
        <v>12971</v>
      </c>
      <c r="C12972" s="3">
        <v>6</v>
      </c>
    </row>
    <row r="12973" spans="1:3" x14ac:dyDescent="0.25">
      <c r="A12973" s="1" t="s">
        <v>12972</v>
      </c>
      <c r="C12973" s="3">
        <v>6</v>
      </c>
    </row>
    <row r="12974" spans="1:3" x14ac:dyDescent="0.25">
      <c r="A12974" s="1" t="s">
        <v>12973</v>
      </c>
      <c r="C12974" s="3">
        <v>6</v>
      </c>
    </row>
    <row r="12975" spans="1:3" x14ac:dyDescent="0.25">
      <c r="A12975" s="1" t="s">
        <v>12974</v>
      </c>
      <c r="C12975" s="3">
        <v>6</v>
      </c>
    </row>
    <row r="12976" spans="1:3" x14ac:dyDescent="0.25">
      <c r="A12976" s="1" t="s">
        <v>12975</v>
      </c>
      <c r="C12976" s="3">
        <v>6</v>
      </c>
    </row>
    <row r="12977" spans="1:3" x14ac:dyDescent="0.25">
      <c r="A12977" s="1" t="s">
        <v>12976</v>
      </c>
      <c r="C12977" s="3">
        <v>6</v>
      </c>
    </row>
    <row r="12978" spans="1:3" x14ac:dyDescent="0.25">
      <c r="A12978" s="1" t="s">
        <v>12977</v>
      </c>
      <c r="C12978" s="3">
        <v>6</v>
      </c>
    </row>
    <row r="12979" spans="1:3" x14ac:dyDescent="0.25">
      <c r="A12979" s="1" t="s">
        <v>12978</v>
      </c>
      <c r="C12979" s="3">
        <v>6</v>
      </c>
    </row>
    <row r="12980" spans="1:3" x14ac:dyDescent="0.25">
      <c r="A12980" s="1" t="s">
        <v>12979</v>
      </c>
      <c r="C12980" s="3">
        <v>6</v>
      </c>
    </row>
    <row r="12981" spans="1:3" x14ac:dyDescent="0.25">
      <c r="A12981" s="1" t="s">
        <v>12980</v>
      </c>
      <c r="C12981" s="3">
        <v>6</v>
      </c>
    </row>
    <row r="12982" spans="1:3" x14ac:dyDescent="0.25">
      <c r="A12982" s="1" t="s">
        <v>12981</v>
      </c>
      <c r="C12982" s="3">
        <v>6</v>
      </c>
    </row>
    <row r="12983" spans="1:3" x14ac:dyDescent="0.25">
      <c r="A12983" s="1" t="s">
        <v>12982</v>
      </c>
      <c r="C12983" s="3">
        <v>6</v>
      </c>
    </row>
    <row r="12984" spans="1:3" x14ac:dyDescent="0.25">
      <c r="A12984" s="1" t="s">
        <v>12983</v>
      </c>
      <c r="C12984" s="3">
        <v>6</v>
      </c>
    </row>
    <row r="12985" spans="1:3" x14ac:dyDescent="0.25">
      <c r="A12985" s="1" t="s">
        <v>12984</v>
      </c>
      <c r="C12985" s="3">
        <v>6</v>
      </c>
    </row>
    <row r="12986" spans="1:3" x14ac:dyDescent="0.25">
      <c r="A12986" s="1" t="s">
        <v>12985</v>
      </c>
      <c r="C12986" s="3">
        <v>6</v>
      </c>
    </row>
    <row r="12987" spans="1:3" x14ac:dyDescent="0.25">
      <c r="A12987" s="1" t="s">
        <v>12986</v>
      </c>
      <c r="C12987" s="3">
        <v>6</v>
      </c>
    </row>
    <row r="12988" spans="1:3" x14ac:dyDescent="0.25">
      <c r="A12988" s="1" t="s">
        <v>12987</v>
      </c>
      <c r="C12988" s="3">
        <v>6</v>
      </c>
    </row>
    <row r="12989" spans="1:3" x14ac:dyDescent="0.25">
      <c r="A12989" s="1" t="s">
        <v>12988</v>
      </c>
      <c r="C12989" s="3">
        <v>6</v>
      </c>
    </row>
    <row r="12990" spans="1:3" x14ac:dyDescent="0.25">
      <c r="A12990" s="1" t="s">
        <v>12989</v>
      </c>
      <c r="C12990" s="3">
        <v>6</v>
      </c>
    </row>
    <row r="12991" spans="1:3" x14ac:dyDescent="0.25">
      <c r="A12991" s="1" t="s">
        <v>12990</v>
      </c>
      <c r="C12991" s="3">
        <v>6</v>
      </c>
    </row>
    <row r="12992" spans="1:3" x14ac:dyDescent="0.25">
      <c r="A12992" s="1" t="s">
        <v>12991</v>
      </c>
      <c r="C12992" s="3">
        <v>6</v>
      </c>
    </row>
    <row r="12993" spans="1:3" x14ac:dyDescent="0.25">
      <c r="A12993" s="1" t="s">
        <v>12992</v>
      </c>
      <c r="C12993" s="3">
        <v>6</v>
      </c>
    </row>
    <row r="12994" spans="1:3" x14ac:dyDescent="0.25">
      <c r="A12994" s="1" t="s">
        <v>12993</v>
      </c>
      <c r="C12994" s="3">
        <v>6</v>
      </c>
    </row>
    <row r="12995" spans="1:3" x14ac:dyDescent="0.25">
      <c r="A12995" s="1" t="s">
        <v>12994</v>
      </c>
      <c r="C12995" s="3">
        <v>6</v>
      </c>
    </row>
    <row r="12996" spans="1:3" x14ac:dyDescent="0.25">
      <c r="A12996" s="1" t="s">
        <v>12995</v>
      </c>
      <c r="C12996" s="3">
        <v>6</v>
      </c>
    </row>
    <row r="12997" spans="1:3" x14ac:dyDescent="0.25">
      <c r="A12997" s="1" t="s">
        <v>12996</v>
      </c>
      <c r="C12997" s="3">
        <v>6</v>
      </c>
    </row>
    <row r="12998" spans="1:3" x14ac:dyDescent="0.25">
      <c r="A12998" s="1" t="s">
        <v>12997</v>
      </c>
      <c r="C12998" s="3">
        <v>6</v>
      </c>
    </row>
    <row r="12999" spans="1:3" x14ac:dyDescent="0.25">
      <c r="A12999" s="1" t="s">
        <v>12998</v>
      </c>
      <c r="C12999" s="3">
        <v>6</v>
      </c>
    </row>
    <row r="13000" spans="1:3" x14ac:dyDescent="0.25">
      <c r="A13000" s="1" t="s">
        <v>12999</v>
      </c>
      <c r="C13000" s="3">
        <v>6</v>
      </c>
    </row>
    <row r="13001" spans="1:3" x14ac:dyDescent="0.25">
      <c r="A13001" s="1" t="s">
        <v>13000</v>
      </c>
      <c r="C13001" s="3">
        <v>6</v>
      </c>
    </row>
    <row r="13002" spans="1:3" x14ac:dyDescent="0.25">
      <c r="A13002" s="1" t="s">
        <v>13001</v>
      </c>
      <c r="C13002" s="3">
        <v>6</v>
      </c>
    </row>
    <row r="13003" spans="1:3" x14ac:dyDescent="0.25">
      <c r="A13003" s="1" t="s">
        <v>13002</v>
      </c>
      <c r="C13003" s="3">
        <v>6</v>
      </c>
    </row>
    <row r="13004" spans="1:3" x14ac:dyDescent="0.25">
      <c r="A13004" s="1" t="s">
        <v>13003</v>
      </c>
      <c r="C13004" s="3">
        <v>6</v>
      </c>
    </row>
    <row r="13005" spans="1:3" x14ac:dyDescent="0.25">
      <c r="A13005" s="1" t="s">
        <v>13004</v>
      </c>
      <c r="C13005" s="3">
        <v>6</v>
      </c>
    </row>
    <row r="13006" spans="1:3" x14ac:dyDescent="0.25">
      <c r="A13006" s="1" t="s">
        <v>13005</v>
      </c>
      <c r="C13006" s="3">
        <v>6</v>
      </c>
    </row>
    <row r="13007" spans="1:3" x14ac:dyDescent="0.25">
      <c r="A13007" s="1" t="s">
        <v>13006</v>
      </c>
      <c r="C13007" s="3">
        <v>6</v>
      </c>
    </row>
    <row r="13008" spans="1:3" x14ac:dyDescent="0.25">
      <c r="A13008" s="1" t="s">
        <v>13007</v>
      </c>
      <c r="C13008" s="3">
        <v>6</v>
      </c>
    </row>
    <row r="13009" spans="1:3" x14ac:dyDescent="0.25">
      <c r="A13009" s="1" t="s">
        <v>13008</v>
      </c>
      <c r="C13009" s="3">
        <v>6</v>
      </c>
    </row>
    <row r="13010" spans="1:3" x14ac:dyDescent="0.25">
      <c r="A13010" s="1" t="s">
        <v>13009</v>
      </c>
      <c r="C13010" s="3">
        <v>6</v>
      </c>
    </row>
    <row r="13011" spans="1:3" x14ac:dyDescent="0.25">
      <c r="A13011" s="1" t="s">
        <v>13010</v>
      </c>
      <c r="C13011" s="3">
        <v>6</v>
      </c>
    </row>
    <row r="13012" spans="1:3" x14ac:dyDescent="0.25">
      <c r="A13012" s="1" t="s">
        <v>13011</v>
      </c>
      <c r="C13012" s="3">
        <v>6</v>
      </c>
    </row>
    <row r="13013" spans="1:3" x14ac:dyDescent="0.25">
      <c r="A13013" s="1" t="s">
        <v>13012</v>
      </c>
      <c r="C13013" s="3">
        <v>6</v>
      </c>
    </row>
    <row r="13014" spans="1:3" x14ac:dyDescent="0.25">
      <c r="A13014" s="1" t="s">
        <v>13013</v>
      </c>
      <c r="C13014" s="3">
        <v>6</v>
      </c>
    </row>
    <row r="13015" spans="1:3" x14ac:dyDescent="0.25">
      <c r="A13015" s="1" t="s">
        <v>13014</v>
      </c>
      <c r="C13015" s="3">
        <v>6</v>
      </c>
    </row>
    <row r="13016" spans="1:3" x14ac:dyDescent="0.25">
      <c r="A13016" s="1" t="s">
        <v>13015</v>
      </c>
      <c r="C13016" s="3">
        <v>6</v>
      </c>
    </row>
    <row r="13017" spans="1:3" x14ac:dyDescent="0.25">
      <c r="A13017" s="1" t="s">
        <v>13016</v>
      </c>
      <c r="C13017" s="3">
        <v>6</v>
      </c>
    </row>
    <row r="13018" spans="1:3" x14ac:dyDescent="0.25">
      <c r="A13018" s="1" t="s">
        <v>13017</v>
      </c>
      <c r="C13018" s="3">
        <v>6</v>
      </c>
    </row>
    <row r="13019" spans="1:3" x14ac:dyDescent="0.25">
      <c r="A13019" s="1" t="s">
        <v>13018</v>
      </c>
      <c r="C13019" s="3">
        <v>6</v>
      </c>
    </row>
    <row r="13020" spans="1:3" x14ac:dyDescent="0.25">
      <c r="A13020" s="1" t="s">
        <v>13019</v>
      </c>
      <c r="C13020" s="3">
        <v>6</v>
      </c>
    </row>
    <row r="13021" spans="1:3" x14ac:dyDescent="0.25">
      <c r="A13021" s="1" t="s">
        <v>13020</v>
      </c>
      <c r="C13021" s="3">
        <v>6</v>
      </c>
    </row>
    <row r="13022" spans="1:3" x14ac:dyDescent="0.25">
      <c r="A13022" s="1" t="s">
        <v>13021</v>
      </c>
      <c r="C13022" s="3">
        <v>6</v>
      </c>
    </row>
    <row r="13023" spans="1:3" x14ac:dyDescent="0.25">
      <c r="A13023" s="1" t="s">
        <v>13022</v>
      </c>
      <c r="C13023" s="3">
        <v>6</v>
      </c>
    </row>
    <row r="13024" spans="1:3" x14ac:dyDescent="0.25">
      <c r="A13024" s="1" t="s">
        <v>13023</v>
      </c>
      <c r="C13024" s="3">
        <v>6</v>
      </c>
    </row>
    <row r="13025" spans="1:3" x14ac:dyDescent="0.25">
      <c r="A13025" s="1" t="s">
        <v>13024</v>
      </c>
      <c r="C13025" s="3">
        <v>6</v>
      </c>
    </row>
    <row r="13026" spans="1:3" x14ac:dyDescent="0.25">
      <c r="A13026" s="1" t="s">
        <v>13025</v>
      </c>
      <c r="C13026" s="3">
        <v>6</v>
      </c>
    </row>
    <row r="13027" spans="1:3" x14ac:dyDescent="0.25">
      <c r="A13027" s="1" t="s">
        <v>13026</v>
      </c>
      <c r="C13027" s="3">
        <v>6</v>
      </c>
    </row>
    <row r="13028" spans="1:3" x14ac:dyDescent="0.25">
      <c r="A13028" s="1" t="s">
        <v>13027</v>
      </c>
      <c r="C13028" s="3">
        <v>6</v>
      </c>
    </row>
    <row r="13029" spans="1:3" x14ac:dyDescent="0.25">
      <c r="A13029" s="1" t="s">
        <v>13028</v>
      </c>
      <c r="C13029" s="3">
        <v>6</v>
      </c>
    </row>
    <row r="13030" spans="1:3" x14ac:dyDescent="0.25">
      <c r="A13030" s="1" t="s">
        <v>13029</v>
      </c>
      <c r="C13030" s="3">
        <v>6</v>
      </c>
    </row>
    <row r="13031" spans="1:3" x14ac:dyDescent="0.25">
      <c r="A13031" s="1" t="s">
        <v>13030</v>
      </c>
      <c r="C13031" s="3">
        <v>6</v>
      </c>
    </row>
    <row r="13032" spans="1:3" x14ac:dyDescent="0.25">
      <c r="A13032" s="1" t="s">
        <v>13031</v>
      </c>
      <c r="C13032" s="3">
        <v>6</v>
      </c>
    </row>
    <row r="13033" spans="1:3" x14ac:dyDescent="0.25">
      <c r="A13033" s="1" t="s">
        <v>13032</v>
      </c>
      <c r="C13033" s="3">
        <v>6</v>
      </c>
    </row>
    <row r="13034" spans="1:3" x14ac:dyDescent="0.25">
      <c r="A13034" s="1" t="s">
        <v>13033</v>
      </c>
      <c r="C13034" s="3">
        <v>6</v>
      </c>
    </row>
    <row r="13035" spans="1:3" x14ac:dyDescent="0.25">
      <c r="A13035" s="1" t="s">
        <v>13034</v>
      </c>
      <c r="C13035" s="3">
        <v>6</v>
      </c>
    </row>
    <row r="13036" spans="1:3" x14ac:dyDescent="0.25">
      <c r="A13036" s="1" t="s">
        <v>13035</v>
      </c>
      <c r="C13036" s="3">
        <v>6</v>
      </c>
    </row>
    <row r="13037" spans="1:3" x14ac:dyDescent="0.25">
      <c r="A13037" s="1" t="s">
        <v>13036</v>
      </c>
      <c r="C13037" s="3">
        <v>6</v>
      </c>
    </row>
    <row r="13038" spans="1:3" x14ac:dyDescent="0.25">
      <c r="A13038" s="1" t="s">
        <v>13037</v>
      </c>
      <c r="C13038" s="3">
        <v>6</v>
      </c>
    </row>
    <row r="13039" spans="1:3" x14ac:dyDescent="0.25">
      <c r="A13039" s="1" t="s">
        <v>13038</v>
      </c>
      <c r="C13039" s="3">
        <v>6</v>
      </c>
    </row>
    <row r="13040" spans="1:3" x14ac:dyDescent="0.25">
      <c r="A13040" s="1" t="s">
        <v>13039</v>
      </c>
      <c r="C13040" s="3">
        <v>6</v>
      </c>
    </row>
    <row r="13041" spans="1:3" x14ac:dyDescent="0.25">
      <c r="A13041" s="1" t="s">
        <v>13040</v>
      </c>
      <c r="C13041" s="3">
        <v>6</v>
      </c>
    </row>
    <row r="13042" spans="1:3" x14ac:dyDescent="0.25">
      <c r="A13042" s="1" t="s">
        <v>13041</v>
      </c>
      <c r="C13042" s="3">
        <v>6</v>
      </c>
    </row>
    <row r="13043" spans="1:3" x14ac:dyDescent="0.25">
      <c r="A13043" s="1" t="s">
        <v>13042</v>
      </c>
      <c r="C13043" s="3">
        <v>6</v>
      </c>
    </row>
    <row r="13044" spans="1:3" x14ac:dyDescent="0.25">
      <c r="A13044" s="1" t="s">
        <v>13043</v>
      </c>
      <c r="C13044" s="3">
        <v>6</v>
      </c>
    </row>
    <row r="13045" spans="1:3" x14ac:dyDescent="0.25">
      <c r="A13045" s="1" t="s">
        <v>13044</v>
      </c>
      <c r="C13045" s="3">
        <v>6</v>
      </c>
    </row>
    <row r="13046" spans="1:3" x14ac:dyDescent="0.25">
      <c r="A13046" s="1" t="s">
        <v>13045</v>
      </c>
      <c r="C13046" s="3">
        <v>6</v>
      </c>
    </row>
    <row r="13047" spans="1:3" x14ac:dyDescent="0.25">
      <c r="A13047" s="1" t="s">
        <v>13046</v>
      </c>
      <c r="C13047" s="3">
        <v>6</v>
      </c>
    </row>
    <row r="13048" spans="1:3" x14ac:dyDescent="0.25">
      <c r="A13048" s="1" t="s">
        <v>13047</v>
      </c>
      <c r="C13048" s="3">
        <v>6</v>
      </c>
    </row>
    <row r="13049" spans="1:3" x14ac:dyDescent="0.25">
      <c r="A13049" s="1" t="s">
        <v>13048</v>
      </c>
      <c r="C13049" s="3">
        <v>6</v>
      </c>
    </row>
    <row r="13050" spans="1:3" x14ac:dyDescent="0.25">
      <c r="A13050" s="1" t="s">
        <v>13049</v>
      </c>
      <c r="C13050" s="3">
        <v>6</v>
      </c>
    </row>
    <row r="13051" spans="1:3" x14ac:dyDescent="0.25">
      <c r="A13051" s="1" t="s">
        <v>13050</v>
      </c>
      <c r="C13051" s="3">
        <v>6</v>
      </c>
    </row>
    <row r="13052" spans="1:3" x14ac:dyDescent="0.25">
      <c r="A13052" s="1" t="s">
        <v>13051</v>
      </c>
      <c r="C13052" s="3">
        <v>6</v>
      </c>
    </row>
    <row r="13053" spans="1:3" x14ac:dyDescent="0.25">
      <c r="A13053" s="1" t="s">
        <v>13052</v>
      </c>
      <c r="C13053" s="3">
        <v>6</v>
      </c>
    </row>
    <row r="13054" spans="1:3" x14ac:dyDescent="0.25">
      <c r="A13054" s="1" t="s">
        <v>13053</v>
      </c>
      <c r="C13054" s="3">
        <v>6</v>
      </c>
    </row>
    <row r="13055" spans="1:3" x14ac:dyDescent="0.25">
      <c r="A13055" s="1" t="s">
        <v>13054</v>
      </c>
      <c r="C13055" s="3">
        <v>6</v>
      </c>
    </row>
    <row r="13056" spans="1:3" x14ac:dyDescent="0.25">
      <c r="A13056" s="1" t="s">
        <v>13055</v>
      </c>
      <c r="C13056" s="3">
        <v>6</v>
      </c>
    </row>
    <row r="13057" spans="1:3" x14ac:dyDescent="0.25">
      <c r="A13057" s="1" t="s">
        <v>13056</v>
      </c>
      <c r="C13057" s="3">
        <v>6</v>
      </c>
    </row>
    <row r="13058" spans="1:3" x14ac:dyDescent="0.25">
      <c r="A13058" s="1" t="s">
        <v>13057</v>
      </c>
      <c r="C13058" s="3">
        <v>6</v>
      </c>
    </row>
    <row r="13059" spans="1:3" x14ac:dyDescent="0.25">
      <c r="A13059" s="1" t="s">
        <v>13058</v>
      </c>
      <c r="C13059" s="3">
        <v>6</v>
      </c>
    </row>
    <row r="13060" spans="1:3" x14ac:dyDescent="0.25">
      <c r="A13060" s="1" t="s">
        <v>13059</v>
      </c>
      <c r="C13060" s="3">
        <v>6</v>
      </c>
    </row>
    <row r="13061" spans="1:3" x14ac:dyDescent="0.25">
      <c r="A13061" s="1" t="s">
        <v>13060</v>
      </c>
      <c r="C13061" s="3">
        <v>6</v>
      </c>
    </row>
    <row r="13062" spans="1:3" x14ac:dyDescent="0.25">
      <c r="A13062" s="1" t="s">
        <v>13061</v>
      </c>
      <c r="C13062" s="3">
        <v>6</v>
      </c>
    </row>
    <row r="13063" spans="1:3" x14ac:dyDescent="0.25">
      <c r="A13063" s="1" t="s">
        <v>13062</v>
      </c>
      <c r="C13063" s="3">
        <v>6</v>
      </c>
    </row>
    <row r="13064" spans="1:3" x14ac:dyDescent="0.25">
      <c r="A13064" s="1" t="s">
        <v>13063</v>
      </c>
      <c r="C13064" s="3">
        <v>6</v>
      </c>
    </row>
    <row r="13065" spans="1:3" x14ac:dyDescent="0.25">
      <c r="A13065" s="1" t="s">
        <v>13064</v>
      </c>
      <c r="C13065" s="3">
        <v>6</v>
      </c>
    </row>
    <row r="13066" spans="1:3" x14ac:dyDescent="0.25">
      <c r="A13066" s="1" t="s">
        <v>13065</v>
      </c>
      <c r="C13066" s="3">
        <v>6</v>
      </c>
    </row>
    <row r="13067" spans="1:3" x14ac:dyDescent="0.25">
      <c r="A13067" s="1" t="s">
        <v>13066</v>
      </c>
      <c r="C13067" s="3">
        <v>6</v>
      </c>
    </row>
    <row r="13068" spans="1:3" x14ac:dyDescent="0.25">
      <c r="A13068" s="1" t="s">
        <v>13067</v>
      </c>
      <c r="C13068" s="3">
        <v>6</v>
      </c>
    </row>
    <row r="13069" spans="1:3" x14ac:dyDescent="0.25">
      <c r="A13069" s="1" t="s">
        <v>13068</v>
      </c>
      <c r="C13069" s="3">
        <v>6</v>
      </c>
    </row>
    <row r="13070" spans="1:3" x14ac:dyDescent="0.25">
      <c r="A13070" s="1" t="s">
        <v>13069</v>
      </c>
      <c r="C13070" s="3">
        <v>6</v>
      </c>
    </row>
    <row r="13071" spans="1:3" x14ac:dyDescent="0.25">
      <c r="A13071" s="1" t="s">
        <v>13070</v>
      </c>
      <c r="C13071" s="3">
        <v>6</v>
      </c>
    </row>
    <row r="13072" spans="1:3" x14ac:dyDescent="0.25">
      <c r="A13072" s="1" t="s">
        <v>13071</v>
      </c>
      <c r="C13072" s="3">
        <v>6</v>
      </c>
    </row>
    <row r="13073" spans="1:3" x14ac:dyDescent="0.25">
      <c r="A13073" s="1" t="s">
        <v>13072</v>
      </c>
      <c r="C13073" s="3">
        <v>6</v>
      </c>
    </row>
    <row r="13074" spans="1:3" x14ac:dyDescent="0.25">
      <c r="A13074" s="1" t="s">
        <v>13073</v>
      </c>
      <c r="C13074" s="3">
        <v>6</v>
      </c>
    </row>
    <row r="13075" spans="1:3" x14ac:dyDescent="0.25">
      <c r="A13075" s="1" t="s">
        <v>13074</v>
      </c>
      <c r="C13075" s="3">
        <v>6</v>
      </c>
    </row>
    <row r="13076" spans="1:3" x14ac:dyDescent="0.25">
      <c r="A13076" s="1" t="s">
        <v>13075</v>
      </c>
      <c r="C13076" s="3">
        <v>6</v>
      </c>
    </row>
    <row r="13077" spans="1:3" x14ac:dyDescent="0.25">
      <c r="A13077" s="1" t="s">
        <v>13076</v>
      </c>
      <c r="C13077" s="3">
        <v>6</v>
      </c>
    </row>
    <row r="13078" spans="1:3" x14ac:dyDescent="0.25">
      <c r="A13078" s="1" t="s">
        <v>13077</v>
      </c>
      <c r="C13078" s="3">
        <v>6</v>
      </c>
    </row>
    <row r="13079" spans="1:3" x14ac:dyDescent="0.25">
      <c r="A13079" s="1" t="s">
        <v>13078</v>
      </c>
      <c r="C13079" s="3">
        <v>6</v>
      </c>
    </row>
    <row r="13080" spans="1:3" x14ac:dyDescent="0.25">
      <c r="A13080" s="1" t="s">
        <v>13079</v>
      </c>
      <c r="C13080" s="3">
        <v>6</v>
      </c>
    </row>
    <row r="13081" spans="1:3" x14ac:dyDescent="0.25">
      <c r="A13081" s="1" t="s">
        <v>13080</v>
      </c>
      <c r="C13081" s="3">
        <v>6</v>
      </c>
    </row>
    <row r="13082" spans="1:3" x14ac:dyDescent="0.25">
      <c r="A13082" s="1" t="s">
        <v>13081</v>
      </c>
      <c r="C13082" s="3">
        <v>6</v>
      </c>
    </row>
    <row r="13083" spans="1:3" x14ac:dyDescent="0.25">
      <c r="A13083" s="1" t="s">
        <v>13082</v>
      </c>
      <c r="C13083" s="3">
        <v>6</v>
      </c>
    </row>
    <row r="13084" spans="1:3" x14ac:dyDescent="0.25">
      <c r="A13084" s="1" t="s">
        <v>13083</v>
      </c>
      <c r="C13084" s="3">
        <v>6</v>
      </c>
    </row>
    <row r="13085" spans="1:3" x14ac:dyDescent="0.25">
      <c r="A13085" s="1" t="s">
        <v>13084</v>
      </c>
      <c r="C13085" s="3">
        <v>6</v>
      </c>
    </row>
    <row r="13086" spans="1:3" x14ac:dyDescent="0.25">
      <c r="A13086" s="1" t="s">
        <v>13085</v>
      </c>
      <c r="C13086" s="3">
        <v>6</v>
      </c>
    </row>
    <row r="13087" spans="1:3" x14ac:dyDescent="0.25">
      <c r="A13087" s="1" t="s">
        <v>13086</v>
      </c>
      <c r="C13087" s="3">
        <v>6</v>
      </c>
    </row>
    <row r="13088" spans="1:3" x14ac:dyDescent="0.25">
      <c r="A13088" s="1" t="s">
        <v>13087</v>
      </c>
      <c r="C13088" s="3">
        <v>6</v>
      </c>
    </row>
    <row r="13089" spans="1:3" x14ac:dyDescent="0.25">
      <c r="A13089" s="1" t="s">
        <v>13088</v>
      </c>
      <c r="C13089" s="3">
        <v>6</v>
      </c>
    </row>
    <row r="13090" spans="1:3" x14ac:dyDescent="0.25">
      <c r="A13090" s="1" t="s">
        <v>13089</v>
      </c>
      <c r="C13090" s="3">
        <v>6</v>
      </c>
    </row>
    <row r="13091" spans="1:3" x14ac:dyDescent="0.25">
      <c r="A13091" s="1" t="s">
        <v>13090</v>
      </c>
      <c r="C13091" s="3">
        <v>6</v>
      </c>
    </row>
    <row r="13092" spans="1:3" x14ac:dyDescent="0.25">
      <c r="A13092" s="1" t="s">
        <v>13091</v>
      </c>
      <c r="C13092" s="3">
        <v>6</v>
      </c>
    </row>
    <row r="13093" spans="1:3" x14ac:dyDescent="0.25">
      <c r="A13093" s="1" t="s">
        <v>13092</v>
      </c>
      <c r="C13093" s="3">
        <v>6</v>
      </c>
    </row>
    <row r="13094" spans="1:3" x14ac:dyDescent="0.25">
      <c r="A13094" s="1" t="s">
        <v>13093</v>
      </c>
      <c r="C13094" s="3">
        <v>6</v>
      </c>
    </row>
    <row r="13095" spans="1:3" x14ac:dyDescent="0.25">
      <c r="A13095" s="1" t="s">
        <v>13094</v>
      </c>
      <c r="C13095" s="3">
        <v>6</v>
      </c>
    </row>
    <row r="13096" spans="1:3" x14ac:dyDescent="0.25">
      <c r="A13096" s="1" t="s">
        <v>13095</v>
      </c>
      <c r="C13096" s="3">
        <v>6</v>
      </c>
    </row>
    <row r="13097" spans="1:3" x14ac:dyDescent="0.25">
      <c r="A13097" s="1" t="s">
        <v>13096</v>
      </c>
      <c r="C13097" s="3">
        <v>6</v>
      </c>
    </row>
    <row r="13098" spans="1:3" x14ac:dyDescent="0.25">
      <c r="A13098" s="1" t="s">
        <v>13097</v>
      </c>
      <c r="C13098" s="3">
        <v>6</v>
      </c>
    </row>
    <row r="13099" spans="1:3" x14ac:dyDescent="0.25">
      <c r="A13099" s="1" t="s">
        <v>13098</v>
      </c>
      <c r="C13099" s="3">
        <v>6</v>
      </c>
    </row>
    <row r="13100" spans="1:3" x14ac:dyDescent="0.25">
      <c r="A13100" s="1" t="s">
        <v>13099</v>
      </c>
      <c r="C13100" s="3">
        <v>6</v>
      </c>
    </row>
    <row r="13101" spans="1:3" x14ac:dyDescent="0.25">
      <c r="A13101" s="1" t="s">
        <v>13100</v>
      </c>
      <c r="C13101" s="3">
        <v>6</v>
      </c>
    </row>
    <row r="13102" spans="1:3" x14ac:dyDescent="0.25">
      <c r="A13102" s="1" t="s">
        <v>13101</v>
      </c>
      <c r="C13102" s="3">
        <v>6</v>
      </c>
    </row>
    <row r="13103" spans="1:3" x14ac:dyDescent="0.25">
      <c r="A13103" s="1" t="s">
        <v>13102</v>
      </c>
      <c r="C13103" s="3">
        <v>6</v>
      </c>
    </row>
    <row r="13104" spans="1:3" x14ac:dyDescent="0.25">
      <c r="A13104" s="1" t="s">
        <v>13103</v>
      </c>
      <c r="C13104" s="3">
        <v>6</v>
      </c>
    </row>
    <row r="13105" spans="1:3" x14ac:dyDescent="0.25">
      <c r="A13105" s="1" t="s">
        <v>13104</v>
      </c>
      <c r="C13105" s="3">
        <v>6</v>
      </c>
    </row>
    <row r="13106" spans="1:3" x14ac:dyDescent="0.25">
      <c r="A13106" s="1" t="s">
        <v>13105</v>
      </c>
      <c r="C13106" s="3">
        <v>6</v>
      </c>
    </row>
    <row r="13107" spans="1:3" x14ac:dyDescent="0.25">
      <c r="A13107" s="1" t="s">
        <v>13106</v>
      </c>
      <c r="C13107" s="3">
        <v>6</v>
      </c>
    </row>
    <row r="13108" spans="1:3" x14ac:dyDescent="0.25">
      <c r="A13108" s="1" t="s">
        <v>13107</v>
      </c>
      <c r="C13108" s="3">
        <v>6</v>
      </c>
    </row>
    <row r="13109" spans="1:3" x14ac:dyDescent="0.25">
      <c r="A13109" s="1" t="s">
        <v>13108</v>
      </c>
      <c r="C13109" s="3">
        <v>6</v>
      </c>
    </row>
    <row r="13110" spans="1:3" x14ac:dyDescent="0.25">
      <c r="A13110" s="1" t="s">
        <v>13109</v>
      </c>
      <c r="C13110" s="3">
        <v>6</v>
      </c>
    </row>
    <row r="13111" spans="1:3" x14ac:dyDescent="0.25">
      <c r="A13111" s="1" t="s">
        <v>13110</v>
      </c>
      <c r="C13111" s="3">
        <v>6</v>
      </c>
    </row>
    <row r="13112" spans="1:3" x14ac:dyDescent="0.25">
      <c r="A13112" s="1" t="s">
        <v>13111</v>
      </c>
      <c r="C13112" s="3">
        <v>6</v>
      </c>
    </row>
    <row r="13113" spans="1:3" x14ac:dyDescent="0.25">
      <c r="A13113" s="1" t="s">
        <v>13112</v>
      </c>
      <c r="C13113" s="3">
        <v>6</v>
      </c>
    </row>
    <row r="13114" spans="1:3" x14ac:dyDescent="0.25">
      <c r="A13114" s="1" t="s">
        <v>13113</v>
      </c>
      <c r="C13114" s="3">
        <v>6</v>
      </c>
    </row>
    <row r="13115" spans="1:3" x14ac:dyDescent="0.25">
      <c r="A13115" s="1" t="s">
        <v>13114</v>
      </c>
      <c r="C13115" s="3">
        <v>6</v>
      </c>
    </row>
    <row r="13116" spans="1:3" x14ac:dyDescent="0.25">
      <c r="A13116" s="1" t="s">
        <v>13115</v>
      </c>
      <c r="C13116" s="3">
        <v>6</v>
      </c>
    </row>
    <row r="13117" spans="1:3" x14ac:dyDescent="0.25">
      <c r="A13117" s="1" t="s">
        <v>13116</v>
      </c>
      <c r="C13117" s="3">
        <v>6</v>
      </c>
    </row>
    <row r="13118" spans="1:3" x14ac:dyDescent="0.25">
      <c r="A13118" s="1" t="s">
        <v>13117</v>
      </c>
      <c r="C13118" s="3">
        <v>6</v>
      </c>
    </row>
    <row r="13119" spans="1:3" x14ac:dyDescent="0.25">
      <c r="A13119" s="1" t="s">
        <v>13118</v>
      </c>
      <c r="C13119" s="3">
        <v>6</v>
      </c>
    </row>
    <row r="13120" spans="1:3" x14ac:dyDescent="0.25">
      <c r="A13120" s="1" t="s">
        <v>13119</v>
      </c>
      <c r="C13120" s="3">
        <v>6</v>
      </c>
    </row>
    <row r="13121" spans="1:3" x14ac:dyDescent="0.25">
      <c r="A13121" s="1" t="s">
        <v>13120</v>
      </c>
      <c r="C13121" s="3">
        <v>6</v>
      </c>
    </row>
    <row r="13122" spans="1:3" x14ac:dyDescent="0.25">
      <c r="A13122" s="1" t="s">
        <v>13121</v>
      </c>
      <c r="C13122" s="3">
        <v>6</v>
      </c>
    </row>
    <row r="13123" spans="1:3" x14ac:dyDescent="0.25">
      <c r="A13123" s="1" t="s">
        <v>13122</v>
      </c>
      <c r="C13123" s="3">
        <v>6</v>
      </c>
    </row>
    <row r="13124" spans="1:3" x14ac:dyDescent="0.25">
      <c r="A13124" s="1" t="s">
        <v>13123</v>
      </c>
      <c r="C13124" s="3">
        <v>6</v>
      </c>
    </row>
    <row r="13125" spans="1:3" x14ac:dyDescent="0.25">
      <c r="A13125" s="1" t="s">
        <v>13124</v>
      </c>
      <c r="C13125" s="3">
        <v>6</v>
      </c>
    </row>
    <row r="13126" spans="1:3" x14ac:dyDescent="0.25">
      <c r="A13126" s="1" t="s">
        <v>13125</v>
      </c>
      <c r="C13126" s="3">
        <v>6</v>
      </c>
    </row>
    <row r="13127" spans="1:3" x14ac:dyDescent="0.25">
      <c r="A13127" s="1" t="s">
        <v>13126</v>
      </c>
      <c r="C13127" s="3">
        <v>6</v>
      </c>
    </row>
    <row r="13128" spans="1:3" x14ac:dyDescent="0.25">
      <c r="A13128" s="1" t="s">
        <v>13127</v>
      </c>
      <c r="C13128" s="3">
        <v>6</v>
      </c>
    </row>
    <row r="13129" spans="1:3" x14ac:dyDescent="0.25">
      <c r="A13129" s="1" t="s">
        <v>13128</v>
      </c>
      <c r="C13129" s="3">
        <v>6</v>
      </c>
    </row>
    <row r="13130" spans="1:3" x14ac:dyDescent="0.25">
      <c r="A13130" s="1" t="s">
        <v>13129</v>
      </c>
      <c r="C13130" s="3">
        <v>6</v>
      </c>
    </row>
    <row r="13131" spans="1:3" x14ac:dyDescent="0.25">
      <c r="A13131" s="1" t="s">
        <v>13130</v>
      </c>
      <c r="C13131" s="3">
        <v>6</v>
      </c>
    </row>
    <row r="13132" spans="1:3" x14ac:dyDescent="0.25">
      <c r="A13132" s="1" t="s">
        <v>13131</v>
      </c>
      <c r="C13132" s="3">
        <v>6</v>
      </c>
    </row>
    <row r="13133" spans="1:3" x14ac:dyDescent="0.25">
      <c r="A13133" s="1" t="s">
        <v>13132</v>
      </c>
      <c r="C13133" s="3">
        <v>6</v>
      </c>
    </row>
    <row r="13134" spans="1:3" x14ac:dyDescent="0.25">
      <c r="A13134" s="1" t="s">
        <v>13133</v>
      </c>
      <c r="C13134" s="3">
        <v>6</v>
      </c>
    </row>
    <row r="13135" spans="1:3" x14ac:dyDescent="0.25">
      <c r="A13135" s="1" t="s">
        <v>13134</v>
      </c>
      <c r="C13135" s="3">
        <v>6</v>
      </c>
    </row>
    <row r="13136" spans="1:3" x14ac:dyDescent="0.25">
      <c r="A13136" s="1" t="s">
        <v>13135</v>
      </c>
      <c r="C13136" s="3">
        <v>6</v>
      </c>
    </row>
    <row r="13137" spans="1:3" x14ac:dyDescent="0.25">
      <c r="A13137" s="1" t="s">
        <v>13136</v>
      </c>
      <c r="C13137" s="3">
        <v>6</v>
      </c>
    </row>
    <row r="13138" spans="1:3" x14ac:dyDescent="0.25">
      <c r="A13138" s="1" t="s">
        <v>13137</v>
      </c>
      <c r="C13138" s="3">
        <v>6</v>
      </c>
    </row>
    <row r="13139" spans="1:3" x14ac:dyDescent="0.25">
      <c r="A13139" s="1" t="s">
        <v>13138</v>
      </c>
      <c r="C13139" s="3">
        <v>6</v>
      </c>
    </row>
    <row r="13140" spans="1:3" x14ac:dyDescent="0.25">
      <c r="A13140" s="1" t="s">
        <v>13139</v>
      </c>
      <c r="C13140" s="3">
        <v>6</v>
      </c>
    </row>
    <row r="13141" spans="1:3" x14ac:dyDescent="0.25">
      <c r="A13141" s="1" t="s">
        <v>13140</v>
      </c>
      <c r="C13141" s="3">
        <v>6</v>
      </c>
    </row>
    <row r="13142" spans="1:3" x14ac:dyDescent="0.25">
      <c r="A13142" s="1" t="s">
        <v>13141</v>
      </c>
      <c r="C13142" s="3">
        <v>6</v>
      </c>
    </row>
    <row r="13143" spans="1:3" x14ac:dyDescent="0.25">
      <c r="A13143" s="1" t="s">
        <v>13142</v>
      </c>
      <c r="C13143" s="3">
        <v>6</v>
      </c>
    </row>
    <row r="13144" spans="1:3" x14ac:dyDescent="0.25">
      <c r="A13144" s="1" t="s">
        <v>13143</v>
      </c>
      <c r="C13144" s="3">
        <v>6</v>
      </c>
    </row>
    <row r="13145" spans="1:3" x14ac:dyDescent="0.25">
      <c r="A13145" s="1" t="s">
        <v>13144</v>
      </c>
      <c r="C13145" s="3">
        <v>6</v>
      </c>
    </row>
    <row r="13146" spans="1:3" x14ac:dyDescent="0.25">
      <c r="A13146" s="1" t="s">
        <v>13145</v>
      </c>
      <c r="C13146" s="3">
        <v>6</v>
      </c>
    </row>
    <row r="13147" spans="1:3" x14ac:dyDescent="0.25">
      <c r="A13147" s="1" t="s">
        <v>13146</v>
      </c>
      <c r="C13147" s="3">
        <v>6</v>
      </c>
    </row>
    <row r="13148" spans="1:3" x14ac:dyDescent="0.25">
      <c r="A13148" s="1" t="s">
        <v>13147</v>
      </c>
      <c r="C13148" s="3">
        <v>6</v>
      </c>
    </row>
    <row r="13149" spans="1:3" x14ac:dyDescent="0.25">
      <c r="A13149" s="1" t="s">
        <v>13148</v>
      </c>
      <c r="C13149" s="3">
        <v>6</v>
      </c>
    </row>
    <row r="13150" spans="1:3" x14ac:dyDescent="0.25">
      <c r="A13150" s="1" t="s">
        <v>13149</v>
      </c>
      <c r="C13150" s="3">
        <v>6</v>
      </c>
    </row>
    <row r="13151" spans="1:3" x14ac:dyDescent="0.25">
      <c r="A13151" s="1" t="s">
        <v>13150</v>
      </c>
      <c r="C13151" s="3">
        <v>6</v>
      </c>
    </row>
    <row r="13152" spans="1:3" x14ac:dyDescent="0.25">
      <c r="A13152" s="1" t="s">
        <v>13151</v>
      </c>
      <c r="C13152" s="3">
        <v>6</v>
      </c>
    </row>
    <row r="13153" spans="1:3" x14ac:dyDescent="0.25">
      <c r="A13153" s="1" t="s">
        <v>13152</v>
      </c>
      <c r="C13153" s="3">
        <v>6</v>
      </c>
    </row>
    <row r="13154" spans="1:3" x14ac:dyDescent="0.25">
      <c r="A13154" s="1" t="s">
        <v>13153</v>
      </c>
      <c r="C13154" s="3">
        <v>6</v>
      </c>
    </row>
    <row r="13155" spans="1:3" x14ac:dyDescent="0.25">
      <c r="A13155" s="1" t="s">
        <v>13154</v>
      </c>
      <c r="C13155" s="3">
        <v>6</v>
      </c>
    </row>
    <row r="13156" spans="1:3" x14ac:dyDescent="0.25">
      <c r="A13156" s="1" t="s">
        <v>13155</v>
      </c>
      <c r="C13156" s="3">
        <v>6</v>
      </c>
    </row>
    <row r="13157" spans="1:3" x14ac:dyDescent="0.25">
      <c r="A13157" s="1" t="s">
        <v>13156</v>
      </c>
      <c r="C13157" s="3">
        <v>6</v>
      </c>
    </row>
    <row r="13158" spans="1:3" x14ac:dyDescent="0.25">
      <c r="A13158" s="1" t="s">
        <v>13157</v>
      </c>
      <c r="C13158" s="3">
        <v>6</v>
      </c>
    </row>
    <row r="13159" spans="1:3" x14ac:dyDescent="0.25">
      <c r="A13159" s="1" t="s">
        <v>13158</v>
      </c>
      <c r="C13159" s="3">
        <v>6</v>
      </c>
    </row>
    <row r="13160" spans="1:3" x14ac:dyDescent="0.25">
      <c r="A13160" s="1" t="s">
        <v>13159</v>
      </c>
      <c r="C13160" s="3">
        <v>6</v>
      </c>
    </row>
    <row r="13161" spans="1:3" x14ac:dyDescent="0.25">
      <c r="A13161" s="1" t="s">
        <v>13160</v>
      </c>
      <c r="C13161" s="3">
        <v>6</v>
      </c>
    </row>
    <row r="13162" spans="1:3" x14ac:dyDescent="0.25">
      <c r="A13162" s="1" t="s">
        <v>13161</v>
      </c>
      <c r="C13162" s="3">
        <v>6</v>
      </c>
    </row>
    <row r="13163" spans="1:3" x14ac:dyDescent="0.25">
      <c r="A13163" s="1" t="s">
        <v>13162</v>
      </c>
      <c r="C13163" s="3">
        <v>6</v>
      </c>
    </row>
    <row r="13164" spans="1:3" x14ac:dyDescent="0.25">
      <c r="A13164" s="1" t="s">
        <v>13163</v>
      </c>
      <c r="C13164" s="3">
        <v>6</v>
      </c>
    </row>
    <row r="13165" spans="1:3" x14ac:dyDescent="0.25">
      <c r="A13165" s="1" t="s">
        <v>13164</v>
      </c>
      <c r="C13165" s="3">
        <v>6</v>
      </c>
    </row>
    <row r="13166" spans="1:3" x14ac:dyDescent="0.25">
      <c r="A13166" s="1" t="s">
        <v>13165</v>
      </c>
      <c r="C13166" s="3">
        <v>6</v>
      </c>
    </row>
    <row r="13167" spans="1:3" x14ac:dyDescent="0.25">
      <c r="A13167" s="1" t="s">
        <v>13166</v>
      </c>
      <c r="C13167" s="3">
        <v>6</v>
      </c>
    </row>
    <row r="13168" spans="1:3" x14ac:dyDescent="0.25">
      <c r="A13168" s="1" t="s">
        <v>13167</v>
      </c>
      <c r="C13168" s="3">
        <v>6</v>
      </c>
    </row>
    <row r="13169" spans="1:3" x14ac:dyDescent="0.25">
      <c r="A13169" s="1" t="s">
        <v>13168</v>
      </c>
      <c r="C13169" s="3">
        <v>6</v>
      </c>
    </row>
    <row r="13170" spans="1:3" x14ac:dyDescent="0.25">
      <c r="A13170" s="1" t="s">
        <v>13169</v>
      </c>
      <c r="C13170" s="3">
        <v>6</v>
      </c>
    </row>
    <row r="13171" spans="1:3" x14ac:dyDescent="0.25">
      <c r="A13171" s="1" t="s">
        <v>13170</v>
      </c>
      <c r="C13171" s="3">
        <v>6</v>
      </c>
    </row>
    <row r="13172" spans="1:3" x14ac:dyDescent="0.25">
      <c r="A13172" s="1" t="s">
        <v>13171</v>
      </c>
      <c r="C13172" s="3">
        <v>6</v>
      </c>
    </row>
    <row r="13173" spans="1:3" x14ac:dyDescent="0.25">
      <c r="A13173" s="1" t="s">
        <v>13172</v>
      </c>
      <c r="C13173" s="3">
        <v>6</v>
      </c>
    </row>
    <row r="13174" spans="1:3" x14ac:dyDescent="0.25">
      <c r="A13174" s="1" t="s">
        <v>13173</v>
      </c>
      <c r="C13174" s="3">
        <v>6</v>
      </c>
    </row>
    <row r="13175" spans="1:3" x14ac:dyDescent="0.25">
      <c r="A13175" s="1" t="s">
        <v>13174</v>
      </c>
      <c r="C13175" s="3">
        <v>6</v>
      </c>
    </row>
    <row r="13176" spans="1:3" x14ac:dyDescent="0.25">
      <c r="A13176" s="1" t="s">
        <v>13175</v>
      </c>
      <c r="C13176" s="3">
        <v>6</v>
      </c>
    </row>
    <row r="13177" spans="1:3" x14ac:dyDescent="0.25">
      <c r="A13177" s="1" t="s">
        <v>13176</v>
      </c>
      <c r="C13177" s="3">
        <v>6</v>
      </c>
    </row>
    <row r="13178" spans="1:3" x14ac:dyDescent="0.25">
      <c r="A13178" s="1" t="s">
        <v>13177</v>
      </c>
      <c r="C13178" s="3">
        <v>6</v>
      </c>
    </row>
    <row r="13179" spans="1:3" x14ac:dyDescent="0.25">
      <c r="A13179" s="1" t="s">
        <v>13178</v>
      </c>
      <c r="C13179" s="3">
        <v>6</v>
      </c>
    </row>
    <row r="13180" spans="1:3" x14ac:dyDescent="0.25">
      <c r="A13180" s="1" t="s">
        <v>13179</v>
      </c>
      <c r="C13180" s="3">
        <v>6</v>
      </c>
    </row>
    <row r="13181" spans="1:3" x14ac:dyDescent="0.25">
      <c r="A13181" s="1" t="s">
        <v>13180</v>
      </c>
      <c r="C13181" s="3">
        <v>6</v>
      </c>
    </row>
    <row r="13182" spans="1:3" x14ac:dyDescent="0.25">
      <c r="A13182" s="1" t="s">
        <v>13181</v>
      </c>
      <c r="C13182" s="3">
        <v>6</v>
      </c>
    </row>
    <row r="13183" spans="1:3" x14ac:dyDescent="0.25">
      <c r="A13183" s="1" t="s">
        <v>13182</v>
      </c>
      <c r="C13183" s="3">
        <v>6</v>
      </c>
    </row>
    <row r="13184" spans="1:3" x14ac:dyDescent="0.25">
      <c r="A13184" s="1" t="s">
        <v>13183</v>
      </c>
      <c r="C13184" s="3">
        <v>6</v>
      </c>
    </row>
    <row r="13185" spans="1:3" x14ac:dyDescent="0.25">
      <c r="A13185" s="1" t="s">
        <v>13184</v>
      </c>
      <c r="C13185" s="3">
        <v>6</v>
      </c>
    </row>
    <row r="13186" spans="1:3" x14ac:dyDescent="0.25">
      <c r="A13186" s="1" t="s">
        <v>13185</v>
      </c>
      <c r="C13186" s="3">
        <v>6</v>
      </c>
    </row>
    <row r="13187" spans="1:3" x14ac:dyDescent="0.25">
      <c r="A13187" s="1" t="s">
        <v>13186</v>
      </c>
      <c r="C13187" s="3">
        <v>6</v>
      </c>
    </row>
    <row r="13188" spans="1:3" x14ac:dyDescent="0.25">
      <c r="A13188" s="1" t="s">
        <v>13187</v>
      </c>
      <c r="C13188" s="3">
        <v>6</v>
      </c>
    </row>
    <row r="13189" spans="1:3" x14ac:dyDescent="0.25">
      <c r="A13189" s="1" t="s">
        <v>13188</v>
      </c>
      <c r="C13189" s="3">
        <v>6</v>
      </c>
    </row>
    <row r="13190" spans="1:3" x14ac:dyDescent="0.25">
      <c r="A13190" s="1" t="s">
        <v>13189</v>
      </c>
      <c r="C13190" s="3">
        <v>6</v>
      </c>
    </row>
    <row r="13191" spans="1:3" x14ac:dyDescent="0.25">
      <c r="A13191" s="1" t="s">
        <v>13190</v>
      </c>
      <c r="C13191" s="3">
        <v>6</v>
      </c>
    </row>
    <row r="13192" spans="1:3" x14ac:dyDescent="0.25">
      <c r="A13192" s="1" t="s">
        <v>13191</v>
      </c>
      <c r="C13192" s="3">
        <v>6</v>
      </c>
    </row>
    <row r="13193" spans="1:3" x14ac:dyDescent="0.25">
      <c r="A13193" s="1" t="s">
        <v>13192</v>
      </c>
      <c r="C13193" s="3">
        <v>6</v>
      </c>
    </row>
    <row r="13194" spans="1:3" x14ac:dyDescent="0.25">
      <c r="A13194" s="1" t="s">
        <v>13193</v>
      </c>
      <c r="C13194" s="3">
        <v>6</v>
      </c>
    </row>
    <row r="13195" spans="1:3" x14ac:dyDescent="0.25">
      <c r="A13195" s="1" t="s">
        <v>13194</v>
      </c>
      <c r="C13195" s="3">
        <v>6</v>
      </c>
    </row>
    <row r="13196" spans="1:3" x14ac:dyDescent="0.25">
      <c r="A13196" s="1" t="s">
        <v>13195</v>
      </c>
      <c r="C13196" s="3">
        <v>6</v>
      </c>
    </row>
    <row r="13197" spans="1:3" x14ac:dyDescent="0.25">
      <c r="A13197" s="1" t="s">
        <v>13196</v>
      </c>
      <c r="C13197" s="3">
        <v>6</v>
      </c>
    </row>
    <row r="13198" spans="1:3" x14ac:dyDescent="0.25">
      <c r="A13198" s="1" t="s">
        <v>13197</v>
      </c>
      <c r="C13198" s="3">
        <v>6</v>
      </c>
    </row>
    <row r="13199" spans="1:3" x14ac:dyDescent="0.25">
      <c r="A13199" s="1" t="s">
        <v>13198</v>
      </c>
      <c r="C13199" s="3">
        <v>6</v>
      </c>
    </row>
    <row r="13200" spans="1:3" x14ac:dyDescent="0.25">
      <c r="A13200" s="1" t="s">
        <v>13199</v>
      </c>
      <c r="C13200" s="3">
        <v>6</v>
      </c>
    </row>
    <row r="13201" spans="1:3" x14ac:dyDescent="0.25">
      <c r="A13201" s="1" t="s">
        <v>13200</v>
      </c>
      <c r="C13201" s="3">
        <v>6</v>
      </c>
    </row>
    <row r="13202" spans="1:3" x14ac:dyDescent="0.25">
      <c r="A13202" s="1" t="s">
        <v>13201</v>
      </c>
      <c r="C13202" s="3">
        <v>6</v>
      </c>
    </row>
    <row r="13203" spans="1:3" x14ac:dyDescent="0.25">
      <c r="A13203" s="1" t="s">
        <v>13202</v>
      </c>
      <c r="C13203" s="3">
        <v>6</v>
      </c>
    </row>
    <row r="13204" spans="1:3" x14ac:dyDescent="0.25">
      <c r="A13204" s="1" t="s">
        <v>13203</v>
      </c>
      <c r="C13204" s="3">
        <v>6</v>
      </c>
    </row>
    <row r="13205" spans="1:3" x14ac:dyDescent="0.25">
      <c r="A13205" s="1" t="s">
        <v>13204</v>
      </c>
      <c r="C13205" s="3">
        <v>6</v>
      </c>
    </row>
    <row r="13206" spans="1:3" x14ac:dyDescent="0.25">
      <c r="A13206" s="1" t="s">
        <v>13205</v>
      </c>
      <c r="C13206" s="3">
        <v>6</v>
      </c>
    </row>
    <row r="13207" spans="1:3" x14ac:dyDescent="0.25">
      <c r="A13207" s="1" t="s">
        <v>13206</v>
      </c>
      <c r="C13207" s="3">
        <v>6</v>
      </c>
    </row>
    <row r="13208" spans="1:3" x14ac:dyDescent="0.25">
      <c r="A13208" s="1" t="s">
        <v>13207</v>
      </c>
      <c r="C13208" s="3">
        <v>6</v>
      </c>
    </row>
    <row r="13209" spans="1:3" x14ac:dyDescent="0.25">
      <c r="A13209" s="1" t="s">
        <v>13208</v>
      </c>
      <c r="C13209" s="3">
        <v>6</v>
      </c>
    </row>
    <row r="13210" spans="1:3" x14ac:dyDescent="0.25">
      <c r="A13210" s="1" t="s">
        <v>13209</v>
      </c>
      <c r="C13210" s="3">
        <v>6</v>
      </c>
    </row>
    <row r="13211" spans="1:3" x14ac:dyDescent="0.25">
      <c r="A13211" s="1" t="s">
        <v>13210</v>
      </c>
      <c r="C13211" s="3">
        <v>6</v>
      </c>
    </row>
    <row r="13212" spans="1:3" x14ac:dyDescent="0.25">
      <c r="A13212" s="1" t="s">
        <v>13211</v>
      </c>
      <c r="C13212" s="3">
        <v>6</v>
      </c>
    </row>
    <row r="13213" spans="1:3" x14ac:dyDescent="0.25">
      <c r="A13213" s="1" t="s">
        <v>13212</v>
      </c>
      <c r="C13213" s="3">
        <v>6</v>
      </c>
    </row>
    <row r="13214" spans="1:3" x14ac:dyDescent="0.25">
      <c r="A13214" s="1" t="s">
        <v>13213</v>
      </c>
      <c r="C13214" s="3">
        <v>6</v>
      </c>
    </row>
    <row r="13215" spans="1:3" x14ac:dyDescent="0.25">
      <c r="A13215" s="1" t="s">
        <v>13214</v>
      </c>
      <c r="C13215" s="3">
        <v>6</v>
      </c>
    </row>
    <row r="13216" spans="1:3" x14ac:dyDescent="0.25">
      <c r="A13216" s="1" t="s">
        <v>13215</v>
      </c>
      <c r="C13216" s="3">
        <v>6</v>
      </c>
    </row>
    <row r="13217" spans="1:3" x14ac:dyDescent="0.25">
      <c r="A13217" s="1" t="s">
        <v>13216</v>
      </c>
      <c r="C13217" s="3">
        <v>6</v>
      </c>
    </row>
    <row r="13218" spans="1:3" x14ac:dyDescent="0.25">
      <c r="A13218" s="1" t="s">
        <v>13217</v>
      </c>
      <c r="C13218" s="3">
        <v>6</v>
      </c>
    </row>
    <row r="13219" spans="1:3" x14ac:dyDescent="0.25">
      <c r="A13219" s="1" t="s">
        <v>13218</v>
      </c>
      <c r="C13219" s="3">
        <v>6</v>
      </c>
    </row>
    <row r="13220" spans="1:3" x14ac:dyDescent="0.25">
      <c r="A13220" s="1" t="s">
        <v>13219</v>
      </c>
      <c r="C13220" s="3">
        <v>6</v>
      </c>
    </row>
    <row r="13221" spans="1:3" x14ac:dyDescent="0.25">
      <c r="A13221" s="1" t="s">
        <v>13220</v>
      </c>
      <c r="C13221" s="3">
        <v>6</v>
      </c>
    </row>
    <row r="13222" spans="1:3" x14ac:dyDescent="0.25">
      <c r="A13222" s="1" t="s">
        <v>13221</v>
      </c>
      <c r="C13222" s="3">
        <v>6</v>
      </c>
    </row>
    <row r="13223" spans="1:3" x14ac:dyDescent="0.25">
      <c r="A13223" s="1" t="s">
        <v>13222</v>
      </c>
      <c r="C13223" s="3">
        <v>6</v>
      </c>
    </row>
    <row r="13224" spans="1:3" x14ac:dyDescent="0.25">
      <c r="A13224" s="1" t="s">
        <v>13223</v>
      </c>
      <c r="C13224" s="3">
        <v>6</v>
      </c>
    </row>
    <row r="13225" spans="1:3" x14ac:dyDescent="0.25">
      <c r="A13225" s="1" t="s">
        <v>13224</v>
      </c>
      <c r="C13225" s="3">
        <v>6</v>
      </c>
    </row>
    <row r="13226" spans="1:3" x14ac:dyDescent="0.25">
      <c r="A13226" s="1" t="s">
        <v>13225</v>
      </c>
      <c r="C13226" s="3">
        <v>6</v>
      </c>
    </row>
    <row r="13227" spans="1:3" x14ac:dyDescent="0.25">
      <c r="A13227" s="1" t="s">
        <v>13226</v>
      </c>
      <c r="C13227" s="3">
        <v>6</v>
      </c>
    </row>
    <row r="13228" spans="1:3" x14ac:dyDescent="0.25">
      <c r="A13228" s="1" t="s">
        <v>13227</v>
      </c>
      <c r="C13228" s="3">
        <v>6</v>
      </c>
    </row>
    <row r="13229" spans="1:3" x14ac:dyDescent="0.25">
      <c r="A13229" s="1" t="s">
        <v>13228</v>
      </c>
      <c r="C13229" s="3">
        <v>6</v>
      </c>
    </row>
    <row r="13230" spans="1:3" x14ac:dyDescent="0.25">
      <c r="A13230" s="1" t="s">
        <v>13229</v>
      </c>
      <c r="C13230" s="3">
        <v>6</v>
      </c>
    </row>
    <row r="13231" spans="1:3" x14ac:dyDescent="0.25">
      <c r="A13231" s="1" t="s">
        <v>13230</v>
      </c>
      <c r="C13231" s="3">
        <v>6</v>
      </c>
    </row>
    <row r="13232" spans="1:3" x14ac:dyDescent="0.25">
      <c r="A13232" s="1" t="s">
        <v>13231</v>
      </c>
      <c r="C13232" s="3">
        <v>6</v>
      </c>
    </row>
    <row r="13233" spans="1:3" x14ac:dyDescent="0.25">
      <c r="A13233" s="1" t="s">
        <v>13232</v>
      </c>
      <c r="C13233" s="3">
        <v>6</v>
      </c>
    </row>
    <row r="13234" spans="1:3" x14ac:dyDescent="0.25">
      <c r="A13234" s="1" t="s">
        <v>13233</v>
      </c>
      <c r="C13234" s="3">
        <v>6</v>
      </c>
    </row>
    <row r="13235" spans="1:3" x14ac:dyDescent="0.25">
      <c r="A13235" s="1" t="s">
        <v>13234</v>
      </c>
      <c r="C13235" s="3">
        <v>6</v>
      </c>
    </row>
    <row r="13236" spans="1:3" x14ac:dyDescent="0.25">
      <c r="A13236" s="1" t="s">
        <v>13235</v>
      </c>
      <c r="C13236" s="3">
        <v>6</v>
      </c>
    </row>
    <row r="13237" spans="1:3" x14ac:dyDescent="0.25">
      <c r="A13237" s="1" t="s">
        <v>13236</v>
      </c>
      <c r="C13237" s="3">
        <v>6</v>
      </c>
    </row>
    <row r="13238" spans="1:3" x14ac:dyDescent="0.25">
      <c r="A13238" s="1" t="s">
        <v>13237</v>
      </c>
      <c r="C13238" s="3">
        <v>6</v>
      </c>
    </row>
    <row r="13239" spans="1:3" x14ac:dyDescent="0.25">
      <c r="A13239" s="1" t="s">
        <v>13238</v>
      </c>
      <c r="C13239" s="3">
        <v>6</v>
      </c>
    </row>
    <row r="13240" spans="1:3" x14ac:dyDescent="0.25">
      <c r="A13240" s="1" t="s">
        <v>13239</v>
      </c>
      <c r="C13240" s="3">
        <v>6</v>
      </c>
    </row>
    <row r="13241" spans="1:3" x14ac:dyDescent="0.25">
      <c r="A13241" s="1" t="s">
        <v>13240</v>
      </c>
      <c r="C13241" s="3">
        <v>6</v>
      </c>
    </row>
    <row r="13242" spans="1:3" x14ac:dyDescent="0.25">
      <c r="A13242" s="1" t="s">
        <v>13241</v>
      </c>
      <c r="C13242" s="3">
        <v>6</v>
      </c>
    </row>
    <row r="13243" spans="1:3" x14ac:dyDescent="0.25">
      <c r="A13243" s="1" t="s">
        <v>13242</v>
      </c>
      <c r="C13243" s="3">
        <v>6</v>
      </c>
    </row>
    <row r="13244" spans="1:3" x14ac:dyDescent="0.25">
      <c r="A13244" s="1" t="s">
        <v>13243</v>
      </c>
      <c r="C13244" s="3">
        <v>6</v>
      </c>
    </row>
    <row r="13245" spans="1:3" x14ac:dyDescent="0.25">
      <c r="A13245" s="1" t="s">
        <v>13244</v>
      </c>
      <c r="C13245" s="3">
        <v>6</v>
      </c>
    </row>
    <row r="13246" spans="1:3" x14ac:dyDescent="0.25">
      <c r="A13246" s="1" t="s">
        <v>13245</v>
      </c>
      <c r="C13246" s="3">
        <v>6</v>
      </c>
    </row>
    <row r="13247" spans="1:3" x14ac:dyDescent="0.25">
      <c r="A13247" s="1" t="s">
        <v>13246</v>
      </c>
      <c r="C13247" s="3">
        <v>6</v>
      </c>
    </row>
    <row r="13248" spans="1:3" x14ac:dyDescent="0.25">
      <c r="A13248" s="1" t="s">
        <v>13247</v>
      </c>
      <c r="C13248" s="3">
        <v>6</v>
      </c>
    </row>
    <row r="13249" spans="1:3" x14ac:dyDescent="0.25">
      <c r="A13249" s="1" t="s">
        <v>13248</v>
      </c>
      <c r="C13249" s="3">
        <v>6</v>
      </c>
    </row>
    <row r="13250" spans="1:3" x14ac:dyDescent="0.25">
      <c r="A13250" s="1" t="s">
        <v>13249</v>
      </c>
      <c r="C13250" s="3">
        <v>6</v>
      </c>
    </row>
    <row r="13251" spans="1:3" x14ac:dyDescent="0.25">
      <c r="A13251" s="1" t="s">
        <v>13250</v>
      </c>
      <c r="C13251" s="3">
        <v>6</v>
      </c>
    </row>
    <row r="13252" spans="1:3" x14ac:dyDescent="0.25">
      <c r="A13252" s="1" t="s">
        <v>13251</v>
      </c>
      <c r="C13252" s="3">
        <v>6</v>
      </c>
    </row>
    <row r="13253" spans="1:3" x14ac:dyDescent="0.25">
      <c r="A13253" s="1" t="s">
        <v>13252</v>
      </c>
      <c r="C13253" s="3">
        <v>6</v>
      </c>
    </row>
    <row r="13254" spans="1:3" x14ac:dyDescent="0.25">
      <c r="A13254" s="1" t="s">
        <v>13253</v>
      </c>
      <c r="C13254" s="3">
        <v>6</v>
      </c>
    </row>
    <row r="13255" spans="1:3" x14ac:dyDescent="0.25">
      <c r="A13255" s="1" t="s">
        <v>13254</v>
      </c>
      <c r="C13255" s="3">
        <v>6</v>
      </c>
    </row>
    <row r="13256" spans="1:3" x14ac:dyDescent="0.25">
      <c r="A13256" s="1" t="s">
        <v>13255</v>
      </c>
      <c r="C13256" s="3">
        <v>6</v>
      </c>
    </row>
    <row r="13257" spans="1:3" x14ac:dyDescent="0.25">
      <c r="A13257" s="1" t="s">
        <v>13256</v>
      </c>
      <c r="C13257" s="3">
        <v>6</v>
      </c>
    </row>
    <row r="13258" spans="1:3" x14ac:dyDescent="0.25">
      <c r="A13258" s="1" t="s">
        <v>13257</v>
      </c>
      <c r="C13258" s="3">
        <v>6</v>
      </c>
    </row>
    <row r="13259" spans="1:3" x14ac:dyDescent="0.25">
      <c r="A13259" s="1" t="s">
        <v>13258</v>
      </c>
      <c r="C13259" s="3">
        <v>6</v>
      </c>
    </row>
    <row r="13260" spans="1:3" x14ac:dyDescent="0.25">
      <c r="A13260" s="1" t="s">
        <v>13259</v>
      </c>
      <c r="C13260" s="3">
        <v>6</v>
      </c>
    </row>
    <row r="13261" spans="1:3" x14ac:dyDescent="0.25">
      <c r="A13261" s="1" t="s">
        <v>13260</v>
      </c>
      <c r="C13261" s="3">
        <v>6</v>
      </c>
    </row>
    <row r="13262" spans="1:3" x14ac:dyDescent="0.25">
      <c r="A13262" s="1" t="s">
        <v>13261</v>
      </c>
      <c r="C13262" s="3">
        <v>6</v>
      </c>
    </row>
    <row r="13263" spans="1:3" x14ac:dyDescent="0.25">
      <c r="A13263" s="1" t="s">
        <v>13262</v>
      </c>
      <c r="C13263" s="3">
        <v>6</v>
      </c>
    </row>
    <row r="13264" spans="1:3" x14ac:dyDescent="0.25">
      <c r="A13264" s="1" t="s">
        <v>13263</v>
      </c>
      <c r="C13264" s="3">
        <v>6</v>
      </c>
    </row>
    <row r="13265" spans="1:3" x14ac:dyDescent="0.25">
      <c r="A13265" s="1" t="s">
        <v>13264</v>
      </c>
      <c r="C13265" s="3">
        <v>6</v>
      </c>
    </row>
    <row r="13266" spans="1:3" x14ac:dyDescent="0.25">
      <c r="A13266" s="1" t="s">
        <v>13265</v>
      </c>
      <c r="C13266" s="3">
        <v>6</v>
      </c>
    </row>
    <row r="13267" spans="1:3" x14ac:dyDescent="0.25">
      <c r="A13267" s="1" t="s">
        <v>13266</v>
      </c>
      <c r="C13267" s="3">
        <v>6</v>
      </c>
    </row>
    <row r="13268" spans="1:3" x14ac:dyDescent="0.25">
      <c r="A13268" s="1" t="s">
        <v>13267</v>
      </c>
      <c r="C13268" s="3">
        <v>6</v>
      </c>
    </row>
    <row r="13269" spans="1:3" x14ac:dyDescent="0.25">
      <c r="A13269" s="1" t="s">
        <v>13268</v>
      </c>
      <c r="C13269" s="3">
        <v>6</v>
      </c>
    </row>
    <row r="13270" spans="1:3" x14ac:dyDescent="0.25">
      <c r="A13270" s="1" t="s">
        <v>13269</v>
      </c>
      <c r="C13270" s="3">
        <v>6</v>
      </c>
    </row>
    <row r="13271" spans="1:3" x14ac:dyDescent="0.25">
      <c r="A13271" s="1" t="s">
        <v>13270</v>
      </c>
      <c r="C13271" s="3">
        <v>6</v>
      </c>
    </row>
    <row r="13272" spans="1:3" x14ac:dyDescent="0.25">
      <c r="A13272" s="1" t="s">
        <v>13271</v>
      </c>
      <c r="C13272" s="3">
        <v>6</v>
      </c>
    </row>
    <row r="13273" spans="1:3" x14ac:dyDescent="0.25">
      <c r="A13273" s="1" t="s">
        <v>13272</v>
      </c>
      <c r="C13273" s="3">
        <v>6</v>
      </c>
    </row>
    <row r="13274" spans="1:3" x14ac:dyDescent="0.25">
      <c r="A13274" s="1" t="s">
        <v>13273</v>
      </c>
      <c r="C13274" s="3">
        <v>6</v>
      </c>
    </row>
    <row r="13275" spans="1:3" x14ac:dyDescent="0.25">
      <c r="A13275" s="1" t="s">
        <v>13274</v>
      </c>
      <c r="C13275" s="3">
        <v>6</v>
      </c>
    </row>
    <row r="13276" spans="1:3" x14ac:dyDescent="0.25">
      <c r="A13276" s="1" t="s">
        <v>13275</v>
      </c>
      <c r="C13276" s="3">
        <v>6</v>
      </c>
    </row>
    <row r="13277" spans="1:3" x14ac:dyDescent="0.25">
      <c r="A13277" s="1" t="s">
        <v>13276</v>
      </c>
      <c r="C13277" s="3">
        <v>6</v>
      </c>
    </row>
    <row r="13278" spans="1:3" x14ac:dyDescent="0.25">
      <c r="A13278" s="1" t="s">
        <v>13277</v>
      </c>
      <c r="C13278" s="3">
        <v>6</v>
      </c>
    </row>
    <row r="13279" spans="1:3" x14ac:dyDescent="0.25">
      <c r="A13279" s="1" t="s">
        <v>13278</v>
      </c>
      <c r="C13279" s="3">
        <v>6</v>
      </c>
    </row>
    <row r="13280" spans="1:3" x14ac:dyDescent="0.25">
      <c r="A13280" s="1" t="s">
        <v>13279</v>
      </c>
      <c r="C13280" s="3">
        <v>6</v>
      </c>
    </row>
    <row r="13281" spans="1:3" x14ac:dyDescent="0.25">
      <c r="A13281" s="1" t="s">
        <v>13280</v>
      </c>
      <c r="C13281" s="3">
        <v>6</v>
      </c>
    </row>
    <row r="13282" spans="1:3" x14ac:dyDescent="0.25">
      <c r="A13282" s="1" t="s">
        <v>13281</v>
      </c>
      <c r="C13282" s="3">
        <v>6</v>
      </c>
    </row>
    <row r="13283" spans="1:3" x14ac:dyDescent="0.25">
      <c r="A13283" s="1" t="s">
        <v>13282</v>
      </c>
      <c r="C13283" s="3">
        <v>6</v>
      </c>
    </row>
    <row r="13284" spans="1:3" x14ac:dyDescent="0.25">
      <c r="A13284" s="1" t="s">
        <v>13283</v>
      </c>
      <c r="C13284" s="3">
        <v>6</v>
      </c>
    </row>
    <row r="13285" spans="1:3" x14ac:dyDescent="0.25">
      <c r="A13285" s="1" t="s">
        <v>13284</v>
      </c>
      <c r="C13285" s="3">
        <v>6</v>
      </c>
    </row>
    <row r="13286" spans="1:3" x14ac:dyDescent="0.25">
      <c r="A13286" s="1" t="s">
        <v>13285</v>
      </c>
      <c r="C13286" s="3">
        <v>6</v>
      </c>
    </row>
    <row r="13287" spans="1:3" x14ac:dyDescent="0.25">
      <c r="A13287" s="1" t="s">
        <v>13286</v>
      </c>
      <c r="C13287" s="3">
        <v>6</v>
      </c>
    </row>
    <row r="13288" spans="1:3" x14ac:dyDescent="0.25">
      <c r="A13288" s="1" t="s">
        <v>13287</v>
      </c>
      <c r="C13288" s="3">
        <v>6</v>
      </c>
    </row>
    <row r="13289" spans="1:3" x14ac:dyDescent="0.25">
      <c r="A13289" s="1" t="s">
        <v>13288</v>
      </c>
      <c r="C13289" s="3">
        <v>6</v>
      </c>
    </row>
    <row r="13290" spans="1:3" x14ac:dyDescent="0.25">
      <c r="A13290" s="1" t="s">
        <v>13289</v>
      </c>
      <c r="C13290" s="3">
        <v>6</v>
      </c>
    </row>
    <row r="13291" spans="1:3" x14ac:dyDescent="0.25">
      <c r="A13291" s="1" t="s">
        <v>13290</v>
      </c>
      <c r="C13291" s="3">
        <v>6</v>
      </c>
    </row>
    <row r="13292" spans="1:3" x14ac:dyDescent="0.25">
      <c r="A13292" s="1" t="s">
        <v>13291</v>
      </c>
      <c r="C13292" s="3">
        <v>6</v>
      </c>
    </row>
    <row r="13293" spans="1:3" x14ac:dyDescent="0.25">
      <c r="A13293" s="1" t="s">
        <v>13292</v>
      </c>
      <c r="C13293" s="3">
        <v>6</v>
      </c>
    </row>
    <row r="13294" spans="1:3" x14ac:dyDescent="0.25">
      <c r="A13294" s="1" t="s">
        <v>13293</v>
      </c>
      <c r="C13294" s="3">
        <v>6</v>
      </c>
    </row>
    <row r="13295" spans="1:3" x14ac:dyDescent="0.25">
      <c r="A13295" s="1" t="s">
        <v>13294</v>
      </c>
      <c r="C13295" s="3">
        <v>6</v>
      </c>
    </row>
    <row r="13296" spans="1:3" x14ac:dyDescent="0.25">
      <c r="A13296" s="1" t="s">
        <v>13295</v>
      </c>
      <c r="C13296" s="3">
        <v>6</v>
      </c>
    </row>
    <row r="13297" spans="1:3" x14ac:dyDescent="0.25">
      <c r="A13297" s="1" t="s">
        <v>13296</v>
      </c>
      <c r="C13297" s="3">
        <v>6</v>
      </c>
    </row>
    <row r="13298" spans="1:3" x14ac:dyDescent="0.25">
      <c r="A13298" s="1" t="s">
        <v>13297</v>
      </c>
      <c r="C13298" s="3">
        <v>6</v>
      </c>
    </row>
    <row r="13299" spans="1:3" x14ac:dyDescent="0.25">
      <c r="A13299" s="1" t="s">
        <v>13298</v>
      </c>
      <c r="C13299" s="3">
        <v>6</v>
      </c>
    </row>
    <row r="13300" spans="1:3" x14ac:dyDescent="0.25">
      <c r="A13300" s="1" t="s">
        <v>13299</v>
      </c>
      <c r="C13300" s="3">
        <v>6</v>
      </c>
    </row>
    <row r="13301" spans="1:3" x14ac:dyDescent="0.25">
      <c r="A13301" s="1" t="s">
        <v>13300</v>
      </c>
      <c r="C13301" s="3">
        <v>6</v>
      </c>
    </row>
    <row r="13302" spans="1:3" x14ac:dyDescent="0.25">
      <c r="A13302" s="1" t="s">
        <v>13301</v>
      </c>
      <c r="C13302" s="3">
        <v>6</v>
      </c>
    </row>
    <row r="13303" spans="1:3" x14ac:dyDescent="0.25">
      <c r="A13303" s="1" t="s">
        <v>13302</v>
      </c>
      <c r="C13303" s="3">
        <v>6</v>
      </c>
    </row>
    <row r="13304" spans="1:3" x14ac:dyDescent="0.25">
      <c r="A13304" s="1" t="s">
        <v>13303</v>
      </c>
      <c r="C13304" s="3">
        <v>6</v>
      </c>
    </row>
    <row r="13305" spans="1:3" x14ac:dyDescent="0.25">
      <c r="A13305" s="1" t="s">
        <v>13304</v>
      </c>
      <c r="C13305" s="3">
        <v>6</v>
      </c>
    </row>
    <row r="13306" spans="1:3" x14ac:dyDescent="0.25">
      <c r="A13306" s="1" t="s">
        <v>13305</v>
      </c>
      <c r="C13306" s="3">
        <v>6</v>
      </c>
    </row>
    <row r="13307" spans="1:3" x14ac:dyDescent="0.25">
      <c r="A13307" s="1" t="s">
        <v>13306</v>
      </c>
      <c r="C13307" s="3">
        <v>6</v>
      </c>
    </row>
    <row r="13308" spans="1:3" x14ac:dyDescent="0.25">
      <c r="A13308" s="1" t="s">
        <v>13307</v>
      </c>
      <c r="C13308" s="3">
        <v>6</v>
      </c>
    </row>
    <row r="13309" spans="1:3" x14ac:dyDescent="0.25">
      <c r="A13309" s="1" t="s">
        <v>13308</v>
      </c>
      <c r="C13309" s="3">
        <v>6</v>
      </c>
    </row>
    <row r="13310" spans="1:3" x14ac:dyDescent="0.25">
      <c r="A13310" s="1" t="s">
        <v>13309</v>
      </c>
      <c r="C13310" s="3">
        <v>6</v>
      </c>
    </row>
    <row r="13311" spans="1:3" x14ac:dyDescent="0.25">
      <c r="A13311" s="1" t="s">
        <v>13310</v>
      </c>
      <c r="C13311" s="3">
        <v>6</v>
      </c>
    </row>
    <row r="13312" spans="1:3" x14ac:dyDescent="0.25">
      <c r="A13312" s="1" t="s">
        <v>13311</v>
      </c>
      <c r="C13312" s="3">
        <v>6</v>
      </c>
    </row>
    <row r="13313" spans="1:3" x14ac:dyDescent="0.25">
      <c r="A13313" s="1" t="s">
        <v>13312</v>
      </c>
      <c r="C13313" s="3">
        <v>6</v>
      </c>
    </row>
    <row r="13314" spans="1:3" x14ac:dyDescent="0.25">
      <c r="A13314" s="1" t="s">
        <v>13313</v>
      </c>
      <c r="C13314" s="3">
        <v>6</v>
      </c>
    </row>
    <row r="13315" spans="1:3" x14ac:dyDescent="0.25">
      <c r="A13315" s="1" t="s">
        <v>13314</v>
      </c>
      <c r="C13315" s="3">
        <v>6</v>
      </c>
    </row>
    <row r="13316" spans="1:3" x14ac:dyDescent="0.25">
      <c r="A13316" s="1" t="s">
        <v>13315</v>
      </c>
      <c r="C13316" s="3">
        <v>6</v>
      </c>
    </row>
    <row r="13317" spans="1:3" x14ac:dyDescent="0.25">
      <c r="A13317" s="1" t="s">
        <v>13316</v>
      </c>
      <c r="C13317" s="3">
        <v>6</v>
      </c>
    </row>
    <row r="13318" spans="1:3" x14ac:dyDescent="0.25">
      <c r="A13318" s="1" t="s">
        <v>13317</v>
      </c>
      <c r="C13318" s="3">
        <v>6</v>
      </c>
    </row>
    <row r="13319" spans="1:3" x14ac:dyDescent="0.25">
      <c r="A13319" s="1" t="s">
        <v>13318</v>
      </c>
      <c r="C13319" s="3">
        <v>6</v>
      </c>
    </row>
    <row r="13320" spans="1:3" x14ac:dyDescent="0.25">
      <c r="A13320" s="1" t="s">
        <v>13319</v>
      </c>
      <c r="C13320" s="3">
        <v>6</v>
      </c>
    </row>
    <row r="13321" spans="1:3" x14ac:dyDescent="0.25">
      <c r="A13321" s="1" t="s">
        <v>13320</v>
      </c>
      <c r="C13321" s="3">
        <v>6</v>
      </c>
    </row>
    <row r="13322" spans="1:3" x14ac:dyDescent="0.25">
      <c r="A13322" s="1" t="s">
        <v>13321</v>
      </c>
      <c r="C13322" s="3">
        <v>6</v>
      </c>
    </row>
    <row r="13323" spans="1:3" x14ac:dyDescent="0.25">
      <c r="A13323" s="1" t="s">
        <v>13322</v>
      </c>
      <c r="C13323" s="3">
        <v>6</v>
      </c>
    </row>
    <row r="13324" spans="1:3" x14ac:dyDescent="0.25">
      <c r="A13324" s="1" t="s">
        <v>13323</v>
      </c>
      <c r="C13324" s="3">
        <v>6</v>
      </c>
    </row>
    <row r="13325" spans="1:3" x14ac:dyDescent="0.25">
      <c r="A13325" s="1" t="s">
        <v>13324</v>
      </c>
      <c r="C13325" s="3">
        <v>6</v>
      </c>
    </row>
    <row r="13326" spans="1:3" x14ac:dyDescent="0.25">
      <c r="A13326" s="1" t="s">
        <v>13325</v>
      </c>
      <c r="C13326" s="3">
        <v>6</v>
      </c>
    </row>
    <row r="13327" spans="1:3" x14ac:dyDescent="0.25">
      <c r="A13327" s="1" t="s">
        <v>13326</v>
      </c>
      <c r="C13327" s="3">
        <v>6</v>
      </c>
    </row>
    <row r="13328" spans="1:3" x14ac:dyDescent="0.25">
      <c r="A13328" s="1" t="s">
        <v>13327</v>
      </c>
      <c r="C13328" s="3">
        <v>6</v>
      </c>
    </row>
    <row r="13329" spans="1:3" x14ac:dyDescent="0.25">
      <c r="A13329" s="1" t="s">
        <v>13328</v>
      </c>
      <c r="C13329" s="3">
        <v>6</v>
      </c>
    </row>
    <row r="13330" spans="1:3" x14ac:dyDescent="0.25">
      <c r="A13330" s="1" t="s">
        <v>13329</v>
      </c>
      <c r="C13330" s="3">
        <v>6</v>
      </c>
    </row>
    <row r="13331" spans="1:3" x14ac:dyDescent="0.25">
      <c r="A13331" s="1" t="s">
        <v>13330</v>
      </c>
      <c r="C13331" s="3">
        <v>6</v>
      </c>
    </row>
    <row r="13332" spans="1:3" x14ac:dyDescent="0.25">
      <c r="A13332" s="1" t="s">
        <v>13331</v>
      </c>
      <c r="C13332" s="3">
        <v>6</v>
      </c>
    </row>
    <row r="13333" spans="1:3" x14ac:dyDescent="0.25">
      <c r="A13333" s="1" t="s">
        <v>13332</v>
      </c>
      <c r="C13333" s="3">
        <v>6</v>
      </c>
    </row>
    <row r="13334" spans="1:3" x14ac:dyDescent="0.25">
      <c r="A13334" s="1" t="s">
        <v>13333</v>
      </c>
      <c r="C13334" s="3">
        <v>6</v>
      </c>
    </row>
    <row r="13335" spans="1:3" x14ac:dyDescent="0.25">
      <c r="A13335" s="1" t="s">
        <v>13334</v>
      </c>
      <c r="C13335" s="3">
        <v>6</v>
      </c>
    </row>
    <row r="13336" spans="1:3" x14ac:dyDescent="0.25">
      <c r="A13336" s="1" t="s">
        <v>13335</v>
      </c>
      <c r="C13336" s="3">
        <v>6</v>
      </c>
    </row>
    <row r="13337" spans="1:3" x14ac:dyDescent="0.25">
      <c r="A13337" s="1" t="s">
        <v>13336</v>
      </c>
      <c r="C13337" s="3">
        <v>6</v>
      </c>
    </row>
    <row r="13338" spans="1:3" x14ac:dyDescent="0.25">
      <c r="A13338" s="1" t="s">
        <v>13337</v>
      </c>
      <c r="C13338" s="3">
        <v>6</v>
      </c>
    </row>
    <row r="13339" spans="1:3" x14ac:dyDescent="0.25">
      <c r="A13339" s="1" t="s">
        <v>13338</v>
      </c>
      <c r="C13339" s="3">
        <v>6</v>
      </c>
    </row>
    <row r="13340" spans="1:3" x14ac:dyDescent="0.25">
      <c r="A13340" s="1" t="s">
        <v>13339</v>
      </c>
      <c r="C13340" s="3">
        <v>6</v>
      </c>
    </row>
    <row r="13341" spans="1:3" x14ac:dyDescent="0.25">
      <c r="A13341" s="1" t="s">
        <v>13340</v>
      </c>
      <c r="C13341" s="3">
        <v>6</v>
      </c>
    </row>
    <row r="13342" spans="1:3" x14ac:dyDescent="0.25">
      <c r="A13342" s="1" t="s">
        <v>13341</v>
      </c>
      <c r="C13342" s="3">
        <v>6</v>
      </c>
    </row>
    <row r="13343" spans="1:3" x14ac:dyDescent="0.25">
      <c r="A13343" s="1" t="s">
        <v>13342</v>
      </c>
      <c r="C13343" s="3">
        <v>6</v>
      </c>
    </row>
    <row r="13344" spans="1:3" x14ac:dyDescent="0.25">
      <c r="A13344" s="1" t="s">
        <v>13343</v>
      </c>
      <c r="C13344" s="3">
        <v>6</v>
      </c>
    </row>
    <row r="13345" spans="1:3" x14ac:dyDescent="0.25">
      <c r="A13345" s="1" t="s">
        <v>13344</v>
      </c>
      <c r="C13345" s="3">
        <v>6</v>
      </c>
    </row>
    <row r="13346" spans="1:3" x14ac:dyDescent="0.25">
      <c r="A13346" s="1" t="s">
        <v>13345</v>
      </c>
      <c r="C13346" s="3">
        <v>6</v>
      </c>
    </row>
    <row r="13347" spans="1:3" x14ac:dyDescent="0.25">
      <c r="A13347" s="1" t="s">
        <v>13346</v>
      </c>
      <c r="C13347" s="3">
        <v>6</v>
      </c>
    </row>
    <row r="13348" spans="1:3" x14ac:dyDescent="0.25">
      <c r="A13348" s="1" t="s">
        <v>13347</v>
      </c>
      <c r="C13348" s="3">
        <v>6</v>
      </c>
    </row>
    <row r="13349" spans="1:3" x14ac:dyDescent="0.25">
      <c r="A13349" s="1" t="s">
        <v>13348</v>
      </c>
      <c r="C13349" s="3">
        <v>6</v>
      </c>
    </row>
    <row r="13350" spans="1:3" x14ac:dyDescent="0.25">
      <c r="A13350" s="1" t="s">
        <v>13349</v>
      </c>
      <c r="C13350" s="3">
        <v>6</v>
      </c>
    </row>
    <row r="13351" spans="1:3" x14ac:dyDescent="0.25">
      <c r="A13351" s="1" t="s">
        <v>13350</v>
      </c>
      <c r="C13351" s="3">
        <v>6</v>
      </c>
    </row>
    <row r="13352" spans="1:3" x14ac:dyDescent="0.25">
      <c r="A13352" s="1" t="s">
        <v>13351</v>
      </c>
      <c r="C13352" s="3">
        <v>6</v>
      </c>
    </row>
    <row r="13353" spans="1:3" x14ac:dyDescent="0.25">
      <c r="A13353" s="1" t="s">
        <v>13352</v>
      </c>
      <c r="C13353" s="3">
        <v>6</v>
      </c>
    </row>
    <row r="13354" spans="1:3" x14ac:dyDescent="0.25">
      <c r="A13354" s="1" t="s">
        <v>13353</v>
      </c>
      <c r="C13354" s="3">
        <v>6</v>
      </c>
    </row>
    <row r="13355" spans="1:3" x14ac:dyDescent="0.25">
      <c r="A13355" s="1" t="s">
        <v>13354</v>
      </c>
      <c r="C13355" s="3">
        <v>6</v>
      </c>
    </row>
    <row r="13356" spans="1:3" x14ac:dyDescent="0.25">
      <c r="A13356" s="1" t="s">
        <v>13355</v>
      </c>
      <c r="C13356" s="3">
        <v>6</v>
      </c>
    </row>
    <row r="13357" spans="1:3" x14ac:dyDescent="0.25">
      <c r="A13357" s="1" t="s">
        <v>13356</v>
      </c>
      <c r="C13357" s="3">
        <v>6</v>
      </c>
    </row>
    <row r="13358" spans="1:3" x14ac:dyDescent="0.25">
      <c r="A13358" s="1" t="s">
        <v>13357</v>
      </c>
      <c r="C13358" s="3">
        <v>6</v>
      </c>
    </row>
    <row r="13359" spans="1:3" x14ac:dyDescent="0.25">
      <c r="A13359" s="1" t="s">
        <v>13358</v>
      </c>
      <c r="C13359" s="3">
        <v>6</v>
      </c>
    </row>
    <row r="13360" spans="1:3" x14ac:dyDescent="0.25">
      <c r="A13360" s="1" t="s">
        <v>13359</v>
      </c>
      <c r="C13360" s="3">
        <v>6</v>
      </c>
    </row>
    <row r="13361" spans="1:3" x14ac:dyDescent="0.25">
      <c r="A13361" s="1" t="s">
        <v>13360</v>
      </c>
      <c r="C13361" s="3">
        <v>6</v>
      </c>
    </row>
    <row r="13362" spans="1:3" x14ac:dyDescent="0.25">
      <c r="A13362" s="1" t="s">
        <v>13361</v>
      </c>
      <c r="C13362" s="3">
        <v>6</v>
      </c>
    </row>
    <row r="13363" spans="1:3" x14ac:dyDescent="0.25">
      <c r="A13363" s="1" t="s">
        <v>13362</v>
      </c>
      <c r="C13363" s="3">
        <v>6</v>
      </c>
    </row>
    <row r="13364" spans="1:3" x14ac:dyDescent="0.25">
      <c r="A13364" s="1" t="s">
        <v>13363</v>
      </c>
      <c r="C13364" s="3">
        <v>6</v>
      </c>
    </row>
    <row r="13365" spans="1:3" x14ac:dyDescent="0.25">
      <c r="A13365" s="1" t="s">
        <v>13364</v>
      </c>
      <c r="C13365" s="3">
        <v>6</v>
      </c>
    </row>
    <row r="13366" spans="1:3" x14ac:dyDescent="0.25">
      <c r="A13366" s="1" t="s">
        <v>13365</v>
      </c>
      <c r="C13366" s="3">
        <v>6</v>
      </c>
    </row>
    <row r="13367" spans="1:3" x14ac:dyDescent="0.25">
      <c r="A13367" s="1" t="s">
        <v>13366</v>
      </c>
      <c r="C13367" s="3">
        <v>6</v>
      </c>
    </row>
    <row r="13368" spans="1:3" x14ac:dyDescent="0.25">
      <c r="A13368" s="1" t="s">
        <v>13367</v>
      </c>
      <c r="C13368" s="3">
        <v>6</v>
      </c>
    </row>
    <row r="13369" spans="1:3" x14ac:dyDescent="0.25">
      <c r="A13369" s="1" t="s">
        <v>13368</v>
      </c>
      <c r="C13369" s="3">
        <v>6</v>
      </c>
    </row>
    <row r="13370" spans="1:3" x14ac:dyDescent="0.25">
      <c r="A13370" s="1" t="s">
        <v>13369</v>
      </c>
      <c r="C13370" s="3">
        <v>6</v>
      </c>
    </row>
    <row r="13371" spans="1:3" x14ac:dyDescent="0.25">
      <c r="A13371" s="1" t="s">
        <v>13370</v>
      </c>
      <c r="C13371" s="3">
        <v>6</v>
      </c>
    </row>
    <row r="13372" spans="1:3" x14ac:dyDescent="0.25">
      <c r="A13372" s="1" t="s">
        <v>13371</v>
      </c>
      <c r="C13372" s="3">
        <v>6</v>
      </c>
    </row>
    <row r="13373" spans="1:3" x14ac:dyDescent="0.25">
      <c r="A13373" s="1" t="s">
        <v>13372</v>
      </c>
      <c r="C13373" s="3">
        <v>6</v>
      </c>
    </row>
    <row r="13374" spans="1:3" x14ac:dyDescent="0.25">
      <c r="A13374" s="1" t="s">
        <v>13373</v>
      </c>
      <c r="C13374" s="3">
        <v>6</v>
      </c>
    </row>
    <row r="13375" spans="1:3" x14ac:dyDescent="0.25">
      <c r="A13375" s="1" t="s">
        <v>13374</v>
      </c>
      <c r="C13375" s="3">
        <v>6</v>
      </c>
    </row>
    <row r="13376" spans="1:3" x14ac:dyDescent="0.25">
      <c r="A13376" s="1" t="s">
        <v>13375</v>
      </c>
      <c r="C13376" s="3">
        <v>6</v>
      </c>
    </row>
    <row r="13377" spans="1:3" x14ac:dyDescent="0.25">
      <c r="A13377" s="1" t="s">
        <v>13376</v>
      </c>
      <c r="C13377" s="3">
        <v>6</v>
      </c>
    </row>
    <row r="13378" spans="1:3" x14ac:dyDescent="0.25">
      <c r="A13378" s="1" t="s">
        <v>13377</v>
      </c>
      <c r="C13378" s="3">
        <v>6</v>
      </c>
    </row>
    <row r="13379" spans="1:3" x14ac:dyDescent="0.25">
      <c r="A13379" s="1" t="s">
        <v>13378</v>
      </c>
      <c r="C13379" s="3">
        <v>6</v>
      </c>
    </row>
    <row r="13380" spans="1:3" x14ac:dyDescent="0.25">
      <c r="A13380" s="1" t="s">
        <v>13379</v>
      </c>
      <c r="C13380" s="3">
        <v>6</v>
      </c>
    </row>
    <row r="13381" spans="1:3" x14ac:dyDescent="0.25">
      <c r="A13381" s="1" t="s">
        <v>13380</v>
      </c>
      <c r="C13381" s="3">
        <v>6</v>
      </c>
    </row>
    <row r="13382" spans="1:3" x14ac:dyDescent="0.25">
      <c r="A13382" s="1" t="s">
        <v>13381</v>
      </c>
      <c r="C13382" s="3">
        <v>6</v>
      </c>
    </row>
    <row r="13383" spans="1:3" x14ac:dyDescent="0.25">
      <c r="A13383" s="1" t="s">
        <v>13382</v>
      </c>
      <c r="C13383" s="3">
        <v>6</v>
      </c>
    </row>
    <row r="13384" spans="1:3" x14ac:dyDescent="0.25">
      <c r="A13384" s="1" t="s">
        <v>13383</v>
      </c>
      <c r="C13384" s="3">
        <v>6</v>
      </c>
    </row>
    <row r="13385" spans="1:3" x14ac:dyDescent="0.25">
      <c r="A13385" s="1" t="s">
        <v>13384</v>
      </c>
      <c r="C13385" s="3">
        <v>6</v>
      </c>
    </row>
    <row r="13386" spans="1:3" x14ac:dyDescent="0.25">
      <c r="A13386" s="1" t="s">
        <v>13385</v>
      </c>
      <c r="C13386" s="3">
        <v>6</v>
      </c>
    </row>
    <row r="13387" spans="1:3" x14ac:dyDescent="0.25">
      <c r="A13387" s="1" t="s">
        <v>13386</v>
      </c>
      <c r="C13387" s="3">
        <v>6</v>
      </c>
    </row>
    <row r="13388" spans="1:3" x14ac:dyDescent="0.25">
      <c r="A13388" s="1" t="s">
        <v>13387</v>
      </c>
      <c r="C13388" s="3">
        <v>6</v>
      </c>
    </row>
    <row r="13389" spans="1:3" x14ac:dyDescent="0.25">
      <c r="A13389" s="1" t="s">
        <v>13388</v>
      </c>
      <c r="C13389" s="3">
        <v>6</v>
      </c>
    </row>
    <row r="13390" spans="1:3" x14ac:dyDescent="0.25">
      <c r="A13390" s="1" t="s">
        <v>13389</v>
      </c>
      <c r="C13390" s="3">
        <v>6</v>
      </c>
    </row>
    <row r="13391" spans="1:3" x14ac:dyDescent="0.25">
      <c r="A13391" s="1" t="s">
        <v>13390</v>
      </c>
      <c r="C13391" s="3">
        <v>6</v>
      </c>
    </row>
    <row r="13392" spans="1:3" x14ac:dyDescent="0.25">
      <c r="A13392" s="1" t="s">
        <v>13391</v>
      </c>
      <c r="C13392" s="3">
        <v>6</v>
      </c>
    </row>
    <row r="13393" spans="1:3" x14ac:dyDescent="0.25">
      <c r="A13393" s="1" t="s">
        <v>13392</v>
      </c>
      <c r="C13393" s="3">
        <v>6</v>
      </c>
    </row>
    <row r="13394" spans="1:3" x14ac:dyDescent="0.25">
      <c r="A13394" s="1" t="s">
        <v>13393</v>
      </c>
      <c r="C13394" s="3">
        <v>6</v>
      </c>
    </row>
    <row r="13395" spans="1:3" x14ac:dyDescent="0.25">
      <c r="A13395" s="1" t="s">
        <v>13394</v>
      </c>
      <c r="C13395" s="3">
        <v>6</v>
      </c>
    </row>
    <row r="13396" spans="1:3" x14ac:dyDescent="0.25">
      <c r="A13396" s="1" t="s">
        <v>13395</v>
      </c>
      <c r="C13396" s="3">
        <v>6</v>
      </c>
    </row>
    <row r="13397" spans="1:3" x14ac:dyDescent="0.25">
      <c r="A13397" s="1" t="s">
        <v>13396</v>
      </c>
      <c r="C13397" s="3">
        <v>6</v>
      </c>
    </row>
    <row r="13398" spans="1:3" x14ac:dyDescent="0.25">
      <c r="A13398" s="1" t="s">
        <v>13397</v>
      </c>
      <c r="C13398" s="3">
        <v>6</v>
      </c>
    </row>
    <row r="13399" spans="1:3" x14ac:dyDescent="0.25">
      <c r="A13399" s="1" t="s">
        <v>13398</v>
      </c>
      <c r="C13399" s="3">
        <v>6</v>
      </c>
    </row>
    <row r="13400" spans="1:3" x14ac:dyDescent="0.25">
      <c r="A13400" s="1" t="s">
        <v>13399</v>
      </c>
      <c r="C13400" s="3">
        <v>6</v>
      </c>
    </row>
    <row r="13401" spans="1:3" x14ac:dyDescent="0.25">
      <c r="A13401" s="1" t="s">
        <v>13400</v>
      </c>
      <c r="C13401" s="3">
        <v>6</v>
      </c>
    </row>
    <row r="13402" spans="1:3" x14ac:dyDescent="0.25">
      <c r="A13402" s="1" t="s">
        <v>13401</v>
      </c>
      <c r="C13402" s="3">
        <v>6</v>
      </c>
    </row>
    <row r="13403" spans="1:3" x14ac:dyDescent="0.25">
      <c r="A13403" s="1" t="s">
        <v>13402</v>
      </c>
      <c r="C13403" s="3">
        <v>6</v>
      </c>
    </row>
    <row r="13404" spans="1:3" x14ac:dyDescent="0.25">
      <c r="A13404" s="1" t="s">
        <v>13403</v>
      </c>
      <c r="C13404" s="3">
        <v>6</v>
      </c>
    </row>
    <row r="13405" spans="1:3" x14ac:dyDescent="0.25">
      <c r="A13405" s="1" t="s">
        <v>13404</v>
      </c>
      <c r="C13405" s="3">
        <v>6</v>
      </c>
    </row>
    <row r="13406" spans="1:3" x14ac:dyDescent="0.25">
      <c r="A13406" s="1" t="s">
        <v>13405</v>
      </c>
      <c r="C13406" s="3">
        <v>6</v>
      </c>
    </row>
    <row r="13407" spans="1:3" x14ac:dyDescent="0.25">
      <c r="A13407" s="1" t="s">
        <v>13406</v>
      </c>
      <c r="C13407" s="3">
        <v>6</v>
      </c>
    </row>
    <row r="13408" spans="1:3" x14ac:dyDescent="0.25">
      <c r="A13408" s="1" t="s">
        <v>13407</v>
      </c>
      <c r="C13408" s="3">
        <v>6</v>
      </c>
    </row>
    <row r="13409" spans="1:3" x14ac:dyDescent="0.25">
      <c r="A13409" s="1" t="s">
        <v>13408</v>
      </c>
      <c r="C13409" s="3">
        <v>6</v>
      </c>
    </row>
    <row r="13410" spans="1:3" x14ac:dyDescent="0.25">
      <c r="A13410" s="1" t="s">
        <v>13409</v>
      </c>
      <c r="C13410" s="3">
        <v>6</v>
      </c>
    </row>
    <row r="13411" spans="1:3" x14ac:dyDescent="0.25">
      <c r="A13411" s="1" t="s">
        <v>13410</v>
      </c>
      <c r="C13411" s="3">
        <v>6</v>
      </c>
    </row>
    <row r="13412" spans="1:3" x14ac:dyDescent="0.25">
      <c r="A13412" s="1" t="s">
        <v>13411</v>
      </c>
      <c r="C13412" s="3">
        <v>6</v>
      </c>
    </row>
    <row r="13413" spans="1:3" x14ac:dyDescent="0.25">
      <c r="A13413" s="1" t="s">
        <v>13412</v>
      </c>
      <c r="C13413" s="3">
        <v>6</v>
      </c>
    </row>
    <row r="13414" spans="1:3" x14ac:dyDescent="0.25">
      <c r="A13414" s="1" t="s">
        <v>13413</v>
      </c>
      <c r="C13414" s="3">
        <v>6</v>
      </c>
    </row>
    <row r="13415" spans="1:3" x14ac:dyDescent="0.25">
      <c r="A13415" s="1" t="s">
        <v>13414</v>
      </c>
      <c r="C13415" s="3">
        <v>6</v>
      </c>
    </row>
    <row r="13416" spans="1:3" x14ac:dyDescent="0.25">
      <c r="A13416" s="1" t="s">
        <v>13415</v>
      </c>
      <c r="C13416" s="3">
        <v>6</v>
      </c>
    </row>
    <row r="13417" spans="1:3" x14ac:dyDescent="0.25">
      <c r="A13417" s="1" t="s">
        <v>13416</v>
      </c>
      <c r="C13417" s="3">
        <v>6</v>
      </c>
    </row>
    <row r="13418" spans="1:3" x14ac:dyDescent="0.25">
      <c r="A13418" s="1" t="s">
        <v>13417</v>
      </c>
      <c r="C13418" s="3">
        <v>6</v>
      </c>
    </row>
    <row r="13419" spans="1:3" x14ac:dyDescent="0.25">
      <c r="A13419" s="1" t="s">
        <v>13418</v>
      </c>
      <c r="C13419" s="3">
        <v>6</v>
      </c>
    </row>
    <row r="13420" spans="1:3" x14ac:dyDescent="0.25">
      <c r="A13420" s="1" t="s">
        <v>13419</v>
      </c>
      <c r="C13420" s="3">
        <v>6</v>
      </c>
    </row>
    <row r="13421" spans="1:3" x14ac:dyDescent="0.25">
      <c r="A13421" s="1" t="s">
        <v>13420</v>
      </c>
      <c r="C13421" s="3">
        <v>6</v>
      </c>
    </row>
    <row r="13422" spans="1:3" x14ac:dyDescent="0.25">
      <c r="A13422" s="1" t="s">
        <v>13421</v>
      </c>
      <c r="C13422" s="3">
        <v>6</v>
      </c>
    </row>
    <row r="13423" spans="1:3" x14ac:dyDescent="0.25">
      <c r="A13423" s="1" t="s">
        <v>13422</v>
      </c>
      <c r="C13423" s="3">
        <v>6</v>
      </c>
    </row>
    <row r="13424" spans="1:3" x14ac:dyDescent="0.25">
      <c r="A13424" s="1" t="s">
        <v>13423</v>
      </c>
      <c r="C13424" s="3">
        <v>6</v>
      </c>
    </row>
    <row r="13425" spans="1:3" x14ac:dyDescent="0.25">
      <c r="A13425" s="1" t="s">
        <v>13424</v>
      </c>
      <c r="C13425" s="3">
        <v>6</v>
      </c>
    </row>
    <row r="13426" spans="1:3" x14ac:dyDescent="0.25">
      <c r="A13426" s="1" t="s">
        <v>13425</v>
      </c>
      <c r="C13426" s="3">
        <v>6</v>
      </c>
    </row>
    <row r="13427" spans="1:3" x14ac:dyDescent="0.25">
      <c r="A13427" s="1" t="s">
        <v>13426</v>
      </c>
      <c r="C13427" s="3">
        <v>6</v>
      </c>
    </row>
    <row r="13428" spans="1:3" x14ac:dyDescent="0.25">
      <c r="A13428" s="1" t="s">
        <v>13427</v>
      </c>
      <c r="C13428" s="3">
        <v>6</v>
      </c>
    </row>
    <row r="13429" spans="1:3" x14ac:dyDescent="0.25">
      <c r="A13429" s="1" t="s">
        <v>13428</v>
      </c>
      <c r="C13429" s="3">
        <v>6</v>
      </c>
    </row>
    <row r="13430" spans="1:3" x14ac:dyDescent="0.25">
      <c r="A13430" s="1" t="s">
        <v>13429</v>
      </c>
      <c r="C13430" s="3">
        <v>6</v>
      </c>
    </row>
    <row r="13431" spans="1:3" x14ac:dyDescent="0.25">
      <c r="A13431" s="1" t="s">
        <v>13430</v>
      </c>
      <c r="C13431" s="3">
        <v>6</v>
      </c>
    </row>
    <row r="13432" spans="1:3" x14ac:dyDescent="0.25">
      <c r="A13432" s="1" t="s">
        <v>13431</v>
      </c>
      <c r="C13432" s="3">
        <v>6</v>
      </c>
    </row>
    <row r="13433" spans="1:3" x14ac:dyDescent="0.25">
      <c r="A13433" s="1" t="s">
        <v>13432</v>
      </c>
      <c r="C13433" s="3">
        <v>6</v>
      </c>
    </row>
    <row r="13434" spans="1:3" x14ac:dyDescent="0.25">
      <c r="A13434" s="1" t="s">
        <v>13433</v>
      </c>
      <c r="C13434" s="3">
        <v>6</v>
      </c>
    </row>
    <row r="13435" spans="1:3" x14ac:dyDescent="0.25">
      <c r="A13435" s="1" t="s">
        <v>13434</v>
      </c>
      <c r="C13435" s="3">
        <v>6</v>
      </c>
    </row>
    <row r="13436" spans="1:3" x14ac:dyDescent="0.25">
      <c r="A13436" s="1" t="s">
        <v>13435</v>
      </c>
      <c r="C13436" s="3">
        <v>6</v>
      </c>
    </row>
    <row r="13437" spans="1:3" x14ac:dyDescent="0.25">
      <c r="A13437" s="1" t="s">
        <v>13436</v>
      </c>
      <c r="C13437" s="3">
        <v>6</v>
      </c>
    </row>
    <row r="13438" spans="1:3" x14ac:dyDescent="0.25">
      <c r="A13438" s="1" t="s">
        <v>13437</v>
      </c>
      <c r="C13438" s="3">
        <v>6</v>
      </c>
    </row>
    <row r="13439" spans="1:3" x14ac:dyDescent="0.25">
      <c r="A13439" s="1" t="s">
        <v>13438</v>
      </c>
      <c r="C13439" s="3">
        <v>6</v>
      </c>
    </row>
    <row r="13440" spans="1:3" x14ac:dyDescent="0.25">
      <c r="A13440" s="1" t="s">
        <v>13439</v>
      </c>
      <c r="C13440" s="3">
        <v>6</v>
      </c>
    </row>
    <row r="13441" spans="1:3" x14ac:dyDescent="0.25">
      <c r="A13441" s="1" t="s">
        <v>13440</v>
      </c>
      <c r="C13441" s="3">
        <v>6</v>
      </c>
    </row>
    <row r="13442" spans="1:3" x14ac:dyDescent="0.25">
      <c r="A13442" s="1" t="s">
        <v>13441</v>
      </c>
      <c r="C13442" s="3">
        <v>6</v>
      </c>
    </row>
    <row r="13443" spans="1:3" x14ac:dyDescent="0.25">
      <c r="A13443" s="1" t="s">
        <v>13442</v>
      </c>
      <c r="C13443" s="3">
        <v>6</v>
      </c>
    </row>
    <row r="13444" spans="1:3" x14ac:dyDescent="0.25">
      <c r="A13444" s="1" t="s">
        <v>13443</v>
      </c>
      <c r="C13444" s="3">
        <v>6</v>
      </c>
    </row>
    <row r="13445" spans="1:3" x14ac:dyDescent="0.25">
      <c r="A13445" s="1" t="s">
        <v>13444</v>
      </c>
      <c r="C13445" s="3">
        <v>6</v>
      </c>
    </row>
    <row r="13446" spans="1:3" x14ac:dyDescent="0.25">
      <c r="A13446" s="1" t="s">
        <v>13445</v>
      </c>
      <c r="C13446" s="3">
        <v>6</v>
      </c>
    </row>
    <row r="13447" spans="1:3" x14ac:dyDescent="0.25">
      <c r="A13447" s="1" t="s">
        <v>13446</v>
      </c>
      <c r="C13447" s="3">
        <v>6</v>
      </c>
    </row>
    <row r="13448" spans="1:3" x14ac:dyDescent="0.25">
      <c r="A13448" s="1" t="s">
        <v>13447</v>
      </c>
      <c r="C13448" s="3">
        <v>6</v>
      </c>
    </row>
    <row r="13449" spans="1:3" x14ac:dyDescent="0.25">
      <c r="A13449" s="1" t="s">
        <v>13448</v>
      </c>
      <c r="C13449" s="3">
        <v>6</v>
      </c>
    </row>
    <row r="13450" spans="1:3" x14ac:dyDescent="0.25">
      <c r="A13450" s="1" t="s">
        <v>13449</v>
      </c>
      <c r="C13450" s="3">
        <v>6</v>
      </c>
    </row>
    <row r="13451" spans="1:3" x14ac:dyDescent="0.25">
      <c r="A13451" s="1" t="s">
        <v>13450</v>
      </c>
      <c r="C13451" s="3">
        <v>6</v>
      </c>
    </row>
    <row r="13452" spans="1:3" x14ac:dyDescent="0.25">
      <c r="A13452" s="1" t="s">
        <v>13451</v>
      </c>
      <c r="C13452" s="3">
        <v>6</v>
      </c>
    </row>
    <row r="13453" spans="1:3" x14ac:dyDescent="0.25">
      <c r="A13453" s="1" t="s">
        <v>13452</v>
      </c>
      <c r="C13453" s="3">
        <v>6</v>
      </c>
    </row>
    <row r="13454" spans="1:3" x14ac:dyDescent="0.25">
      <c r="A13454" s="1" t="s">
        <v>13453</v>
      </c>
      <c r="C13454" s="3">
        <v>6</v>
      </c>
    </row>
    <row r="13455" spans="1:3" x14ac:dyDescent="0.25">
      <c r="A13455" s="1" t="s">
        <v>13454</v>
      </c>
      <c r="C13455" s="3">
        <v>6</v>
      </c>
    </row>
    <row r="13456" spans="1:3" x14ac:dyDescent="0.25">
      <c r="A13456" s="1" t="s">
        <v>13455</v>
      </c>
      <c r="C13456" s="3">
        <v>6</v>
      </c>
    </row>
    <row r="13457" spans="1:3" x14ac:dyDescent="0.25">
      <c r="A13457" s="1" t="s">
        <v>13456</v>
      </c>
      <c r="C13457" s="3">
        <v>6</v>
      </c>
    </row>
    <row r="13458" spans="1:3" x14ac:dyDescent="0.25">
      <c r="A13458" s="1" t="s">
        <v>13457</v>
      </c>
      <c r="C13458" s="3">
        <v>6</v>
      </c>
    </row>
    <row r="13459" spans="1:3" x14ac:dyDescent="0.25">
      <c r="A13459" s="1" t="s">
        <v>13458</v>
      </c>
      <c r="C13459" s="3">
        <v>6</v>
      </c>
    </row>
    <row r="13460" spans="1:3" x14ac:dyDescent="0.25">
      <c r="A13460" s="1" t="s">
        <v>13459</v>
      </c>
      <c r="C13460" s="3">
        <v>6</v>
      </c>
    </row>
    <row r="13461" spans="1:3" x14ac:dyDescent="0.25">
      <c r="A13461" s="1" t="s">
        <v>13460</v>
      </c>
      <c r="C13461" s="3">
        <v>6</v>
      </c>
    </row>
    <row r="13462" spans="1:3" x14ac:dyDescent="0.25">
      <c r="A13462" s="1" t="s">
        <v>13461</v>
      </c>
      <c r="C13462" s="3">
        <v>6</v>
      </c>
    </row>
    <row r="13463" spans="1:3" x14ac:dyDescent="0.25">
      <c r="A13463" s="1" t="s">
        <v>13462</v>
      </c>
      <c r="C13463" s="3">
        <v>6</v>
      </c>
    </row>
    <row r="13464" spans="1:3" x14ac:dyDescent="0.25">
      <c r="A13464" s="1" t="s">
        <v>13463</v>
      </c>
      <c r="C13464" s="3">
        <v>6</v>
      </c>
    </row>
    <row r="13465" spans="1:3" x14ac:dyDescent="0.25">
      <c r="A13465" s="1" t="s">
        <v>13464</v>
      </c>
      <c r="C13465" s="3">
        <v>6</v>
      </c>
    </row>
    <row r="13466" spans="1:3" x14ac:dyDescent="0.25">
      <c r="A13466" s="1" t="s">
        <v>13465</v>
      </c>
      <c r="C13466" s="3">
        <v>6</v>
      </c>
    </row>
    <row r="13467" spans="1:3" x14ac:dyDescent="0.25">
      <c r="A13467" s="1" t="s">
        <v>13466</v>
      </c>
      <c r="C13467" s="3">
        <v>6</v>
      </c>
    </row>
    <row r="13468" spans="1:3" x14ac:dyDescent="0.25">
      <c r="A13468" s="1" t="s">
        <v>13467</v>
      </c>
      <c r="C13468" s="3">
        <v>6</v>
      </c>
    </row>
    <row r="13469" spans="1:3" x14ac:dyDescent="0.25">
      <c r="A13469" s="1" t="s">
        <v>13468</v>
      </c>
      <c r="C13469" s="3">
        <v>6</v>
      </c>
    </row>
    <row r="13470" spans="1:3" x14ac:dyDescent="0.25">
      <c r="A13470" s="1" t="s">
        <v>13469</v>
      </c>
      <c r="C13470" s="3">
        <v>6</v>
      </c>
    </row>
    <row r="13471" spans="1:3" x14ac:dyDescent="0.25">
      <c r="A13471" s="1" t="s">
        <v>13470</v>
      </c>
      <c r="C13471" s="3">
        <v>6</v>
      </c>
    </row>
    <row r="13472" spans="1:3" x14ac:dyDescent="0.25">
      <c r="A13472" s="1" t="s">
        <v>13471</v>
      </c>
      <c r="C13472" s="3">
        <v>6</v>
      </c>
    </row>
    <row r="13473" spans="1:3" x14ac:dyDescent="0.25">
      <c r="A13473" s="1" t="s">
        <v>13472</v>
      </c>
      <c r="C13473" s="3">
        <v>6</v>
      </c>
    </row>
    <row r="13474" spans="1:3" x14ac:dyDescent="0.25">
      <c r="A13474" s="1" t="s">
        <v>13473</v>
      </c>
      <c r="C13474" s="3">
        <v>6</v>
      </c>
    </row>
    <row r="13475" spans="1:3" x14ac:dyDescent="0.25">
      <c r="A13475" s="1" t="s">
        <v>13474</v>
      </c>
      <c r="C13475" s="3">
        <v>6</v>
      </c>
    </row>
    <row r="13476" spans="1:3" x14ac:dyDescent="0.25">
      <c r="A13476" s="1" t="s">
        <v>13475</v>
      </c>
      <c r="C13476" s="3">
        <v>6</v>
      </c>
    </row>
    <row r="13477" spans="1:3" x14ac:dyDescent="0.25">
      <c r="A13477" s="1" t="s">
        <v>13476</v>
      </c>
      <c r="C13477" s="3">
        <v>6</v>
      </c>
    </row>
    <row r="13478" spans="1:3" x14ac:dyDescent="0.25">
      <c r="A13478" s="1" t="s">
        <v>13477</v>
      </c>
      <c r="C13478" s="3">
        <v>6</v>
      </c>
    </row>
    <row r="13479" spans="1:3" x14ac:dyDescent="0.25">
      <c r="A13479" s="1" t="s">
        <v>13478</v>
      </c>
      <c r="C13479" s="3">
        <v>6</v>
      </c>
    </row>
    <row r="13480" spans="1:3" x14ac:dyDescent="0.25">
      <c r="A13480" s="1" t="s">
        <v>13479</v>
      </c>
      <c r="C13480" s="3">
        <v>6</v>
      </c>
    </row>
    <row r="13481" spans="1:3" x14ac:dyDescent="0.25">
      <c r="A13481" s="1" t="s">
        <v>13480</v>
      </c>
      <c r="C13481" s="3">
        <v>6</v>
      </c>
    </row>
    <row r="13482" spans="1:3" x14ac:dyDescent="0.25">
      <c r="A13482" s="1" t="s">
        <v>13481</v>
      </c>
      <c r="C13482" s="3">
        <v>6</v>
      </c>
    </row>
    <row r="13483" spans="1:3" x14ac:dyDescent="0.25">
      <c r="A13483" s="1" t="s">
        <v>13482</v>
      </c>
      <c r="C13483" s="3">
        <v>6</v>
      </c>
    </row>
    <row r="13484" spans="1:3" x14ac:dyDescent="0.25">
      <c r="A13484" s="1" t="s">
        <v>13483</v>
      </c>
      <c r="C13484" s="3">
        <v>6</v>
      </c>
    </row>
    <row r="13485" spans="1:3" x14ac:dyDescent="0.25">
      <c r="A13485" s="1" t="s">
        <v>13484</v>
      </c>
      <c r="C13485" s="3">
        <v>6</v>
      </c>
    </row>
    <row r="13486" spans="1:3" x14ac:dyDescent="0.25">
      <c r="A13486" s="1" t="s">
        <v>13485</v>
      </c>
      <c r="C13486" s="3">
        <v>6</v>
      </c>
    </row>
    <row r="13487" spans="1:3" x14ac:dyDescent="0.25">
      <c r="A13487" s="1" t="s">
        <v>13486</v>
      </c>
      <c r="C13487" s="3">
        <v>6</v>
      </c>
    </row>
    <row r="13488" spans="1:3" x14ac:dyDescent="0.25">
      <c r="A13488" s="1" t="s">
        <v>13487</v>
      </c>
      <c r="C13488" s="3">
        <v>6</v>
      </c>
    </row>
    <row r="13489" spans="1:3" x14ac:dyDescent="0.25">
      <c r="A13489" s="1" t="s">
        <v>13488</v>
      </c>
      <c r="C13489" s="3">
        <v>6</v>
      </c>
    </row>
    <row r="13490" spans="1:3" x14ac:dyDescent="0.25">
      <c r="A13490" s="1" t="s">
        <v>13489</v>
      </c>
      <c r="C13490" s="3">
        <v>6</v>
      </c>
    </row>
    <row r="13491" spans="1:3" x14ac:dyDescent="0.25">
      <c r="A13491" s="1" t="s">
        <v>13490</v>
      </c>
      <c r="C13491" s="3">
        <v>6</v>
      </c>
    </row>
    <row r="13492" spans="1:3" x14ac:dyDescent="0.25">
      <c r="A13492" s="1" t="s">
        <v>13491</v>
      </c>
      <c r="C13492" s="3">
        <v>6</v>
      </c>
    </row>
    <row r="13493" spans="1:3" x14ac:dyDescent="0.25">
      <c r="A13493" s="1" t="s">
        <v>13492</v>
      </c>
      <c r="C13493" s="3">
        <v>6</v>
      </c>
    </row>
    <row r="13494" spans="1:3" x14ac:dyDescent="0.25">
      <c r="A13494" s="1" t="s">
        <v>13493</v>
      </c>
      <c r="C13494" s="3">
        <v>6</v>
      </c>
    </row>
    <row r="13495" spans="1:3" x14ac:dyDescent="0.25">
      <c r="A13495" s="1" t="s">
        <v>13494</v>
      </c>
      <c r="C13495" s="3">
        <v>6</v>
      </c>
    </row>
    <row r="13496" spans="1:3" x14ac:dyDescent="0.25">
      <c r="A13496" s="1" t="s">
        <v>13495</v>
      </c>
      <c r="C13496" s="3">
        <v>6</v>
      </c>
    </row>
    <row r="13497" spans="1:3" x14ac:dyDescent="0.25">
      <c r="A13497" s="1" t="s">
        <v>13496</v>
      </c>
      <c r="C13497" s="3">
        <v>6</v>
      </c>
    </row>
    <row r="13498" spans="1:3" x14ac:dyDescent="0.25">
      <c r="A13498" s="1" t="s">
        <v>13497</v>
      </c>
      <c r="C13498" s="3">
        <v>6</v>
      </c>
    </row>
    <row r="13499" spans="1:3" x14ac:dyDescent="0.25">
      <c r="A13499" s="1" t="s">
        <v>13498</v>
      </c>
      <c r="C13499" s="3">
        <v>6</v>
      </c>
    </row>
    <row r="13500" spans="1:3" x14ac:dyDescent="0.25">
      <c r="A13500" s="1" t="s">
        <v>13499</v>
      </c>
      <c r="C13500" s="3">
        <v>6</v>
      </c>
    </row>
    <row r="13501" spans="1:3" x14ac:dyDescent="0.25">
      <c r="A13501" s="1" t="s">
        <v>13500</v>
      </c>
      <c r="C13501" s="3">
        <v>6</v>
      </c>
    </row>
    <row r="13502" spans="1:3" x14ac:dyDescent="0.25">
      <c r="A13502" s="1" t="s">
        <v>13501</v>
      </c>
      <c r="C13502" s="3">
        <v>6</v>
      </c>
    </row>
    <row r="13503" spans="1:3" x14ac:dyDescent="0.25">
      <c r="A13503" s="1" t="s">
        <v>13502</v>
      </c>
      <c r="C13503" s="3">
        <v>6</v>
      </c>
    </row>
    <row r="13504" spans="1:3" x14ac:dyDescent="0.25">
      <c r="A13504" s="1" t="s">
        <v>13503</v>
      </c>
      <c r="C13504" s="3">
        <v>6</v>
      </c>
    </row>
    <row r="13505" spans="1:3" x14ac:dyDescent="0.25">
      <c r="A13505" s="1" t="s">
        <v>13504</v>
      </c>
      <c r="C13505" s="3">
        <v>6</v>
      </c>
    </row>
    <row r="13506" spans="1:3" x14ac:dyDescent="0.25">
      <c r="A13506" s="1" t="s">
        <v>13505</v>
      </c>
      <c r="C13506" s="3">
        <v>6</v>
      </c>
    </row>
    <row r="13507" spans="1:3" x14ac:dyDescent="0.25">
      <c r="A13507" s="1" t="s">
        <v>13506</v>
      </c>
      <c r="C13507" s="3">
        <v>6</v>
      </c>
    </row>
    <row r="13508" spans="1:3" x14ac:dyDescent="0.25">
      <c r="A13508" s="1" t="s">
        <v>13507</v>
      </c>
      <c r="C13508" s="3">
        <v>6</v>
      </c>
    </row>
    <row r="13509" spans="1:3" x14ac:dyDescent="0.25">
      <c r="A13509" s="1" t="s">
        <v>13508</v>
      </c>
      <c r="C13509" s="3">
        <v>6</v>
      </c>
    </row>
    <row r="13510" spans="1:3" x14ac:dyDescent="0.25">
      <c r="A13510" s="1" t="s">
        <v>13509</v>
      </c>
      <c r="C13510" s="3">
        <v>6</v>
      </c>
    </row>
    <row r="13511" spans="1:3" x14ac:dyDescent="0.25">
      <c r="A13511" s="1" t="s">
        <v>13510</v>
      </c>
      <c r="C13511" s="3">
        <v>6</v>
      </c>
    </row>
    <row r="13512" spans="1:3" x14ac:dyDescent="0.25">
      <c r="A13512" s="1" t="s">
        <v>13511</v>
      </c>
      <c r="C13512" s="3">
        <v>6</v>
      </c>
    </row>
    <row r="13513" spans="1:3" x14ac:dyDescent="0.25">
      <c r="A13513" s="1" t="s">
        <v>13512</v>
      </c>
      <c r="C13513" s="3">
        <v>6</v>
      </c>
    </row>
    <row r="13514" spans="1:3" x14ac:dyDescent="0.25">
      <c r="A13514" s="1" t="s">
        <v>13513</v>
      </c>
      <c r="C13514" s="3">
        <v>6</v>
      </c>
    </row>
    <row r="13515" spans="1:3" x14ac:dyDescent="0.25">
      <c r="A13515" s="1" t="s">
        <v>13514</v>
      </c>
      <c r="C13515" s="3">
        <v>6</v>
      </c>
    </row>
    <row r="13516" spans="1:3" x14ac:dyDescent="0.25">
      <c r="A13516" s="1" t="s">
        <v>13515</v>
      </c>
      <c r="C13516" s="3">
        <v>6</v>
      </c>
    </row>
    <row r="13517" spans="1:3" x14ac:dyDescent="0.25">
      <c r="A13517" s="1" t="s">
        <v>13516</v>
      </c>
      <c r="C13517" s="3">
        <v>6</v>
      </c>
    </row>
    <row r="13518" spans="1:3" x14ac:dyDescent="0.25">
      <c r="A13518" s="1" t="s">
        <v>13517</v>
      </c>
      <c r="C13518" s="3">
        <v>6</v>
      </c>
    </row>
    <row r="13519" spans="1:3" x14ac:dyDescent="0.25">
      <c r="A13519" s="1" t="s">
        <v>13518</v>
      </c>
      <c r="C13519" s="3">
        <v>6</v>
      </c>
    </row>
    <row r="13520" spans="1:3" x14ac:dyDescent="0.25">
      <c r="A13520" s="1" t="s">
        <v>13519</v>
      </c>
      <c r="C13520" s="3">
        <v>6</v>
      </c>
    </row>
    <row r="13521" spans="1:3" x14ac:dyDescent="0.25">
      <c r="A13521" s="1" t="s">
        <v>13520</v>
      </c>
      <c r="C13521" s="3">
        <v>6</v>
      </c>
    </row>
    <row r="13522" spans="1:3" x14ac:dyDescent="0.25">
      <c r="A13522" s="1" t="s">
        <v>13521</v>
      </c>
      <c r="C13522" s="3">
        <v>6</v>
      </c>
    </row>
    <row r="13523" spans="1:3" x14ac:dyDescent="0.25">
      <c r="A13523" s="1" t="s">
        <v>13522</v>
      </c>
      <c r="C13523" s="3">
        <v>6</v>
      </c>
    </row>
    <row r="13524" spans="1:3" x14ac:dyDescent="0.25">
      <c r="A13524" s="1" t="s">
        <v>13523</v>
      </c>
      <c r="C13524" s="3">
        <v>6</v>
      </c>
    </row>
    <row r="13525" spans="1:3" x14ac:dyDescent="0.25">
      <c r="A13525" s="1" t="s">
        <v>13524</v>
      </c>
      <c r="C13525" s="3">
        <v>6</v>
      </c>
    </row>
    <row r="13526" spans="1:3" x14ac:dyDescent="0.25">
      <c r="A13526" s="1" t="s">
        <v>13525</v>
      </c>
      <c r="C13526" s="3">
        <v>6</v>
      </c>
    </row>
    <row r="13527" spans="1:3" x14ac:dyDescent="0.25">
      <c r="A13527" s="1" t="s">
        <v>13526</v>
      </c>
      <c r="C13527" s="3">
        <v>6</v>
      </c>
    </row>
    <row r="13528" spans="1:3" x14ac:dyDescent="0.25">
      <c r="A13528" s="1" t="s">
        <v>13527</v>
      </c>
      <c r="C13528" s="3">
        <v>6</v>
      </c>
    </row>
    <row r="13529" spans="1:3" x14ac:dyDescent="0.25">
      <c r="A13529" s="1" t="s">
        <v>13528</v>
      </c>
      <c r="C13529" s="3">
        <v>6</v>
      </c>
    </row>
    <row r="13530" spans="1:3" x14ac:dyDescent="0.25">
      <c r="A13530" s="1" t="s">
        <v>13529</v>
      </c>
      <c r="C13530" s="3">
        <v>6</v>
      </c>
    </row>
    <row r="13531" spans="1:3" x14ac:dyDescent="0.25">
      <c r="A13531" s="1" t="s">
        <v>13530</v>
      </c>
      <c r="C13531" s="3">
        <v>6</v>
      </c>
    </row>
    <row r="13532" spans="1:3" x14ac:dyDescent="0.25">
      <c r="A13532" s="1" t="s">
        <v>13531</v>
      </c>
      <c r="C13532" s="3">
        <v>6</v>
      </c>
    </row>
    <row r="13533" spans="1:3" x14ac:dyDescent="0.25">
      <c r="A13533" s="1" t="s">
        <v>13532</v>
      </c>
      <c r="C13533" s="3">
        <v>6</v>
      </c>
    </row>
    <row r="13534" spans="1:3" x14ac:dyDescent="0.25">
      <c r="A13534" s="1" t="s">
        <v>13533</v>
      </c>
      <c r="C13534" s="3">
        <v>6</v>
      </c>
    </row>
    <row r="13535" spans="1:3" x14ac:dyDescent="0.25">
      <c r="A13535" s="1" t="s">
        <v>13534</v>
      </c>
      <c r="C13535" s="3">
        <v>6</v>
      </c>
    </row>
    <row r="13536" spans="1:3" x14ac:dyDescent="0.25">
      <c r="A13536" s="1" t="s">
        <v>13535</v>
      </c>
      <c r="C13536" s="3">
        <v>6</v>
      </c>
    </row>
    <row r="13537" spans="1:3" x14ac:dyDescent="0.25">
      <c r="A13537" s="1" t="s">
        <v>13536</v>
      </c>
      <c r="C13537" s="3">
        <v>6</v>
      </c>
    </row>
    <row r="13538" spans="1:3" x14ac:dyDescent="0.25">
      <c r="A13538" s="1" t="s">
        <v>13537</v>
      </c>
      <c r="C13538" s="3">
        <v>6</v>
      </c>
    </row>
    <row r="13539" spans="1:3" x14ac:dyDescent="0.25">
      <c r="A13539" s="1" t="s">
        <v>13538</v>
      </c>
      <c r="C13539" s="3">
        <v>6</v>
      </c>
    </row>
    <row r="13540" spans="1:3" x14ac:dyDescent="0.25">
      <c r="A13540" s="1" t="s">
        <v>13539</v>
      </c>
      <c r="C13540" s="3">
        <v>6</v>
      </c>
    </row>
    <row r="13541" spans="1:3" x14ac:dyDescent="0.25">
      <c r="A13541" s="1" t="s">
        <v>13540</v>
      </c>
      <c r="C13541" s="3">
        <v>6</v>
      </c>
    </row>
    <row r="13542" spans="1:3" x14ac:dyDescent="0.25">
      <c r="A13542" s="1" t="s">
        <v>13541</v>
      </c>
      <c r="C13542" s="3">
        <v>6</v>
      </c>
    </row>
    <row r="13543" spans="1:3" x14ac:dyDescent="0.25">
      <c r="A13543" s="1" t="s">
        <v>13542</v>
      </c>
      <c r="C13543" s="3">
        <v>6</v>
      </c>
    </row>
    <row r="13544" spans="1:3" x14ac:dyDescent="0.25">
      <c r="A13544" s="1" t="s">
        <v>13543</v>
      </c>
      <c r="C13544" s="3">
        <v>6</v>
      </c>
    </row>
    <row r="13545" spans="1:3" x14ac:dyDescent="0.25">
      <c r="A13545" s="1" t="s">
        <v>13544</v>
      </c>
      <c r="C13545" s="3">
        <v>6</v>
      </c>
    </row>
    <row r="13546" spans="1:3" x14ac:dyDescent="0.25">
      <c r="A13546" s="1" t="s">
        <v>13545</v>
      </c>
      <c r="C13546" s="3">
        <v>6</v>
      </c>
    </row>
    <row r="13547" spans="1:3" x14ac:dyDescent="0.25">
      <c r="A13547" s="1" t="s">
        <v>13546</v>
      </c>
      <c r="C13547" s="3">
        <v>6</v>
      </c>
    </row>
    <row r="13548" spans="1:3" x14ac:dyDescent="0.25">
      <c r="A13548" s="1" t="s">
        <v>13547</v>
      </c>
      <c r="C13548" s="3">
        <v>6</v>
      </c>
    </row>
    <row r="13549" spans="1:3" x14ac:dyDescent="0.25">
      <c r="A13549" s="1" t="s">
        <v>13548</v>
      </c>
      <c r="C13549" s="3">
        <v>6</v>
      </c>
    </row>
    <row r="13550" spans="1:3" x14ac:dyDescent="0.25">
      <c r="A13550" s="1" t="s">
        <v>13549</v>
      </c>
      <c r="C13550" s="3">
        <v>6</v>
      </c>
    </row>
    <row r="13551" spans="1:3" x14ac:dyDescent="0.25">
      <c r="A13551" s="1" t="s">
        <v>13550</v>
      </c>
      <c r="C13551" s="3">
        <v>6</v>
      </c>
    </row>
    <row r="13552" spans="1:3" x14ac:dyDescent="0.25">
      <c r="A13552" s="1" t="s">
        <v>13551</v>
      </c>
      <c r="C13552" s="3">
        <v>6</v>
      </c>
    </row>
    <row r="13553" spans="1:3" x14ac:dyDescent="0.25">
      <c r="A13553" s="1" t="s">
        <v>13552</v>
      </c>
      <c r="C13553" s="3">
        <v>6</v>
      </c>
    </row>
    <row r="13554" spans="1:3" x14ac:dyDescent="0.25">
      <c r="A13554" s="1" t="s">
        <v>13553</v>
      </c>
      <c r="C13554" s="3">
        <v>6</v>
      </c>
    </row>
    <row r="13555" spans="1:3" x14ac:dyDescent="0.25">
      <c r="A13555" s="1" t="s">
        <v>13554</v>
      </c>
      <c r="C13555" s="3">
        <v>6</v>
      </c>
    </row>
    <row r="13556" spans="1:3" x14ac:dyDescent="0.25">
      <c r="A13556" s="1" t="s">
        <v>13555</v>
      </c>
      <c r="C13556" s="3">
        <v>6</v>
      </c>
    </row>
    <row r="13557" spans="1:3" x14ac:dyDescent="0.25">
      <c r="A13557" s="1" t="s">
        <v>13556</v>
      </c>
      <c r="C13557" s="3">
        <v>6</v>
      </c>
    </row>
    <row r="13558" spans="1:3" x14ac:dyDescent="0.25">
      <c r="A13558" s="1" t="s">
        <v>13557</v>
      </c>
      <c r="C13558" s="3">
        <v>6</v>
      </c>
    </row>
    <row r="13559" spans="1:3" x14ac:dyDescent="0.25">
      <c r="A13559" s="1" t="s">
        <v>13558</v>
      </c>
      <c r="C13559" s="3">
        <v>6</v>
      </c>
    </row>
    <row r="13560" spans="1:3" x14ac:dyDescent="0.25">
      <c r="A13560" s="1" t="s">
        <v>13559</v>
      </c>
      <c r="C13560" s="3">
        <v>6</v>
      </c>
    </row>
    <row r="13561" spans="1:3" x14ac:dyDescent="0.25">
      <c r="A13561" s="1" t="s">
        <v>13560</v>
      </c>
      <c r="C13561" s="3">
        <v>6</v>
      </c>
    </row>
    <row r="13562" spans="1:3" x14ac:dyDescent="0.25">
      <c r="A13562" s="1" t="s">
        <v>13561</v>
      </c>
      <c r="C13562" s="3">
        <v>6</v>
      </c>
    </row>
    <row r="13563" spans="1:3" x14ac:dyDescent="0.25">
      <c r="A13563" s="1" t="s">
        <v>13562</v>
      </c>
      <c r="C13563" s="3">
        <v>6</v>
      </c>
    </row>
    <row r="13564" spans="1:3" x14ac:dyDescent="0.25">
      <c r="A13564" s="1" t="s">
        <v>13563</v>
      </c>
      <c r="C13564" s="3">
        <v>6</v>
      </c>
    </row>
    <row r="13565" spans="1:3" x14ac:dyDescent="0.25">
      <c r="A13565" s="1" t="s">
        <v>13564</v>
      </c>
      <c r="C13565" s="3">
        <v>6</v>
      </c>
    </row>
    <row r="13566" spans="1:3" x14ac:dyDescent="0.25">
      <c r="A13566" s="1" t="s">
        <v>13565</v>
      </c>
      <c r="C13566" s="3">
        <v>6</v>
      </c>
    </row>
    <row r="13567" spans="1:3" x14ac:dyDescent="0.25">
      <c r="A13567" s="1" t="s">
        <v>13566</v>
      </c>
      <c r="C13567" s="3">
        <v>6</v>
      </c>
    </row>
    <row r="13568" spans="1:3" x14ac:dyDescent="0.25">
      <c r="A13568" s="1" t="s">
        <v>13567</v>
      </c>
      <c r="C13568" s="3">
        <v>6</v>
      </c>
    </row>
    <row r="13569" spans="1:3" x14ac:dyDescent="0.25">
      <c r="A13569" s="1" t="s">
        <v>13568</v>
      </c>
      <c r="C13569" s="3">
        <v>6</v>
      </c>
    </row>
    <row r="13570" spans="1:3" x14ac:dyDescent="0.25">
      <c r="A13570" s="1" t="s">
        <v>13569</v>
      </c>
      <c r="C13570" s="3">
        <v>6</v>
      </c>
    </row>
    <row r="13571" spans="1:3" x14ac:dyDescent="0.25">
      <c r="A13571" s="1" t="s">
        <v>13570</v>
      </c>
      <c r="C13571" s="3">
        <v>6</v>
      </c>
    </row>
    <row r="13572" spans="1:3" x14ac:dyDescent="0.25">
      <c r="A13572" s="1" t="s">
        <v>13571</v>
      </c>
      <c r="C13572" s="3">
        <v>6</v>
      </c>
    </row>
    <row r="13573" spans="1:3" x14ac:dyDescent="0.25">
      <c r="A13573" s="1" t="s">
        <v>13572</v>
      </c>
      <c r="C13573" s="3">
        <v>6</v>
      </c>
    </row>
    <row r="13574" spans="1:3" x14ac:dyDescent="0.25">
      <c r="A13574" s="1" t="s">
        <v>13573</v>
      </c>
      <c r="C13574" s="3">
        <v>6</v>
      </c>
    </row>
    <row r="13575" spans="1:3" x14ac:dyDescent="0.25">
      <c r="A13575" s="1" t="s">
        <v>13574</v>
      </c>
      <c r="C13575" s="3">
        <v>6</v>
      </c>
    </row>
    <row r="13576" spans="1:3" x14ac:dyDescent="0.25">
      <c r="A13576" s="1" t="s">
        <v>13575</v>
      </c>
      <c r="C13576" s="3">
        <v>6</v>
      </c>
    </row>
    <row r="13577" spans="1:3" x14ac:dyDescent="0.25">
      <c r="A13577" s="1" t="s">
        <v>13576</v>
      </c>
      <c r="C13577" s="3">
        <v>6</v>
      </c>
    </row>
    <row r="13578" spans="1:3" x14ac:dyDescent="0.25">
      <c r="A13578" s="1" t="s">
        <v>13577</v>
      </c>
      <c r="C13578" s="3">
        <v>6</v>
      </c>
    </row>
    <row r="13579" spans="1:3" x14ac:dyDescent="0.25">
      <c r="A13579" s="1" t="s">
        <v>13578</v>
      </c>
      <c r="C13579" s="3">
        <v>6</v>
      </c>
    </row>
    <row r="13580" spans="1:3" x14ac:dyDescent="0.25">
      <c r="A13580" s="1" t="s">
        <v>13579</v>
      </c>
      <c r="C13580" s="3">
        <v>6</v>
      </c>
    </row>
    <row r="13581" spans="1:3" x14ac:dyDescent="0.25">
      <c r="A13581" s="1" t="s">
        <v>13580</v>
      </c>
      <c r="C13581" s="3">
        <v>6</v>
      </c>
    </row>
    <row r="13582" spans="1:3" x14ac:dyDescent="0.25">
      <c r="A13582" s="1" t="s">
        <v>13581</v>
      </c>
      <c r="C13582" s="3">
        <v>6</v>
      </c>
    </row>
    <row r="13583" spans="1:3" x14ac:dyDescent="0.25">
      <c r="A13583" s="1" t="s">
        <v>13582</v>
      </c>
      <c r="C13583" s="3">
        <v>6</v>
      </c>
    </row>
    <row r="13584" spans="1:3" x14ac:dyDescent="0.25">
      <c r="A13584" s="1" t="s">
        <v>13583</v>
      </c>
      <c r="C13584" s="3">
        <v>6</v>
      </c>
    </row>
    <row r="13585" spans="1:3" x14ac:dyDescent="0.25">
      <c r="A13585" s="1" t="s">
        <v>13584</v>
      </c>
      <c r="C13585" s="3">
        <v>6</v>
      </c>
    </row>
    <row r="13586" spans="1:3" x14ac:dyDescent="0.25">
      <c r="A13586" s="1" t="s">
        <v>13585</v>
      </c>
      <c r="C13586" s="3">
        <v>6</v>
      </c>
    </row>
    <row r="13587" spans="1:3" x14ac:dyDescent="0.25">
      <c r="A13587" s="1" t="s">
        <v>13586</v>
      </c>
      <c r="C13587" s="3">
        <v>6</v>
      </c>
    </row>
    <row r="13588" spans="1:3" x14ac:dyDescent="0.25">
      <c r="A13588" s="1" t="s">
        <v>13587</v>
      </c>
      <c r="C13588" s="3">
        <v>6</v>
      </c>
    </row>
    <row r="13589" spans="1:3" x14ac:dyDescent="0.25">
      <c r="A13589" s="1" t="s">
        <v>13588</v>
      </c>
      <c r="C13589" s="3">
        <v>6</v>
      </c>
    </row>
    <row r="13590" spans="1:3" x14ac:dyDescent="0.25">
      <c r="A13590" s="1" t="s">
        <v>13589</v>
      </c>
      <c r="C13590" s="3">
        <v>6</v>
      </c>
    </row>
    <row r="13591" spans="1:3" x14ac:dyDescent="0.25">
      <c r="A13591" s="1" t="s">
        <v>13590</v>
      </c>
      <c r="C13591" s="3">
        <v>6</v>
      </c>
    </row>
    <row r="13592" spans="1:3" x14ac:dyDescent="0.25">
      <c r="A13592" s="1" t="s">
        <v>13591</v>
      </c>
      <c r="C13592" s="3">
        <v>6</v>
      </c>
    </row>
    <row r="13593" spans="1:3" x14ac:dyDescent="0.25">
      <c r="A13593" s="1" t="s">
        <v>13592</v>
      </c>
      <c r="C13593" s="3">
        <v>6</v>
      </c>
    </row>
    <row r="13594" spans="1:3" x14ac:dyDescent="0.25">
      <c r="A13594" s="1" t="s">
        <v>13593</v>
      </c>
      <c r="C13594" s="3">
        <v>6</v>
      </c>
    </row>
    <row r="13595" spans="1:3" x14ac:dyDescent="0.25">
      <c r="A13595" s="1" t="s">
        <v>13594</v>
      </c>
      <c r="C13595" s="3">
        <v>6</v>
      </c>
    </row>
    <row r="13596" spans="1:3" x14ac:dyDescent="0.25">
      <c r="A13596" s="1" t="s">
        <v>13595</v>
      </c>
      <c r="C13596" s="3">
        <v>6</v>
      </c>
    </row>
    <row r="13597" spans="1:3" x14ac:dyDescent="0.25">
      <c r="A13597" s="1" t="s">
        <v>13596</v>
      </c>
      <c r="C13597" s="3">
        <v>6</v>
      </c>
    </row>
    <row r="13598" spans="1:3" x14ac:dyDescent="0.25">
      <c r="A13598" s="1" t="s">
        <v>13597</v>
      </c>
      <c r="C13598" s="3">
        <v>6</v>
      </c>
    </row>
    <row r="13599" spans="1:3" x14ac:dyDescent="0.25">
      <c r="A13599" s="1" t="s">
        <v>13598</v>
      </c>
      <c r="C13599" s="3">
        <v>6</v>
      </c>
    </row>
    <row r="13600" spans="1:3" x14ac:dyDescent="0.25">
      <c r="A13600" s="1" t="s">
        <v>13599</v>
      </c>
      <c r="C13600" s="3">
        <v>6</v>
      </c>
    </row>
    <row r="13601" spans="1:3" x14ac:dyDescent="0.25">
      <c r="A13601" s="1" t="s">
        <v>13600</v>
      </c>
      <c r="C13601" s="3">
        <v>6</v>
      </c>
    </row>
    <row r="13602" spans="1:3" x14ac:dyDescent="0.25">
      <c r="A13602" s="1" t="s">
        <v>13601</v>
      </c>
      <c r="C13602" s="3">
        <v>6</v>
      </c>
    </row>
    <row r="13603" spans="1:3" x14ac:dyDescent="0.25">
      <c r="A13603" s="1" t="s">
        <v>13602</v>
      </c>
      <c r="C13603" s="3">
        <v>6</v>
      </c>
    </row>
    <row r="13604" spans="1:3" x14ac:dyDescent="0.25">
      <c r="A13604" s="1" t="s">
        <v>13603</v>
      </c>
      <c r="C13604" s="3">
        <v>6</v>
      </c>
    </row>
    <row r="13605" spans="1:3" x14ac:dyDescent="0.25">
      <c r="A13605" s="1" t="s">
        <v>13604</v>
      </c>
      <c r="C13605" s="3">
        <v>6</v>
      </c>
    </row>
    <row r="13606" spans="1:3" x14ac:dyDescent="0.25">
      <c r="A13606" s="1" t="s">
        <v>13605</v>
      </c>
      <c r="C13606" s="3">
        <v>6</v>
      </c>
    </row>
    <row r="13607" spans="1:3" x14ac:dyDescent="0.25">
      <c r="A13607" s="1" t="s">
        <v>13606</v>
      </c>
      <c r="C13607" s="3">
        <v>6</v>
      </c>
    </row>
    <row r="13608" spans="1:3" x14ac:dyDescent="0.25">
      <c r="A13608" s="1" t="s">
        <v>13607</v>
      </c>
      <c r="C13608" s="3">
        <v>6</v>
      </c>
    </row>
    <row r="13609" spans="1:3" x14ac:dyDescent="0.25">
      <c r="A13609" s="1" t="s">
        <v>13608</v>
      </c>
      <c r="C13609" s="3">
        <v>6</v>
      </c>
    </row>
    <row r="13610" spans="1:3" x14ac:dyDescent="0.25">
      <c r="A13610" s="1" t="s">
        <v>13609</v>
      </c>
      <c r="C13610" s="3">
        <v>6</v>
      </c>
    </row>
    <row r="13611" spans="1:3" x14ac:dyDescent="0.25">
      <c r="A13611" s="1" t="s">
        <v>13610</v>
      </c>
      <c r="C13611" s="3">
        <v>6</v>
      </c>
    </row>
    <row r="13612" spans="1:3" x14ac:dyDescent="0.25">
      <c r="A13612" s="1" t="s">
        <v>13611</v>
      </c>
      <c r="C13612" s="3">
        <v>6</v>
      </c>
    </row>
    <row r="13613" spans="1:3" x14ac:dyDescent="0.25">
      <c r="A13613" s="1" t="s">
        <v>13612</v>
      </c>
      <c r="C13613" s="3">
        <v>6</v>
      </c>
    </row>
    <row r="13614" spans="1:3" x14ac:dyDescent="0.25">
      <c r="A13614" s="1" t="s">
        <v>13613</v>
      </c>
      <c r="C13614" s="3">
        <v>6</v>
      </c>
    </row>
    <row r="13615" spans="1:3" x14ac:dyDescent="0.25">
      <c r="A13615" s="1" t="s">
        <v>13614</v>
      </c>
      <c r="C13615" s="3">
        <v>6</v>
      </c>
    </row>
    <row r="13616" spans="1:3" x14ac:dyDescent="0.25">
      <c r="A13616" s="1" t="s">
        <v>13615</v>
      </c>
      <c r="C13616" s="3">
        <v>6</v>
      </c>
    </row>
    <row r="13617" spans="1:3" x14ac:dyDescent="0.25">
      <c r="A13617" s="1" t="s">
        <v>13616</v>
      </c>
      <c r="C13617" s="3">
        <v>6</v>
      </c>
    </row>
    <row r="13618" spans="1:3" x14ac:dyDescent="0.25">
      <c r="A13618" s="1" t="s">
        <v>13617</v>
      </c>
      <c r="C13618" s="3">
        <v>6</v>
      </c>
    </row>
    <row r="13619" spans="1:3" x14ac:dyDescent="0.25">
      <c r="A13619" s="1" t="s">
        <v>13618</v>
      </c>
      <c r="C13619" s="3">
        <v>6</v>
      </c>
    </row>
    <row r="13620" spans="1:3" x14ac:dyDescent="0.25">
      <c r="A13620" s="1" t="s">
        <v>13619</v>
      </c>
      <c r="C13620" s="3">
        <v>6</v>
      </c>
    </row>
    <row r="13621" spans="1:3" x14ac:dyDescent="0.25">
      <c r="A13621" s="1" t="s">
        <v>13620</v>
      </c>
      <c r="C13621" s="3">
        <v>6</v>
      </c>
    </row>
    <row r="13622" spans="1:3" x14ac:dyDescent="0.25">
      <c r="A13622" s="1" t="s">
        <v>13621</v>
      </c>
      <c r="C13622" s="3">
        <v>6</v>
      </c>
    </row>
    <row r="13623" spans="1:3" x14ac:dyDescent="0.25">
      <c r="A13623" s="1" t="s">
        <v>13622</v>
      </c>
      <c r="C13623" s="3">
        <v>6</v>
      </c>
    </row>
    <row r="13624" spans="1:3" x14ac:dyDescent="0.25">
      <c r="A13624" s="1" t="s">
        <v>13623</v>
      </c>
      <c r="C13624" s="3">
        <v>6</v>
      </c>
    </row>
    <row r="13625" spans="1:3" x14ac:dyDescent="0.25">
      <c r="A13625" s="1" t="s">
        <v>13624</v>
      </c>
      <c r="C13625" s="3">
        <v>6</v>
      </c>
    </row>
    <row r="13626" spans="1:3" x14ac:dyDescent="0.25">
      <c r="A13626" s="1" t="s">
        <v>13625</v>
      </c>
      <c r="C13626" s="3">
        <v>6</v>
      </c>
    </row>
    <row r="13627" spans="1:3" x14ac:dyDescent="0.25">
      <c r="A13627" s="1" t="s">
        <v>13626</v>
      </c>
      <c r="C13627" s="3">
        <v>6</v>
      </c>
    </row>
    <row r="13628" spans="1:3" x14ac:dyDescent="0.25">
      <c r="A13628" s="1" t="s">
        <v>13627</v>
      </c>
      <c r="C13628" s="3">
        <v>6</v>
      </c>
    </row>
    <row r="13629" spans="1:3" x14ac:dyDescent="0.25">
      <c r="A13629" s="1" t="s">
        <v>13628</v>
      </c>
      <c r="C13629" s="3">
        <v>6</v>
      </c>
    </row>
    <row r="13630" spans="1:3" x14ac:dyDescent="0.25">
      <c r="A13630" s="1" t="s">
        <v>13629</v>
      </c>
      <c r="C13630" s="3">
        <v>6</v>
      </c>
    </row>
    <row r="13631" spans="1:3" x14ac:dyDescent="0.25">
      <c r="A13631" s="1" t="s">
        <v>13630</v>
      </c>
      <c r="C13631" s="3">
        <v>6</v>
      </c>
    </row>
    <row r="13632" spans="1:3" x14ac:dyDescent="0.25">
      <c r="A13632" s="1" t="s">
        <v>13631</v>
      </c>
      <c r="C13632" s="3">
        <v>6</v>
      </c>
    </row>
    <row r="13633" spans="1:3" x14ac:dyDescent="0.25">
      <c r="A13633" s="1" t="s">
        <v>13632</v>
      </c>
      <c r="C13633" s="3">
        <v>6</v>
      </c>
    </row>
    <row r="13634" spans="1:3" x14ac:dyDescent="0.25">
      <c r="A13634" s="1" t="s">
        <v>13633</v>
      </c>
      <c r="C13634" s="3">
        <v>6</v>
      </c>
    </row>
    <row r="13635" spans="1:3" x14ac:dyDescent="0.25">
      <c r="A13635" s="1" t="s">
        <v>13634</v>
      </c>
      <c r="C13635" s="3">
        <v>6</v>
      </c>
    </row>
    <row r="13636" spans="1:3" x14ac:dyDescent="0.25">
      <c r="A13636" s="1" t="s">
        <v>13635</v>
      </c>
      <c r="C13636" s="3">
        <v>6</v>
      </c>
    </row>
    <row r="13637" spans="1:3" x14ac:dyDescent="0.25">
      <c r="A13637" s="1" t="s">
        <v>13636</v>
      </c>
      <c r="C13637" s="3">
        <v>6</v>
      </c>
    </row>
    <row r="13638" spans="1:3" x14ac:dyDescent="0.25">
      <c r="A13638" s="1" t="s">
        <v>13637</v>
      </c>
      <c r="C13638" s="3">
        <v>6</v>
      </c>
    </row>
    <row r="13639" spans="1:3" x14ac:dyDescent="0.25">
      <c r="A13639" s="1" t="s">
        <v>13638</v>
      </c>
      <c r="C13639" s="3">
        <v>6</v>
      </c>
    </row>
    <row r="13640" spans="1:3" x14ac:dyDescent="0.25">
      <c r="A13640" s="1" t="s">
        <v>13639</v>
      </c>
      <c r="C13640" s="3">
        <v>6</v>
      </c>
    </row>
    <row r="13641" spans="1:3" x14ac:dyDescent="0.25">
      <c r="A13641" s="1" t="s">
        <v>13640</v>
      </c>
      <c r="C13641" s="3">
        <v>6</v>
      </c>
    </row>
    <row r="13642" spans="1:3" x14ac:dyDescent="0.25">
      <c r="A13642" s="1" t="s">
        <v>13641</v>
      </c>
      <c r="C13642" s="3">
        <v>6</v>
      </c>
    </row>
    <row r="13643" spans="1:3" x14ac:dyDescent="0.25">
      <c r="A13643" s="1" t="s">
        <v>13642</v>
      </c>
      <c r="C13643" s="3">
        <v>6</v>
      </c>
    </row>
    <row r="13644" spans="1:3" x14ac:dyDescent="0.25">
      <c r="A13644" s="1" t="s">
        <v>13643</v>
      </c>
      <c r="C13644" s="3">
        <v>6</v>
      </c>
    </row>
    <row r="13645" spans="1:3" x14ac:dyDescent="0.25">
      <c r="A13645" s="1" t="s">
        <v>13644</v>
      </c>
      <c r="C13645" s="3">
        <v>6</v>
      </c>
    </row>
    <row r="13646" spans="1:3" x14ac:dyDescent="0.25">
      <c r="A13646" s="1" t="s">
        <v>13645</v>
      </c>
      <c r="C13646" s="3">
        <v>6</v>
      </c>
    </row>
    <row r="13647" spans="1:3" x14ac:dyDescent="0.25">
      <c r="A13647" s="1" t="s">
        <v>13646</v>
      </c>
      <c r="C13647" s="3">
        <v>6</v>
      </c>
    </row>
    <row r="13648" spans="1:3" x14ac:dyDescent="0.25">
      <c r="A13648" s="1" t="s">
        <v>13647</v>
      </c>
      <c r="C13648" s="3">
        <v>6</v>
      </c>
    </row>
    <row r="13649" spans="1:3" x14ac:dyDescent="0.25">
      <c r="A13649" s="1" t="s">
        <v>13648</v>
      </c>
      <c r="C13649" s="3">
        <v>6</v>
      </c>
    </row>
    <row r="13650" spans="1:3" x14ac:dyDescent="0.25">
      <c r="A13650" s="1" t="s">
        <v>13649</v>
      </c>
      <c r="C13650" s="3">
        <v>6</v>
      </c>
    </row>
    <row r="13651" spans="1:3" x14ac:dyDescent="0.25">
      <c r="A13651" s="1" t="s">
        <v>13650</v>
      </c>
      <c r="C13651" s="3">
        <v>6</v>
      </c>
    </row>
    <row r="13652" spans="1:3" x14ac:dyDescent="0.25">
      <c r="A13652" s="1" t="s">
        <v>13651</v>
      </c>
      <c r="C13652" s="3">
        <v>6</v>
      </c>
    </row>
    <row r="13653" spans="1:3" x14ac:dyDescent="0.25">
      <c r="A13653" s="1" t="s">
        <v>13652</v>
      </c>
      <c r="C13653" s="3">
        <v>6</v>
      </c>
    </row>
    <row r="13654" spans="1:3" x14ac:dyDescent="0.25">
      <c r="A13654" s="1" t="s">
        <v>13653</v>
      </c>
      <c r="C13654" s="3">
        <v>6</v>
      </c>
    </row>
    <row r="13655" spans="1:3" x14ac:dyDescent="0.25">
      <c r="A13655" s="1" t="s">
        <v>13654</v>
      </c>
      <c r="C13655" s="3">
        <v>6</v>
      </c>
    </row>
    <row r="13656" spans="1:3" x14ac:dyDescent="0.25">
      <c r="A13656" s="1" t="s">
        <v>13655</v>
      </c>
      <c r="C13656" s="3">
        <v>6</v>
      </c>
    </row>
    <row r="13657" spans="1:3" x14ac:dyDescent="0.25">
      <c r="A13657" s="1" t="s">
        <v>13656</v>
      </c>
      <c r="C13657" s="3">
        <v>6</v>
      </c>
    </row>
    <row r="13658" spans="1:3" x14ac:dyDescent="0.25">
      <c r="A13658" s="1" t="s">
        <v>13657</v>
      </c>
      <c r="C13658" s="3">
        <v>6</v>
      </c>
    </row>
    <row r="13659" spans="1:3" x14ac:dyDescent="0.25">
      <c r="A13659" s="1" t="s">
        <v>13658</v>
      </c>
      <c r="C13659" s="3">
        <v>6</v>
      </c>
    </row>
    <row r="13660" spans="1:3" x14ac:dyDescent="0.25">
      <c r="A13660" s="1" t="s">
        <v>13659</v>
      </c>
      <c r="C13660" s="3">
        <v>6</v>
      </c>
    </row>
    <row r="13661" spans="1:3" x14ac:dyDescent="0.25">
      <c r="A13661" s="1" t="s">
        <v>13660</v>
      </c>
      <c r="C13661" s="3">
        <v>6</v>
      </c>
    </row>
    <row r="13662" spans="1:3" x14ac:dyDescent="0.25">
      <c r="A13662" s="1" t="s">
        <v>13661</v>
      </c>
      <c r="C13662" s="3">
        <v>6</v>
      </c>
    </row>
    <row r="13663" spans="1:3" x14ac:dyDescent="0.25">
      <c r="A13663" s="1" t="s">
        <v>13662</v>
      </c>
      <c r="C13663" s="3">
        <v>6</v>
      </c>
    </row>
    <row r="13664" spans="1:3" x14ac:dyDescent="0.25">
      <c r="A13664" s="1" t="s">
        <v>13663</v>
      </c>
      <c r="C13664" s="3">
        <v>6</v>
      </c>
    </row>
    <row r="13665" spans="1:3" x14ac:dyDescent="0.25">
      <c r="A13665" s="1" t="s">
        <v>13664</v>
      </c>
      <c r="C13665" s="3">
        <v>6</v>
      </c>
    </row>
    <row r="13666" spans="1:3" x14ac:dyDescent="0.25">
      <c r="A13666" s="1" t="s">
        <v>13665</v>
      </c>
      <c r="C13666" s="3">
        <v>6</v>
      </c>
    </row>
    <row r="13667" spans="1:3" x14ac:dyDescent="0.25">
      <c r="A13667" s="1" t="s">
        <v>13666</v>
      </c>
      <c r="C13667" s="3">
        <v>6</v>
      </c>
    </row>
    <row r="13668" spans="1:3" x14ac:dyDescent="0.25">
      <c r="A13668" s="1" t="s">
        <v>13667</v>
      </c>
      <c r="C13668" s="3">
        <v>6</v>
      </c>
    </row>
    <row r="13669" spans="1:3" x14ac:dyDescent="0.25">
      <c r="A13669" s="1" t="s">
        <v>13668</v>
      </c>
      <c r="C13669" s="3">
        <v>6</v>
      </c>
    </row>
    <row r="13670" spans="1:3" x14ac:dyDescent="0.25">
      <c r="A13670" s="1" t="s">
        <v>13669</v>
      </c>
      <c r="C13670" s="3">
        <v>6</v>
      </c>
    </row>
    <row r="13671" spans="1:3" x14ac:dyDescent="0.25">
      <c r="A13671" s="1" t="s">
        <v>13670</v>
      </c>
      <c r="C13671" s="3">
        <v>6</v>
      </c>
    </row>
    <row r="13672" spans="1:3" x14ac:dyDescent="0.25">
      <c r="A13672" s="1" t="s">
        <v>13671</v>
      </c>
      <c r="C13672" s="3">
        <v>6</v>
      </c>
    </row>
    <row r="13673" spans="1:3" x14ac:dyDescent="0.25">
      <c r="A13673" s="1" t="s">
        <v>13672</v>
      </c>
      <c r="C13673" s="3">
        <v>6</v>
      </c>
    </row>
    <row r="13674" spans="1:3" x14ac:dyDescent="0.25">
      <c r="A13674" s="1" t="s">
        <v>13673</v>
      </c>
      <c r="C13674" s="3">
        <v>6</v>
      </c>
    </row>
    <row r="13675" spans="1:3" x14ac:dyDescent="0.25">
      <c r="A13675" s="1" t="s">
        <v>13674</v>
      </c>
      <c r="C13675" s="3">
        <v>6</v>
      </c>
    </row>
    <row r="13676" spans="1:3" x14ac:dyDescent="0.25">
      <c r="A13676" s="1" t="s">
        <v>13675</v>
      </c>
      <c r="C13676" s="3">
        <v>6</v>
      </c>
    </row>
    <row r="13677" spans="1:3" x14ac:dyDescent="0.25">
      <c r="A13677" s="1" t="s">
        <v>13676</v>
      </c>
      <c r="C13677" s="3">
        <v>6</v>
      </c>
    </row>
    <row r="13678" spans="1:3" x14ac:dyDescent="0.25">
      <c r="A13678" s="1" t="s">
        <v>13677</v>
      </c>
      <c r="C13678" s="3">
        <v>6</v>
      </c>
    </row>
    <row r="13679" spans="1:3" x14ac:dyDescent="0.25">
      <c r="A13679" s="1" t="s">
        <v>13678</v>
      </c>
      <c r="C13679" s="3">
        <v>6</v>
      </c>
    </row>
    <row r="13680" spans="1:3" x14ac:dyDescent="0.25">
      <c r="A13680" s="1" t="s">
        <v>13679</v>
      </c>
      <c r="C13680" s="3">
        <v>6</v>
      </c>
    </row>
    <row r="13681" spans="1:3" x14ac:dyDescent="0.25">
      <c r="A13681" s="1" t="s">
        <v>13680</v>
      </c>
      <c r="C13681" s="3">
        <v>6</v>
      </c>
    </row>
    <row r="13682" spans="1:3" x14ac:dyDescent="0.25">
      <c r="A13682" s="1" t="s">
        <v>13681</v>
      </c>
      <c r="C13682" s="3">
        <v>6</v>
      </c>
    </row>
    <row r="13683" spans="1:3" x14ac:dyDescent="0.25">
      <c r="A13683" s="1" t="s">
        <v>13682</v>
      </c>
      <c r="C13683" s="3">
        <v>6</v>
      </c>
    </row>
    <row r="13684" spans="1:3" x14ac:dyDescent="0.25">
      <c r="A13684" s="1" t="s">
        <v>13683</v>
      </c>
      <c r="C13684" s="3">
        <v>6</v>
      </c>
    </row>
    <row r="13685" spans="1:3" x14ac:dyDescent="0.25">
      <c r="A13685" s="1" t="s">
        <v>13684</v>
      </c>
      <c r="C13685" s="3">
        <v>6</v>
      </c>
    </row>
    <row r="13686" spans="1:3" x14ac:dyDescent="0.25">
      <c r="A13686" s="1" t="s">
        <v>13685</v>
      </c>
      <c r="C13686" s="3">
        <v>6</v>
      </c>
    </row>
    <row r="13687" spans="1:3" x14ac:dyDescent="0.25">
      <c r="A13687" s="1" t="s">
        <v>13686</v>
      </c>
      <c r="C13687" s="3">
        <v>6</v>
      </c>
    </row>
    <row r="13688" spans="1:3" x14ac:dyDescent="0.25">
      <c r="A13688" s="1" t="s">
        <v>13687</v>
      </c>
      <c r="C13688" s="3">
        <v>6</v>
      </c>
    </row>
    <row r="13689" spans="1:3" x14ac:dyDescent="0.25">
      <c r="A13689" s="1" t="s">
        <v>13688</v>
      </c>
      <c r="C13689" s="3">
        <v>6</v>
      </c>
    </row>
    <row r="13690" spans="1:3" x14ac:dyDescent="0.25">
      <c r="A13690" s="1" t="s">
        <v>13689</v>
      </c>
      <c r="C13690" s="3">
        <v>6</v>
      </c>
    </row>
    <row r="13691" spans="1:3" x14ac:dyDescent="0.25">
      <c r="A13691" s="1" t="s">
        <v>13690</v>
      </c>
      <c r="C13691" s="3">
        <v>6</v>
      </c>
    </row>
    <row r="13692" spans="1:3" x14ac:dyDescent="0.25">
      <c r="A13692" s="1" t="s">
        <v>13691</v>
      </c>
      <c r="C13692" s="3">
        <v>6</v>
      </c>
    </row>
    <row r="13693" spans="1:3" x14ac:dyDescent="0.25">
      <c r="A13693" s="1" t="s">
        <v>13692</v>
      </c>
      <c r="C13693" s="3">
        <v>6</v>
      </c>
    </row>
    <row r="13694" spans="1:3" x14ac:dyDescent="0.25">
      <c r="A13694" s="1" t="s">
        <v>13693</v>
      </c>
      <c r="C13694" s="3">
        <v>6</v>
      </c>
    </row>
    <row r="13695" spans="1:3" x14ac:dyDescent="0.25">
      <c r="A13695" s="1" t="s">
        <v>13694</v>
      </c>
      <c r="C13695" s="3">
        <v>6</v>
      </c>
    </row>
    <row r="13696" spans="1:3" x14ac:dyDescent="0.25">
      <c r="A13696" s="1" t="s">
        <v>13695</v>
      </c>
      <c r="C13696" s="3">
        <v>6</v>
      </c>
    </row>
    <row r="13697" spans="1:3" x14ac:dyDescent="0.25">
      <c r="A13697" s="1" t="s">
        <v>13696</v>
      </c>
      <c r="C13697" s="3">
        <v>6</v>
      </c>
    </row>
    <row r="13698" spans="1:3" x14ac:dyDescent="0.25">
      <c r="A13698" s="1" t="s">
        <v>13697</v>
      </c>
      <c r="C13698" s="3">
        <v>6</v>
      </c>
    </row>
    <row r="13699" spans="1:3" x14ac:dyDescent="0.25">
      <c r="A13699" s="1" t="s">
        <v>13698</v>
      </c>
      <c r="C13699" s="3">
        <v>6</v>
      </c>
    </row>
    <row r="13700" spans="1:3" x14ac:dyDescent="0.25">
      <c r="A13700" s="1" t="s">
        <v>13699</v>
      </c>
      <c r="C13700" s="3">
        <v>6</v>
      </c>
    </row>
    <row r="13701" spans="1:3" x14ac:dyDescent="0.25">
      <c r="A13701" s="1" t="s">
        <v>13700</v>
      </c>
      <c r="C13701" s="3">
        <v>6</v>
      </c>
    </row>
    <row r="13702" spans="1:3" x14ac:dyDescent="0.25">
      <c r="A13702" s="1" t="s">
        <v>13701</v>
      </c>
      <c r="C13702" s="3">
        <v>6</v>
      </c>
    </row>
    <row r="13703" spans="1:3" x14ac:dyDescent="0.25">
      <c r="A13703" s="1" t="s">
        <v>13702</v>
      </c>
      <c r="C13703" s="3">
        <v>6</v>
      </c>
    </row>
    <row r="13704" spans="1:3" x14ac:dyDescent="0.25">
      <c r="A13704" s="1" t="s">
        <v>13703</v>
      </c>
      <c r="C13704" s="3">
        <v>6</v>
      </c>
    </row>
    <row r="13705" spans="1:3" x14ac:dyDescent="0.25">
      <c r="A13705" s="1" t="s">
        <v>13704</v>
      </c>
      <c r="C13705" s="3">
        <v>6</v>
      </c>
    </row>
    <row r="13706" spans="1:3" x14ac:dyDescent="0.25">
      <c r="A13706" s="1" t="s">
        <v>13705</v>
      </c>
      <c r="C13706" s="3">
        <v>6</v>
      </c>
    </row>
    <row r="13707" spans="1:3" x14ac:dyDescent="0.25">
      <c r="A13707" s="1" t="s">
        <v>13706</v>
      </c>
      <c r="C13707" s="3">
        <v>6</v>
      </c>
    </row>
    <row r="13708" spans="1:3" x14ac:dyDescent="0.25">
      <c r="A13708" s="1" t="s">
        <v>13707</v>
      </c>
      <c r="C13708" s="3">
        <v>6</v>
      </c>
    </row>
    <row r="13709" spans="1:3" x14ac:dyDescent="0.25">
      <c r="A13709" s="1" t="s">
        <v>13708</v>
      </c>
      <c r="C13709" s="3">
        <v>6</v>
      </c>
    </row>
    <row r="13710" spans="1:3" x14ac:dyDescent="0.25">
      <c r="A13710" s="1" t="s">
        <v>13709</v>
      </c>
      <c r="C13710" s="3">
        <v>6</v>
      </c>
    </row>
    <row r="13711" spans="1:3" x14ac:dyDescent="0.25">
      <c r="A13711" s="1" t="s">
        <v>13710</v>
      </c>
      <c r="C13711" s="3">
        <v>6</v>
      </c>
    </row>
    <row r="13712" spans="1:3" x14ac:dyDescent="0.25">
      <c r="A13712" s="1" t="s">
        <v>13711</v>
      </c>
      <c r="C13712" s="3">
        <v>6</v>
      </c>
    </row>
    <row r="13713" spans="1:3" x14ac:dyDescent="0.25">
      <c r="A13713" s="1" t="s">
        <v>13712</v>
      </c>
      <c r="C13713" s="3">
        <v>6</v>
      </c>
    </row>
    <row r="13714" spans="1:3" x14ac:dyDescent="0.25">
      <c r="A13714" s="1" t="s">
        <v>13713</v>
      </c>
      <c r="C13714" s="3">
        <v>6</v>
      </c>
    </row>
    <row r="13715" spans="1:3" x14ac:dyDescent="0.25">
      <c r="A13715" s="1" t="s">
        <v>13714</v>
      </c>
      <c r="C13715" s="3">
        <v>6</v>
      </c>
    </row>
    <row r="13716" spans="1:3" x14ac:dyDescent="0.25">
      <c r="A13716" s="1" t="s">
        <v>13715</v>
      </c>
      <c r="C13716" s="3">
        <v>6</v>
      </c>
    </row>
    <row r="13717" spans="1:3" x14ac:dyDescent="0.25">
      <c r="A13717" s="1" t="s">
        <v>13716</v>
      </c>
      <c r="C13717" s="3">
        <v>6</v>
      </c>
    </row>
    <row r="13718" spans="1:3" x14ac:dyDescent="0.25">
      <c r="A13718" s="1" t="s">
        <v>13717</v>
      </c>
      <c r="C13718" s="3">
        <v>6</v>
      </c>
    </row>
    <row r="13719" spans="1:3" x14ac:dyDescent="0.25">
      <c r="A13719" s="1" t="s">
        <v>13718</v>
      </c>
      <c r="C13719" s="3">
        <v>6</v>
      </c>
    </row>
    <row r="13720" spans="1:3" x14ac:dyDescent="0.25">
      <c r="A13720" s="1" t="s">
        <v>13719</v>
      </c>
      <c r="C13720" s="3">
        <v>6</v>
      </c>
    </row>
    <row r="13721" spans="1:3" x14ac:dyDescent="0.25">
      <c r="A13721" s="1" t="s">
        <v>13720</v>
      </c>
      <c r="C13721" s="3">
        <v>6</v>
      </c>
    </row>
    <row r="13722" spans="1:3" x14ac:dyDescent="0.25">
      <c r="A13722" s="1" t="s">
        <v>13721</v>
      </c>
      <c r="C13722" s="3">
        <v>6</v>
      </c>
    </row>
    <row r="13723" spans="1:3" x14ac:dyDescent="0.25">
      <c r="A13723" s="1" t="s">
        <v>13722</v>
      </c>
      <c r="C13723" s="3">
        <v>6</v>
      </c>
    </row>
    <row r="13724" spans="1:3" x14ac:dyDescent="0.25">
      <c r="A13724" s="1" t="s">
        <v>13723</v>
      </c>
      <c r="C13724" s="3">
        <v>6</v>
      </c>
    </row>
    <row r="13725" spans="1:3" x14ac:dyDescent="0.25">
      <c r="A13725" s="1" t="s">
        <v>13724</v>
      </c>
      <c r="C13725" s="3">
        <v>6</v>
      </c>
    </row>
    <row r="13726" spans="1:3" x14ac:dyDescent="0.25">
      <c r="A13726" s="1" t="s">
        <v>13725</v>
      </c>
      <c r="C13726" s="3">
        <v>6</v>
      </c>
    </row>
    <row r="13727" spans="1:3" x14ac:dyDescent="0.25">
      <c r="A13727" s="1" t="s">
        <v>13726</v>
      </c>
      <c r="C13727" s="3">
        <v>6</v>
      </c>
    </row>
    <row r="13728" spans="1:3" x14ac:dyDescent="0.25">
      <c r="A13728" s="1" t="s">
        <v>13727</v>
      </c>
      <c r="C13728" s="3">
        <v>6</v>
      </c>
    </row>
    <row r="13729" spans="1:3" x14ac:dyDescent="0.25">
      <c r="A13729" s="1" t="s">
        <v>13728</v>
      </c>
      <c r="C13729" s="3">
        <v>6</v>
      </c>
    </row>
    <row r="13730" spans="1:3" x14ac:dyDescent="0.25">
      <c r="A13730" s="1" t="s">
        <v>13729</v>
      </c>
      <c r="C13730" s="3">
        <v>6</v>
      </c>
    </row>
    <row r="13731" spans="1:3" x14ac:dyDescent="0.25">
      <c r="A13731" s="1" t="s">
        <v>13730</v>
      </c>
      <c r="C13731" s="3">
        <v>6</v>
      </c>
    </row>
    <row r="13732" spans="1:3" x14ac:dyDescent="0.25">
      <c r="A13732" s="1" t="s">
        <v>13731</v>
      </c>
      <c r="C13732" s="3">
        <v>6</v>
      </c>
    </row>
    <row r="13733" spans="1:3" x14ac:dyDescent="0.25">
      <c r="A13733" s="1" t="s">
        <v>13732</v>
      </c>
      <c r="C13733" s="3">
        <v>6</v>
      </c>
    </row>
    <row r="13734" spans="1:3" x14ac:dyDescent="0.25">
      <c r="A13734" s="1" t="s">
        <v>13733</v>
      </c>
      <c r="C13734" s="3">
        <v>6</v>
      </c>
    </row>
    <row r="13735" spans="1:3" x14ac:dyDescent="0.25">
      <c r="A13735" s="1" t="s">
        <v>13734</v>
      </c>
      <c r="C13735" s="3">
        <v>6</v>
      </c>
    </row>
    <row r="13736" spans="1:3" x14ac:dyDescent="0.25">
      <c r="A13736" s="1" t="s">
        <v>13735</v>
      </c>
      <c r="C13736" s="3">
        <v>6</v>
      </c>
    </row>
    <row r="13737" spans="1:3" x14ac:dyDescent="0.25">
      <c r="A13737" s="1" t="s">
        <v>13736</v>
      </c>
      <c r="C13737" s="3">
        <v>6</v>
      </c>
    </row>
    <row r="13738" spans="1:3" x14ac:dyDescent="0.25">
      <c r="A13738" s="1" t="s">
        <v>13737</v>
      </c>
      <c r="C13738" s="3">
        <v>6</v>
      </c>
    </row>
    <row r="13739" spans="1:3" x14ac:dyDescent="0.25">
      <c r="A13739" s="1" t="s">
        <v>13738</v>
      </c>
      <c r="C13739" s="3">
        <v>6</v>
      </c>
    </row>
    <row r="13740" spans="1:3" x14ac:dyDescent="0.25">
      <c r="A13740" s="1" t="s">
        <v>13739</v>
      </c>
      <c r="C13740" s="3">
        <v>6</v>
      </c>
    </row>
    <row r="13741" spans="1:3" x14ac:dyDescent="0.25">
      <c r="A13741" s="1" t="s">
        <v>13740</v>
      </c>
      <c r="C13741" s="3">
        <v>6</v>
      </c>
    </row>
    <row r="13742" spans="1:3" x14ac:dyDescent="0.25">
      <c r="A13742" s="1" t="s">
        <v>13741</v>
      </c>
      <c r="C13742" s="3">
        <v>6</v>
      </c>
    </row>
    <row r="13743" spans="1:3" x14ac:dyDescent="0.25">
      <c r="A13743" s="1" t="s">
        <v>13742</v>
      </c>
      <c r="C13743" s="3">
        <v>6</v>
      </c>
    </row>
    <row r="13744" spans="1:3" x14ac:dyDescent="0.25">
      <c r="A13744" s="1" t="s">
        <v>13743</v>
      </c>
      <c r="C13744" s="3">
        <v>6</v>
      </c>
    </row>
    <row r="13745" spans="1:3" x14ac:dyDescent="0.25">
      <c r="A13745" s="1" t="s">
        <v>13744</v>
      </c>
      <c r="C13745" s="3">
        <v>6</v>
      </c>
    </row>
    <row r="13746" spans="1:3" x14ac:dyDescent="0.25">
      <c r="A13746" s="1" t="s">
        <v>13745</v>
      </c>
      <c r="C13746" s="3">
        <v>6</v>
      </c>
    </row>
    <row r="13747" spans="1:3" x14ac:dyDescent="0.25">
      <c r="A13747" s="1" t="s">
        <v>13746</v>
      </c>
      <c r="C13747" s="3">
        <v>6</v>
      </c>
    </row>
    <row r="13748" spans="1:3" x14ac:dyDescent="0.25">
      <c r="A13748" s="1" t="s">
        <v>13747</v>
      </c>
      <c r="C13748" s="3">
        <v>6</v>
      </c>
    </row>
    <row r="13749" spans="1:3" x14ac:dyDescent="0.25">
      <c r="A13749" s="1" t="s">
        <v>13748</v>
      </c>
      <c r="C13749" s="3">
        <v>6</v>
      </c>
    </row>
    <row r="13750" spans="1:3" x14ac:dyDescent="0.25">
      <c r="A13750" s="1" t="s">
        <v>13749</v>
      </c>
      <c r="C13750" s="3">
        <v>6</v>
      </c>
    </row>
    <row r="13751" spans="1:3" x14ac:dyDescent="0.25">
      <c r="A13751" s="1" t="s">
        <v>13750</v>
      </c>
      <c r="C13751" s="3">
        <v>6</v>
      </c>
    </row>
    <row r="13752" spans="1:3" x14ac:dyDescent="0.25">
      <c r="A13752" s="1" t="s">
        <v>13751</v>
      </c>
      <c r="C13752" s="3">
        <v>6</v>
      </c>
    </row>
    <row r="13753" spans="1:3" x14ac:dyDescent="0.25">
      <c r="A13753" s="1" t="s">
        <v>13752</v>
      </c>
      <c r="C13753" s="3">
        <v>6</v>
      </c>
    </row>
    <row r="13754" spans="1:3" x14ac:dyDescent="0.25">
      <c r="A13754" s="1" t="s">
        <v>13753</v>
      </c>
      <c r="C13754" s="3">
        <v>6</v>
      </c>
    </row>
    <row r="13755" spans="1:3" x14ac:dyDescent="0.25">
      <c r="A13755" s="1" t="s">
        <v>13754</v>
      </c>
      <c r="C13755" s="3">
        <v>6</v>
      </c>
    </row>
    <row r="13756" spans="1:3" x14ac:dyDescent="0.25">
      <c r="A13756" s="1" t="s">
        <v>13755</v>
      </c>
      <c r="C13756" s="3">
        <v>6</v>
      </c>
    </row>
    <row r="13757" spans="1:3" x14ac:dyDescent="0.25">
      <c r="A13757" s="1" t="s">
        <v>13756</v>
      </c>
      <c r="C13757" s="3">
        <v>6</v>
      </c>
    </row>
    <row r="13758" spans="1:3" x14ac:dyDescent="0.25">
      <c r="A13758" s="1" t="s">
        <v>13757</v>
      </c>
      <c r="C13758" s="3">
        <v>6</v>
      </c>
    </row>
    <row r="13759" spans="1:3" x14ac:dyDescent="0.25">
      <c r="A13759" s="1" t="s">
        <v>13758</v>
      </c>
      <c r="C13759" s="3">
        <v>6</v>
      </c>
    </row>
    <row r="13760" spans="1:3" x14ac:dyDescent="0.25">
      <c r="A13760" s="1" t="s">
        <v>13759</v>
      </c>
      <c r="C13760" s="3">
        <v>6</v>
      </c>
    </row>
    <row r="13761" spans="1:3" x14ac:dyDescent="0.25">
      <c r="A13761" s="1" t="s">
        <v>13760</v>
      </c>
      <c r="C13761" s="3">
        <v>6</v>
      </c>
    </row>
    <row r="13762" spans="1:3" x14ac:dyDescent="0.25">
      <c r="A13762" s="1" t="s">
        <v>13761</v>
      </c>
      <c r="C13762" s="3">
        <v>6</v>
      </c>
    </row>
    <row r="13763" spans="1:3" x14ac:dyDescent="0.25">
      <c r="A13763" s="1" t="s">
        <v>13762</v>
      </c>
      <c r="C13763" s="3">
        <v>6</v>
      </c>
    </row>
    <row r="13764" spans="1:3" x14ac:dyDescent="0.25">
      <c r="A13764" s="1" t="s">
        <v>13763</v>
      </c>
      <c r="C13764" s="3">
        <v>6</v>
      </c>
    </row>
    <row r="13765" spans="1:3" x14ac:dyDescent="0.25">
      <c r="A13765" s="1" t="s">
        <v>13764</v>
      </c>
      <c r="C13765" s="3">
        <v>6</v>
      </c>
    </row>
    <row r="13766" spans="1:3" x14ac:dyDescent="0.25">
      <c r="A13766" s="1" t="s">
        <v>13765</v>
      </c>
      <c r="C13766" s="3">
        <v>6</v>
      </c>
    </row>
    <row r="13767" spans="1:3" x14ac:dyDescent="0.25">
      <c r="A13767" s="1" t="s">
        <v>13766</v>
      </c>
      <c r="C13767" s="3">
        <v>6</v>
      </c>
    </row>
    <row r="13768" spans="1:3" x14ac:dyDescent="0.25">
      <c r="A13768" s="1" t="s">
        <v>13767</v>
      </c>
      <c r="C13768" s="3">
        <v>6</v>
      </c>
    </row>
    <row r="13769" spans="1:3" x14ac:dyDescent="0.25">
      <c r="A13769" s="1" t="s">
        <v>13768</v>
      </c>
      <c r="C13769" s="3">
        <v>6</v>
      </c>
    </row>
    <row r="13770" spans="1:3" x14ac:dyDescent="0.25">
      <c r="A13770" s="1" t="s">
        <v>13769</v>
      </c>
      <c r="C13770" s="3">
        <v>6</v>
      </c>
    </row>
    <row r="13771" spans="1:3" x14ac:dyDescent="0.25">
      <c r="A13771" s="1" t="s">
        <v>13770</v>
      </c>
      <c r="C13771" s="3">
        <v>6</v>
      </c>
    </row>
    <row r="13772" spans="1:3" x14ac:dyDescent="0.25">
      <c r="A13772" s="1" t="s">
        <v>13771</v>
      </c>
      <c r="C13772" s="3">
        <v>6</v>
      </c>
    </row>
    <row r="13773" spans="1:3" x14ac:dyDescent="0.25">
      <c r="A13773" s="1" t="s">
        <v>13772</v>
      </c>
      <c r="C13773" s="3">
        <v>6</v>
      </c>
    </row>
    <row r="13774" spans="1:3" x14ac:dyDescent="0.25">
      <c r="A13774" s="1" t="s">
        <v>13773</v>
      </c>
      <c r="C13774" s="3">
        <v>6</v>
      </c>
    </row>
    <row r="13775" spans="1:3" x14ac:dyDescent="0.25">
      <c r="A13775" s="1" t="s">
        <v>13774</v>
      </c>
      <c r="C13775" s="3">
        <v>6</v>
      </c>
    </row>
    <row r="13776" spans="1:3" x14ac:dyDescent="0.25">
      <c r="A13776" s="1" t="s">
        <v>13775</v>
      </c>
      <c r="C13776" s="3">
        <v>6</v>
      </c>
    </row>
    <row r="13777" spans="1:3" x14ac:dyDescent="0.25">
      <c r="A13777" s="1" t="s">
        <v>13776</v>
      </c>
      <c r="C13777" s="3">
        <v>6</v>
      </c>
    </row>
    <row r="13778" spans="1:3" x14ac:dyDescent="0.25">
      <c r="A13778" s="1" t="s">
        <v>13777</v>
      </c>
      <c r="C13778" s="3">
        <v>6</v>
      </c>
    </row>
    <row r="13779" spans="1:3" x14ac:dyDescent="0.25">
      <c r="A13779" s="1" t="s">
        <v>13778</v>
      </c>
      <c r="C13779" s="3">
        <v>6</v>
      </c>
    </row>
    <row r="13780" spans="1:3" x14ac:dyDescent="0.25">
      <c r="A13780" s="1" t="s">
        <v>13779</v>
      </c>
      <c r="C13780" s="3">
        <v>6</v>
      </c>
    </row>
    <row r="13781" spans="1:3" x14ac:dyDescent="0.25">
      <c r="A13781" s="1" t="s">
        <v>13780</v>
      </c>
      <c r="C13781" s="3">
        <v>6</v>
      </c>
    </row>
    <row r="13782" spans="1:3" x14ac:dyDescent="0.25">
      <c r="A13782" s="1" t="s">
        <v>13781</v>
      </c>
      <c r="C13782" s="3">
        <v>6</v>
      </c>
    </row>
    <row r="13783" spans="1:3" x14ac:dyDescent="0.25">
      <c r="A13783" s="1" t="s">
        <v>13782</v>
      </c>
      <c r="C13783" s="3">
        <v>6</v>
      </c>
    </row>
    <row r="13784" spans="1:3" x14ac:dyDescent="0.25">
      <c r="A13784" s="1" t="s">
        <v>13783</v>
      </c>
      <c r="C13784" s="3">
        <v>6</v>
      </c>
    </row>
    <row r="13785" spans="1:3" x14ac:dyDescent="0.25">
      <c r="A13785" s="1" t="s">
        <v>13784</v>
      </c>
      <c r="C13785" s="3">
        <v>6</v>
      </c>
    </row>
    <row r="13786" spans="1:3" x14ac:dyDescent="0.25">
      <c r="A13786" s="1" t="s">
        <v>13785</v>
      </c>
      <c r="C13786" s="3">
        <v>6</v>
      </c>
    </row>
    <row r="13787" spans="1:3" x14ac:dyDescent="0.25">
      <c r="A13787" s="1" t="s">
        <v>13786</v>
      </c>
      <c r="C13787" s="3">
        <v>6</v>
      </c>
    </row>
    <row r="13788" spans="1:3" x14ac:dyDescent="0.25">
      <c r="A13788" s="1" t="s">
        <v>13787</v>
      </c>
      <c r="C13788" s="3">
        <v>6</v>
      </c>
    </row>
    <row r="13789" spans="1:3" x14ac:dyDescent="0.25">
      <c r="A13789" s="1" t="s">
        <v>13788</v>
      </c>
      <c r="C13789" s="3">
        <v>6</v>
      </c>
    </row>
    <row r="13790" spans="1:3" x14ac:dyDescent="0.25">
      <c r="A13790" s="1" t="s">
        <v>13789</v>
      </c>
      <c r="C13790" s="3">
        <v>6</v>
      </c>
    </row>
    <row r="13791" spans="1:3" x14ac:dyDescent="0.25">
      <c r="A13791" s="1" t="s">
        <v>13790</v>
      </c>
      <c r="C13791" s="3">
        <v>6</v>
      </c>
    </row>
    <row r="13792" spans="1:3" x14ac:dyDescent="0.25">
      <c r="A13792" s="1" t="s">
        <v>13791</v>
      </c>
      <c r="C13792" s="3">
        <v>6</v>
      </c>
    </row>
    <row r="13793" spans="1:3" x14ac:dyDescent="0.25">
      <c r="A13793" s="1" t="s">
        <v>13792</v>
      </c>
      <c r="C13793" s="3">
        <v>6</v>
      </c>
    </row>
    <row r="13794" spans="1:3" x14ac:dyDescent="0.25">
      <c r="A13794" s="1" t="s">
        <v>13793</v>
      </c>
      <c r="C13794" s="3">
        <v>6</v>
      </c>
    </row>
    <row r="13795" spans="1:3" x14ac:dyDescent="0.25">
      <c r="A13795" s="1" t="s">
        <v>13794</v>
      </c>
      <c r="C13795" s="3">
        <v>6</v>
      </c>
    </row>
    <row r="13796" spans="1:3" x14ac:dyDescent="0.25">
      <c r="A13796" s="1" t="s">
        <v>13795</v>
      </c>
      <c r="C13796" s="3">
        <v>6</v>
      </c>
    </row>
    <row r="13797" spans="1:3" x14ac:dyDescent="0.25">
      <c r="A13797" s="1" t="s">
        <v>13796</v>
      </c>
      <c r="C13797" s="3">
        <v>6</v>
      </c>
    </row>
    <row r="13798" spans="1:3" x14ac:dyDescent="0.25">
      <c r="A13798" s="1" t="s">
        <v>13797</v>
      </c>
      <c r="C13798" s="3">
        <v>6</v>
      </c>
    </row>
    <row r="13799" spans="1:3" x14ac:dyDescent="0.25">
      <c r="A13799" s="1" t="s">
        <v>13798</v>
      </c>
      <c r="C13799" s="3">
        <v>6</v>
      </c>
    </row>
    <row r="13800" spans="1:3" x14ac:dyDescent="0.25">
      <c r="A13800" s="1" t="s">
        <v>13799</v>
      </c>
      <c r="C13800" s="3">
        <v>6</v>
      </c>
    </row>
    <row r="13801" spans="1:3" x14ac:dyDescent="0.25">
      <c r="A13801" s="1" t="s">
        <v>13800</v>
      </c>
      <c r="C13801" s="3">
        <v>6</v>
      </c>
    </row>
    <row r="13802" spans="1:3" x14ac:dyDescent="0.25">
      <c r="A13802" s="1" t="s">
        <v>13801</v>
      </c>
      <c r="C13802" s="3">
        <v>6</v>
      </c>
    </row>
    <row r="13803" spans="1:3" x14ac:dyDescent="0.25">
      <c r="A13803" s="1" t="s">
        <v>13802</v>
      </c>
      <c r="C13803" s="3">
        <v>6</v>
      </c>
    </row>
    <row r="13804" spans="1:3" x14ac:dyDescent="0.25">
      <c r="A13804" s="1" t="s">
        <v>13803</v>
      </c>
      <c r="C13804" s="3">
        <v>6</v>
      </c>
    </row>
    <row r="13805" spans="1:3" x14ac:dyDescent="0.25">
      <c r="A13805" s="1" t="s">
        <v>13804</v>
      </c>
      <c r="C13805" s="3">
        <v>6</v>
      </c>
    </row>
    <row r="13806" spans="1:3" x14ac:dyDescent="0.25">
      <c r="A13806" s="1" t="s">
        <v>13805</v>
      </c>
      <c r="C13806" s="3">
        <v>6</v>
      </c>
    </row>
    <row r="13807" spans="1:3" x14ac:dyDescent="0.25">
      <c r="A13807" s="1" t="s">
        <v>13806</v>
      </c>
      <c r="C13807" s="3">
        <v>6</v>
      </c>
    </row>
    <row r="13808" spans="1:3" x14ac:dyDescent="0.25">
      <c r="A13808" s="1" t="s">
        <v>13807</v>
      </c>
      <c r="C13808" s="3">
        <v>6</v>
      </c>
    </row>
    <row r="13809" spans="1:3" x14ac:dyDescent="0.25">
      <c r="A13809" s="1" t="s">
        <v>13808</v>
      </c>
      <c r="C13809" s="3">
        <v>6</v>
      </c>
    </row>
    <row r="13810" spans="1:3" x14ac:dyDescent="0.25">
      <c r="A13810" s="1" t="s">
        <v>13809</v>
      </c>
      <c r="C13810" s="3">
        <v>6</v>
      </c>
    </row>
    <row r="13811" spans="1:3" x14ac:dyDescent="0.25">
      <c r="A13811" s="1" t="s">
        <v>13810</v>
      </c>
      <c r="C13811" s="3">
        <v>6</v>
      </c>
    </row>
    <row r="13812" spans="1:3" x14ac:dyDescent="0.25">
      <c r="A13812" s="1" t="s">
        <v>13811</v>
      </c>
      <c r="C13812" s="3">
        <v>6</v>
      </c>
    </row>
    <row r="13813" spans="1:3" x14ac:dyDescent="0.25">
      <c r="A13813" s="1" t="s">
        <v>13812</v>
      </c>
      <c r="C13813" s="3">
        <v>6</v>
      </c>
    </row>
    <row r="13814" spans="1:3" x14ac:dyDescent="0.25">
      <c r="A13814" s="1" t="s">
        <v>13813</v>
      </c>
      <c r="C13814" s="3">
        <v>6</v>
      </c>
    </row>
    <row r="13815" spans="1:3" x14ac:dyDescent="0.25">
      <c r="A13815" s="1" t="s">
        <v>13814</v>
      </c>
      <c r="C13815" s="3">
        <v>6</v>
      </c>
    </row>
    <row r="13816" spans="1:3" x14ac:dyDescent="0.25">
      <c r="A13816" s="1" t="s">
        <v>13815</v>
      </c>
      <c r="C13816" s="3">
        <v>6</v>
      </c>
    </row>
    <row r="13817" spans="1:3" x14ac:dyDescent="0.25">
      <c r="A13817" s="1" t="s">
        <v>13816</v>
      </c>
      <c r="C13817" s="3">
        <v>6</v>
      </c>
    </row>
    <row r="13818" spans="1:3" x14ac:dyDescent="0.25">
      <c r="A13818" s="1" t="s">
        <v>13817</v>
      </c>
      <c r="C13818" s="3">
        <v>6</v>
      </c>
    </row>
    <row r="13819" spans="1:3" x14ac:dyDescent="0.25">
      <c r="A13819" s="1" t="s">
        <v>13818</v>
      </c>
      <c r="C13819" s="3">
        <v>6</v>
      </c>
    </row>
    <row r="13820" spans="1:3" x14ac:dyDescent="0.25">
      <c r="A13820" s="1" t="s">
        <v>13819</v>
      </c>
      <c r="C13820" s="3">
        <v>6</v>
      </c>
    </row>
    <row r="13821" spans="1:3" x14ac:dyDescent="0.25">
      <c r="A13821" s="1" t="s">
        <v>13820</v>
      </c>
      <c r="C13821" s="3">
        <v>6</v>
      </c>
    </row>
    <row r="13822" spans="1:3" x14ac:dyDescent="0.25">
      <c r="A13822" s="1" t="s">
        <v>13821</v>
      </c>
      <c r="C13822" s="3">
        <v>6</v>
      </c>
    </row>
    <row r="13823" spans="1:3" x14ac:dyDescent="0.25">
      <c r="A13823" s="1" t="s">
        <v>13822</v>
      </c>
      <c r="C13823" s="3">
        <v>6</v>
      </c>
    </row>
    <row r="13824" spans="1:3" x14ac:dyDescent="0.25">
      <c r="A13824" s="1" t="s">
        <v>13823</v>
      </c>
      <c r="C13824" s="3">
        <v>6</v>
      </c>
    </row>
    <row r="13825" spans="1:3" x14ac:dyDescent="0.25">
      <c r="A13825" s="1" t="s">
        <v>13824</v>
      </c>
      <c r="C13825" s="3">
        <v>6</v>
      </c>
    </row>
    <row r="13826" spans="1:3" x14ac:dyDescent="0.25">
      <c r="A13826" s="1" t="s">
        <v>13825</v>
      </c>
      <c r="C13826" s="3">
        <v>6</v>
      </c>
    </row>
    <row r="13827" spans="1:3" x14ac:dyDescent="0.25">
      <c r="A13827" s="1" t="s">
        <v>13826</v>
      </c>
      <c r="C13827" s="3">
        <v>6</v>
      </c>
    </row>
    <row r="13828" spans="1:3" x14ac:dyDescent="0.25">
      <c r="A13828" s="1" t="s">
        <v>13827</v>
      </c>
      <c r="C13828" s="3">
        <v>6</v>
      </c>
    </row>
    <row r="13829" spans="1:3" x14ac:dyDescent="0.25">
      <c r="A13829" s="1" t="s">
        <v>13828</v>
      </c>
      <c r="C13829" s="3">
        <v>6</v>
      </c>
    </row>
    <row r="13830" spans="1:3" x14ac:dyDescent="0.25">
      <c r="A13830" s="1" t="s">
        <v>13829</v>
      </c>
      <c r="C13830" s="3">
        <v>6</v>
      </c>
    </row>
    <row r="13831" spans="1:3" x14ac:dyDescent="0.25">
      <c r="A13831" s="1" t="s">
        <v>13830</v>
      </c>
      <c r="C13831" s="3">
        <v>6</v>
      </c>
    </row>
    <row r="13832" spans="1:3" x14ac:dyDescent="0.25">
      <c r="A13832" s="1" t="s">
        <v>13831</v>
      </c>
      <c r="C13832" s="3">
        <v>6</v>
      </c>
    </row>
    <row r="13833" spans="1:3" x14ac:dyDescent="0.25">
      <c r="A13833" s="1" t="s">
        <v>13832</v>
      </c>
      <c r="C13833" s="3">
        <v>6</v>
      </c>
    </row>
    <row r="13834" spans="1:3" x14ac:dyDescent="0.25">
      <c r="A13834" s="1" t="s">
        <v>13833</v>
      </c>
      <c r="C13834" s="3">
        <v>6</v>
      </c>
    </row>
    <row r="13835" spans="1:3" x14ac:dyDescent="0.25">
      <c r="A13835" s="1" t="s">
        <v>13834</v>
      </c>
      <c r="C13835" s="3">
        <v>6</v>
      </c>
    </row>
    <row r="13836" spans="1:3" x14ac:dyDescent="0.25">
      <c r="A13836" s="1" t="s">
        <v>13835</v>
      </c>
      <c r="C13836" s="3">
        <v>6</v>
      </c>
    </row>
    <row r="13837" spans="1:3" x14ac:dyDescent="0.25">
      <c r="A13837" s="1" t="s">
        <v>13836</v>
      </c>
      <c r="C13837" s="3">
        <v>6</v>
      </c>
    </row>
    <row r="13838" spans="1:3" x14ac:dyDescent="0.25">
      <c r="A13838" s="1" t="s">
        <v>13837</v>
      </c>
      <c r="C13838" s="3">
        <v>6</v>
      </c>
    </row>
    <row r="13839" spans="1:3" x14ac:dyDescent="0.25">
      <c r="A13839" s="1" t="s">
        <v>13838</v>
      </c>
      <c r="C13839" s="3">
        <v>6</v>
      </c>
    </row>
    <row r="13840" spans="1:3" x14ac:dyDescent="0.25">
      <c r="A13840" s="1" t="s">
        <v>13839</v>
      </c>
      <c r="C13840" s="3">
        <v>6</v>
      </c>
    </row>
    <row r="13841" spans="1:3" x14ac:dyDescent="0.25">
      <c r="A13841" s="1" t="s">
        <v>13840</v>
      </c>
      <c r="C13841" s="3">
        <v>6</v>
      </c>
    </row>
    <row r="13842" spans="1:3" x14ac:dyDescent="0.25">
      <c r="A13842" s="1" t="s">
        <v>13841</v>
      </c>
      <c r="C13842" s="3">
        <v>6</v>
      </c>
    </row>
    <row r="13843" spans="1:3" x14ac:dyDescent="0.25">
      <c r="A13843" s="1" t="s">
        <v>13842</v>
      </c>
      <c r="C13843" s="3">
        <v>6</v>
      </c>
    </row>
    <row r="13844" spans="1:3" x14ac:dyDescent="0.25">
      <c r="A13844" s="1" t="s">
        <v>13843</v>
      </c>
      <c r="C13844" s="3">
        <v>6</v>
      </c>
    </row>
    <row r="13845" spans="1:3" x14ac:dyDescent="0.25">
      <c r="A13845" s="1" t="s">
        <v>13844</v>
      </c>
      <c r="C13845" s="3">
        <v>6</v>
      </c>
    </row>
    <row r="13846" spans="1:3" x14ac:dyDescent="0.25">
      <c r="A13846" s="1" t="s">
        <v>13845</v>
      </c>
      <c r="C13846" s="3">
        <v>6</v>
      </c>
    </row>
    <row r="13847" spans="1:3" x14ac:dyDescent="0.25">
      <c r="A13847" s="1" t="s">
        <v>13846</v>
      </c>
      <c r="C13847" s="3">
        <v>6</v>
      </c>
    </row>
    <row r="13848" spans="1:3" x14ac:dyDescent="0.25">
      <c r="A13848" s="1" t="s">
        <v>13847</v>
      </c>
      <c r="C13848" s="3">
        <v>6</v>
      </c>
    </row>
    <row r="13849" spans="1:3" x14ac:dyDescent="0.25">
      <c r="A13849" s="1" t="s">
        <v>13848</v>
      </c>
      <c r="C13849" s="3">
        <v>6</v>
      </c>
    </row>
    <row r="13850" spans="1:3" x14ac:dyDescent="0.25">
      <c r="A13850" s="1" t="s">
        <v>13849</v>
      </c>
      <c r="C13850" s="3">
        <v>6</v>
      </c>
    </row>
    <row r="13851" spans="1:3" x14ac:dyDescent="0.25">
      <c r="A13851" s="1" t="s">
        <v>13850</v>
      </c>
      <c r="C13851" s="3">
        <v>6</v>
      </c>
    </row>
    <row r="13852" spans="1:3" x14ac:dyDescent="0.25">
      <c r="A13852" s="1" t="s">
        <v>13851</v>
      </c>
      <c r="C13852" s="3">
        <v>6</v>
      </c>
    </row>
    <row r="13853" spans="1:3" x14ac:dyDescent="0.25">
      <c r="A13853" s="1" t="s">
        <v>13852</v>
      </c>
      <c r="C13853" s="3">
        <v>6</v>
      </c>
    </row>
    <row r="13854" spans="1:3" x14ac:dyDescent="0.25">
      <c r="A13854" s="1" t="s">
        <v>13853</v>
      </c>
      <c r="C13854" s="3">
        <v>6</v>
      </c>
    </row>
    <row r="13855" spans="1:3" x14ac:dyDescent="0.25">
      <c r="A13855" s="1" t="s">
        <v>13854</v>
      </c>
      <c r="C13855" s="3">
        <v>6</v>
      </c>
    </row>
    <row r="13856" spans="1:3" x14ac:dyDescent="0.25">
      <c r="A13856" s="1" t="s">
        <v>13855</v>
      </c>
      <c r="C13856" s="3">
        <v>6</v>
      </c>
    </row>
    <row r="13857" spans="1:3" x14ac:dyDescent="0.25">
      <c r="A13857" s="1" t="s">
        <v>13856</v>
      </c>
      <c r="C13857" s="3">
        <v>6</v>
      </c>
    </row>
    <row r="13858" spans="1:3" x14ac:dyDescent="0.25">
      <c r="A13858" s="1" t="s">
        <v>13857</v>
      </c>
      <c r="C13858" s="3">
        <v>6</v>
      </c>
    </row>
    <row r="13859" spans="1:3" x14ac:dyDescent="0.25">
      <c r="A13859" s="1" t="s">
        <v>13858</v>
      </c>
      <c r="C13859" s="3">
        <v>6</v>
      </c>
    </row>
    <row r="13860" spans="1:3" x14ac:dyDescent="0.25">
      <c r="A13860" s="1" t="s">
        <v>13859</v>
      </c>
      <c r="C13860" s="3">
        <v>6</v>
      </c>
    </row>
    <row r="13861" spans="1:3" x14ac:dyDescent="0.25">
      <c r="A13861" s="1" t="s">
        <v>13860</v>
      </c>
      <c r="C13861" s="3">
        <v>6</v>
      </c>
    </row>
    <row r="13862" spans="1:3" x14ac:dyDescent="0.25">
      <c r="A13862" s="1" t="s">
        <v>13861</v>
      </c>
      <c r="C13862" s="3">
        <v>6</v>
      </c>
    </row>
    <row r="13863" spans="1:3" x14ac:dyDescent="0.25">
      <c r="A13863" s="1" t="s">
        <v>13862</v>
      </c>
      <c r="C13863" s="3">
        <v>6</v>
      </c>
    </row>
    <row r="13864" spans="1:3" x14ac:dyDescent="0.25">
      <c r="A13864" s="1" t="s">
        <v>13863</v>
      </c>
      <c r="C13864" s="3">
        <v>6</v>
      </c>
    </row>
    <row r="13865" spans="1:3" x14ac:dyDescent="0.25">
      <c r="A13865" s="1" t="s">
        <v>13864</v>
      </c>
      <c r="C13865" s="3">
        <v>6</v>
      </c>
    </row>
    <row r="13866" spans="1:3" x14ac:dyDescent="0.25">
      <c r="A13866" s="1" t="s">
        <v>13865</v>
      </c>
      <c r="C13866" s="3">
        <v>6</v>
      </c>
    </row>
    <row r="13867" spans="1:3" x14ac:dyDescent="0.25">
      <c r="A13867" s="1" t="s">
        <v>13866</v>
      </c>
      <c r="C13867" s="3">
        <v>6</v>
      </c>
    </row>
    <row r="13868" spans="1:3" x14ac:dyDescent="0.25">
      <c r="A13868" s="1" t="s">
        <v>13867</v>
      </c>
      <c r="C13868" s="3">
        <v>6</v>
      </c>
    </row>
    <row r="13869" spans="1:3" x14ac:dyDescent="0.25">
      <c r="A13869" s="1" t="s">
        <v>13868</v>
      </c>
      <c r="C13869" s="3">
        <v>6</v>
      </c>
    </row>
    <row r="13870" spans="1:3" x14ac:dyDescent="0.25">
      <c r="A13870" s="1" t="s">
        <v>13869</v>
      </c>
      <c r="C13870" s="3">
        <v>6</v>
      </c>
    </row>
    <row r="13871" spans="1:3" x14ac:dyDescent="0.25">
      <c r="A13871" s="1" t="s">
        <v>13870</v>
      </c>
      <c r="C13871" s="3">
        <v>6</v>
      </c>
    </row>
    <row r="13872" spans="1:3" x14ac:dyDescent="0.25">
      <c r="A13872" s="1" t="s">
        <v>13871</v>
      </c>
      <c r="C13872" s="3">
        <v>6</v>
      </c>
    </row>
    <row r="13873" spans="1:3" x14ac:dyDescent="0.25">
      <c r="A13873" s="1" t="s">
        <v>13872</v>
      </c>
      <c r="C13873" s="3">
        <v>6</v>
      </c>
    </row>
    <row r="13874" spans="1:3" x14ac:dyDescent="0.25">
      <c r="A13874" s="1" t="s">
        <v>13873</v>
      </c>
      <c r="C13874" s="3">
        <v>6</v>
      </c>
    </row>
    <row r="13875" spans="1:3" x14ac:dyDescent="0.25">
      <c r="A13875" s="1" t="s">
        <v>13874</v>
      </c>
      <c r="C13875" s="3">
        <v>6</v>
      </c>
    </row>
    <row r="13876" spans="1:3" x14ac:dyDescent="0.25">
      <c r="A13876" s="1" t="s">
        <v>13875</v>
      </c>
      <c r="C13876" s="3">
        <v>6</v>
      </c>
    </row>
    <row r="13877" spans="1:3" x14ac:dyDescent="0.25">
      <c r="A13877" s="1" t="s">
        <v>13876</v>
      </c>
      <c r="C13877" s="3">
        <v>6</v>
      </c>
    </row>
    <row r="13878" spans="1:3" x14ac:dyDescent="0.25">
      <c r="A13878" s="1" t="s">
        <v>13877</v>
      </c>
      <c r="C13878" s="3">
        <v>6</v>
      </c>
    </row>
    <row r="13879" spans="1:3" x14ac:dyDescent="0.25">
      <c r="A13879" s="1" t="s">
        <v>13878</v>
      </c>
      <c r="C13879" s="3">
        <v>6</v>
      </c>
    </row>
    <row r="13880" spans="1:3" x14ac:dyDescent="0.25">
      <c r="A13880" s="1" t="s">
        <v>13879</v>
      </c>
      <c r="C13880" s="3">
        <v>6</v>
      </c>
    </row>
    <row r="13881" spans="1:3" x14ac:dyDescent="0.25">
      <c r="A13881" s="1" t="s">
        <v>13880</v>
      </c>
      <c r="C13881" s="3">
        <v>6</v>
      </c>
    </row>
    <row r="13882" spans="1:3" x14ac:dyDescent="0.25">
      <c r="A13882" s="1" t="s">
        <v>13881</v>
      </c>
      <c r="C13882" s="3">
        <v>6</v>
      </c>
    </row>
    <row r="13883" spans="1:3" x14ac:dyDescent="0.25">
      <c r="A13883" s="1" t="s">
        <v>13882</v>
      </c>
      <c r="C13883" s="3">
        <v>6</v>
      </c>
    </row>
    <row r="13884" spans="1:3" x14ac:dyDescent="0.25">
      <c r="A13884" s="1" t="s">
        <v>13883</v>
      </c>
      <c r="C13884" s="3">
        <v>6</v>
      </c>
    </row>
    <row r="13885" spans="1:3" x14ac:dyDescent="0.25">
      <c r="A13885" s="1" t="s">
        <v>13884</v>
      </c>
      <c r="C13885" s="3">
        <v>6</v>
      </c>
    </row>
    <row r="13886" spans="1:3" x14ac:dyDescent="0.25">
      <c r="A13886" s="1" t="s">
        <v>13885</v>
      </c>
      <c r="C13886" s="3">
        <v>6</v>
      </c>
    </row>
    <row r="13887" spans="1:3" x14ac:dyDescent="0.25">
      <c r="A13887" s="1" t="s">
        <v>13886</v>
      </c>
      <c r="C13887" s="3">
        <v>6</v>
      </c>
    </row>
    <row r="13888" spans="1:3" x14ac:dyDescent="0.25">
      <c r="A13888" s="1" t="s">
        <v>13887</v>
      </c>
      <c r="C13888" s="3">
        <v>6</v>
      </c>
    </row>
    <row r="13889" spans="1:3" x14ac:dyDescent="0.25">
      <c r="A13889" s="1" t="s">
        <v>13888</v>
      </c>
      <c r="C13889" s="3">
        <v>6</v>
      </c>
    </row>
    <row r="13890" spans="1:3" x14ac:dyDescent="0.25">
      <c r="A13890" s="1" t="s">
        <v>13889</v>
      </c>
      <c r="C13890" s="3">
        <v>6</v>
      </c>
    </row>
    <row r="13891" spans="1:3" x14ac:dyDescent="0.25">
      <c r="A13891" s="1" t="s">
        <v>13890</v>
      </c>
      <c r="C13891" s="3">
        <v>6</v>
      </c>
    </row>
    <row r="13892" spans="1:3" x14ac:dyDescent="0.25">
      <c r="A13892" s="1" t="s">
        <v>13891</v>
      </c>
      <c r="C13892" s="3">
        <v>6</v>
      </c>
    </row>
    <row r="13893" spans="1:3" x14ac:dyDescent="0.25">
      <c r="A13893" s="1" t="s">
        <v>13892</v>
      </c>
      <c r="C13893" s="3">
        <v>6</v>
      </c>
    </row>
    <row r="13894" spans="1:3" x14ac:dyDescent="0.25">
      <c r="A13894" s="1" t="s">
        <v>13893</v>
      </c>
      <c r="C13894" s="3">
        <v>6</v>
      </c>
    </row>
    <row r="13895" spans="1:3" x14ac:dyDescent="0.25">
      <c r="A13895" s="1" t="s">
        <v>13894</v>
      </c>
      <c r="C13895" s="3">
        <v>6</v>
      </c>
    </row>
    <row r="13896" spans="1:3" x14ac:dyDescent="0.25">
      <c r="A13896" s="1" t="s">
        <v>13895</v>
      </c>
      <c r="C13896" s="3">
        <v>6</v>
      </c>
    </row>
    <row r="13897" spans="1:3" x14ac:dyDescent="0.25">
      <c r="A13897" s="1" t="s">
        <v>13896</v>
      </c>
      <c r="C13897" s="3">
        <v>6</v>
      </c>
    </row>
    <row r="13898" spans="1:3" x14ac:dyDescent="0.25">
      <c r="A13898" s="1" t="s">
        <v>13897</v>
      </c>
      <c r="C13898" s="3">
        <v>6</v>
      </c>
    </row>
    <row r="13899" spans="1:3" x14ac:dyDescent="0.25">
      <c r="A13899" s="1" t="s">
        <v>13898</v>
      </c>
      <c r="C13899" s="3">
        <v>6</v>
      </c>
    </row>
    <row r="13900" spans="1:3" x14ac:dyDescent="0.25">
      <c r="A13900" s="1" t="s">
        <v>13899</v>
      </c>
      <c r="C13900" s="3">
        <v>6</v>
      </c>
    </row>
    <row r="13901" spans="1:3" x14ac:dyDescent="0.25">
      <c r="A13901" s="1" t="s">
        <v>13900</v>
      </c>
      <c r="C13901" s="3">
        <v>6</v>
      </c>
    </row>
    <row r="13902" spans="1:3" x14ac:dyDescent="0.25">
      <c r="A13902" s="1" t="s">
        <v>13901</v>
      </c>
      <c r="C13902" s="3">
        <v>6</v>
      </c>
    </row>
    <row r="13903" spans="1:3" x14ac:dyDescent="0.25">
      <c r="A13903" s="1" t="s">
        <v>13902</v>
      </c>
      <c r="C13903" s="3">
        <v>6</v>
      </c>
    </row>
    <row r="13904" spans="1:3" x14ac:dyDescent="0.25">
      <c r="A13904" s="1" t="s">
        <v>13903</v>
      </c>
      <c r="C13904" s="3">
        <v>6</v>
      </c>
    </row>
    <row r="13905" spans="1:3" x14ac:dyDescent="0.25">
      <c r="A13905" s="1" t="s">
        <v>13904</v>
      </c>
      <c r="C13905" s="3">
        <v>6</v>
      </c>
    </row>
    <row r="13906" spans="1:3" x14ac:dyDescent="0.25">
      <c r="A13906" s="1" t="s">
        <v>13905</v>
      </c>
      <c r="C13906" s="3">
        <v>6</v>
      </c>
    </row>
    <row r="13907" spans="1:3" x14ac:dyDescent="0.25">
      <c r="A13907" s="1" t="s">
        <v>13906</v>
      </c>
      <c r="C13907" s="3">
        <v>6</v>
      </c>
    </row>
    <row r="13908" spans="1:3" x14ac:dyDescent="0.25">
      <c r="A13908" s="1" t="s">
        <v>13907</v>
      </c>
      <c r="C13908" s="3">
        <v>6</v>
      </c>
    </row>
    <row r="13909" spans="1:3" x14ac:dyDescent="0.25">
      <c r="A13909" s="1" t="s">
        <v>13908</v>
      </c>
      <c r="C13909" s="3">
        <v>6</v>
      </c>
    </row>
    <row r="13910" spans="1:3" x14ac:dyDescent="0.25">
      <c r="A13910" s="1" t="s">
        <v>13909</v>
      </c>
      <c r="C13910" s="3">
        <v>6</v>
      </c>
    </row>
    <row r="13911" spans="1:3" x14ac:dyDescent="0.25">
      <c r="A13911" s="1" t="s">
        <v>13910</v>
      </c>
      <c r="C13911" s="3">
        <v>6</v>
      </c>
    </row>
    <row r="13912" spans="1:3" x14ac:dyDescent="0.25">
      <c r="A13912" s="1" t="s">
        <v>13911</v>
      </c>
      <c r="C13912" s="3">
        <v>6</v>
      </c>
    </row>
    <row r="13913" spans="1:3" x14ac:dyDescent="0.25">
      <c r="A13913" s="1" t="s">
        <v>13912</v>
      </c>
      <c r="C13913" s="3">
        <v>6</v>
      </c>
    </row>
    <row r="13914" spans="1:3" x14ac:dyDescent="0.25">
      <c r="A13914" s="1" t="s">
        <v>13913</v>
      </c>
      <c r="C13914" s="3">
        <v>6</v>
      </c>
    </row>
    <row r="13915" spans="1:3" x14ac:dyDescent="0.25">
      <c r="A13915" s="1" t="s">
        <v>13914</v>
      </c>
      <c r="C13915" s="3">
        <v>6</v>
      </c>
    </row>
    <row r="13916" spans="1:3" x14ac:dyDescent="0.25">
      <c r="A13916" s="1" t="s">
        <v>13915</v>
      </c>
      <c r="C13916" s="3">
        <v>6</v>
      </c>
    </row>
    <row r="13917" spans="1:3" x14ac:dyDescent="0.25">
      <c r="A13917" s="1" t="s">
        <v>13916</v>
      </c>
      <c r="C13917" s="3">
        <v>6</v>
      </c>
    </row>
    <row r="13918" spans="1:3" x14ac:dyDescent="0.25">
      <c r="A13918" s="1" t="s">
        <v>13917</v>
      </c>
      <c r="C13918" s="3">
        <v>6</v>
      </c>
    </row>
    <row r="13919" spans="1:3" x14ac:dyDescent="0.25">
      <c r="A13919" s="1" t="s">
        <v>13918</v>
      </c>
      <c r="C13919" s="3">
        <v>6</v>
      </c>
    </row>
    <row r="13920" spans="1:3" x14ac:dyDescent="0.25">
      <c r="A13920" s="1" t="s">
        <v>13919</v>
      </c>
      <c r="C13920" s="3">
        <v>6</v>
      </c>
    </row>
    <row r="13921" spans="1:3" x14ac:dyDescent="0.25">
      <c r="A13921" s="1" t="s">
        <v>13920</v>
      </c>
      <c r="C13921" s="3">
        <v>6</v>
      </c>
    </row>
    <row r="13922" spans="1:3" x14ac:dyDescent="0.25">
      <c r="A13922" s="1" t="s">
        <v>13921</v>
      </c>
      <c r="C13922" s="3">
        <v>6</v>
      </c>
    </row>
    <row r="13923" spans="1:3" x14ac:dyDescent="0.25">
      <c r="A13923" s="1" t="s">
        <v>13922</v>
      </c>
      <c r="C13923" s="3">
        <v>6</v>
      </c>
    </row>
    <row r="13924" spans="1:3" x14ac:dyDescent="0.25">
      <c r="A13924" s="1" t="s">
        <v>13923</v>
      </c>
      <c r="C13924" s="3">
        <v>6</v>
      </c>
    </row>
    <row r="13925" spans="1:3" x14ac:dyDescent="0.25">
      <c r="A13925" s="1" t="s">
        <v>13924</v>
      </c>
      <c r="C13925" s="3">
        <v>6</v>
      </c>
    </row>
    <row r="13926" spans="1:3" x14ac:dyDescent="0.25">
      <c r="A13926" s="1" t="s">
        <v>13925</v>
      </c>
      <c r="C13926" s="3">
        <v>6</v>
      </c>
    </row>
    <row r="13927" spans="1:3" x14ac:dyDescent="0.25">
      <c r="A13927" s="1" t="s">
        <v>13926</v>
      </c>
      <c r="C13927" s="3">
        <v>6</v>
      </c>
    </row>
    <row r="13928" spans="1:3" x14ac:dyDescent="0.25">
      <c r="A13928" s="1" t="s">
        <v>13927</v>
      </c>
      <c r="C13928" s="3">
        <v>6</v>
      </c>
    </row>
    <row r="13929" spans="1:3" x14ac:dyDescent="0.25">
      <c r="A13929" s="1" t="s">
        <v>13928</v>
      </c>
      <c r="C13929" s="3">
        <v>6</v>
      </c>
    </row>
    <row r="13930" spans="1:3" x14ac:dyDescent="0.25">
      <c r="A13930" s="1" t="s">
        <v>13929</v>
      </c>
      <c r="C13930" s="3">
        <v>6</v>
      </c>
    </row>
    <row r="13931" spans="1:3" x14ac:dyDescent="0.25">
      <c r="A13931" s="1" t="s">
        <v>13930</v>
      </c>
      <c r="C13931" s="3">
        <v>6</v>
      </c>
    </row>
    <row r="13932" spans="1:3" x14ac:dyDescent="0.25">
      <c r="A13932" s="1" t="s">
        <v>13931</v>
      </c>
      <c r="C13932" s="3">
        <v>6</v>
      </c>
    </row>
    <row r="13933" spans="1:3" x14ac:dyDescent="0.25">
      <c r="A13933" s="1" t="s">
        <v>13932</v>
      </c>
      <c r="C13933" s="3">
        <v>6</v>
      </c>
    </row>
    <row r="13934" spans="1:3" x14ac:dyDescent="0.25">
      <c r="A13934" s="1" t="s">
        <v>13933</v>
      </c>
      <c r="C13934" s="3">
        <v>6</v>
      </c>
    </row>
    <row r="13935" spans="1:3" x14ac:dyDescent="0.25">
      <c r="A13935" s="1" t="s">
        <v>13934</v>
      </c>
      <c r="C13935" s="3">
        <v>6</v>
      </c>
    </row>
    <row r="13936" spans="1:3" x14ac:dyDescent="0.25">
      <c r="A13936" s="1" t="s">
        <v>13935</v>
      </c>
      <c r="C13936" s="3">
        <v>6</v>
      </c>
    </row>
    <row r="13937" spans="1:3" x14ac:dyDescent="0.25">
      <c r="A13937" s="1" t="s">
        <v>13936</v>
      </c>
      <c r="C13937" s="3">
        <v>6</v>
      </c>
    </row>
    <row r="13938" spans="1:3" x14ac:dyDescent="0.25">
      <c r="A13938" s="1" t="s">
        <v>13937</v>
      </c>
      <c r="C13938" s="3">
        <v>6</v>
      </c>
    </row>
    <row r="13939" spans="1:3" x14ac:dyDescent="0.25">
      <c r="A13939" s="1" t="s">
        <v>13938</v>
      </c>
      <c r="C13939" s="3">
        <v>6</v>
      </c>
    </row>
    <row r="13940" spans="1:3" x14ac:dyDescent="0.25">
      <c r="A13940" s="1" t="s">
        <v>13939</v>
      </c>
      <c r="C13940" s="3">
        <v>6</v>
      </c>
    </row>
    <row r="13941" spans="1:3" x14ac:dyDescent="0.25">
      <c r="A13941" s="1" t="s">
        <v>13940</v>
      </c>
      <c r="C13941" s="3">
        <v>6</v>
      </c>
    </row>
    <row r="13942" spans="1:3" x14ac:dyDescent="0.25">
      <c r="A13942" s="1" t="s">
        <v>13941</v>
      </c>
      <c r="C13942" s="3">
        <v>6</v>
      </c>
    </row>
    <row r="13943" spans="1:3" x14ac:dyDescent="0.25">
      <c r="A13943" s="1" t="s">
        <v>13942</v>
      </c>
      <c r="C13943" s="3">
        <v>6</v>
      </c>
    </row>
    <row r="13944" spans="1:3" x14ac:dyDescent="0.25">
      <c r="A13944" s="1" t="s">
        <v>13943</v>
      </c>
      <c r="C13944" s="3">
        <v>6</v>
      </c>
    </row>
    <row r="13945" spans="1:3" x14ac:dyDescent="0.25">
      <c r="A13945" s="1" t="s">
        <v>13944</v>
      </c>
      <c r="C13945" s="3">
        <v>6</v>
      </c>
    </row>
    <row r="13946" spans="1:3" x14ac:dyDescent="0.25">
      <c r="A13946" s="1" t="s">
        <v>13945</v>
      </c>
      <c r="C13946" s="3">
        <v>6</v>
      </c>
    </row>
    <row r="13947" spans="1:3" x14ac:dyDescent="0.25">
      <c r="A13947" s="1" t="s">
        <v>13946</v>
      </c>
      <c r="C13947" s="3">
        <v>6</v>
      </c>
    </row>
    <row r="13948" spans="1:3" x14ac:dyDescent="0.25">
      <c r="A13948" s="1" t="s">
        <v>13947</v>
      </c>
      <c r="C13948" s="3">
        <v>6</v>
      </c>
    </row>
    <row r="13949" spans="1:3" x14ac:dyDescent="0.25">
      <c r="A13949" s="1" t="s">
        <v>13948</v>
      </c>
      <c r="C13949" s="3">
        <v>6</v>
      </c>
    </row>
    <row r="13950" spans="1:3" x14ac:dyDescent="0.25">
      <c r="A13950" s="1" t="s">
        <v>13949</v>
      </c>
      <c r="C13950" s="3">
        <v>6</v>
      </c>
    </row>
    <row r="13951" spans="1:3" x14ac:dyDescent="0.25">
      <c r="A13951" s="1" t="s">
        <v>13950</v>
      </c>
      <c r="C13951" s="3">
        <v>6</v>
      </c>
    </row>
    <row r="13952" spans="1:3" x14ac:dyDescent="0.25">
      <c r="A13952" s="1" t="s">
        <v>13951</v>
      </c>
      <c r="C13952" s="3">
        <v>6</v>
      </c>
    </row>
    <row r="13953" spans="1:3" x14ac:dyDescent="0.25">
      <c r="A13953" s="1" t="s">
        <v>13952</v>
      </c>
      <c r="C13953" s="3">
        <v>6</v>
      </c>
    </row>
    <row r="13954" spans="1:3" x14ac:dyDescent="0.25">
      <c r="A13954" s="1" t="s">
        <v>13953</v>
      </c>
      <c r="C13954" s="3">
        <v>6</v>
      </c>
    </row>
    <row r="13955" spans="1:3" x14ac:dyDescent="0.25">
      <c r="A13955" s="1" t="s">
        <v>13954</v>
      </c>
      <c r="C13955" s="3">
        <v>6</v>
      </c>
    </row>
    <row r="13956" spans="1:3" x14ac:dyDescent="0.25">
      <c r="A13956" s="1" t="s">
        <v>13955</v>
      </c>
      <c r="C13956" s="3">
        <v>6</v>
      </c>
    </row>
    <row r="13957" spans="1:3" x14ac:dyDescent="0.25">
      <c r="A13957" s="1" t="s">
        <v>13956</v>
      </c>
      <c r="C13957" s="3">
        <v>6</v>
      </c>
    </row>
    <row r="13958" spans="1:3" x14ac:dyDescent="0.25">
      <c r="A13958" s="1" t="s">
        <v>13957</v>
      </c>
      <c r="C13958" s="3">
        <v>6</v>
      </c>
    </row>
    <row r="13959" spans="1:3" x14ac:dyDescent="0.25">
      <c r="A13959" s="1" t="s">
        <v>13958</v>
      </c>
      <c r="C13959" s="3">
        <v>6</v>
      </c>
    </row>
    <row r="13960" spans="1:3" x14ac:dyDescent="0.25">
      <c r="A13960" s="1" t="s">
        <v>13959</v>
      </c>
      <c r="C13960" s="3">
        <v>6</v>
      </c>
    </row>
    <row r="13961" spans="1:3" x14ac:dyDescent="0.25">
      <c r="A13961" s="1" t="s">
        <v>13960</v>
      </c>
      <c r="C13961" s="3">
        <v>6</v>
      </c>
    </row>
    <row r="13962" spans="1:3" x14ac:dyDescent="0.25">
      <c r="A13962" s="1" t="s">
        <v>13961</v>
      </c>
      <c r="C13962" s="3">
        <v>6</v>
      </c>
    </row>
    <row r="13963" spans="1:3" x14ac:dyDescent="0.25">
      <c r="A13963" s="1" t="s">
        <v>13962</v>
      </c>
      <c r="C13963" s="3">
        <v>6</v>
      </c>
    </row>
    <row r="13964" spans="1:3" x14ac:dyDescent="0.25">
      <c r="A13964" s="1" t="s">
        <v>13963</v>
      </c>
      <c r="C13964" s="3">
        <v>6</v>
      </c>
    </row>
    <row r="13965" spans="1:3" x14ac:dyDescent="0.25">
      <c r="A13965" s="1" t="s">
        <v>13964</v>
      </c>
      <c r="C13965" s="3">
        <v>6</v>
      </c>
    </row>
    <row r="13966" spans="1:3" x14ac:dyDescent="0.25">
      <c r="A13966" s="1" t="s">
        <v>13965</v>
      </c>
      <c r="C13966" s="3">
        <v>6</v>
      </c>
    </row>
    <row r="13967" spans="1:3" x14ac:dyDescent="0.25">
      <c r="A13967" s="1" t="s">
        <v>13966</v>
      </c>
      <c r="C13967" s="3">
        <v>6</v>
      </c>
    </row>
    <row r="13968" spans="1:3" x14ac:dyDescent="0.25">
      <c r="A13968" s="1" t="s">
        <v>13967</v>
      </c>
      <c r="C13968" s="3">
        <v>6</v>
      </c>
    </row>
    <row r="13969" spans="1:3" x14ac:dyDescent="0.25">
      <c r="A13969" s="1" t="s">
        <v>13968</v>
      </c>
      <c r="C13969" s="3">
        <v>6</v>
      </c>
    </row>
    <row r="13970" spans="1:3" x14ac:dyDescent="0.25">
      <c r="A13970" s="1" t="s">
        <v>13969</v>
      </c>
      <c r="C13970" s="3">
        <v>6</v>
      </c>
    </row>
    <row r="13971" spans="1:3" x14ac:dyDescent="0.25">
      <c r="A13971" s="1" t="s">
        <v>13970</v>
      </c>
      <c r="C13971" s="3">
        <v>6</v>
      </c>
    </row>
    <row r="13972" spans="1:3" x14ac:dyDescent="0.25">
      <c r="A13972" s="1" t="s">
        <v>13971</v>
      </c>
      <c r="C13972" s="3">
        <v>6</v>
      </c>
    </row>
    <row r="13973" spans="1:3" x14ac:dyDescent="0.25">
      <c r="A13973" s="1" t="s">
        <v>13972</v>
      </c>
      <c r="C13973" s="3">
        <v>6</v>
      </c>
    </row>
    <row r="13974" spans="1:3" x14ac:dyDescent="0.25">
      <c r="A13974" s="1" t="s">
        <v>13973</v>
      </c>
      <c r="C13974" s="3">
        <v>6</v>
      </c>
    </row>
    <row r="13975" spans="1:3" x14ac:dyDescent="0.25">
      <c r="A13975" s="1" t="s">
        <v>13974</v>
      </c>
      <c r="C13975" s="3">
        <v>6</v>
      </c>
    </row>
    <row r="13976" spans="1:3" x14ac:dyDescent="0.25">
      <c r="A13976" s="1" t="s">
        <v>13975</v>
      </c>
      <c r="C13976" s="3">
        <v>6</v>
      </c>
    </row>
    <row r="13977" spans="1:3" x14ac:dyDescent="0.25">
      <c r="A13977" s="1" t="s">
        <v>13976</v>
      </c>
      <c r="C13977" s="3">
        <v>6</v>
      </c>
    </row>
    <row r="13978" spans="1:3" x14ac:dyDescent="0.25">
      <c r="A13978" s="1" t="s">
        <v>13977</v>
      </c>
      <c r="C13978" s="3">
        <v>6</v>
      </c>
    </row>
    <row r="13979" spans="1:3" x14ac:dyDescent="0.25">
      <c r="A13979" s="1" t="s">
        <v>13978</v>
      </c>
      <c r="C13979" s="3">
        <v>6</v>
      </c>
    </row>
    <row r="13980" spans="1:3" x14ac:dyDescent="0.25">
      <c r="A13980" s="1" t="s">
        <v>13979</v>
      </c>
      <c r="C13980" s="3">
        <v>6</v>
      </c>
    </row>
    <row r="13981" spans="1:3" x14ac:dyDescent="0.25">
      <c r="A13981" s="2" t="s">
        <v>13980</v>
      </c>
      <c r="C13981" s="4">
        <v>5</v>
      </c>
    </row>
    <row r="13982" spans="1:3" x14ac:dyDescent="0.25">
      <c r="A13982" s="1" t="s">
        <v>13981</v>
      </c>
      <c r="C13982" s="3">
        <v>5</v>
      </c>
    </row>
    <row r="13983" spans="1:3" x14ac:dyDescent="0.25">
      <c r="A13983" s="1" t="s">
        <v>13982</v>
      </c>
      <c r="C13983" s="3">
        <v>5</v>
      </c>
    </row>
    <row r="13984" spans="1:3" x14ac:dyDescent="0.25">
      <c r="A13984" s="1" t="s">
        <v>13983</v>
      </c>
      <c r="C13984" s="3">
        <v>5</v>
      </c>
    </row>
    <row r="13985" spans="1:3" x14ac:dyDescent="0.25">
      <c r="A13985" s="1" t="s">
        <v>13984</v>
      </c>
      <c r="C13985" s="3">
        <v>5</v>
      </c>
    </row>
    <row r="13986" spans="1:3" x14ac:dyDescent="0.25">
      <c r="A13986" s="1" t="s">
        <v>13985</v>
      </c>
      <c r="C13986" s="3">
        <v>5</v>
      </c>
    </row>
    <row r="13987" spans="1:3" x14ac:dyDescent="0.25">
      <c r="A13987" s="1" t="s">
        <v>13986</v>
      </c>
      <c r="C13987" s="3">
        <v>5</v>
      </c>
    </row>
    <row r="13988" spans="1:3" x14ac:dyDescent="0.25">
      <c r="A13988" s="1" t="s">
        <v>13987</v>
      </c>
      <c r="C13988" s="3">
        <v>5</v>
      </c>
    </row>
    <row r="13989" spans="1:3" x14ac:dyDescent="0.25">
      <c r="A13989" s="1" t="s">
        <v>13988</v>
      </c>
      <c r="C13989" s="3">
        <v>5</v>
      </c>
    </row>
    <row r="13990" spans="1:3" x14ac:dyDescent="0.25">
      <c r="A13990" s="1" t="s">
        <v>13989</v>
      </c>
      <c r="C13990" s="3">
        <v>5</v>
      </c>
    </row>
    <row r="13991" spans="1:3" x14ac:dyDescent="0.25">
      <c r="A13991" s="1" t="s">
        <v>13990</v>
      </c>
      <c r="C13991" s="3">
        <v>5</v>
      </c>
    </row>
    <row r="13992" spans="1:3" x14ac:dyDescent="0.25">
      <c r="A13992" s="1" t="s">
        <v>13991</v>
      </c>
      <c r="C13992" s="3">
        <v>5</v>
      </c>
    </row>
    <row r="13993" spans="1:3" x14ac:dyDescent="0.25">
      <c r="A13993" s="1" t="s">
        <v>13992</v>
      </c>
      <c r="C13993" s="3">
        <v>5</v>
      </c>
    </row>
    <row r="13994" spans="1:3" x14ac:dyDescent="0.25">
      <c r="A13994" s="1" t="s">
        <v>13993</v>
      </c>
      <c r="C13994" s="3">
        <v>5</v>
      </c>
    </row>
    <row r="13995" spans="1:3" x14ac:dyDescent="0.25">
      <c r="A13995" s="1" t="s">
        <v>13994</v>
      </c>
      <c r="C13995" s="3">
        <v>5</v>
      </c>
    </row>
    <row r="13996" spans="1:3" x14ac:dyDescent="0.25">
      <c r="A13996" s="1" t="s">
        <v>13995</v>
      </c>
      <c r="C13996" s="3">
        <v>5</v>
      </c>
    </row>
    <row r="13997" spans="1:3" x14ac:dyDescent="0.25">
      <c r="A13997" s="1" t="s">
        <v>13996</v>
      </c>
      <c r="C13997" s="3">
        <v>5</v>
      </c>
    </row>
    <row r="13998" spans="1:3" x14ac:dyDescent="0.25">
      <c r="A13998" s="1" t="s">
        <v>13997</v>
      </c>
      <c r="C13998" s="3">
        <v>5</v>
      </c>
    </row>
    <row r="13999" spans="1:3" x14ac:dyDescent="0.25">
      <c r="A13999" s="1" t="s">
        <v>13998</v>
      </c>
      <c r="C13999" s="3">
        <v>5</v>
      </c>
    </row>
    <row r="14000" spans="1:3" x14ac:dyDescent="0.25">
      <c r="A14000" s="1" t="s">
        <v>13999</v>
      </c>
      <c r="C14000" s="3">
        <v>5</v>
      </c>
    </row>
    <row r="14001" spans="1:3" x14ac:dyDescent="0.25">
      <c r="A14001" s="1" t="s">
        <v>14000</v>
      </c>
      <c r="C14001" s="3">
        <v>5</v>
      </c>
    </row>
    <row r="14002" spans="1:3" x14ac:dyDescent="0.25">
      <c r="A14002" s="1" t="s">
        <v>14001</v>
      </c>
      <c r="C14002" s="3">
        <v>5</v>
      </c>
    </row>
    <row r="14003" spans="1:3" x14ac:dyDescent="0.25">
      <c r="A14003" s="1" t="s">
        <v>14002</v>
      </c>
      <c r="C14003" s="3">
        <v>5</v>
      </c>
    </row>
    <row r="14004" spans="1:3" x14ac:dyDescent="0.25">
      <c r="A14004" s="1" t="s">
        <v>14003</v>
      </c>
      <c r="C14004" s="3">
        <v>5</v>
      </c>
    </row>
    <row r="14005" spans="1:3" x14ac:dyDescent="0.25">
      <c r="A14005" s="1" t="s">
        <v>14004</v>
      </c>
      <c r="C14005" s="3">
        <v>5</v>
      </c>
    </row>
    <row r="14006" spans="1:3" x14ac:dyDescent="0.25">
      <c r="A14006" s="1" t="s">
        <v>14005</v>
      </c>
      <c r="C14006" s="3">
        <v>5</v>
      </c>
    </row>
    <row r="14007" spans="1:3" x14ac:dyDescent="0.25">
      <c r="A14007" s="1" t="s">
        <v>14006</v>
      </c>
      <c r="C14007" s="3">
        <v>5</v>
      </c>
    </row>
    <row r="14008" spans="1:3" x14ac:dyDescent="0.25">
      <c r="A14008" s="1" t="s">
        <v>14007</v>
      </c>
      <c r="C14008" s="3">
        <v>5</v>
      </c>
    </row>
    <row r="14009" spans="1:3" x14ac:dyDescent="0.25">
      <c r="A14009" s="1" t="s">
        <v>14008</v>
      </c>
      <c r="C14009" s="3">
        <v>5</v>
      </c>
    </row>
    <row r="14010" spans="1:3" x14ac:dyDescent="0.25">
      <c r="A14010" s="1" t="s">
        <v>14009</v>
      </c>
      <c r="C14010" s="3">
        <v>5</v>
      </c>
    </row>
    <row r="14011" spans="1:3" x14ac:dyDescent="0.25">
      <c r="A14011" s="1" t="s">
        <v>14010</v>
      </c>
      <c r="C14011" s="3">
        <v>5</v>
      </c>
    </row>
    <row r="14012" spans="1:3" x14ac:dyDescent="0.25">
      <c r="A14012" s="1" t="s">
        <v>14011</v>
      </c>
      <c r="C14012" s="3">
        <v>5</v>
      </c>
    </row>
    <row r="14013" spans="1:3" x14ac:dyDescent="0.25">
      <c r="A14013" s="1" t="s">
        <v>14012</v>
      </c>
      <c r="C14013" s="3">
        <v>5</v>
      </c>
    </row>
    <row r="14014" spans="1:3" x14ac:dyDescent="0.25">
      <c r="A14014" s="1" t="s">
        <v>14013</v>
      </c>
      <c r="C14014" s="3">
        <v>5</v>
      </c>
    </row>
    <row r="14015" spans="1:3" x14ac:dyDescent="0.25">
      <c r="A14015" s="1" t="s">
        <v>14014</v>
      </c>
      <c r="C14015" s="3">
        <v>5</v>
      </c>
    </row>
    <row r="14016" spans="1:3" x14ac:dyDescent="0.25">
      <c r="A14016" s="1" t="s">
        <v>14015</v>
      </c>
      <c r="C14016" s="3">
        <v>5</v>
      </c>
    </row>
    <row r="14017" spans="1:3" x14ac:dyDescent="0.25">
      <c r="A14017" s="1" t="s">
        <v>14016</v>
      </c>
      <c r="C14017" s="3">
        <v>5</v>
      </c>
    </row>
    <row r="14018" spans="1:3" x14ac:dyDescent="0.25">
      <c r="A14018" s="1" t="s">
        <v>14017</v>
      </c>
      <c r="C14018" s="3">
        <v>5</v>
      </c>
    </row>
    <row r="14019" spans="1:3" x14ac:dyDescent="0.25">
      <c r="A14019" s="1" t="s">
        <v>14018</v>
      </c>
      <c r="C14019" s="3">
        <v>5</v>
      </c>
    </row>
    <row r="14020" spans="1:3" x14ac:dyDescent="0.25">
      <c r="A14020" s="1" t="s">
        <v>14019</v>
      </c>
      <c r="C14020" s="3">
        <v>5</v>
      </c>
    </row>
    <row r="14021" spans="1:3" x14ac:dyDescent="0.25">
      <c r="A14021" s="1" t="s">
        <v>14020</v>
      </c>
      <c r="C14021" s="3">
        <v>5</v>
      </c>
    </row>
    <row r="14022" spans="1:3" x14ac:dyDescent="0.25">
      <c r="A14022" s="1" t="s">
        <v>14021</v>
      </c>
      <c r="C14022" s="3">
        <v>5</v>
      </c>
    </row>
    <row r="14023" spans="1:3" x14ac:dyDescent="0.25">
      <c r="A14023" s="1" t="s">
        <v>14022</v>
      </c>
      <c r="C14023" s="3">
        <v>5</v>
      </c>
    </row>
    <row r="14024" spans="1:3" x14ac:dyDescent="0.25">
      <c r="A14024" s="1" t="s">
        <v>14023</v>
      </c>
      <c r="C14024" s="3">
        <v>5</v>
      </c>
    </row>
    <row r="14025" spans="1:3" x14ac:dyDescent="0.25">
      <c r="A14025" s="1" t="s">
        <v>14024</v>
      </c>
      <c r="C14025" s="3">
        <v>5</v>
      </c>
    </row>
    <row r="14026" spans="1:3" x14ac:dyDescent="0.25">
      <c r="A14026" s="1" t="s">
        <v>14025</v>
      </c>
      <c r="C14026" s="3">
        <v>5</v>
      </c>
    </row>
    <row r="14027" spans="1:3" x14ac:dyDescent="0.25">
      <c r="A14027" s="1" t="s">
        <v>14026</v>
      </c>
      <c r="C14027" s="3">
        <v>5</v>
      </c>
    </row>
    <row r="14028" spans="1:3" x14ac:dyDescent="0.25">
      <c r="A14028" s="1" t="s">
        <v>14027</v>
      </c>
      <c r="C14028" s="3">
        <v>5</v>
      </c>
    </row>
    <row r="14029" spans="1:3" x14ac:dyDescent="0.25">
      <c r="A14029" s="1" t="s">
        <v>14028</v>
      </c>
      <c r="C14029" s="3">
        <v>5</v>
      </c>
    </row>
    <row r="14030" spans="1:3" x14ac:dyDescent="0.25">
      <c r="A14030" s="1" t="s">
        <v>14029</v>
      </c>
      <c r="C14030" s="3">
        <v>5</v>
      </c>
    </row>
    <row r="14031" spans="1:3" x14ac:dyDescent="0.25">
      <c r="A14031" s="1" t="s">
        <v>14030</v>
      </c>
      <c r="C14031" s="3">
        <v>5</v>
      </c>
    </row>
    <row r="14032" spans="1:3" x14ac:dyDescent="0.25">
      <c r="A14032" s="1" t="s">
        <v>14031</v>
      </c>
      <c r="C14032" s="3">
        <v>5</v>
      </c>
    </row>
    <row r="14033" spans="1:3" x14ac:dyDescent="0.25">
      <c r="A14033" s="1" t="s">
        <v>14032</v>
      </c>
      <c r="C14033" s="3">
        <v>5</v>
      </c>
    </row>
    <row r="14034" spans="1:3" x14ac:dyDescent="0.25">
      <c r="A14034" s="1" t="s">
        <v>14033</v>
      </c>
      <c r="C14034" s="3">
        <v>5</v>
      </c>
    </row>
    <row r="14035" spans="1:3" x14ac:dyDescent="0.25">
      <c r="A14035" s="1" t="s">
        <v>14034</v>
      </c>
      <c r="C14035" s="3">
        <v>5</v>
      </c>
    </row>
    <row r="14036" spans="1:3" x14ac:dyDescent="0.25">
      <c r="A14036" s="1" t="s">
        <v>14035</v>
      </c>
      <c r="C14036" s="3">
        <v>5</v>
      </c>
    </row>
    <row r="14037" spans="1:3" x14ac:dyDescent="0.25">
      <c r="A14037" s="1" t="s">
        <v>14036</v>
      </c>
      <c r="C14037" s="3">
        <v>5</v>
      </c>
    </row>
    <row r="14038" spans="1:3" x14ac:dyDescent="0.25">
      <c r="A14038" s="1" t="s">
        <v>14037</v>
      </c>
      <c r="C14038" s="3">
        <v>5</v>
      </c>
    </row>
    <row r="14039" spans="1:3" x14ac:dyDescent="0.25">
      <c r="A14039" s="1" t="s">
        <v>14038</v>
      </c>
      <c r="C14039" s="3">
        <v>5</v>
      </c>
    </row>
    <row r="14040" spans="1:3" x14ac:dyDescent="0.25">
      <c r="A14040" s="1" t="s">
        <v>14039</v>
      </c>
      <c r="C14040" s="3">
        <v>5</v>
      </c>
    </row>
    <row r="14041" spans="1:3" x14ac:dyDescent="0.25">
      <c r="A14041" s="1" t="s">
        <v>14040</v>
      </c>
      <c r="C14041" s="3">
        <v>5</v>
      </c>
    </row>
    <row r="14042" spans="1:3" x14ac:dyDescent="0.25">
      <c r="A14042" s="1" t="s">
        <v>14041</v>
      </c>
      <c r="C14042" s="3">
        <v>5</v>
      </c>
    </row>
    <row r="14043" spans="1:3" x14ac:dyDescent="0.25">
      <c r="A14043" s="1" t="s">
        <v>14042</v>
      </c>
      <c r="C14043" s="3">
        <v>5</v>
      </c>
    </row>
    <row r="14044" spans="1:3" x14ac:dyDescent="0.25">
      <c r="A14044" s="1" t="s">
        <v>14043</v>
      </c>
      <c r="C14044" s="3">
        <v>5</v>
      </c>
    </row>
    <row r="14045" spans="1:3" x14ac:dyDescent="0.25">
      <c r="A14045" s="1" t="s">
        <v>14044</v>
      </c>
      <c r="C14045" s="3">
        <v>5</v>
      </c>
    </row>
    <row r="14046" spans="1:3" x14ac:dyDescent="0.25">
      <c r="A14046" s="1" t="s">
        <v>14045</v>
      </c>
      <c r="C14046" s="3">
        <v>5</v>
      </c>
    </row>
    <row r="14047" spans="1:3" x14ac:dyDescent="0.25">
      <c r="A14047" s="1" t="s">
        <v>14046</v>
      </c>
      <c r="C14047" s="3">
        <v>5</v>
      </c>
    </row>
    <row r="14048" spans="1:3" x14ac:dyDescent="0.25">
      <c r="A14048" s="1" t="s">
        <v>14047</v>
      </c>
      <c r="C14048" s="3">
        <v>5</v>
      </c>
    </row>
    <row r="14049" spans="1:3" x14ac:dyDescent="0.25">
      <c r="A14049" s="1" t="s">
        <v>14048</v>
      </c>
      <c r="C14049" s="3">
        <v>5</v>
      </c>
    </row>
    <row r="14050" spans="1:3" x14ac:dyDescent="0.25">
      <c r="A14050" s="1" t="s">
        <v>14049</v>
      </c>
      <c r="C14050" s="3">
        <v>5</v>
      </c>
    </row>
    <row r="14051" spans="1:3" x14ac:dyDescent="0.25">
      <c r="A14051" s="1" t="s">
        <v>14050</v>
      </c>
      <c r="C14051" s="3">
        <v>5</v>
      </c>
    </row>
    <row r="14052" spans="1:3" x14ac:dyDescent="0.25">
      <c r="A14052" s="1" t="s">
        <v>14051</v>
      </c>
      <c r="C14052" s="3">
        <v>5</v>
      </c>
    </row>
    <row r="14053" spans="1:3" x14ac:dyDescent="0.25">
      <c r="A14053" s="1" t="s">
        <v>14052</v>
      </c>
      <c r="C14053" s="3">
        <v>5</v>
      </c>
    </row>
    <row r="14054" spans="1:3" x14ac:dyDescent="0.25">
      <c r="A14054" s="1" t="s">
        <v>14053</v>
      </c>
      <c r="C14054" s="3">
        <v>5</v>
      </c>
    </row>
    <row r="14055" spans="1:3" x14ac:dyDescent="0.25">
      <c r="A14055" s="1" t="s">
        <v>14054</v>
      </c>
      <c r="C14055" s="3">
        <v>5</v>
      </c>
    </row>
    <row r="14056" spans="1:3" x14ac:dyDescent="0.25">
      <c r="A14056" s="1" t="s">
        <v>14055</v>
      </c>
      <c r="C14056" s="3">
        <v>5</v>
      </c>
    </row>
    <row r="14057" spans="1:3" x14ac:dyDescent="0.25">
      <c r="A14057" s="1" t="s">
        <v>14056</v>
      </c>
      <c r="C14057" s="3">
        <v>5</v>
      </c>
    </row>
    <row r="14058" spans="1:3" x14ac:dyDescent="0.25">
      <c r="A14058" s="1" t="s">
        <v>14057</v>
      </c>
      <c r="C14058" s="3">
        <v>5</v>
      </c>
    </row>
    <row r="14059" spans="1:3" x14ac:dyDescent="0.25">
      <c r="A14059" s="1" t="s">
        <v>14058</v>
      </c>
      <c r="C14059" s="3">
        <v>5</v>
      </c>
    </row>
    <row r="14060" spans="1:3" x14ac:dyDescent="0.25">
      <c r="A14060" s="1" t="s">
        <v>14059</v>
      </c>
      <c r="C14060" s="3">
        <v>5</v>
      </c>
    </row>
    <row r="14061" spans="1:3" x14ac:dyDescent="0.25">
      <c r="A14061" s="1" t="s">
        <v>14060</v>
      </c>
      <c r="C14061" s="3">
        <v>5</v>
      </c>
    </row>
    <row r="14062" spans="1:3" x14ac:dyDescent="0.25">
      <c r="A14062" s="1" t="s">
        <v>14061</v>
      </c>
      <c r="C14062" s="3">
        <v>5</v>
      </c>
    </row>
    <row r="14063" spans="1:3" x14ac:dyDescent="0.25">
      <c r="A14063" s="1" t="s">
        <v>14062</v>
      </c>
      <c r="C14063" s="3">
        <v>5</v>
      </c>
    </row>
    <row r="14064" spans="1:3" x14ac:dyDescent="0.25">
      <c r="A14064" s="1" t="s">
        <v>14063</v>
      </c>
      <c r="C14064" s="3">
        <v>5</v>
      </c>
    </row>
    <row r="14065" spans="1:3" x14ac:dyDescent="0.25">
      <c r="A14065" s="1" t="s">
        <v>14064</v>
      </c>
      <c r="C14065" s="3">
        <v>5</v>
      </c>
    </row>
    <row r="14066" spans="1:3" x14ac:dyDescent="0.25">
      <c r="A14066" s="1" t="s">
        <v>14065</v>
      </c>
      <c r="C14066" s="3">
        <v>5</v>
      </c>
    </row>
    <row r="14067" spans="1:3" x14ac:dyDescent="0.25">
      <c r="A14067" s="1" t="s">
        <v>14066</v>
      </c>
      <c r="C14067" s="3">
        <v>5</v>
      </c>
    </row>
    <row r="14068" spans="1:3" x14ac:dyDescent="0.25">
      <c r="A14068" s="1" t="s">
        <v>14067</v>
      </c>
      <c r="C14068" s="3">
        <v>5</v>
      </c>
    </row>
    <row r="14069" spans="1:3" x14ac:dyDescent="0.25">
      <c r="A14069" s="1" t="s">
        <v>14068</v>
      </c>
      <c r="C14069" s="3">
        <v>5</v>
      </c>
    </row>
    <row r="14070" spans="1:3" x14ac:dyDescent="0.25">
      <c r="A14070" s="1" t="s">
        <v>14069</v>
      </c>
      <c r="C14070" s="3">
        <v>5</v>
      </c>
    </row>
    <row r="14071" spans="1:3" x14ac:dyDescent="0.25">
      <c r="A14071" s="1" t="s">
        <v>14070</v>
      </c>
      <c r="C14071" s="3">
        <v>5</v>
      </c>
    </row>
    <row r="14072" spans="1:3" x14ac:dyDescent="0.25">
      <c r="A14072" s="1" t="s">
        <v>14071</v>
      </c>
      <c r="C14072" s="3">
        <v>5</v>
      </c>
    </row>
    <row r="14073" spans="1:3" x14ac:dyDescent="0.25">
      <c r="A14073" s="1" t="s">
        <v>14072</v>
      </c>
      <c r="C14073" s="3">
        <v>5</v>
      </c>
    </row>
    <row r="14074" spans="1:3" x14ac:dyDescent="0.25">
      <c r="A14074" s="1" t="s">
        <v>14073</v>
      </c>
      <c r="C14074" s="3">
        <v>5</v>
      </c>
    </row>
    <row r="14075" spans="1:3" x14ac:dyDescent="0.25">
      <c r="A14075" s="1" t="s">
        <v>14074</v>
      </c>
      <c r="C14075" s="3">
        <v>5</v>
      </c>
    </row>
    <row r="14076" spans="1:3" x14ac:dyDescent="0.25">
      <c r="A14076" s="1" t="s">
        <v>14075</v>
      </c>
      <c r="C14076" s="3">
        <v>5</v>
      </c>
    </row>
    <row r="14077" spans="1:3" x14ac:dyDescent="0.25">
      <c r="A14077" s="1" t="s">
        <v>14076</v>
      </c>
      <c r="C14077" s="3">
        <v>5</v>
      </c>
    </row>
    <row r="14078" spans="1:3" x14ac:dyDescent="0.25">
      <c r="A14078" s="1" t="s">
        <v>14077</v>
      </c>
      <c r="C14078" s="3">
        <v>5</v>
      </c>
    </row>
    <row r="14079" spans="1:3" x14ac:dyDescent="0.25">
      <c r="A14079" s="1" t="s">
        <v>14078</v>
      </c>
      <c r="C14079" s="3">
        <v>5</v>
      </c>
    </row>
    <row r="14080" spans="1:3" x14ac:dyDescent="0.25">
      <c r="A14080" s="1" t="s">
        <v>14079</v>
      </c>
      <c r="C14080" s="3">
        <v>5</v>
      </c>
    </row>
    <row r="14081" spans="1:3" x14ac:dyDescent="0.25">
      <c r="A14081" s="1" t="s">
        <v>14080</v>
      </c>
      <c r="C14081" s="3">
        <v>5</v>
      </c>
    </row>
    <row r="14082" spans="1:3" x14ac:dyDescent="0.25">
      <c r="A14082" s="1" t="s">
        <v>14081</v>
      </c>
      <c r="C14082" s="3">
        <v>5</v>
      </c>
    </row>
    <row r="14083" spans="1:3" x14ac:dyDescent="0.25">
      <c r="A14083" s="1" t="s">
        <v>14082</v>
      </c>
      <c r="C14083" s="3">
        <v>5</v>
      </c>
    </row>
    <row r="14084" spans="1:3" x14ac:dyDescent="0.25">
      <c r="A14084" s="1" t="s">
        <v>14083</v>
      </c>
      <c r="C14084" s="3">
        <v>5</v>
      </c>
    </row>
    <row r="14085" spans="1:3" x14ac:dyDescent="0.25">
      <c r="A14085" s="1" t="s">
        <v>14084</v>
      </c>
      <c r="C14085" s="3">
        <v>5</v>
      </c>
    </row>
    <row r="14086" spans="1:3" x14ac:dyDescent="0.25">
      <c r="A14086" s="1" t="s">
        <v>14085</v>
      </c>
      <c r="C14086" s="3">
        <v>5</v>
      </c>
    </row>
    <row r="14087" spans="1:3" x14ac:dyDescent="0.25">
      <c r="A14087" s="1" t="s">
        <v>14086</v>
      </c>
      <c r="C14087" s="3">
        <v>5</v>
      </c>
    </row>
    <row r="14088" spans="1:3" x14ac:dyDescent="0.25">
      <c r="A14088" s="1" t="s">
        <v>14087</v>
      </c>
      <c r="C14088" s="3">
        <v>5</v>
      </c>
    </row>
    <row r="14089" spans="1:3" x14ac:dyDescent="0.25">
      <c r="A14089" s="1" t="s">
        <v>14088</v>
      </c>
      <c r="C14089" s="3">
        <v>5</v>
      </c>
    </row>
    <row r="14090" spans="1:3" x14ac:dyDescent="0.25">
      <c r="A14090" s="1" t="s">
        <v>14089</v>
      </c>
      <c r="C14090" s="3">
        <v>5</v>
      </c>
    </row>
    <row r="14091" spans="1:3" x14ac:dyDescent="0.25">
      <c r="A14091" s="1" t="s">
        <v>14090</v>
      </c>
      <c r="C14091" s="3">
        <v>5</v>
      </c>
    </row>
    <row r="14092" spans="1:3" x14ac:dyDescent="0.25">
      <c r="A14092" s="1" t="s">
        <v>14091</v>
      </c>
      <c r="C14092" s="3">
        <v>5</v>
      </c>
    </row>
    <row r="14093" spans="1:3" x14ac:dyDescent="0.25">
      <c r="A14093" s="1" t="s">
        <v>14092</v>
      </c>
      <c r="C14093" s="3">
        <v>5</v>
      </c>
    </row>
    <row r="14094" spans="1:3" x14ac:dyDescent="0.25">
      <c r="A14094" s="1" t="s">
        <v>14093</v>
      </c>
      <c r="C14094" s="3">
        <v>5</v>
      </c>
    </row>
    <row r="14095" spans="1:3" x14ac:dyDescent="0.25">
      <c r="A14095" s="1" t="s">
        <v>14094</v>
      </c>
      <c r="C14095" s="3">
        <v>5</v>
      </c>
    </row>
    <row r="14096" spans="1:3" x14ac:dyDescent="0.25">
      <c r="A14096" s="1" t="s">
        <v>14095</v>
      </c>
      <c r="C14096" s="3">
        <v>5</v>
      </c>
    </row>
    <row r="14097" spans="1:3" x14ac:dyDescent="0.25">
      <c r="A14097" s="1" t="s">
        <v>14096</v>
      </c>
      <c r="C14097" s="3">
        <v>5</v>
      </c>
    </row>
    <row r="14098" spans="1:3" x14ac:dyDescent="0.25">
      <c r="A14098" s="1" t="s">
        <v>14097</v>
      </c>
      <c r="C14098" s="3">
        <v>5</v>
      </c>
    </row>
    <row r="14099" spans="1:3" x14ac:dyDescent="0.25">
      <c r="A14099" s="1" t="s">
        <v>14098</v>
      </c>
      <c r="C14099" s="3">
        <v>5</v>
      </c>
    </row>
    <row r="14100" spans="1:3" x14ac:dyDescent="0.25">
      <c r="A14100" s="1" t="s">
        <v>14099</v>
      </c>
      <c r="C14100" s="3">
        <v>5</v>
      </c>
    </row>
    <row r="14101" spans="1:3" x14ac:dyDescent="0.25">
      <c r="A14101" s="1" t="s">
        <v>14100</v>
      </c>
      <c r="C14101" s="3">
        <v>5</v>
      </c>
    </row>
    <row r="14102" spans="1:3" x14ac:dyDescent="0.25">
      <c r="A14102" s="1" t="s">
        <v>14101</v>
      </c>
      <c r="C14102" s="3">
        <v>5</v>
      </c>
    </row>
    <row r="14103" spans="1:3" x14ac:dyDescent="0.25">
      <c r="A14103" s="1" t="s">
        <v>14102</v>
      </c>
      <c r="C14103" s="3">
        <v>5</v>
      </c>
    </row>
    <row r="14104" spans="1:3" x14ac:dyDescent="0.25">
      <c r="A14104" s="1" t="s">
        <v>14103</v>
      </c>
      <c r="C14104" s="3">
        <v>5</v>
      </c>
    </row>
    <row r="14105" spans="1:3" x14ac:dyDescent="0.25">
      <c r="A14105" s="1" t="s">
        <v>14104</v>
      </c>
      <c r="C14105" s="3">
        <v>5</v>
      </c>
    </row>
    <row r="14106" spans="1:3" x14ac:dyDescent="0.25">
      <c r="A14106" s="1" t="s">
        <v>14105</v>
      </c>
      <c r="C14106" s="3">
        <v>5</v>
      </c>
    </row>
    <row r="14107" spans="1:3" x14ac:dyDescent="0.25">
      <c r="A14107" s="1" t="s">
        <v>14106</v>
      </c>
      <c r="C14107" s="3">
        <v>5</v>
      </c>
    </row>
    <row r="14108" spans="1:3" x14ac:dyDescent="0.25">
      <c r="A14108" s="1" t="s">
        <v>14107</v>
      </c>
      <c r="C14108" s="3">
        <v>5</v>
      </c>
    </row>
    <row r="14109" spans="1:3" x14ac:dyDescent="0.25">
      <c r="A14109" s="1" t="s">
        <v>14108</v>
      </c>
      <c r="C14109" s="3">
        <v>5</v>
      </c>
    </row>
    <row r="14110" spans="1:3" x14ac:dyDescent="0.25">
      <c r="A14110" s="1" t="s">
        <v>14109</v>
      </c>
      <c r="C14110" s="3">
        <v>5</v>
      </c>
    </row>
    <row r="14111" spans="1:3" x14ac:dyDescent="0.25">
      <c r="A14111" s="1" t="s">
        <v>14110</v>
      </c>
      <c r="C14111" s="3">
        <v>5</v>
      </c>
    </row>
    <row r="14112" spans="1:3" x14ac:dyDescent="0.25">
      <c r="A14112" s="1" t="s">
        <v>14111</v>
      </c>
      <c r="C14112" s="3">
        <v>5</v>
      </c>
    </row>
    <row r="14113" spans="1:3" x14ac:dyDescent="0.25">
      <c r="A14113" s="1" t="s">
        <v>14112</v>
      </c>
      <c r="C14113" s="3">
        <v>5</v>
      </c>
    </row>
    <row r="14114" spans="1:3" x14ac:dyDescent="0.25">
      <c r="A14114" s="1" t="s">
        <v>14113</v>
      </c>
      <c r="C14114" s="3">
        <v>5</v>
      </c>
    </row>
    <row r="14115" spans="1:3" x14ac:dyDescent="0.25">
      <c r="A14115" s="1" t="s">
        <v>14114</v>
      </c>
      <c r="C14115" s="3">
        <v>5</v>
      </c>
    </row>
    <row r="14116" spans="1:3" x14ac:dyDescent="0.25">
      <c r="A14116" s="1" t="s">
        <v>14115</v>
      </c>
      <c r="C14116" s="3">
        <v>5</v>
      </c>
    </row>
    <row r="14117" spans="1:3" x14ac:dyDescent="0.25">
      <c r="A14117" s="1" t="s">
        <v>14116</v>
      </c>
      <c r="C14117" s="3">
        <v>5</v>
      </c>
    </row>
    <row r="14118" spans="1:3" x14ac:dyDescent="0.25">
      <c r="A14118" s="1" t="s">
        <v>14117</v>
      </c>
      <c r="C14118" s="3">
        <v>5</v>
      </c>
    </row>
    <row r="14119" spans="1:3" x14ac:dyDescent="0.25">
      <c r="A14119" s="1" t="s">
        <v>14118</v>
      </c>
      <c r="C14119" s="3">
        <v>5</v>
      </c>
    </row>
    <row r="14120" spans="1:3" x14ac:dyDescent="0.25">
      <c r="A14120" s="1" t="s">
        <v>14119</v>
      </c>
      <c r="C14120" s="3">
        <v>5</v>
      </c>
    </row>
    <row r="14121" spans="1:3" x14ac:dyDescent="0.25">
      <c r="A14121" s="1" t="s">
        <v>14120</v>
      </c>
      <c r="C14121" s="3">
        <v>5</v>
      </c>
    </row>
    <row r="14122" spans="1:3" x14ac:dyDescent="0.25">
      <c r="A14122" s="1" t="s">
        <v>14121</v>
      </c>
      <c r="C14122" s="3">
        <v>5</v>
      </c>
    </row>
    <row r="14123" spans="1:3" x14ac:dyDescent="0.25">
      <c r="A14123" s="1" t="s">
        <v>14122</v>
      </c>
      <c r="C14123" s="3">
        <v>5</v>
      </c>
    </row>
    <row r="14124" spans="1:3" x14ac:dyDescent="0.25">
      <c r="A14124" s="1" t="s">
        <v>14123</v>
      </c>
      <c r="C14124" s="3">
        <v>5</v>
      </c>
    </row>
    <row r="14125" spans="1:3" x14ac:dyDescent="0.25">
      <c r="A14125" s="1" t="s">
        <v>14124</v>
      </c>
      <c r="C14125" s="3">
        <v>5</v>
      </c>
    </row>
    <row r="14126" spans="1:3" x14ac:dyDescent="0.25">
      <c r="A14126" s="1" t="s">
        <v>14125</v>
      </c>
      <c r="C14126" s="3">
        <v>5</v>
      </c>
    </row>
    <row r="14127" spans="1:3" x14ac:dyDescent="0.25">
      <c r="A14127" s="1" t="s">
        <v>14126</v>
      </c>
      <c r="C14127" s="3">
        <v>5</v>
      </c>
    </row>
    <row r="14128" spans="1:3" x14ac:dyDescent="0.25">
      <c r="A14128" s="1" t="s">
        <v>14127</v>
      </c>
      <c r="C14128" s="3">
        <v>5</v>
      </c>
    </row>
    <row r="14129" spans="1:3" x14ac:dyDescent="0.25">
      <c r="A14129" s="1" t="s">
        <v>14128</v>
      </c>
      <c r="C14129" s="3">
        <v>5</v>
      </c>
    </row>
    <row r="14130" spans="1:3" x14ac:dyDescent="0.25">
      <c r="A14130" s="1" t="s">
        <v>14129</v>
      </c>
      <c r="C14130" s="3">
        <v>5</v>
      </c>
    </row>
    <row r="14131" spans="1:3" x14ac:dyDescent="0.25">
      <c r="A14131" s="1" t="s">
        <v>14130</v>
      </c>
      <c r="C14131" s="3">
        <v>5</v>
      </c>
    </row>
    <row r="14132" spans="1:3" x14ac:dyDescent="0.25">
      <c r="A14132" s="1" t="s">
        <v>14131</v>
      </c>
      <c r="C14132" s="3">
        <v>5</v>
      </c>
    </row>
    <row r="14133" spans="1:3" x14ac:dyDescent="0.25">
      <c r="A14133" s="1" t="s">
        <v>14132</v>
      </c>
      <c r="C14133" s="3">
        <v>5</v>
      </c>
    </row>
    <row r="14134" spans="1:3" x14ac:dyDescent="0.25">
      <c r="A14134" s="1" t="s">
        <v>14133</v>
      </c>
      <c r="C14134" s="3">
        <v>5</v>
      </c>
    </row>
    <row r="14135" spans="1:3" x14ac:dyDescent="0.25">
      <c r="A14135" s="1" t="s">
        <v>14134</v>
      </c>
      <c r="C14135" s="3">
        <v>5</v>
      </c>
    </row>
    <row r="14136" spans="1:3" x14ac:dyDescent="0.25">
      <c r="A14136" s="1" t="s">
        <v>14135</v>
      </c>
      <c r="C14136" s="3">
        <v>5</v>
      </c>
    </row>
    <row r="14137" spans="1:3" x14ac:dyDescent="0.25">
      <c r="A14137" s="1" t="s">
        <v>14136</v>
      </c>
      <c r="C14137" s="3">
        <v>5</v>
      </c>
    </row>
    <row r="14138" spans="1:3" x14ac:dyDescent="0.25">
      <c r="A14138" s="1" t="s">
        <v>14137</v>
      </c>
      <c r="C14138" s="3">
        <v>5</v>
      </c>
    </row>
    <row r="14139" spans="1:3" x14ac:dyDescent="0.25">
      <c r="A14139" s="1" t="s">
        <v>14138</v>
      </c>
      <c r="C14139" s="3">
        <v>5</v>
      </c>
    </row>
    <row r="14140" spans="1:3" x14ac:dyDescent="0.25">
      <c r="A14140" s="1" t="s">
        <v>14139</v>
      </c>
      <c r="C14140" s="3">
        <v>5</v>
      </c>
    </row>
    <row r="14141" spans="1:3" x14ac:dyDescent="0.25">
      <c r="A14141" s="1" t="s">
        <v>14140</v>
      </c>
      <c r="C14141" s="3">
        <v>5</v>
      </c>
    </row>
    <row r="14142" spans="1:3" x14ac:dyDescent="0.25">
      <c r="A14142" s="1" t="s">
        <v>14141</v>
      </c>
      <c r="C14142" s="3">
        <v>5</v>
      </c>
    </row>
    <row r="14143" spans="1:3" x14ac:dyDescent="0.25">
      <c r="A14143" s="1" t="s">
        <v>14142</v>
      </c>
      <c r="C14143" s="3">
        <v>5</v>
      </c>
    </row>
    <row r="14144" spans="1:3" x14ac:dyDescent="0.25">
      <c r="A14144" s="1" t="s">
        <v>14143</v>
      </c>
      <c r="C14144" s="3">
        <v>5</v>
      </c>
    </row>
    <row r="14145" spans="1:3" x14ac:dyDescent="0.25">
      <c r="A14145" s="1" t="s">
        <v>14144</v>
      </c>
      <c r="C14145" s="3">
        <v>5</v>
      </c>
    </row>
    <row r="14146" spans="1:3" x14ac:dyDescent="0.25">
      <c r="A14146" s="1" t="s">
        <v>14145</v>
      </c>
      <c r="C14146" s="3">
        <v>5</v>
      </c>
    </row>
    <row r="14147" spans="1:3" x14ac:dyDescent="0.25">
      <c r="A14147" s="1" t="s">
        <v>14146</v>
      </c>
      <c r="C14147" s="3">
        <v>5</v>
      </c>
    </row>
    <row r="14148" spans="1:3" x14ac:dyDescent="0.25">
      <c r="A14148" s="1" t="s">
        <v>14147</v>
      </c>
      <c r="C14148" s="3">
        <v>5</v>
      </c>
    </row>
    <row r="14149" spans="1:3" x14ac:dyDescent="0.25">
      <c r="A14149" s="1" t="s">
        <v>14148</v>
      </c>
      <c r="C14149" s="3">
        <v>5</v>
      </c>
    </row>
    <row r="14150" spans="1:3" x14ac:dyDescent="0.25">
      <c r="A14150" s="1" t="s">
        <v>14149</v>
      </c>
      <c r="C14150" s="3">
        <v>5</v>
      </c>
    </row>
    <row r="14151" spans="1:3" x14ac:dyDescent="0.25">
      <c r="A14151" s="1" t="s">
        <v>14150</v>
      </c>
      <c r="C14151" s="3">
        <v>5</v>
      </c>
    </row>
    <row r="14152" spans="1:3" x14ac:dyDescent="0.25">
      <c r="A14152" s="1" t="s">
        <v>14151</v>
      </c>
      <c r="C14152" s="3">
        <v>5</v>
      </c>
    </row>
    <row r="14153" spans="1:3" x14ac:dyDescent="0.25">
      <c r="A14153" s="1" t="s">
        <v>14152</v>
      </c>
      <c r="C14153" s="3">
        <v>5</v>
      </c>
    </row>
    <row r="14154" spans="1:3" x14ac:dyDescent="0.25">
      <c r="A14154" s="1" t="s">
        <v>14153</v>
      </c>
      <c r="C14154" s="3">
        <v>5</v>
      </c>
    </row>
    <row r="14155" spans="1:3" x14ac:dyDescent="0.25">
      <c r="A14155" s="1" t="s">
        <v>14154</v>
      </c>
      <c r="C14155" s="3">
        <v>5</v>
      </c>
    </row>
    <row r="14156" spans="1:3" x14ac:dyDescent="0.25">
      <c r="A14156" s="1" t="s">
        <v>14155</v>
      </c>
      <c r="C14156" s="3">
        <v>5</v>
      </c>
    </row>
    <row r="14157" spans="1:3" x14ac:dyDescent="0.25">
      <c r="A14157" s="1" t="s">
        <v>14156</v>
      </c>
      <c r="C14157" s="3">
        <v>5</v>
      </c>
    </row>
    <row r="14158" spans="1:3" x14ac:dyDescent="0.25">
      <c r="A14158" s="1" t="s">
        <v>14157</v>
      </c>
      <c r="C14158" s="3">
        <v>5</v>
      </c>
    </row>
    <row r="14159" spans="1:3" x14ac:dyDescent="0.25">
      <c r="A14159" s="1" t="s">
        <v>14158</v>
      </c>
      <c r="C14159" s="3">
        <v>5</v>
      </c>
    </row>
    <row r="14160" spans="1:3" x14ac:dyDescent="0.25">
      <c r="A14160" s="1" t="s">
        <v>14159</v>
      </c>
      <c r="C14160" s="3">
        <v>5</v>
      </c>
    </row>
    <row r="14161" spans="1:3" x14ac:dyDescent="0.25">
      <c r="A14161" s="1" t="s">
        <v>14160</v>
      </c>
      <c r="C14161" s="3">
        <v>5</v>
      </c>
    </row>
    <row r="14162" spans="1:3" x14ac:dyDescent="0.25">
      <c r="A14162" s="1" t="s">
        <v>14161</v>
      </c>
      <c r="C14162" s="3">
        <v>5</v>
      </c>
    </row>
    <row r="14163" spans="1:3" x14ac:dyDescent="0.25">
      <c r="A14163" s="1" t="s">
        <v>14162</v>
      </c>
      <c r="C14163" s="3">
        <v>5</v>
      </c>
    </row>
    <row r="14164" spans="1:3" x14ac:dyDescent="0.25">
      <c r="A14164" s="1" t="s">
        <v>14163</v>
      </c>
      <c r="C14164" s="3">
        <v>5</v>
      </c>
    </row>
    <row r="14165" spans="1:3" x14ac:dyDescent="0.25">
      <c r="A14165" s="1" t="s">
        <v>14164</v>
      </c>
      <c r="C14165" s="3">
        <v>5</v>
      </c>
    </row>
    <row r="14166" spans="1:3" x14ac:dyDescent="0.25">
      <c r="A14166" s="1" t="s">
        <v>14165</v>
      </c>
      <c r="C14166" s="3">
        <v>5</v>
      </c>
    </row>
    <row r="14167" spans="1:3" x14ac:dyDescent="0.25">
      <c r="A14167" s="1" t="s">
        <v>14166</v>
      </c>
      <c r="C14167" s="3">
        <v>5</v>
      </c>
    </row>
    <row r="14168" spans="1:3" x14ac:dyDescent="0.25">
      <c r="A14168" s="1" t="s">
        <v>14167</v>
      </c>
      <c r="C14168" s="3">
        <v>5</v>
      </c>
    </row>
    <row r="14169" spans="1:3" x14ac:dyDescent="0.25">
      <c r="A14169" s="1" t="s">
        <v>14168</v>
      </c>
      <c r="C14169" s="3">
        <v>5</v>
      </c>
    </row>
    <row r="14170" spans="1:3" x14ac:dyDescent="0.25">
      <c r="A14170" s="1" t="s">
        <v>14169</v>
      </c>
      <c r="C14170" s="3">
        <v>5</v>
      </c>
    </row>
    <row r="14171" spans="1:3" x14ac:dyDescent="0.25">
      <c r="A14171" s="1" t="s">
        <v>14170</v>
      </c>
      <c r="C14171" s="3">
        <v>5</v>
      </c>
    </row>
    <row r="14172" spans="1:3" x14ac:dyDescent="0.25">
      <c r="A14172" s="1" t="s">
        <v>14171</v>
      </c>
      <c r="C14172" s="3">
        <v>5</v>
      </c>
    </row>
    <row r="14173" spans="1:3" x14ac:dyDescent="0.25">
      <c r="A14173" s="1" t="s">
        <v>14172</v>
      </c>
      <c r="C14173" s="3">
        <v>5</v>
      </c>
    </row>
    <row r="14174" spans="1:3" x14ac:dyDescent="0.25">
      <c r="A14174" s="1" t="s">
        <v>14173</v>
      </c>
      <c r="C14174" s="3">
        <v>5</v>
      </c>
    </row>
    <row r="14175" spans="1:3" x14ac:dyDescent="0.25">
      <c r="A14175" s="1" t="s">
        <v>14174</v>
      </c>
      <c r="C14175" s="3">
        <v>5</v>
      </c>
    </row>
    <row r="14176" spans="1:3" x14ac:dyDescent="0.25">
      <c r="A14176" s="1" t="s">
        <v>14175</v>
      </c>
      <c r="C14176" s="3">
        <v>5</v>
      </c>
    </row>
    <row r="14177" spans="1:3" x14ac:dyDescent="0.25">
      <c r="A14177" s="1" t="s">
        <v>14176</v>
      </c>
      <c r="C14177" s="3">
        <v>5</v>
      </c>
    </row>
    <row r="14178" spans="1:3" x14ac:dyDescent="0.25">
      <c r="A14178" s="1" t="s">
        <v>14177</v>
      </c>
      <c r="C14178" s="3">
        <v>5</v>
      </c>
    </row>
    <row r="14179" spans="1:3" x14ac:dyDescent="0.25">
      <c r="A14179" s="1" t="s">
        <v>14178</v>
      </c>
      <c r="C14179" s="3">
        <v>5</v>
      </c>
    </row>
    <row r="14180" spans="1:3" x14ac:dyDescent="0.25">
      <c r="A14180" s="1" t="s">
        <v>14179</v>
      </c>
      <c r="C14180" s="3">
        <v>5</v>
      </c>
    </row>
    <row r="14181" spans="1:3" x14ac:dyDescent="0.25">
      <c r="A14181" s="1" t="s">
        <v>14180</v>
      </c>
      <c r="C14181" s="3">
        <v>5</v>
      </c>
    </row>
    <row r="14182" spans="1:3" x14ac:dyDescent="0.25">
      <c r="A14182" s="1" t="s">
        <v>14181</v>
      </c>
      <c r="C14182" s="3">
        <v>5</v>
      </c>
    </row>
    <row r="14183" spans="1:3" x14ac:dyDescent="0.25">
      <c r="A14183" s="1" t="s">
        <v>14182</v>
      </c>
      <c r="C14183" s="3">
        <v>5</v>
      </c>
    </row>
    <row r="14184" spans="1:3" x14ac:dyDescent="0.25">
      <c r="A14184" s="1" t="s">
        <v>14183</v>
      </c>
      <c r="C14184" s="3">
        <v>5</v>
      </c>
    </row>
    <row r="14185" spans="1:3" x14ac:dyDescent="0.25">
      <c r="A14185" s="1" t="s">
        <v>14184</v>
      </c>
      <c r="C14185" s="3">
        <v>5</v>
      </c>
    </row>
    <row r="14186" spans="1:3" x14ac:dyDescent="0.25">
      <c r="A14186" s="1" t="s">
        <v>14185</v>
      </c>
      <c r="C14186" s="3">
        <v>5</v>
      </c>
    </row>
    <row r="14187" spans="1:3" x14ac:dyDescent="0.25">
      <c r="A14187" s="1" t="s">
        <v>14186</v>
      </c>
      <c r="C14187" s="3">
        <v>5</v>
      </c>
    </row>
    <row r="14188" spans="1:3" x14ac:dyDescent="0.25">
      <c r="A14188" s="1" t="s">
        <v>14187</v>
      </c>
      <c r="C14188" s="3">
        <v>5</v>
      </c>
    </row>
    <row r="14189" spans="1:3" x14ac:dyDescent="0.25">
      <c r="A14189" s="1" t="s">
        <v>14188</v>
      </c>
      <c r="C14189" s="3">
        <v>5</v>
      </c>
    </row>
    <row r="14190" spans="1:3" x14ac:dyDescent="0.25">
      <c r="A14190" s="1" t="s">
        <v>14189</v>
      </c>
      <c r="C14190" s="3">
        <v>5</v>
      </c>
    </row>
    <row r="14191" spans="1:3" x14ac:dyDescent="0.25">
      <c r="A14191" s="1" t="s">
        <v>14190</v>
      </c>
      <c r="C14191" s="3">
        <v>5</v>
      </c>
    </row>
    <row r="14192" spans="1:3" x14ac:dyDescent="0.25">
      <c r="A14192" s="1" t="s">
        <v>14191</v>
      </c>
      <c r="C14192" s="3">
        <v>5</v>
      </c>
    </row>
    <row r="14193" spans="1:3" x14ac:dyDescent="0.25">
      <c r="A14193" s="1" t="s">
        <v>14192</v>
      </c>
      <c r="C14193" s="3">
        <v>5</v>
      </c>
    </row>
    <row r="14194" spans="1:3" x14ac:dyDescent="0.25">
      <c r="A14194" s="1" t="s">
        <v>14193</v>
      </c>
      <c r="C14194" s="3">
        <v>5</v>
      </c>
    </row>
    <row r="14195" spans="1:3" x14ac:dyDescent="0.25">
      <c r="A14195" s="1" t="s">
        <v>14194</v>
      </c>
      <c r="C14195" s="3">
        <v>5</v>
      </c>
    </row>
    <row r="14196" spans="1:3" x14ac:dyDescent="0.25">
      <c r="A14196" s="1" t="s">
        <v>14195</v>
      </c>
      <c r="C14196" s="3">
        <v>5</v>
      </c>
    </row>
    <row r="14197" spans="1:3" x14ac:dyDescent="0.25">
      <c r="A14197" s="1" t="s">
        <v>14196</v>
      </c>
      <c r="C14197" s="3">
        <v>5</v>
      </c>
    </row>
    <row r="14198" spans="1:3" x14ac:dyDescent="0.25">
      <c r="A14198" s="1" t="s">
        <v>14197</v>
      </c>
      <c r="C14198" s="3">
        <v>5</v>
      </c>
    </row>
    <row r="14199" spans="1:3" x14ac:dyDescent="0.25">
      <c r="A14199" s="1" t="s">
        <v>14198</v>
      </c>
      <c r="C14199" s="3">
        <v>5</v>
      </c>
    </row>
    <row r="14200" spans="1:3" x14ac:dyDescent="0.25">
      <c r="A14200" s="1" t="s">
        <v>14199</v>
      </c>
      <c r="C14200" s="3">
        <v>5</v>
      </c>
    </row>
    <row r="14201" spans="1:3" x14ac:dyDescent="0.25">
      <c r="A14201" s="1" t="s">
        <v>14200</v>
      </c>
      <c r="C14201" s="3">
        <v>5</v>
      </c>
    </row>
    <row r="14202" spans="1:3" x14ac:dyDescent="0.25">
      <c r="A14202" s="1" t="s">
        <v>14201</v>
      </c>
      <c r="C14202" s="3">
        <v>5</v>
      </c>
    </row>
    <row r="14203" spans="1:3" x14ac:dyDescent="0.25">
      <c r="A14203" s="1" t="s">
        <v>14202</v>
      </c>
      <c r="C14203" s="3">
        <v>5</v>
      </c>
    </row>
    <row r="14204" spans="1:3" x14ac:dyDescent="0.25">
      <c r="A14204" s="1" t="s">
        <v>14203</v>
      </c>
      <c r="C14204" s="3">
        <v>5</v>
      </c>
    </row>
    <row r="14205" spans="1:3" x14ac:dyDescent="0.25">
      <c r="A14205" s="1" t="s">
        <v>14204</v>
      </c>
      <c r="C14205" s="3">
        <v>5</v>
      </c>
    </row>
    <row r="14206" spans="1:3" x14ac:dyDescent="0.25">
      <c r="A14206" s="1" t="s">
        <v>14205</v>
      </c>
      <c r="C14206" s="3">
        <v>5</v>
      </c>
    </row>
    <row r="14207" spans="1:3" x14ac:dyDescent="0.25">
      <c r="A14207" s="1" t="s">
        <v>14206</v>
      </c>
      <c r="C14207" s="3">
        <v>5</v>
      </c>
    </row>
    <row r="14208" spans="1:3" x14ac:dyDescent="0.25">
      <c r="A14208" s="1" t="s">
        <v>14207</v>
      </c>
      <c r="C14208" s="3">
        <v>5</v>
      </c>
    </row>
    <row r="14209" spans="1:3" x14ac:dyDescent="0.25">
      <c r="A14209" s="1" t="s">
        <v>14208</v>
      </c>
      <c r="C14209" s="3">
        <v>5</v>
      </c>
    </row>
    <row r="14210" spans="1:3" x14ac:dyDescent="0.25">
      <c r="A14210" s="1" t="s">
        <v>14209</v>
      </c>
      <c r="C14210" s="3">
        <v>5</v>
      </c>
    </row>
    <row r="14211" spans="1:3" x14ac:dyDescent="0.25">
      <c r="A14211" s="1" t="s">
        <v>14210</v>
      </c>
      <c r="C14211" s="3">
        <v>5</v>
      </c>
    </row>
    <row r="14212" spans="1:3" x14ac:dyDescent="0.25">
      <c r="A14212" s="1" t="s">
        <v>14211</v>
      </c>
      <c r="C14212" s="3">
        <v>5</v>
      </c>
    </row>
    <row r="14213" spans="1:3" x14ac:dyDescent="0.25">
      <c r="A14213" s="1" t="s">
        <v>14212</v>
      </c>
      <c r="C14213" s="3">
        <v>5</v>
      </c>
    </row>
    <row r="14214" spans="1:3" x14ac:dyDescent="0.25">
      <c r="A14214" s="1" t="s">
        <v>14213</v>
      </c>
      <c r="C14214" s="3">
        <v>5</v>
      </c>
    </row>
    <row r="14215" spans="1:3" x14ac:dyDescent="0.25">
      <c r="A14215" s="1" t="s">
        <v>14214</v>
      </c>
      <c r="C14215" s="3">
        <v>5</v>
      </c>
    </row>
    <row r="14216" spans="1:3" x14ac:dyDescent="0.25">
      <c r="A14216" s="1" t="s">
        <v>14215</v>
      </c>
      <c r="C14216" s="3">
        <v>5</v>
      </c>
    </row>
    <row r="14217" spans="1:3" x14ac:dyDescent="0.25">
      <c r="A14217" s="1" t="s">
        <v>14216</v>
      </c>
      <c r="C14217" s="3">
        <v>5</v>
      </c>
    </row>
    <row r="14218" spans="1:3" x14ac:dyDescent="0.25">
      <c r="A14218" s="1" t="s">
        <v>14217</v>
      </c>
      <c r="C14218" s="3">
        <v>5</v>
      </c>
    </row>
    <row r="14219" spans="1:3" x14ac:dyDescent="0.25">
      <c r="A14219" s="1" t="s">
        <v>14218</v>
      </c>
      <c r="C14219" s="3">
        <v>5</v>
      </c>
    </row>
    <row r="14220" spans="1:3" x14ac:dyDescent="0.25">
      <c r="A14220" s="1" t="s">
        <v>14219</v>
      </c>
      <c r="C14220" s="3">
        <v>5</v>
      </c>
    </row>
    <row r="14221" spans="1:3" x14ac:dyDescent="0.25">
      <c r="A14221" s="1" t="s">
        <v>14220</v>
      </c>
      <c r="C14221" s="3">
        <v>5</v>
      </c>
    </row>
    <row r="14222" spans="1:3" x14ac:dyDescent="0.25">
      <c r="A14222" s="1" t="s">
        <v>14221</v>
      </c>
      <c r="C14222" s="3">
        <v>5</v>
      </c>
    </row>
    <row r="14223" spans="1:3" x14ac:dyDescent="0.25">
      <c r="A14223" s="1" t="s">
        <v>14222</v>
      </c>
      <c r="C14223" s="3">
        <v>5</v>
      </c>
    </row>
    <row r="14224" spans="1:3" x14ac:dyDescent="0.25">
      <c r="A14224" s="1" t="s">
        <v>14223</v>
      </c>
      <c r="C14224" s="3">
        <v>5</v>
      </c>
    </row>
    <row r="14225" spans="1:3" x14ac:dyDescent="0.25">
      <c r="A14225" s="1" t="s">
        <v>14224</v>
      </c>
      <c r="C14225" s="3">
        <v>5</v>
      </c>
    </row>
    <row r="14226" spans="1:3" x14ac:dyDescent="0.25">
      <c r="A14226" s="1" t="s">
        <v>14225</v>
      </c>
      <c r="C14226" s="3">
        <v>5</v>
      </c>
    </row>
    <row r="14227" spans="1:3" x14ac:dyDescent="0.25">
      <c r="A14227" s="1" t="s">
        <v>14226</v>
      </c>
      <c r="C14227" s="3">
        <v>5</v>
      </c>
    </row>
    <row r="14228" spans="1:3" x14ac:dyDescent="0.25">
      <c r="A14228" s="1" t="s">
        <v>14227</v>
      </c>
      <c r="C14228" s="3">
        <v>5</v>
      </c>
    </row>
    <row r="14229" spans="1:3" x14ac:dyDescent="0.25">
      <c r="A14229" s="1" t="s">
        <v>14228</v>
      </c>
      <c r="C14229" s="3">
        <v>5</v>
      </c>
    </row>
    <row r="14230" spans="1:3" x14ac:dyDescent="0.25">
      <c r="A14230" s="1" t="s">
        <v>14229</v>
      </c>
      <c r="C14230" s="3">
        <v>5</v>
      </c>
    </row>
    <row r="14231" spans="1:3" x14ac:dyDescent="0.25">
      <c r="A14231" s="1" t="s">
        <v>14230</v>
      </c>
      <c r="C14231" s="3">
        <v>5</v>
      </c>
    </row>
    <row r="14232" spans="1:3" x14ac:dyDescent="0.25">
      <c r="A14232" s="1" t="s">
        <v>14231</v>
      </c>
      <c r="C14232" s="3">
        <v>5</v>
      </c>
    </row>
    <row r="14233" spans="1:3" x14ac:dyDescent="0.25">
      <c r="A14233" s="1" t="s">
        <v>14232</v>
      </c>
      <c r="C14233" s="3">
        <v>5</v>
      </c>
    </row>
    <row r="14234" spans="1:3" x14ac:dyDescent="0.25">
      <c r="A14234" s="1" t="s">
        <v>14233</v>
      </c>
      <c r="C14234" s="3">
        <v>5</v>
      </c>
    </row>
    <row r="14235" spans="1:3" x14ac:dyDescent="0.25">
      <c r="A14235" s="1" t="s">
        <v>14234</v>
      </c>
      <c r="C14235" s="3">
        <v>5</v>
      </c>
    </row>
    <row r="14236" spans="1:3" x14ac:dyDescent="0.25">
      <c r="A14236" s="1" t="s">
        <v>14235</v>
      </c>
      <c r="C14236" s="3">
        <v>5</v>
      </c>
    </row>
    <row r="14237" spans="1:3" x14ac:dyDescent="0.25">
      <c r="A14237" s="1" t="s">
        <v>14236</v>
      </c>
      <c r="C14237" s="3">
        <v>5</v>
      </c>
    </row>
    <row r="14238" spans="1:3" x14ac:dyDescent="0.25">
      <c r="A14238" s="1" t="s">
        <v>14237</v>
      </c>
      <c r="C14238" s="3">
        <v>5</v>
      </c>
    </row>
    <row r="14239" spans="1:3" x14ac:dyDescent="0.25">
      <c r="A14239" s="1" t="s">
        <v>14238</v>
      </c>
      <c r="C14239" s="3">
        <v>5</v>
      </c>
    </row>
    <row r="14240" spans="1:3" x14ac:dyDescent="0.25">
      <c r="A14240" s="1" t="s">
        <v>14239</v>
      </c>
      <c r="C14240" s="3">
        <v>5</v>
      </c>
    </row>
    <row r="14241" spans="1:3" x14ac:dyDescent="0.25">
      <c r="A14241" s="1" t="s">
        <v>14240</v>
      </c>
      <c r="C14241" s="3">
        <v>5</v>
      </c>
    </row>
    <row r="14242" spans="1:3" x14ac:dyDescent="0.25">
      <c r="A14242" s="1" t="s">
        <v>14241</v>
      </c>
      <c r="C14242" s="3">
        <v>5</v>
      </c>
    </row>
    <row r="14243" spans="1:3" x14ac:dyDescent="0.25">
      <c r="A14243" s="1" t="s">
        <v>14242</v>
      </c>
      <c r="C14243" s="3">
        <v>5</v>
      </c>
    </row>
    <row r="14244" spans="1:3" x14ac:dyDescent="0.25">
      <c r="A14244" s="1" t="s">
        <v>14243</v>
      </c>
      <c r="C14244" s="3">
        <v>5</v>
      </c>
    </row>
    <row r="14245" spans="1:3" x14ac:dyDescent="0.25">
      <c r="A14245" s="1" t="s">
        <v>14244</v>
      </c>
      <c r="C14245" s="3">
        <v>5</v>
      </c>
    </row>
    <row r="14246" spans="1:3" x14ac:dyDescent="0.25">
      <c r="A14246" s="1" t="s">
        <v>14245</v>
      </c>
      <c r="C14246" s="3">
        <v>5</v>
      </c>
    </row>
    <row r="14247" spans="1:3" x14ac:dyDescent="0.25">
      <c r="A14247" s="1" t="s">
        <v>14246</v>
      </c>
      <c r="C14247" s="3">
        <v>5</v>
      </c>
    </row>
    <row r="14248" spans="1:3" x14ac:dyDescent="0.25">
      <c r="A14248" s="1" t="s">
        <v>14247</v>
      </c>
      <c r="C14248" s="3">
        <v>5</v>
      </c>
    </row>
    <row r="14249" spans="1:3" x14ac:dyDescent="0.25">
      <c r="A14249" s="1" t="s">
        <v>14248</v>
      </c>
      <c r="C14249" s="3">
        <v>5</v>
      </c>
    </row>
    <row r="14250" spans="1:3" x14ac:dyDescent="0.25">
      <c r="A14250" s="1" t="s">
        <v>14249</v>
      </c>
      <c r="C14250" s="3">
        <v>5</v>
      </c>
    </row>
    <row r="14251" spans="1:3" x14ac:dyDescent="0.25">
      <c r="A14251" s="1" t="s">
        <v>14250</v>
      </c>
      <c r="C14251" s="3">
        <v>5</v>
      </c>
    </row>
    <row r="14252" spans="1:3" x14ac:dyDescent="0.25">
      <c r="A14252" s="1" t="s">
        <v>14251</v>
      </c>
      <c r="C14252" s="3">
        <v>5</v>
      </c>
    </row>
    <row r="14253" spans="1:3" x14ac:dyDescent="0.25">
      <c r="A14253" s="1" t="s">
        <v>14252</v>
      </c>
      <c r="C14253" s="3">
        <v>5</v>
      </c>
    </row>
    <row r="14254" spans="1:3" x14ac:dyDescent="0.25">
      <c r="A14254" s="1" t="s">
        <v>14253</v>
      </c>
      <c r="C14254" s="3">
        <v>5</v>
      </c>
    </row>
    <row r="14255" spans="1:3" x14ac:dyDescent="0.25">
      <c r="A14255" s="1" t="s">
        <v>14254</v>
      </c>
      <c r="C14255" s="3">
        <v>5</v>
      </c>
    </row>
    <row r="14256" spans="1:3" x14ac:dyDescent="0.25">
      <c r="A14256" s="1" t="s">
        <v>14255</v>
      </c>
      <c r="C14256" s="3">
        <v>5</v>
      </c>
    </row>
    <row r="14257" spans="1:3" x14ac:dyDescent="0.25">
      <c r="A14257" s="1" t="s">
        <v>14256</v>
      </c>
      <c r="C14257" s="3">
        <v>5</v>
      </c>
    </row>
    <row r="14258" spans="1:3" x14ac:dyDescent="0.25">
      <c r="A14258" s="1" t="s">
        <v>14257</v>
      </c>
      <c r="C14258" s="3">
        <v>5</v>
      </c>
    </row>
    <row r="14259" spans="1:3" x14ac:dyDescent="0.25">
      <c r="A14259" s="1" t="s">
        <v>14258</v>
      </c>
      <c r="C14259" s="3">
        <v>5</v>
      </c>
    </row>
    <row r="14260" spans="1:3" x14ac:dyDescent="0.25">
      <c r="A14260" s="1" t="s">
        <v>14259</v>
      </c>
      <c r="C14260" s="3">
        <v>5</v>
      </c>
    </row>
    <row r="14261" spans="1:3" x14ac:dyDescent="0.25">
      <c r="A14261" s="1" t="s">
        <v>14260</v>
      </c>
      <c r="C14261" s="3">
        <v>5</v>
      </c>
    </row>
    <row r="14262" spans="1:3" x14ac:dyDescent="0.25">
      <c r="A14262" s="1" t="s">
        <v>14261</v>
      </c>
      <c r="C14262" s="3">
        <v>5</v>
      </c>
    </row>
    <row r="14263" spans="1:3" x14ac:dyDescent="0.25">
      <c r="A14263" s="1" t="s">
        <v>14262</v>
      </c>
      <c r="C14263" s="3">
        <v>5</v>
      </c>
    </row>
    <row r="14264" spans="1:3" x14ac:dyDescent="0.25">
      <c r="A14264" s="1" t="s">
        <v>14263</v>
      </c>
      <c r="C14264" s="3">
        <v>5</v>
      </c>
    </row>
    <row r="14265" spans="1:3" x14ac:dyDescent="0.25">
      <c r="A14265" s="1" t="s">
        <v>14264</v>
      </c>
      <c r="C14265" s="3">
        <v>5</v>
      </c>
    </row>
    <row r="14266" spans="1:3" x14ac:dyDescent="0.25">
      <c r="A14266" s="1" t="s">
        <v>14265</v>
      </c>
      <c r="C14266" s="3">
        <v>5</v>
      </c>
    </row>
    <row r="14267" spans="1:3" x14ac:dyDescent="0.25">
      <c r="A14267" s="1" t="s">
        <v>14266</v>
      </c>
      <c r="C14267" s="3">
        <v>5</v>
      </c>
    </row>
    <row r="14268" spans="1:3" x14ac:dyDescent="0.25">
      <c r="A14268" s="1" t="s">
        <v>14267</v>
      </c>
      <c r="C14268" s="3">
        <v>5</v>
      </c>
    </row>
    <row r="14269" spans="1:3" x14ac:dyDescent="0.25">
      <c r="A14269" s="1" t="s">
        <v>14268</v>
      </c>
      <c r="C14269" s="3">
        <v>5</v>
      </c>
    </row>
    <row r="14270" spans="1:3" x14ac:dyDescent="0.25">
      <c r="A14270" s="1" t="s">
        <v>14269</v>
      </c>
      <c r="C14270" s="3">
        <v>5</v>
      </c>
    </row>
    <row r="14271" spans="1:3" x14ac:dyDescent="0.25">
      <c r="A14271" s="1" t="s">
        <v>14270</v>
      </c>
      <c r="C14271" s="3">
        <v>5</v>
      </c>
    </row>
    <row r="14272" spans="1:3" x14ac:dyDescent="0.25">
      <c r="A14272" s="1" t="s">
        <v>14271</v>
      </c>
      <c r="C14272" s="3">
        <v>5</v>
      </c>
    </row>
    <row r="14273" spans="1:3" x14ac:dyDescent="0.25">
      <c r="A14273" s="1" t="s">
        <v>14272</v>
      </c>
      <c r="C14273" s="3">
        <v>5</v>
      </c>
    </row>
    <row r="14274" spans="1:3" x14ac:dyDescent="0.25">
      <c r="A14274" s="1" t="s">
        <v>14273</v>
      </c>
      <c r="C14274" s="3">
        <v>5</v>
      </c>
    </row>
    <row r="14275" spans="1:3" x14ac:dyDescent="0.25">
      <c r="A14275" s="1" t="s">
        <v>14274</v>
      </c>
      <c r="C14275" s="3">
        <v>5</v>
      </c>
    </row>
    <row r="14276" spans="1:3" x14ac:dyDescent="0.25">
      <c r="A14276" s="1" t="s">
        <v>14275</v>
      </c>
      <c r="C14276" s="3">
        <v>5</v>
      </c>
    </row>
    <row r="14277" spans="1:3" x14ac:dyDescent="0.25">
      <c r="A14277" s="1" t="s">
        <v>14276</v>
      </c>
      <c r="C14277" s="3">
        <v>5</v>
      </c>
    </row>
    <row r="14278" spans="1:3" x14ac:dyDescent="0.25">
      <c r="A14278" s="1" t="s">
        <v>14277</v>
      </c>
      <c r="C14278" s="3">
        <v>5</v>
      </c>
    </row>
    <row r="14279" spans="1:3" x14ac:dyDescent="0.25">
      <c r="A14279" s="1" t="s">
        <v>14278</v>
      </c>
      <c r="C14279" s="3">
        <v>5</v>
      </c>
    </row>
    <row r="14280" spans="1:3" x14ac:dyDescent="0.25">
      <c r="A14280" s="1" t="s">
        <v>14279</v>
      </c>
      <c r="C14280" s="3">
        <v>5</v>
      </c>
    </row>
    <row r="14281" spans="1:3" x14ac:dyDescent="0.25">
      <c r="A14281" s="1" t="s">
        <v>14280</v>
      </c>
      <c r="C14281" s="3">
        <v>5</v>
      </c>
    </row>
    <row r="14282" spans="1:3" x14ac:dyDescent="0.25">
      <c r="A14282" s="1" t="s">
        <v>14281</v>
      </c>
      <c r="C14282" s="3">
        <v>5</v>
      </c>
    </row>
    <row r="14283" spans="1:3" x14ac:dyDescent="0.25">
      <c r="A14283" s="1" t="s">
        <v>14282</v>
      </c>
      <c r="C14283" s="3">
        <v>5</v>
      </c>
    </row>
    <row r="14284" spans="1:3" x14ac:dyDescent="0.25">
      <c r="A14284" s="1" t="s">
        <v>14283</v>
      </c>
      <c r="C14284" s="3">
        <v>5</v>
      </c>
    </row>
    <row r="14285" spans="1:3" x14ac:dyDescent="0.25">
      <c r="A14285" s="1" t="s">
        <v>14284</v>
      </c>
      <c r="C14285" s="3">
        <v>5</v>
      </c>
    </row>
    <row r="14286" spans="1:3" x14ac:dyDescent="0.25">
      <c r="A14286" s="1" t="s">
        <v>14285</v>
      </c>
      <c r="C14286" s="3">
        <v>5</v>
      </c>
    </row>
    <row r="14287" spans="1:3" x14ac:dyDescent="0.25">
      <c r="A14287" s="1" t="s">
        <v>14286</v>
      </c>
      <c r="C14287" s="3">
        <v>5</v>
      </c>
    </row>
    <row r="14288" spans="1:3" x14ac:dyDescent="0.25">
      <c r="A14288" s="1" t="s">
        <v>14287</v>
      </c>
      <c r="C14288" s="3">
        <v>5</v>
      </c>
    </row>
    <row r="14289" spans="1:3" x14ac:dyDescent="0.25">
      <c r="A14289" s="1" t="s">
        <v>14288</v>
      </c>
      <c r="C14289" s="3">
        <v>5</v>
      </c>
    </row>
    <row r="14290" spans="1:3" x14ac:dyDescent="0.25">
      <c r="A14290" s="1" t="s">
        <v>14289</v>
      </c>
      <c r="C14290" s="3">
        <v>5</v>
      </c>
    </row>
    <row r="14291" spans="1:3" x14ac:dyDescent="0.25">
      <c r="A14291" s="1" t="s">
        <v>14290</v>
      </c>
      <c r="C14291" s="3">
        <v>5</v>
      </c>
    </row>
    <row r="14292" spans="1:3" x14ac:dyDescent="0.25">
      <c r="A14292" s="1" t="s">
        <v>14291</v>
      </c>
      <c r="C14292" s="3">
        <v>5</v>
      </c>
    </row>
    <row r="14293" spans="1:3" x14ac:dyDescent="0.25">
      <c r="A14293" s="1" t="s">
        <v>14292</v>
      </c>
      <c r="C14293" s="3">
        <v>5</v>
      </c>
    </row>
    <row r="14294" spans="1:3" x14ac:dyDescent="0.25">
      <c r="A14294" s="1" t="s">
        <v>14293</v>
      </c>
      <c r="C14294" s="3">
        <v>5</v>
      </c>
    </row>
    <row r="14295" spans="1:3" x14ac:dyDescent="0.25">
      <c r="A14295" s="1" t="s">
        <v>14294</v>
      </c>
      <c r="C14295" s="3">
        <v>5</v>
      </c>
    </row>
    <row r="14296" spans="1:3" x14ac:dyDescent="0.25">
      <c r="A14296" s="1" t="s">
        <v>14295</v>
      </c>
      <c r="C14296" s="3">
        <v>5</v>
      </c>
    </row>
    <row r="14297" spans="1:3" x14ac:dyDescent="0.25">
      <c r="A14297" s="1" t="s">
        <v>14296</v>
      </c>
      <c r="C14297" s="3">
        <v>5</v>
      </c>
    </row>
    <row r="14298" spans="1:3" x14ac:dyDescent="0.25">
      <c r="A14298" s="1" t="s">
        <v>14297</v>
      </c>
      <c r="C14298" s="3">
        <v>5</v>
      </c>
    </row>
    <row r="14299" spans="1:3" x14ac:dyDescent="0.25">
      <c r="A14299" s="1" t="s">
        <v>14298</v>
      </c>
      <c r="C14299" s="3">
        <v>5</v>
      </c>
    </row>
    <row r="14300" spans="1:3" x14ac:dyDescent="0.25">
      <c r="A14300" s="1" t="s">
        <v>14299</v>
      </c>
      <c r="C14300" s="3">
        <v>5</v>
      </c>
    </row>
    <row r="14301" spans="1:3" x14ac:dyDescent="0.25">
      <c r="A14301" s="1" t="s">
        <v>14300</v>
      </c>
      <c r="C14301" s="3">
        <v>5</v>
      </c>
    </row>
    <row r="14302" spans="1:3" x14ac:dyDescent="0.25">
      <c r="A14302" s="1" t="s">
        <v>14301</v>
      </c>
      <c r="C14302" s="3">
        <v>5</v>
      </c>
    </row>
    <row r="14303" spans="1:3" x14ac:dyDescent="0.25">
      <c r="A14303" s="1" t="s">
        <v>14302</v>
      </c>
      <c r="C14303" s="3">
        <v>5</v>
      </c>
    </row>
    <row r="14304" spans="1:3" x14ac:dyDescent="0.25">
      <c r="A14304" s="1" t="s">
        <v>14303</v>
      </c>
      <c r="C14304" s="3">
        <v>5</v>
      </c>
    </row>
    <row r="14305" spans="1:3" x14ac:dyDescent="0.25">
      <c r="A14305" s="1" t="s">
        <v>14304</v>
      </c>
      <c r="C14305" s="3">
        <v>5</v>
      </c>
    </row>
    <row r="14306" spans="1:3" x14ac:dyDescent="0.25">
      <c r="A14306" s="1" t="s">
        <v>14305</v>
      </c>
      <c r="C14306" s="3">
        <v>5</v>
      </c>
    </row>
    <row r="14307" spans="1:3" x14ac:dyDescent="0.25">
      <c r="A14307" s="1" t="s">
        <v>14306</v>
      </c>
      <c r="C14307" s="3">
        <v>5</v>
      </c>
    </row>
    <row r="14308" spans="1:3" x14ac:dyDescent="0.25">
      <c r="A14308" s="1" t="s">
        <v>14307</v>
      </c>
      <c r="C14308" s="3">
        <v>5</v>
      </c>
    </row>
    <row r="14309" spans="1:3" x14ac:dyDescent="0.25">
      <c r="A14309" s="1" t="s">
        <v>14308</v>
      </c>
      <c r="C14309" s="3">
        <v>5</v>
      </c>
    </row>
    <row r="14310" spans="1:3" x14ac:dyDescent="0.25">
      <c r="A14310" s="1" t="s">
        <v>14309</v>
      </c>
      <c r="C14310" s="3">
        <v>5</v>
      </c>
    </row>
    <row r="14311" spans="1:3" x14ac:dyDescent="0.25">
      <c r="A14311" s="1" t="s">
        <v>14310</v>
      </c>
      <c r="C14311" s="3">
        <v>5</v>
      </c>
    </row>
    <row r="14312" spans="1:3" x14ac:dyDescent="0.25">
      <c r="A14312" s="1" t="s">
        <v>14311</v>
      </c>
      <c r="C14312" s="3">
        <v>5</v>
      </c>
    </row>
    <row r="14313" spans="1:3" x14ac:dyDescent="0.25">
      <c r="A14313" s="1" t="s">
        <v>14312</v>
      </c>
      <c r="C14313" s="3">
        <v>5</v>
      </c>
    </row>
    <row r="14314" spans="1:3" x14ac:dyDescent="0.25">
      <c r="A14314" s="1" t="s">
        <v>14313</v>
      </c>
      <c r="C14314" s="3">
        <v>5</v>
      </c>
    </row>
    <row r="14315" spans="1:3" x14ac:dyDescent="0.25">
      <c r="A14315" s="1" t="s">
        <v>14314</v>
      </c>
      <c r="C14315" s="3">
        <v>5</v>
      </c>
    </row>
    <row r="14316" spans="1:3" x14ac:dyDescent="0.25">
      <c r="A14316" s="1" t="s">
        <v>14315</v>
      </c>
      <c r="C14316" s="3">
        <v>5</v>
      </c>
    </row>
    <row r="14317" spans="1:3" x14ac:dyDescent="0.25">
      <c r="A14317" s="1" t="s">
        <v>14316</v>
      </c>
      <c r="C14317" s="3">
        <v>5</v>
      </c>
    </row>
    <row r="14318" spans="1:3" x14ac:dyDescent="0.25">
      <c r="A14318" s="1" t="s">
        <v>14317</v>
      </c>
      <c r="C14318" s="3">
        <v>5</v>
      </c>
    </row>
    <row r="14319" spans="1:3" x14ac:dyDescent="0.25">
      <c r="A14319" s="1" t="s">
        <v>14318</v>
      </c>
      <c r="C14319" s="3">
        <v>5</v>
      </c>
    </row>
    <row r="14320" spans="1:3" x14ac:dyDescent="0.25">
      <c r="A14320" s="1" t="s">
        <v>14319</v>
      </c>
      <c r="C14320" s="3">
        <v>5</v>
      </c>
    </row>
    <row r="14321" spans="1:3" x14ac:dyDescent="0.25">
      <c r="A14321" s="1" t="s">
        <v>14320</v>
      </c>
      <c r="C14321" s="3">
        <v>5</v>
      </c>
    </row>
    <row r="14322" spans="1:3" x14ac:dyDescent="0.25">
      <c r="A14322" s="1" t="s">
        <v>14321</v>
      </c>
      <c r="C14322" s="3">
        <v>5</v>
      </c>
    </row>
    <row r="14323" spans="1:3" x14ac:dyDescent="0.25">
      <c r="A14323" s="1" t="s">
        <v>14322</v>
      </c>
      <c r="C14323" s="3">
        <v>5</v>
      </c>
    </row>
    <row r="14324" spans="1:3" x14ac:dyDescent="0.25">
      <c r="A14324" s="1" t="s">
        <v>14323</v>
      </c>
      <c r="C14324" s="3">
        <v>5</v>
      </c>
    </row>
    <row r="14325" spans="1:3" x14ac:dyDescent="0.25">
      <c r="A14325" s="1" t="s">
        <v>14324</v>
      </c>
      <c r="C14325" s="3">
        <v>5</v>
      </c>
    </row>
    <row r="14326" spans="1:3" x14ac:dyDescent="0.25">
      <c r="A14326" s="1" t="s">
        <v>14325</v>
      </c>
      <c r="C14326" s="3">
        <v>5</v>
      </c>
    </row>
    <row r="14327" spans="1:3" x14ac:dyDescent="0.25">
      <c r="A14327" s="1" t="s">
        <v>14326</v>
      </c>
      <c r="C14327" s="3">
        <v>5</v>
      </c>
    </row>
    <row r="14328" spans="1:3" x14ac:dyDescent="0.25">
      <c r="A14328" s="1" t="s">
        <v>14327</v>
      </c>
      <c r="C14328" s="3">
        <v>5</v>
      </c>
    </row>
    <row r="14329" spans="1:3" x14ac:dyDescent="0.25">
      <c r="A14329" s="1" t="s">
        <v>14328</v>
      </c>
      <c r="C14329" s="3">
        <v>5</v>
      </c>
    </row>
    <row r="14330" spans="1:3" x14ac:dyDescent="0.25">
      <c r="A14330" s="1" t="s">
        <v>14329</v>
      </c>
      <c r="C14330" s="3">
        <v>5</v>
      </c>
    </row>
    <row r="14331" spans="1:3" x14ac:dyDescent="0.25">
      <c r="A14331" s="1" t="s">
        <v>14330</v>
      </c>
      <c r="C14331" s="3">
        <v>5</v>
      </c>
    </row>
    <row r="14332" spans="1:3" x14ac:dyDescent="0.25">
      <c r="A14332" s="1" t="s">
        <v>14331</v>
      </c>
      <c r="C14332" s="3">
        <v>5</v>
      </c>
    </row>
    <row r="14333" spans="1:3" x14ac:dyDescent="0.25">
      <c r="A14333" s="1" t="s">
        <v>14332</v>
      </c>
      <c r="C14333" s="3">
        <v>5</v>
      </c>
    </row>
    <row r="14334" spans="1:3" x14ac:dyDescent="0.25">
      <c r="A14334" s="1" t="s">
        <v>14333</v>
      </c>
      <c r="C14334" s="3">
        <v>5</v>
      </c>
    </row>
    <row r="14335" spans="1:3" x14ac:dyDescent="0.25">
      <c r="A14335" s="1" t="s">
        <v>14334</v>
      </c>
      <c r="C14335" s="3">
        <v>5</v>
      </c>
    </row>
    <row r="14336" spans="1:3" x14ac:dyDescent="0.25">
      <c r="A14336" s="1" t="s">
        <v>14335</v>
      </c>
      <c r="C14336" s="3">
        <v>5</v>
      </c>
    </row>
    <row r="14337" spans="1:3" x14ac:dyDescent="0.25">
      <c r="A14337" s="1" t="s">
        <v>14336</v>
      </c>
      <c r="C14337" s="3">
        <v>5</v>
      </c>
    </row>
    <row r="14338" spans="1:3" x14ac:dyDescent="0.25">
      <c r="A14338" s="1" t="s">
        <v>14337</v>
      </c>
      <c r="C14338" s="3">
        <v>5</v>
      </c>
    </row>
    <row r="14339" spans="1:3" x14ac:dyDescent="0.25">
      <c r="A14339" s="1" t="s">
        <v>14338</v>
      </c>
      <c r="C14339" s="3">
        <v>5</v>
      </c>
    </row>
    <row r="14340" spans="1:3" x14ac:dyDescent="0.25">
      <c r="A14340" s="1" t="s">
        <v>14339</v>
      </c>
      <c r="C14340" s="3">
        <v>5</v>
      </c>
    </row>
    <row r="14341" spans="1:3" x14ac:dyDescent="0.25">
      <c r="A14341" s="1" t="s">
        <v>14340</v>
      </c>
      <c r="C14341" s="3">
        <v>5</v>
      </c>
    </row>
    <row r="14342" spans="1:3" x14ac:dyDescent="0.25">
      <c r="A14342" s="1" t="s">
        <v>14341</v>
      </c>
      <c r="C14342" s="3">
        <v>5</v>
      </c>
    </row>
    <row r="14343" spans="1:3" x14ac:dyDescent="0.25">
      <c r="A14343" s="1" t="s">
        <v>14342</v>
      </c>
      <c r="C14343" s="3">
        <v>5</v>
      </c>
    </row>
    <row r="14344" spans="1:3" x14ac:dyDescent="0.25">
      <c r="A14344" s="1" t="s">
        <v>14343</v>
      </c>
      <c r="C14344" s="3">
        <v>5</v>
      </c>
    </row>
    <row r="14345" spans="1:3" x14ac:dyDescent="0.25">
      <c r="A14345" s="1" t="s">
        <v>14344</v>
      </c>
      <c r="C14345" s="3">
        <v>5</v>
      </c>
    </row>
    <row r="14346" spans="1:3" x14ac:dyDescent="0.25">
      <c r="A14346" s="1" t="s">
        <v>14345</v>
      </c>
      <c r="C14346" s="3">
        <v>5</v>
      </c>
    </row>
    <row r="14347" spans="1:3" x14ac:dyDescent="0.25">
      <c r="A14347" s="1" t="s">
        <v>14346</v>
      </c>
      <c r="C14347" s="3">
        <v>5</v>
      </c>
    </row>
    <row r="14348" spans="1:3" x14ac:dyDescent="0.25">
      <c r="A14348" s="1" t="s">
        <v>14347</v>
      </c>
      <c r="C14348" s="3">
        <v>5</v>
      </c>
    </row>
    <row r="14349" spans="1:3" x14ac:dyDescent="0.25">
      <c r="A14349" s="1" t="s">
        <v>14348</v>
      </c>
      <c r="C14349" s="3">
        <v>5</v>
      </c>
    </row>
    <row r="14350" spans="1:3" x14ac:dyDescent="0.25">
      <c r="A14350" s="1" t="s">
        <v>14349</v>
      </c>
      <c r="C14350" s="3">
        <v>5</v>
      </c>
    </row>
    <row r="14351" spans="1:3" x14ac:dyDescent="0.25">
      <c r="A14351" s="1" t="s">
        <v>14350</v>
      </c>
      <c r="C14351" s="3">
        <v>5</v>
      </c>
    </row>
    <row r="14352" spans="1:3" x14ac:dyDescent="0.25">
      <c r="A14352" s="1" t="s">
        <v>14351</v>
      </c>
      <c r="C14352" s="3">
        <v>5</v>
      </c>
    </row>
    <row r="14353" spans="1:3" x14ac:dyDescent="0.25">
      <c r="A14353" s="1" t="s">
        <v>14352</v>
      </c>
      <c r="C14353" s="3">
        <v>5</v>
      </c>
    </row>
    <row r="14354" spans="1:3" x14ac:dyDescent="0.25">
      <c r="A14354" s="1" t="s">
        <v>14353</v>
      </c>
      <c r="C14354" s="3">
        <v>5</v>
      </c>
    </row>
    <row r="14355" spans="1:3" x14ac:dyDescent="0.25">
      <c r="A14355" s="1" t="s">
        <v>14354</v>
      </c>
      <c r="C14355" s="3">
        <v>5</v>
      </c>
    </row>
    <row r="14356" spans="1:3" x14ac:dyDescent="0.25">
      <c r="A14356" s="1" t="s">
        <v>14355</v>
      </c>
      <c r="C14356" s="3">
        <v>5</v>
      </c>
    </row>
    <row r="14357" spans="1:3" x14ac:dyDescent="0.25">
      <c r="A14357" s="1" t="s">
        <v>14356</v>
      </c>
      <c r="C14357" s="3">
        <v>5</v>
      </c>
    </row>
    <row r="14358" spans="1:3" x14ac:dyDescent="0.25">
      <c r="A14358" s="1" t="s">
        <v>14357</v>
      </c>
      <c r="C14358" s="3">
        <v>5</v>
      </c>
    </row>
    <row r="14359" spans="1:3" x14ac:dyDescent="0.25">
      <c r="A14359" s="1" t="s">
        <v>14358</v>
      </c>
      <c r="C14359" s="3">
        <v>5</v>
      </c>
    </row>
    <row r="14360" spans="1:3" x14ac:dyDescent="0.25">
      <c r="A14360" s="1" t="s">
        <v>14359</v>
      </c>
      <c r="C14360" s="3">
        <v>5</v>
      </c>
    </row>
    <row r="14361" spans="1:3" x14ac:dyDescent="0.25">
      <c r="A14361" s="1" t="s">
        <v>14360</v>
      </c>
      <c r="C14361" s="3">
        <v>5</v>
      </c>
    </row>
    <row r="14362" spans="1:3" x14ac:dyDescent="0.25">
      <c r="A14362" s="1" t="s">
        <v>14361</v>
      </c>
      <c r="C14362" s="3">
        <v>5</v>
      </c>
    </row>
    <row r="14363" spans="1:3" x14ac:dyDescent="0.25">
      <c r="A14363" s="1" t="s">
        <v>14362</v>
      </c>
      <c r="C14363" s="3">
        <v>5</v>
      </c>
    </row>
    <row r="14364" spans="1:3" x14ac:dyDescent="0.25">
      <c r="A14364" s="1" t="s">
        <v>14363</v>
      </c>
      <c r="C14364" s="3">
        <v>5</v>
      </c>
    </row>
    <row r="14365" spans="1:3" x14ac:dyDescent="0.25">
      <c r="A14365" s="1" t="s">
        <v>14364</v>
      </c>
      <c r="C14365" s="3">
        <v>5</v>
      </c>
    </row>
    <row r="14366" spans="1:3" x14ac:dyDescent="0.25">
      <c r="A14366" s="1" t="s">
        <v>14365</v>
      </c>
      <c r="C14366" s="3">
        <v>5</v>
      </c>
    </row>
    <row r="14367" spans="1:3" x14ac:dyDescent="0.25">
      <c r="A14367" s="1" t="s">
        <v>14366</v>
      </c>
      <c r="C14367" s="3">
        <v>5</v>
      </c>
    </row>
    <row r="14368" spans="1:3" x14ac:dyDescent="0.25">
      <c r="A14368" s="1" t="s">
        <v>14367</v>
      </c>
      <c r="C14368" s="3">
        <v>5</v>
      </c>
    </row>
    <row r="14369" spans="1:3" x14ac:dyDescent="0.25">
      <c r="A14369" s="1" t="s">
        <v>14368</v>
      </c>
      <c r="C14369" s="3">
        <v>5</v>
      </c>
    </row>
    <row r="14370" spans="1:3" x14ac:dyDescent="0.25">
      <c r="A14370" s="1" t="s">
        <v>14369</v>
      </c>
      <c r="C14370" s="3">
        <v>5</v>
      </c>
    </row>
    <row r="14371" spans="1:3" x14ac:dyDescent="0.25">
      <c r="A14371" s="1" t="s">
        <v>14370</v>
      </c>
      <c r="C14371" s="3">
        <v>5</v>
      </c>
    </row>
    <row r="14372" spans="1:3" x14ac:dyDescent="0.25">
      <c r="A14372" s="1" t="s">
        <v>14371</v>
      </c>
      <c r="C14372" s="3">
        <v>5</v>
      </c>
    </row>
    <row r="14373" spans="1:3" x14ac:dyDescent="0.25">
      <c r="A14373" s="1" t="s">
        <v>14372</v>
      </c>
      <c r="C14373" s="3">
        <v>5</v>
      </c>
    </row>
    <row r="14374" spans="1:3" x14ac:dyDescent="0.25">
      <c r="A14374" s="1" t="s">
        <v>14373</v>
      </c>
      <c r="C14374" s="3">
        <v>5</v>
      </c>
    </row>
    <row r="14375" spans="1:3" x14ac:dyDescent="0.25">
      <c r="A14375" s="1" t="s">
        <v>14374</v>
      </c>
      <c r="C14375" s="3">
        <v>5</v>
      </c>
    </row>
    <row r="14376" spans="1:3" x14ac:dyDescent="0.25">
      <c r="A14376" s="1" t="s">
        <v>14375</v>
      </c>
      <c r="C14376" s="3">
        <v>5</v>
      </c>
    </row>
    <row r="14377" spans="1:3" x14ac:dyDescent="0.25">
      <c r="A14377" s="1" t="s">
        <v>14376</v>
      </c>
      <c r="C14377" s="3">
        <v>5</v>
      </c>
    </row>
    <row r="14378" spans="1:3" x14ac:dyDescent="0.25">
      <c r="A14378" s="1" t="s">
        <v>14377</v>
      </c>
      <c r="C14378" s="3">
        <v>5</v>
      </c>
    </row>
    <row r="14379" spans="1:3" x14ac:dyDescent="0.25">
      <c r="A14379" s="1" t="s">
        <v>14378</v>
      </c>
      <c r="C14379" s="3">
        <v>5</v>
      </c>
    </row>
    <row r="14380" spans="1:3" x14ac:dyDescent="0.25">
      <c r="A14380" s="1" t="s">
        <v>14379</v>
      </c>
      <c r="C14380" s="3">
        <v>5</v>
      </c>
    </row>
    <row r="14381" spans="1:3" x14ac:dyDescent="0.25">
      <c r="A14381" s="1" t="s">
        <v>14380</v>
      </c>
      <c r="C14381" s="3">
        <v>5</v>
      </c>
    </row>
    <row r="14382" spans="1:3" x14ac:dyDescent="0.25">
      <c r="A14382" s="1" t="s">
        <v>14381</v>
      </c>
      <c r="C14382" s="3">
        <v>5</v>
      </c>
    </row>
    <row r="14383" spans="1:3" x14ac:dyDescent="0.25">
      <c r="A14383" s="1" t="s">
        <v>14382</v>
      </c>
      <c r="C14383" s="3">
        <v>5</v>
      </c>
    </row>
    <row r="14384" spans="1:3" x14ac:dyDescent="0.25">
      <c r="A14384" s="1" t="s">
        <v>14383</v>
      </c>
      <c r="C14384" s="3">
        <v>5</v>
      </c>
    </row>
    <row r="14385" spans="1:3" x14ac:dyDescent="0.25">
      <c r="A14385" s="1" t="s">
        <v>14384</v>
      </c>
      <c r="C14385" s="3">
        <v>5</v>
      </c>
    </row>
    <row r="14386" spans="1:3" x14ac:dyDescent="0.25">
      <c r="A14386" s="1" t="s">
        <v>14385</v>
      </c>
      <c r="C14386" s="3">
        <v>5</v>
      </c>
    </row>
    <row r="14387" spans="1:3" x14ac:dyDescent="0.25">
      <c r="A14387" s="1" t="s">
        <v>14386</v>
      </c>
      <c r="C14387" s="3">
        <v>5</v>
      </c>
    </row>
    <row r="14388" spans="1:3" x14ac:dyDescent="0.25">
      <c r="A14388" s="1" t="s">
        <v>14387</v>
      </c>
      <c r="C14388" s="3">
        <v>5</v>
      </c>
    </row>
    <row r="14389" spans="1:3" x14ac:dyDescent="0.25">
      <c r="A14389" s="1" t="s">
        <v>14388</v>
      </c>
      <c r="C14389" s="3">
        <v>5</v>
      </c>
    </row>
    <row r="14390" spans="1:3" x14ac:dyDescent="0.25">
      <c r="A14390" s="1" t="s">
        <v>14389</v>
      </c>
      <c r="C14390" s="3">
        <v>5</v>
      </c>
    </row>
    <row r="14391" spans="1:3" x14ac:dyDescent="0.25">
      <c r="A14391" s="1" t="s">
        <v>14390</v>
      </c>
      <c r="C14391" s="3">
        <v>5</v>
      </c>
    </row>
    <row r="14392" spans="1:3" x14ac:dyDescent="0.25">
      <c r="A14392" s="1" t="s">
        <v>14391</v>
      </c>
      <c r="C14392" s="3">
        <v>5</v>
      </c>
    </row>
    <row r="14393" spans="1:3" x14ac:dyDescent="0.25">
      <c r="A14393" s="1" t="s">
        <v>14392</v>
      </c>
      <c r="C14393" s="3">
        <v>5</v>
      </c>
    </row>
    <row r="14394" spans="1:3" x14ac:dyDescent="0.25">
      <c r="A14394" s="1" t="s">
        <v>14393</v>
      </c>
      <c r="C14394" s="3">
        <v>5</v>
      </c>
    </row>
    <row r="14395" spans="1:3" x14ac:dyDescent="0.25">
      <c r="A14395" s="1" t="s">
        <v>14394</v>
      </c>
      <c r="C14395" s="3">
        <v>5</v>
      </c>
    </row>
    <row r="14396" spans="1:3" x14ac:dyDescent="0.25">
      <c r="A14396" s="1" t="s">
        <v>14395</v>
      </c>
      <c r="C14396" s="3">
        <v>5</v>
      </c>
    </row>
    <row r="14397" spans="1:3" x14ac:dyDescent="0.25">
      <c r="A14397" s="1" t="s">
        <v>14396</v>
      </c>
      <c r="C14397" s="3">
        <v>5</v>
      </c>
    </row>
    <row r="14398" spans="1:3" x14ac:dyDescent="0.25">
      <c r="A14398" s="1" t="s">
        <v>14397</v>
      </c>
      <c r="C14398" s="3">
        <v>5</v>
      </c>
    </row>
    <row r="14399" spans="1:3" x14ac:dyDescent="0.25">
      <c r="A14399" s="1" t="s">
        <v>14398</v>
      </c>
      <c r="C14399" s="3">
        <v>5</v>
      </c>
    </row>
    <row r="14400" spans="1:3" x14ac:dyDescent="0.25">
      <c r="A14400" s="1" t="s">
        <v>14399</v>
      </c>
      <c r="C14400" s="3">
        <v>5</v>
      </c>
    </row>
    <row r="14401" spans="1:3" x14ac:dyDescent="0.25">
      <c r="A14401" s="1" t="s">
        <v>14400</v>
      </c>
      <c r="C14401" s="3">
        <v>5</v>
      </c>
    </row>
    <row r="14402" spans="1:3" x14ac:dyDescent="0.25">
      <c r="A14402" s="1" t="s">
        <v>14401</v>
      </c>
      <c r="C14402" s="3">
        <v>5</v>
      </c>
    </row>
    <row r="14403" spans="1:3" x14ac:dyDescent="0.25">
      <c r="A14403" s="1" t="s">
        <v>14402</v>
      </c>
      <c r="C14403" s="3">
        <v>5</v>
      </c>
    </row>
    <row r="14404" spans="1:3" x14ac:dyDescent="0.25">
      <c r="A14404" s="1" t="s">
        <v>14403</v>
      </c>
      <c r="C14404" s="3">
        <v>5</v>
      </c>
    </row>
    <row r="14405" spans="1:3" x14ac:dyDescent="0.25">
      <c r="A14405" s="1" t="s">
        <v>14404</v>
      </c>
      <c r="C14405" s="3">
        <v>5</v>
      </c>
    </row>
    <row r="14406" spans="1:3" x14ac:dyDescent="0.25">
      <c r="A14406" s="1" t="s">
        <v>14405</v>
      </c>
      <c r="C14406" s="3">
        <v>5</v>
      </c>
    </row>
    <row r="14407" spans="1:3" x14ac:dyDescent="0.25">
      <c r="A14407" s="1" t="s">
        <v>14406</v>
      </c>
      <c r="C14407" s="3">
        <v>5</v>
      </c>
    </row>
    <row r="14408" spans="1:3" x14ac:dyDescent="0.25">
      <c r="A14408" s="1" t="s">
        <v>14407</v>
      </c>
      <c r="C14408" s="3">
        <v>5</v>
      </c>
    </row>
    <row r="14409" spans="1:3" x14ac:dyDescent="0.25">
      <c r="A14409" s="1" t="s">
        <v>14408</v>
      </c>
      <c r="C14409" s="3">
        <v>5</v>
      </c>
    </row>
    <row r="14410" spans="1:3" x14ac:dyDescent="0.25">
      <c r="A14410" s="1" t="s">
        <v>14409</v>
      </c>
      <c r="C14410" s="3">
        <v>5</v>
      </c>
    </row>
    <row r="14411" spans="1:3" x14ac:dyDescent="0.25">
      <c r="A14411" s="1" t="s">
        <v>14410</v>
      </c>
      <c r="C14411" s="3">
        <v>5</v>
      </c>
    </row>
    <row r="14412" spans="1:3" x14ac:dyDescent="0.25">
      <c r="A14412" s="1" t="s">
        <v>14411</v>
      </c>
      <c r="C14412" s="3">
        <v>5</v>
      </c>
    </row>
    <row r="14413" spans="1:3" x14ac:dyDescent="0.25">
      <c r="A14413" s="1" t="s">
        <v>14412</v>
      </c>
      <c r="C14413" s="3">
        <v>5</v>
      </c>
    </row>
    <row r="14414" spans="1:3" x14ac:dyDescent="0.25">
      <c r="A14414" s="1" t="s">
        <v>14413</v>
      </c>
      <c r="C14414" s="3">
        <v>5</v>
      </c>
    </row>
    <row r="14415" spans="1:3" x14ac:dyDescent="0.25">
      <c r="A14415" s="1" t="s">
        <v>14414</v>
      </c>
      <c r="C14415" s="3">
        <v>5</v>
      </c>
    </row>
    <row r="14416" spans="1:3" x14ac:dyDescent="0.25">
      <c r="A14416" s="1" t="s">
        <v>14415</v>
      </c>
      <c r="C14416" s="3">
        <v>5</v>
      </c>
    </row>
    <row r="14417" spans="1:3" x14ac:dyDescent="0.25">
      <c r="A14417" s="1" t="s">
        <v>14416</v>
      </c>
      <c r="C14417" s="3">
        <v>5</v>
      </c>
    </row>
    <row r="14418" spans="1:3" x14ac:dyDescent="0.25">
      <c r="A14418" s="1" t="s">
        <v>14417</v>
      </c>
      <c r="C14418" s="3">
        <v>5</v>
      </c>
    </row>
    <row r="14419" spans="1:3" x14ac:dyDescent="0.25">
      <c r="A14419" s="1" t="s">
        <v>14418</v>
      </c>
      <c r="C14419" s="3">
        <v>5</v>
      </c>
    </row>
    <row r="14420" spans="1:3" x14ac:dyDescent="0.25">
      <c r="A14420" s="1" t="s">
        <v>14419</v>
      </c>
      <c r="C14420" s="3">
        <v>5</v>
      </c>
    </row>
    <row r="14421" spans="1:3" x14ac:dyDescent="0.25">
      <c r="A14421" s="1" t="s">
        <v>14420</v>
      </c>
      <c r="C14421" s="3">
        <v>5</v>
      </c>
    </row>
    <row r="14422" spans="1:3" x14ac:dyDescent="0.25">
      <c r="A14422" s="1" t="s">
        <v>14421</v>
      </c>
      <c r="C14422" s="3">
        <v>5</v>
      </c>
    </row>
    <row r="14423" spans="1:3" x14ac:dyDescent="0.25">
      <c r="A14423" s="1" t="s">
        <v>14422</v>
      </c>
      <c r="C14423" s="3">
        <v>5</v>
      </c>
    </row>
    <row r="14424" spans="1:3" x14ac:dyDescent="0.25">
      <c r="A14424" s="1" t="s">
        <v>14423</v>
      </c>
      <c r="C14424" s="3">
        <v>5</v>
      </c>
    </row>
    <row r="14425" spans="1:3" x14ac:dyDescent="0.25">
      <c r="A14425" s="1" t="s">
        <v>14424</v>
      </c>
      <c r="C14425" s="3">
        <v>5</v>
      </c>
    </row>
    <row r="14426" spans="1:3" x14ac:dyDescent="0.25">
      <c r="A14426" s="1" t="s">
        <v>14425</v>
      </c>
      <c r="C14426" s="3">
        <v>5</v>
      </c>
    </row>
    <row r="14427" spans="1:3" x14ac:dyDescent="0.25">
      <c r="A14427" s="1" t="s">
        <v>14426</v>
      </c>
      <c r="C14427" s="3">
        <v>5</v>
      </c>
    </row>
    <row r="14428" spans="1:3" x14ac:dyDescent="0.25">
      <c r="A14428" s="1" t="s">
        <v>14427</v>
      </c>
      <c r="C14428" s="3">
        <v>5</v>
      </c>
    </row>
    <row r="14429" spans="1:3" x14ac:dyDescent="0.25">
      <c r="A14429" s="1" t="s">
        <v>14428</v>
      </c>
      <c r="C14429" s="3">
        <v>5</v>
      </c>
    </row>
    <row r="14430" spans="1:3" x14ac:dyDescent="0.25">
      <c r="A14430" s="1" t="s">
        <v>14429</v>
      </c>
      <c r="C14430" s="3">
        <v>5</v>
      </c>
    </row>
    <row r="14431" spans="1:3" x14ac:dyDescent="0.25">
      <c r="A14431" s="1" t="s">
        <v>14430</v>
      </c>
      <c r="C14431" s="3">
        <v>5</v>
      </c>
    </row>
    <row r="14432" spans="1:3" x14ac:dyDescent="0.25">
      <c r="A14432" s="1" t="s">
        <v>14431</v>
      </c>
      <c r="C14432" s="3">
        <v>5</v>
      </c>
    </row>
    <row r="14433" spans="1:3" x14ac:dyDescent="0.25">
      <c r="A14433" s="1" t="s">
        <v>14432</v>
      </c>
      <c r="C14433" s="3">
        <v>5</v>
      </c>
    </row>
    <row r="14434" spans="1:3" x14ac:dyDescent="0.25">
      <c r="A14434" s="1" t="s">
        <v>14433</v>
      </c>
      <c r="C14434" s="3">
        <v>5</v>
      </c>
    </row>
    <row r="14435" spans="1:3" x14ac:dyDescent="0.25">
      <c r="A14435" s="1" t="s">
        <v>14434</v>
      </c>
      <c r="C14435" s="3">
        <v>5</v>
      </c>
    </row>
    <row r="14436" spans="1:3" x14ac:dyDescent="0.25">
      <c r="A14436" s="1" t="s">
        <v>14435</v>
      </c>
      <c r="C14436" s="3">
        <v>5</v>
      </c>
    </row>
    <row r="14437" spans="1:3" x14ac:dyDescent="0.25">
      <c r="A14437" s="1" t="s">
        <v>14436</v>
      </c>
      <c r="C14437" s="3">
        <v>5</v>
      </c>
    </row>
    <row r="14438" spans="1:3" x14ac:dyDescent="0.25">
      <c r="A14438" s="1" t="s">
        <v>14437</v>
      </c>
      <c r="C14438" s="3">
        <v>5</v>
      </c>
    </row>
    <row r="14439" spans="1:3" x14ac:dyDescent="0.25">
      <c r="A14439" s="1" t="s">
        <v>14438</v>
      </c>
      <c r="C14439" s="3">
        <v>5</v>
      </c>
    </row>
    <row r="14440" spans="1:3" x14ac:dyDescent="0.25">
      <c r="A14440" s="1" t="s">
        <v>14439</v>
      </c>
      <c r="C14440" s="3">
        <v>5</v>
      </c>
    </row>
    <row r="14441" spans="1:3" x14ac:dyDescent="0.25">
      <c r="A14441" s="1" t="s">
        <v>14440</v>
      </c>
      <c r="C14441" s="3">
        <v>5</v>
      </c>
    </row>
    <row r="14442" spans="1:3" x14ac:dyDescent="0.25">
      <c r="A14442" s="1" t="s">
        <v>14441</v>
      </c>
      <c r="C14442" s="3">
        <v>5</v>
      </c>
    </row>
    <row r="14443" spans="1:3" x14ac:dyDescent="0.25">
      <c r="A14443" s="1" t="s">
        <v>14442</v>
      </c>
      <c r="C14443" s="3">
        <v>5</v>
      </c>
    </row>
    <row r="14444" spans="1:3" x14ac:dyDescent="0.25">
      <c r="A14444" s="1" t="s">
        <v>14443</v>
      </c>
      <c r="C14444" s="3">
        <v>5</v>
      </c>
    </row>
    <row r="14445" spans="1:3" x14ac:dyDescent="0.25">
      <c r="A14445" s="1" t="s">
        <v>14444</v>
      </c>
      <c r="C14445" s="3">
        <v>5</v>
      </c>
    </row>
    <row r="14446" spans="1:3" x14ac:dyDescent="0.25">
      <c r="A14446" s="1" t="s">
        <v>14445</v>
      </c>
      <c r="C14446" s="3">
        <v>5</v>
      </c>
    </row>
    <row r="14447" spans="1:3" x14ac:dyDescent="0.25">
      <c r="A14447" s="1" t="s">
        <v>14446</v>
      </c>
      <c r="C14447" s="3">
        <v>5</v>
      </c>
    </row>
    <row r="14448" spans="1:3" x14ac:dyDescent="0.25">
      <c r="A14448" s="1" t="s">
        <v>14447</v>
      </c>
      <c r="C14448" s="3">
        <v>5</v>
      </c>
    </row>
    <row r="14449" spans="1:3" x14ac:dyDescent="0.25">
      <c r="A14449" s="1" t="s">
        <v>14448</v>
      </c>
      <c r="C14449" s="3">
        <v>5</v>
      </c>
    </row>
    <row r="14450" spans="1:3" x14ac:dyDescent="0.25">
      <c r="A14450" s="1" t="s">
        <v>14449</v>
      </c>
      <c r="C14450" s="3">
        <v>5</v>
      </c>
    </row>
    <row r="14451" spans="1:3" x14ac:dyDescent="0.25">
      <c r="A14451" s="1" t="s">
        <v>14450</v>
      </c>
      <c r="C14451" s="3">
        <v>5</v>
      </c>
    </row>
    <row r="14452" spans="1:3" x14ac:dyDescent="0.25">
      <c r="A14452" s="1" t="s">
        <v>14451</v>
      </c>
      <c r="C14452" s="3">
        <v>5</v>
      </c>
    </row>
    <row r="14453" spans="1:3" x14ac:dyDescent="0.25">
      <c r="A14453" s="1" t="s">
        <v>14452</v>
      </c>
      <c r="C14453" s="3">
        <v>5</v>
      </c>
    </row>
    <row r="14454" spans="1:3" x14ac:dyDescent="0.25">
      <c r="A14454" s="1" t="s">
        <v>14453</v>
      </c>
      <c r="C14454" s="3">
        <v>5</v>
      </c>
    </row>
    <row r="14455" spans="1:3" x14ac:dyDescent="0.25">
      <c r="A14455" s="1" t="s">
        <v>14454</v>
      </c>
      <c r="C14455" s="3">
        <v>5</v>
      </c>
    </row>
    <row r="14456" spans="1:3" x14ac:dyDescent="0.25">
      <c r="A14456" s="1" t="s">
        <v>14455</v>
      </c>
      <c r="C14456" s="3">
        <v>5</v>
      </c>
    </row>
    <row r="14457" spans="1:3" x14ac:dyDescent="0.25">
      <c r="A14457" s="1" t="s">
        <v>14456</v>
      </c>
      <c r="C14457" s="3">
        <v>5</v>
      </c>
    </row>
    <row r="14458" spans="1:3" x14ac:dyDescent="0.25">
      <c r="A14458" s="1" t="s">
        <v>14457</v>
      </c>
      <c r="C14458" s="3">
        <v>5</v>
      </c>
    </row>
    <row r="14459" spans="1:3" x14ac:dyDescent="0.25">
      <c r="A14459" s="1" t="s">
        <v>14458</v>
      </c>
      <c r="C14459" s="3">
        <v>5</v>
      </c>
    </row>
    <row r="14460" spans="1:3" x14ac:dyDescent="0.25">
      <c r="A14460" s="1" t="s">
        <v>14459</v>
      </c>
      <c r="C14460" s="3">
        <v>5</v>
      </c>
    </row>
    <row r="14461" spans="1:3" x14ac:dyDescent="0.25">
      <c r="A14461" s="1" t="s">
        <v>14460</v>
      </c>
      <c r="C14461" s="3">
        <v>5</v>
      </c>
    </row>
    <row r="14462" spans="1:3" x14ac:dyDescent="0.25">
      <c r="A14462" s="1" t="s">
        <v>14461</v>
      </c>
      <c r="C14462" s="3">
        <v>5</v>
      </c>
    </row>
    <row r="14463" spans="1:3" x14ac:dyDescent="0.25">
      <c r="A14463" s="1" t="s">
        <v>14462</v>
      </c>
      <c r="C14463" s="3">
        <v>5</v>
      </c>
    </row>
    <row r="14464" spans="1:3" x14ac:dyDescent="0.25">
      <c r="A14464" s="1" t="s">
        <v>14463</v>
      </c>
      <c r="C14464" s="3">
        <v>5</v>
      </c>
    </row>
    <row r="14465" spans="1:3" x14ac:dyDescent="0.25">
      <c r="A14465" s="1" t="s">
        <v>14464</v>
      </c>
      <c r="C14465" s="3">
        <v>5</v>
      </c>
    </row>
    <row r="14466" spans="1:3" x14ac:dyDescent="0.25">
      <c r="A14466" s="1" t="s">
        <v>14465</v>
      </c>
      <c r="C14466" s="3">
        <v>5</v>
      </c>
    </row>
    <row r="14467" spans="1:3" x14ac:dyDescent="0.25">
      <c r="A14467" s="1" t="s">
        <v>14466</v>
      </c>
      <c r="C14467" s="3">
        <v>5</v>
      </c>
    </row>
    <row r="14468" spans="1:3" x14ac:dyDescent="0.25">
      <c r="A14468" s="1" t="s">
        <v>14467</v>
      </c>
      <c r="C14468" s="3">
        <v>5</v>
      </c>
    </row>
    <row r="14469" spans="1:3" x14ac:dyDescent="0.25">
      <c r="A14469" s="1" t="s">
        <v>14468</v>
      </c>
      <c r="C14469" s="3">
        <v>5</v>
      </c>
    </row>
    <row r="14470" spans="1:3" x14ac:dyDescent="0.25">
      <c r="A14470" s="1" t="s">
        <v>14469</v>
      </c>
      <c r="C14470" s="3">
        <v>5</v>
      </c>
    </row>
    <row r="14471" spans="1:3" x14ac:dyDescent="0.25">
      <c r="A14471" s="1" t="s">
        <v>14470</v>
      </c>
      <c r="C14471" s="3">
        <v>5</v>
      </c>
    </row>
    <row r="14472" spans="1:3" x14ac:dyDescent="0.25">
      <c r="A14472" s="1" t="s">
        <v>14471</v>
      </c>
      <c r="C14472" s="3">
        <v>5</v>
      </c>
    </row>
    <row r="14473" spans="1:3" x14ac:dyDescent="0.25">
      <c r="A14473" s="1" t="s">
        <v>14472</v>
      </c>
      <c r="C14473" s="3">
        <v>5</v>
      </c>
    </row>
    <row r="14474" spans="1:3" x14ac:dyDescent="0.25">
      <c r="A14474" s="1" t="s">
        <v>14473</v>
      </c>
      <c r="C14474" s="3">
        <v>5</v>
      </c>
    </row>
    <row r="14475" spans="1:3" x14ac:dyDescent="0.25">
      <c r="A14475" s="1" t="s">
        <v>14474</v>
      </c>
      <c r="C14475" s="3">
        <v>5</v>
      </c>
    </row>
    <row r="14476" spans="1:3" x14ac:dyDescent="0.25">
      <c r="A14476" s="1" t="s">
        <v>14475</v>
      </c>
      <c r="C14476" s="3">
        <v>5</v>
      </c>
    </row>
    <row r="14477" spans="1:3" x14ac:dyDescent="0.25">
      <c r="A14477" s="1" t="s">
        <v>14476</v>
      </c>
      <c r="C14477" s="3">
        <v>5</v>
      </c>
    </row>
    <row r="14478" spans="1:3" x14ac:dyDescent="0.25">
      <c r="A14478" s="1" t="s">
        <v>14477</v>
      </c>
      <c r="C14478" s="3">
        <v>5</v>
      </c>
    </row>
    <row r="14479" spans="1:3" x14ac:dyDescent="0.25">
      <c r="A14479" s="1" t="s">
        <v>14478</v>
      </c>
      <c r="C14479" s="3">
        <v>5</v>
      </c>
    </row>
    <row r="14480" spans="1:3" x14ac:dyDescent="0.25">
      <c r="A14480" s="1" t="s">
        <v>14479</v>
      </c>
      <c r="C14480" s="3">
        <v>5</v>
      </c>
    </row>
    <row r="14481" spans="1:3" x14ac:dyDescent="0.25">
      <c r="A14481" s="1" t="s">
        <v>14480</v>
      </c>
      <c r="C14481" s="3">
        <v>5</v>
      </c>
    </row>
    <row r="14482" spans="1:3" x14ac:dyDescent="0.25">
      <c r="A14482" s="1" t="s">
        <v>14481</v>
      </c>
      <c r="C14482" s="3">
        <v>5</v>
      </c>
    </row>
    <row r="14483" spans="1:3" x14ac:dyDescent="0.25">
      <c r="A14483" s="1" t="s">
        <v>14482</v>
      </c>
      <c r="C14483" s="3">
        <v>5</v>
      </c>
    </row>
    <row r="14484" spans="1:3" x14ac:dyDescent="0.25">
      <c r="A14484" s="1" t="s">
        <v>14483</v>
      </c>
      <c r="C14484" s="3">
        <v>5</v>
      </c>
    </row>
    <row r="14485" spans="1:3" x14ac:dyDescent="0.25">
      <c r="A14485" s="1" t="s">
        <v>14484</v>
      </c>
      <c r="C14485" s="3">
        <v>5</v>
      </c>
    </row>
    <row r="14486" spans="1:3" x14ac:dyDescent="0.25">
      <c r="A14486" s="1" t="s">
        <v>14485</v>
      </c>
      <c r="C14486" s="3">
        <v>5</v>
      </c>
    </row>
    <row r="14487" spans="1:3" x14ac:dyDescent="0.25">
      <c r="A14487" s="1" t="s">
        <v>14486</v>
      </c>
      <c r="C14487" s="3">
        <v>5</v>
      </c>
    </row>
    <row r="14488" spans="1:3" x14ac:dyDescent="0.25">
      <c r="A14488" s="1" t="s">
        <v>14487</v>
      </c>
      <c r="C14488" s="3">
        <v>5</v>
      </c>
    </row>
    <row r="14489" spans="1:3" x14ac:dyDescent="0.25">
      <c r="A14489" s="1" t="s">
        <v>14488</v>
      </c>
      <c r="C14489" s="3">
        <v>5</v>
      </c>
    </row>
    <row r="14490" spans="1:3" x14ac:dyDescent="0.25">
      <c r="A14490" s="1" t="s">
        <v>14489</v>
      </c>
      <c r="C14490" s="3">
        <v>5</v>
      </c>
    </row>
    <row r="14491" spans="1:3" x14ac:dyDescent="0.25">
      <c r="A14491" s="1" t="s">
        <v>14490</v>
      </c>
      <c r="C14491" s="3">
        <v>5</v>
      </c>
    </row>
    <row r="14492" spans="1:3" x14ac:dyDescent="0.25">
      <c r="A14492" s="1" t="s">
        <v>14491</v>
      </c>
      <c r="C14492" s="3">
        <v>5</v>
      </c>
    </row>
    <row r="14493" spans="1:3" x14ac:dyDescent="0.25">
      <c r="A14493" s="1" t="s">
        <v>14492</v>
      </c>
      <c r="C14493" s="3">
        <v>5</v>
      </c>
    </row>
    <row r="14494" spans="1:3" x14ac:dyDescent="0.25">
      <c r="A14494" s="1" t="s">
        <v>14493</v>
      </c>
      <c r="C14494" s="3">
        <v>5</v>
      </c>
    </row>
    <row r="14495" spans="1:3" x14ac:dyDescent="0.25">
      <c r="A14495" s="1" t="s">
        <v>14494</v>
      </c>
      <c r="C14495" s="3">
        <v>5</v>
      </c>
    </row>
    <row r="14496" spans="1:3" x14ac:dyDescent="0.25">
      <c r="A14496" s="1" t="s">
        <v>14495</v>
      </c>
      <c r="C14496" s="3">
        <v>5</v>
      </c>
    </row>
    <row r="14497" spans="1:3" x14ac:dyDescent="0.25">
      <c r="A14497" s="1" t="s">
        <v>14496</v>
      </c>
      <c r="C14497" s="3">
        <v>5</v>
      </c>
    </row>
    <row r="14498" spans="1:3" x14ac:dyDescent="0.25">
      <c r="A14498" s="1" t="s">
        <v>14497</v>
      </c>
      <c r="C14498" s="3">
        <v>5</v>
      </c>
    </row>
    <row r="14499" spans="1:3" x14ac:dyDescent="0.25">
      <c r="A14499" s="1" t="s">
        <v>14498</v>
      </c>
      <c r="C14499" s="3">
        <v>5</v>
      </c>
    </row>
    <row r="14500" spans="1:3" x14ac:dyDescent="0.25">
      <c r="A14500" s="1" t="s">
        <v>14499</v>
      </c>
      <c r="C14500" s="3">
        <v>5</v>
      </c>
    </row>
    <row r="14501" spans="1:3" x14ac:dyDescent="0.25">
      <c r="A14501" s="1" t="s">
        <v>14500</v>
      </c>
      <c r="C14501" s="3">
        <v>5</v>
      </c>
    </row>
    <row r="14502" spans="1:3" x14ac:dyDescent="0.25">
      <c r="A14502" s="1" t="s">
        <v>14501</v>
      </c>
      <c r="C14502" s="3">
        <v>5</v>
      </c>
    </row>
    <row r="14503" spans="1:3" x14ac:dyDescent="0.25">
      <c r="A14503" s="1" t="s">
        <v>14502</v>
      </c>
      <c r="C14503" s="3">
        <v>5</v>
      </c>
    </row>
    <row r="14504" spans="1:3" x14ac:dyDescent="0.25">
      <c r="A14504" s="1" t="s">
        <v>14503</v>
      </c>
      <c r="C14504" s="3">
        <v>5</v>
      </c>
    </row>
    <row r="14505" spans="1:3" x14ac:dyDescent="0.25">
      <c r="A14505" s="1" t="s">
        <v>14504</v>
      </c>
      <c r="C14505" s="3">
        <v>5</v>
      </c>
    </row>
    <row r="14506" spans="1:3" x14ac:dyDescent="0.25">
      <c r="A14506" s="1" t="s">
        <v>14505</v>
      </c>
      <c r="C14506" s="3">
        <v>5</v>
      </c>
    </row>
    <row r="14507" spans="1:3" x14ac:dyDescent="0.25">
      <c r="A14507" s="1" t="s">
        <v>14506</v>
      </c>
      <c r="C14507" s="3">
        <v>5</v>
      </c>
    </row>
    <row r="14508" spans="1:3" x14ac:dyDescent="0.25">
      <c r="A14508" s="1" t="s">
        <v>14507</v>
      </c>
      <c r="C14508" s="3">
        <v>5</v>
      </c>
    </row>
    <row r="14509" spans="1:3" x14ac:dyDescent="0.25">
      <c r="A14509" s="1" t="s">
        <v>14508</v>
      </c>
      <c r="C14509" s="3">
        <v>5</v>
      </c>
    </row>
    <row r="14510" spans="1:3" x14ac:dyDescent="0.25">
      <c r="A14510" s="1" t="s">
        <v>14509</v>
      </c>
      <c r="C14510" s="3">
        <v>5</v>
      </c>
    </row>
    <row r="14511" spans="1:3" x14ac:dyDescent="0.25">
      <c r="A14511" s="1" t="s">
        <v>14510</v>
      </c>
      <c r="C14511" s="3">
        <v>5</v>
      </c>
    </row>
    <row r="14512" spans="1:3" x14ac:dyDescent="0.25">
      <c r="A14512" s="1" t="s">
        <v>14511</v>
      </c>
      <c r="C14512" s="3">
        <v>5</v>
      </c>
    </row>
    <row r="14513" spans="1:3" x14ac:dyDescent="0.25">
      <c r="A14513" s="1" t="s">
        <v>14512</v>
      </c>
      <c r="C14513" s="3">
        <v>5</v>
      </c>
    </row>
    <row r="14514" spans="1:3" x14ac:dyDescent="0.25">
      <c r="A14514" s="1" t="s">
        <v>14513</v>
      </c>
      <c r="C14514" s="3">
        <v>5</v>
      </c>
    </row>
    <row r="14515" spans="1:3" x14ac:dyDescent="0.25">
      <c r="A14515" s="1" t="s">
        <v>14514</v>
      </c>
      <c r="C14515" s="3">
        <v>5</v>
      </c>
    </row>
    <row r="14516" spans="1:3" x14ac:dyDescent="0.25">
      <c r="A14516" s="1" t="s">
        <v>14515</v>
      </c>
      <c r="C14516" s="3">
        <v>5</v>
      </c>
    </row>
    <row r="14517" spans="1:3" x14ac:dyDescent="0.25">
      <c r="A14517" s="1" t="s">
        <v>14516</v>
      </c>
      <c r="C14517" s="3">
        <v>5</v>
      </c>
    </row>
    <row r="14518" spans="1:3" x14ac:dyDescent="0.25">
      <c r="A14518" s="1" t="s">
        <v>14517</v>
      </c>
      <c r="C14518" s="3">
        <v>5</v>
      </c>
    </row>
    <row r="14519" spans="1:3" x14ac:dyDescent="0.25">
      <c r="A14519" s="1" t="s">
        <v>14518</v>
      </c>
      <c r="C14519" s="3">
        <v>5</v>
      </c>
    </row>
    <row r="14520" spans="1:3" x14ac:dyDescent="0.25">
      <c r="A14520" s="1" t="s">
        <v>14519</v>
      </c>
      <c r="C14520" s="3">
        <v>5</v>
      </c>
    </row>
    <row r="14521" spans="1:3" x14ac:dyDescent="0.25">
      <c r="A14521" s="1" t="s">
        <v>14520</v>
      </c>
      <c r="C14521" s="3">
        <v>5</v>
      </c>
    </row>
    <row r="14522" spans="1:3" x14ac:dyDescent="0.25">
      <c r="A14522" s="1" t="s">
        <v>14521</v>
      </c>
      <c r="C14522" s="3">
        <v>5</v>
      </c>
    </row>
    <row r="14523" spans="1:3" x14ac:dyDescent="0.25">
      <c r="A14523" s="1" t="s">
        <v>14522</v>
      </c>
      <c r="C14523" s="3">
        <v>5</v>
      </c>
    </row>
    <row r="14524" spans="1:3" x14ac:dyDescent="0.25">
      <c r="A14524" s="1" t="s">
        <v>14523</v>
      </c>
      <c r="C14524" s="3">
        <v>5</v>
      </c>
    </row>
    <row r="14525" spans="1:3" x14ac:dyDescent="0.25">
      <c r="A14525" s="1" t="s">
        <v>14524</v>
      </c>
      <c r="C14525" s="3">
        <v>5</v>
      </c>
    </row>
    <row r="14526" spans="1:3" x14ac:dyDescent="0.25">
      <c r="A14526" s="1" t="s">
        <v>14525</v>
      </c>
      <c r="C14526" s="3">
        <v>5</v>
      </c>
    </row>
    <row r="14527" spans="1:3" x14ac:dyDescent="0.25">
      <c r="A14527" s="1" t="s">
        <v>14526</v>
      </c>
      <c r="C14527" s="3">
        <v>5</v>
      </c>
    </row>
    <row r="14528" spans="1:3" x14ac:dyDescent="0.25">
      <c r="A14528" s="1" t="s">
        <v>14527</v>
      </c>
      <c r="C14528" s="3">
        <v>5</v>
      </c>
    </row>
    <row r="14529" spans="1:3" x14ac:dyDescent="0.25">
      <c r="A14529" s="1" t="s">
        <v>14528</v>
      </c>
      <c r="C14529" s="3">
        <v>5</v>
      </c>
    </row>
    <row r="14530" spans="1:3" x14ac:dyDescent="0.25">
      <c r="A14530" s="1" t="s">
        <v>14529</v>
      </c>
      <c r="C14530" s="3">
        <v>5</v>
      </c>
    </row>
    <row r="14531" spans="1:3" x14ac:dyDescent="0.25">
      <c r="A14531" s="1" t="s">
        <v>14530</v>
      </c>
      <c r="C14531" s="3">
        <v>5</v>
      </c>
    </row>
    <row r="14532" spans="1:3" x14ac:dyDescent="0.25">
      <c r="A14532" s="1" t="s">
        <v>14531</v>
      </c>
      <c r="C14532" s="3">
        <v>5</v>
      </c>
    </row>
    <row r="14533" spans="1:3" x14ac:dyDescent="0.25">
      <c r="A14533" s="1" t="s">
        <v>14532</v>
      </c>
      <c r="C14533" s="3">
        <v>5</v>
      </c>
    </row>
    <row r="14534" spans="1:3" x14ac:dyDescent="0.25">
      <c r="A14534" s="1" t="s">
        <v>14533</v>
      </c>
      <c r="C14534" s="3">
        <v>5</v>
      </c>
    </row>
    <row r="14535" spans="1:3" x14ac:dyDescent="0.25">
      <c r="A14535" s="1" t="s">
        <v>14534</v>
      </c>
      <c r="C14535" s="3">
        <v>5</v>
      </c>
    </row>
    <row r="14536" spans="1:3" x14ac:dyDescent="0.25">
      <c r="A14536" s="1" t="s">
        <v>14535</v>
      </c>
      <c r="C14536" s="3">
        <v>5</v>
      </c>
    </row>
    <row r="14537" spans="1:3" x14ac:dyDescent="0.25">
      <c r="A14537" s="1" t="s">
        <v>14536</v>
      </c>
      <c r="C14537" s="3">
        <v>5</v>
      </c>
    </row>
    <row r="14538" spans="1:3" x14ac:dyDescent="0.25">
      <c r="A14538" s="1" t="s">
        <v>14537</v>
      </c>
      <c r="C14538" s="3">
        <v>5</v>
      </c>
    </row>
    <row r="14539" spans="1:3" x14ac:dyDescent="0.25">
      <c r="A14539" s="1" t="s">
        <v>14538</v>
      </c>
      <c r="C14539" s="3">
        <v>5</v>
      </c>
    </row>
    <row r="14540" spans="1:3" x14ac:dyDescent="0.25">
      <c r="A14540" s="1" t="s">
        <v>14539</v>
      </c>
      <c r="C14540" s="3">
        <v>5</v>
      </c>
    </row>
    <row r="14541" spans="1:3" x14ac:dyDescent="0.25">
      <c r="A14541" s="1" t="s">
        <v>14540</v>
      </c>
      <c r="C14541" s="3">
        <v>5</v>
      </c>
    </row>
    <row r="14542" spans="1:3" x14ac:dyDescent="0.25">
      <c r="A14542" s="1" t="s">
        <v>14541</v>
      </c>
      <c r="C14542" s="3">
        <v>5</v>
      </c>
    </row>
    <row r="14543" spans="1:3" x14ac:dyDescent="0.25">
      <c r="A14543" s="1" t="s">
        <v>14542</v>
      </c>
      <c r="C14543" s="3">
        <v>5</v>
      </c>
    </row>
    <row r="14544" spans="1:3" x14ac:dyDescent="0.25">
      <c r="A14544" s="1" t="s">
        <v>14543</v>
      </c>
      <c r="C14544" s="3">
        <v>5</v>
      </c>
    </row>
    <row r="14545" spans="1:3" x14ac:dyDescent="0.25">
      <c r="A14545" s="1" t="s">
        <v>14544</v>
      </c>
      <c r="C14545" s="3">
        <v>5</v>
      </c>
    </row>
    <row r="14546" spans="1:3" x14ac:dyDescent="0.25">
      <c r="A14546" s="1" t="s">
        <v>14545</v>
      </c>
      <c r="C14546" s="3">
        <v>5</v>
      </c>
    </row>
    <row r="14547" spans="1:3" x14ac:dyDescent="0.25">
      <c r="A14547" s="1" t="s">
        <v>14546</v>
      </c>
      <c r="C14547" s="3">
        <v>5</v>
      </c>
    </row>
    <row r="14548" spans="1:3" x14ac:dyDescent="0.25">
      <c r="A14548" s="1" t="s">
        <v>14547</v>
      </c>
      <c r="C14548" s="3">
        <v>5</v>
      </c>
    </row>
    <row r="14549" spans="1:3" x14ac:dyDescent="0.25">
      <c r="A14549" s="1" t="s">
        <v>14548</v>
      </c>
      <c r="C14549" s="3">
        <v>5</v>
      </c>
    </row>
    <row r="14550" spans="1:3" x14ac:dyDescent="0.25">
      <c r="A14550" s="1" t="s">
        <v>14549</v>
      </c>
      <c r="C14550" s="3">
        <v>5</v>
      </c>
    </row>
    <row r="14551" spans="1:3" x14ac:dyDescent="0.25">
      <c r="A14551" s="1" t="s">
        <v>14550</v>
      </c>
      <c r="C14551" s="3">
        <v>5</v>
      </c>
    </row>
    <row r="14552" spans="1:3" x14ac:dyDescent="0.25">
      <c r="A14552" s="1" t="s">
        <v>14551</v>
      </c>
      <c r="C14552" s="3">
        <v>5</v>
      </c>
    </row>
    <row r="14553" spans="1:3" x14ac:dyDescent="0.25">
      <c r="A14553" s="1" t="s">
        <v>14552</v>
      </c>
      <c r="C14553" s="3">
        <v>5</v>
      </c>
    </row>
    <row r="14554" spans="1:3" x14ac:dyDescent="0.25">
      <c r="A14554" s="1" t="s">
        <v>14553</v>
      </c>
      <c r="C14554" s="3">
        <v>5</v>
      </c>
    </row>
    <row r="14555" spans="1:3" x14ac:dyDescent="0.25">
      <c r="A14555" s="1" t="s">
        <v>14554</v>
      </c>
      <c r="C14555" s="3">
        <v>5</v>
      </c>
    </row>
    <row r="14556" spans="1:3" x14ac:dyDescent="0.25">
      <c r="A14556" s="1" t="s">
        <v>14555</v>
      </c>
      <c r="C14556" s="3">
        <v>5</v>
      </c>
    </row>
    <row r="14557" spans="1:3" x14ac:dyDescent="0.25">
      <c r="A14557" s="1" t="s">
        <v>14556</v>
      </c>
      <c r="C14557" s="3">
        <v>5</v>
      </c>
    </row>
    <row r="14558" spans="1:3" x14ac:dyDescent="0.25">
      <c r="A14558" s="1" t="s">
        <v>14557</v>
      </c>
      <c r="C14558" s="3">
        <v>5</v>
      </c>
    </row>
    <row r="14559" spans="1:3" x14ac:dyDescent="0.25">
      <c r="A14559" s="1" t="s">
        <v>14558</v>
      </c>
      <c r="C14559" s="3">
        <v>5</v>
      </c>
    </row>
    <row r="14560" spans="1:3" x14ac:dyDescent="0.25">
      <c r="A14560" s="1" t="s">
        <v>14559</v>
      </c>
      <c r="C14560" s="3">
        <v>5</v>
      </c>
    </row>
    <row r="14561" spans="1:3" x14ac:dyDescent="0.25">
      <c r="A14561" s="1" t="s">
        <v>14560</v>
      </c>
      <c r="C14561" s="3">
        <v>5</v>
      </c>
    </row>
    <row r="14562" spans="1:3" x14ac:dyDescent="0.25">
      <c r="A14562" s="1" t="s">
        <v>14561</v>
      </c>
      <c r="C14562" s="3">
        <v>5</v>
      </c>
    </row>
    <row r="14563" spans="1:3" x14ac:dyDescent="0.25">
      <c r="A14563" s="1" t="s">
        <v>14562</v>
      </c>
      <c r="C14563" s="3">
        <v>5</v>
      </c>
    </row>
    <row r="14564" spans="1:3" x14ac:dyDescent="0.25">
      <c r="A14564" s="1" t="s">
        <v>14563</v>
      </c>
      <c r="C14564" s="3">
        <v>5</v>
      </c>
    </row>
    <row r="14565" spans="1:3" x14ac:dyDescent="0.25">
      <c r="A14565" s="1" t="s">
        <v>14564</v>
      </c>
      <c r="C14565" s="3">
        <v>5</v>
      </c>
    </row>
    <row r="14566" spans="1:3" x14ac:dyDescent="0.25">
      <c r="A14566" s="1" t="s">
        <v>14565</v>
      </c>
      <c r="C14566" s="3">
        <v>5</v>
      </c>
    </row>
    <row r="14567" spans="1:3" x14ac:dyDescent="0.25">
      <c r="A14567" s="1" t="s">
        <v>14566</v>
      </c>
      <c r="C14567" s="3">
        <v>5</v>
      </c>
    </row>
    <row r="14568" spans="1:3" x14ac:dyDescent="0.25">
      <c r="A14568" s="1" t="s">
        <v>14567</v>
      </c>
      <c r="C14568" s="3">
        <v>5</v>
      </c>
    </row>
    <row r="14569" spans="1:3" x14ac:dyDescent="0.25">
      <c r="A14569" s="1" t="s">
        <v>14568</v>
      </c>
      <c r="C14569" s="3">
        <v>5</v>
      </c>
    </row>
    <row r="14570" spans="1:3" x14ac:dyDescent="0.25">
      <c r="A14570" s="1" t="s">
        <v>14569</v>
      </c>
      <c r="C14570" s="3">
        <v>5</v>
      </c>
    </row>
    <row r="14571" spans="1:3" x14ac:dyDescent="0.25">
      <c r="A14571" s="1" t="s">
        <v>14570</v>
      </c>
      <c r="C14571" s="3">
        <v>5</v>
      </c>
    </row>
    <row r="14572" spans="1:3" x14ac:dyDescent="0.25">
      <c r="A14572" s="1" t="s">
        <v>14571</v>
      </c>
      <c r="C14572" s="3">
        <v>5</v>
      </c>
    </row>
    <row r="14573" spans="1:3" x14ac:dyDescent="0.25">
      <c r="A14573" s="1" t="s">
        <v>14572</v>
      </c>
      <c r="C14573" s="3">
        <v>5</v>
      </c>
    </row>
    <row r="14574" spans="1:3" x14ac:dyDescent="0.25">
      <c r="A14574" s="1" t="s">
        <v>14573</v>
      </c>
      <c r="C14574" s="3">
        <v>5</v>
      </c>
    </row>
    <row r="14575" spans="1:3" x14ac:dyDescent="0.25">
      <c r="A14575" s="1" t="s">
        <v>14574</v>
      </c>
      <c r="C14575" s="3">
        <v>5</v>
      </c>
    </row>
    <row r="14576" spans="1:3" x14ac:dyDescent="0.25">
      <c r="A14576" s="1" t="s">
        <v>14575</v>
      </c>
      <c r="C14576" s="3">
        <v>5</v>
      </c>
    </row>
    <row r="14577" spans="1:3" x14ac:dyDescent="0.25">
      <c r="A14577" s="1" t="s">
        <v>14576</v>
      </c>
      <c r="C14577" s="3">
        <v>5</v>
      </c>
    </row>
    <row r="14578" spans="1:3" x14ac:dyDescent="0.25">
      <c r="A14578" s="1" t="s">
        <v>14577</v>
      </c>
      <c r="C14578" s="3">
        <v>5</v>
      </c>
    </row>
    <row r="14579" spans="1:3" x14ac:dyDescent="0.25">
      <c r="A14579" s="1" t="s">
        <v>14578</v>
      </c>
      <c r="C14579" s="3">
        <v>5</v>
      </c>
    </row>
    <row r="14580" spans="1:3" x14ac:dyDescent="0.25">
      <c r="A14580" s="1" t="s">
        <v>14579</v>
      </c>
      <c r="C14580" s="3">
        <v>5</v>
      </c>
    </row>
    <row r="14581" spans="1:3" x14ac:dyDescent="0.25">
      <c r="A14581" s="1" t="s">
        <v>14580</v>
      </c>
      <c r="C14581" s="3">
        <v>5</v>
      </c>
    </row>
    <row r="14582" spans="1:3" x14ac:dyDescent="0.25">
      <c r="A14582" s="1" t="s">
        <v>14581</v>
      </c>
      <c r="C14582" s="3">
        <v>5</v>
      </c>
    </row>
    <row r="14583" spans="1:3" x14ac:dyDescent="0.25">
      <c r="A14583" s="1" t="s">
        <v>14582</v>
      </c>
      <c r="C14583" s="3">
        <v>5</v>
      </c>
    </row>
    <row r="14584" spans="1:3" x14ac:dyDescent="0.25">
      <c r="A14584" s="1" t="s">
        <v>14583</v>
      </c>
      <c r="C14584" s="3">
        <v>5</v>
      </c>
    </row>
    <row r="14585" spans="1:3" x14ac:dyDescent="0.25">
      <c r="A14585" s="1" t="s">
        <v>14584</v>
      </c>
      <c r="C14585" s="3">
        <v>5</v>
      </c>
    </row>
    <row r="14586" spans="1:3" x14ac:dyDescent="0.25">
      <c r="A14586" s="1" t="s">
        <v>14585</v>
      </c>
      <c r="C14586" s="3">
        <v>5</v>
      </c>
    </row>
    <row r="14587" spans="1:3" x14ac:dyDescent="0.25">
      <c r="A14587" s="1" t="s">
        <v>14586</v>
      </c>
      <c r="C14587" s="3">
        <v>5</v>
      </c>
    </row>
    <row r="14588" spans="1:3" x14ac:dyDescent="0.25">
      <c r="A14588" s="1" t="s">
        <v>14587</v>
      </c>
      <c r="C14588" s="3">
        <v>5</v>
      </c>
    </row>
    <row r="14589" spans="1:3" x14ac:dyDescent="0.25">
      <c r="A14589" s="1" t="s">
        <v>14588</v>
      </c>
      <c r="C14589" s="3">
        <v>5</v>
      </c>
    </row>
    <row r="14590" spans="1:3" x14ac:dyDescent="0.25">
      <c r="A14590" s="1" t="s">
        <v>14589</v>
      </c>
      <c r="C14590" s="3">
        <v>5</v>
      </c>
    </row>
    <row r="14591" spans="1:3" x14ac:dyDescent="0.25">
      <c r="A14591" s="1" t="s">
        <v>14590</v>
      </c>
      <c r="C14591" s="3">
        <v>5</v>
      </c>
    </row>
    <row r="14592" spans="1:3" x14ac:dyDescent="0.25">
      <c r="A14592" s="1" t="s">
        <v>14591</v>
      </c>
      <c r="C14592" s="3">
        <v>5</v>
      </c>
    </row>
    <row r="14593" spans="1:3" x14ac:dyDescent="0.25">
      <c r="A14593" s="1" t="s">
        <v>14592</v>
      </c>
      <c r="C14593" s="3">
        <v>5</v>
      </c>
    </row>
    <row r="14594" spans="1:3" x14ac:dyDescent="0.25">
      <c r="A14594" s="1" t="s">
        <v>14593</v>
      </c>
      <c r="C14594" s="3">
        <v>5</v>
      </c>
    </row>
    <row r="14595" spans="1:3" x14ac:dyDescent="0.25">
      <c r="A14595" s="1" t="s">
        <v>14594</v>
      </c>
      <c r="C14595" s="3">
        <v>5</v>
      </c>
    </row>
    <row r="14596" spans="1:3" x14ac:dyDescent="0.25">
      <c r="A14596" s="1" t="s">
        <v>14595</v>
      </c>
      <c r="C14596" s="3">
        <v>5</v>
      </c>
    </row>
    <row r="14597" spans="1:3" x14ac:dyDescent="0.25">
      <c r="A14597" s="1" t="s">
        <v>14596</v>
      </c>
      <c r="C14597" s="3">
        <v>5</v>
      </c>
    </row>
    <row r="14598" spans="1:3" x14ac:dyDescent="0.25">
      <c r="A14598" s="1" t="s">
        <v>14597</v>
      </c>
      <c r="C14598" s="3">
        <v>5</v>
      </c>
    </row>
    <row r="14599" spans="1:3" x14ac:dyDescent="0.25">
      <c r="A14599" s="1" t="s">
        <v>14598</v>
      </c>
      <c r="C14599" s="3">
        <v>5</v>
      </c>
    </row>
    <row r="14600" spans="1:3" x14ac:dyDescent="0.25">
      <c r="A14600" s="1" t="s">
        <v>14599</v>
      </c>
      <c r="C14600" s="3">
        <v>5</v>
      </c>
    </row>
    <row r="14601" spans="1:3" x14ac:dyDescent="0.25">
      <c r="A14601" s="1" t="s">
        <v>14600</v>
      </c>
      <c r="C14601" s="3">
        <v>5</v>
      </c>
    </row>
    <row r="14602" spans="1:3" x14ac:dyDescent="0.25">
      <c r="A14602" s="1" t="s">
        <v>14601</v>
      </c>
      <c r="C14602" s="3">
        <v>5</v>
      </c>
    </row>
    <row r="14603" spans="1:3" x14ac:dyDescent="0.25">
      <c r="A14603" s="1" t="s">
        <v>14602</v>
      </c>
      <c r="C14603" s="3">
        <v>5</v>
      </c>
    </row>
    <row r="14604" spans="1:3" x14ac:dyDescent="0.25">
      <c r="A14604" s="1" t="s">
        <v>14603</v>
      </c>
      <c r="C14604" s="3">
        <v>5</v>
      </c>
    </row>
    <row r="14605" spans="1:3" x14ac:dyDescent="0.25">
      <c r="A14605" s="1" t="s">
        <v>14604</v>
      </c>
      <c r="C14605" s="3">
        <v>5</v>
      </c>
    </row>
    <row r="14606" spans="1:3" x14ac:dyDescent="0.25">
      <c r="A14606" s="1" t="s">
        <v>14605</v>
      </c>
      <c r="C14606" s="3">
        <v>5</v>
      </c>
    </row>
    <row r="14607" spans="1:3" x14ac:dyDescent="0.25">
      <c r="A14607" s="1" t="s">
        <v>14606</v>
      </c>
      <c r="C14607" s="3">
        <v>5</v>
      </c>
    </row>
    <row r="14608" spans="1:3" x14ac:dyDescent="0.25">
      <c r="A14608" s="1" t="s">
        <v>14607</v>
      </c>
      <c r="C14608" s="3">
        <v>5</v>
      </c>
    </row>
    <row r="14609" spans="1:3" x14ac:dyDescent="0.25">
      <c r="A14609" s="1" t="s">
        <v>14608</v>
      </c>
      <c r="C14609" s="3">
        <v>5</v>
      </c>
    </row>
    <row r="14610" spans="1:3" x14ac:dyDescent="0.25">
      <c r="A14610" s="1" t="s">
        <v>14609</v>
      </c>
      <c r="C14610" s="3">
        <v>5</v>
      </c>
    </row>
    <row r="14611" spans="1:3" x14ac:dyDescent="0.25">
      <c r="A14611" s="1" t="s">
        <v>14610</v>
      </c>
      <c r="C14611" s="3">
        <v>5</v>
      </c>
    </row>
    <row r="14612" spans="1:3" x14ac:dyDescent="0.25">
      <c r="A14612" s="1" t="s">
        <v>14611</v>
      </c>
      <c r="C14612" s="3">
        <v>5</v>
      </c>
    </row>
    <row r="14613" spans="1:3" x14ac:dyDescent="0.25">
      <c r="A14613" s="1" t="s">
        <v>14612</v>
      </c>
      <c r="C14613" s="3">
        <v>5</v>
      </c>
    </row>
    <row r="14614" spans="1:3" x14ac:dyDescent="0.25">
      <c r="A14614" s="1" t="s">
        <v>14613</v>
      </c>
      <c r="C14614" s="3">
        <v>5</v>
      </c>
    </row>
    <row r="14615" spans="1:3" x14ac:dyDescent="0.25">
      <c r="A14615" s="1" t="s">
        <v>14614</v>
      </c>
      <c r="C14615" s="3">
        <v>5</v>
      </c>
    </row>
    <row r="14616" spans="1:3" x14ac:dyDescent="0.25">
      <c r="A14616" s="1" t="s">
        <v>14615</v>
      </c>
      <c r="C14616" s="3">
        <v>5</v>
      </c>
    </row>
    <row r="14617" spans="1:3" x14ac:dyDescent="0.25">
      <c r="A14617" s="1" t="s">
        <v>14616</v>
      </c>
      <c r="C14617" s="3">
        <v>5</v>
      </c>
    </row>
    <row r="14618" spans="1:3" x14ac:dyDescent="0.25">
      <c r="A14618" s="1" t="s">
        <v>14617</v>
      </c>
      <c r="C14618" s="3">
        <v>5</v>
      </c>
    </row>
    <row r="14619" spans="1:3" x14ac:dyDescent="0.25">
      <c r="A14619" s="1" t="s">
        <v>14618</v>
      </c>
      <c r="C14619" s="3">
        <v>5</v>
      </c>
    </row>
    <row r="14620" spans="1:3" x14ac:dyDescent="0.25">
      <c r="A14620" s="1" t="s">
        <v>14619</v>
      </c>
      <c r="C14620" s="3">
        <v>5</v>
      </c>
    </row>
    <row r="14621" spans="1:3" x14ac:dyDescent="0.25">
      <c r="A14621" s="1" t="s">
        <v>14620</v>
      </c>
      <c r="C14621" s="3">
        <v>5</v>
      </c>
    </row>
    <row r="14622" spans="1:3" x14ac:dyDescent="0.25">
      <c r="A14622" s="1" t="s">
        <v>14621</v>
      </c>
      <c r="C14622" s="3">
        <v>5</v>
      </c>
    </row>
    <row r="14623" spans="1:3" x14ac:dyDescent="0.25">
      <c r="A14623" s="1" t="s">
        <v>14622</v>
      </c>
      <c r="C14623" s="3">
        <v>5</v>
      </c>
    </row>
    <row r="14624" spans="1:3" x14ac:dyDescent="0.25">
      <c r="A14624" s="1" t="s">
        <v>14623</v>
      </c>
      <c r="C14624" s="3">
        <v>5</v>
      </c>
    </row>
    <row r="14625" spans="1:3" x14ac:dyDescent="0.25">
      <c r="A14625" s="1" t="s">
        <v>14624</v>
      </c>
      <c r="C14625" s="3">
        <v>5</v>
      </c>
    </row>
    <row r="14626" spans="1:3" x14ac:dyDescent="0.25">
      <c r="A14626" s="1" t="s">
        <v>14625</v>
      </c>
      <c r="C14626" s="3">
        <v>5</v>
      </c>
    </row>
    <row r="14627" spans="1:3" x14ac:dyDescent="0.25">
      <c r="A14627" s="1" t="s">
        <v>14626</v>
      </c>
      <c r="C14627" s="3">
        <v>5</v>
      </c>
    </row>
    <row r="14628" spans="1:3" x14ac:dyDescent="0.25">
      <c r="A14628" s="1" t="s">
        <v>14627</v>
      </c>
      <c r="C14628" s="3">
        <v>5</v>
      </c>
    </row>
    <row r="14629" spans="1:3" x14ac:dyDescent="0.25">
      <c r="A14629" s="1" t="s">
        <v>14628</v>
      </c>
      <c r="C14629" s="3">
        <v>5</v>
      </c>
    </row>
    <row r="14630" spans="1:3" x14ac:dyDescent="0.25">
      <c r="A14630" s="1" t="s">
        <v>14629</v>
      </c>
      <c r="C14630" s="3">
        <v>5</v>
      </c>
    </row>
    <row r="14631" spans="1:3" x14ac:dyDescent="0.25">
      <c r="A14631" s="1" t="s">
        <v>14630</v>
      </c>
      <c r="C14631" s="3">
        <v>5</v>
      </c>
    </row>
    <row r="14632" spans="1:3" x14ac:dyDescent="0.25">
      <c r="A14632" s="1" t="s">
        <v>14631</v>
      </c>
      <c r="C14632" s="3">
        <v>5</v>
      </c>
    </row>
    <row r="14633" spans="1:3" x14ac:dyDescent="0.25">
      <c r="A14633" s="1" t="s">
        <v>14632</v>
      </c>
      <c r="C14633" s="3">
        <v>5</v>
      </c>
    </row>
    <row r="14634" spans="1:3" x14ac:dyDescent="0.25">
      <c r="A14634" s="1" t="s">
        <v>14633</v>
      </c>
      <c r="C14634" s="3">
        <v>5</v>
      </c>
    </row>
    <row r="14635" spans="1:3" x14ac:dyDescent="0.25">
      <c r="A14635" s="1" t="s">
        <v>14634</v>
      </c>
      <c r="C14635" s="3">
        <v>5</v>
      </c>
    </row>
    <row r="14636" spans="1:3" x14ac:dyDescent="0.25">
      <c r="A14636" s="1" t="s">
        <v>14635</v>
      </c>
      <c r="C14636" s="3">
        <v>5</v>
      </c>
    </row>
    <row r="14637" spans="1:3" x14ac:dyDescent="0.25">
      <c r="A14637" s="1" t="s">
        <v>14636</v>
      </c>
      <c r="C14637" s="3">
        <v>5</v>
      </c>
    </row>
    <row r="14638" spans="1:3" x14ac:dyDescent="0.25">
      <c r="A14638" s="1" t="s">
        <v>14637</v>
      </c>
      <c r="C14638" s="3">
        <v>5</v>
      </c>
    </row>
    <row r="14639" spans="1:3" x14ac:dyDescent="0.25">
      <c r="A14639" s="1" t="s">
        <v>14638</v>
      </c>
      <c r="C14639" s="3">
        <v>5</v>
      </c>
    </row>
    <row r="14640" spans="1:3" x14ac:dyDescent="0.25">
      <c r="A14640" s="1" t="s">
        <v>14639</v>
      </c>
      <c r="C14640" s="3">
        <v>5</v>
      </c>
    </row>
    <row r="14641" spans="1:3" x14ac:dyDescent="0.25">
      <c r="A14641" s="1" t="s">
        <v>14640</v>
      </c>
      <c r="C14641" s="3">
        <v>5</v>
      </c>
    </row>
    <row r="14642" spans="1:3" x14ac:dyDescent="0.25">
      <c r="A14642" s="1" t="s">
        <v>14641</v>
      </c>
      <c r="C14642" s="3">
        <v>5</v>
      </c>
    </row>
    <row r="14643" spans="1:3" x14ac:dyDescent="0.25">
      <c r="A14643" s="1" t="s">
        <v>14642</v>
      </c>
      <c r="C14643" s="3">
        <v>5</v>
      </c>
    </row>
    <row r="14644" spans="1:3" x14ac:dyDescent="0.25">
      <c r="A14644" s="1" t="s">
        <v>14643</v>
      </c>
      <c r="C14644" s="3">
        <v>5</v>
      </c>
    </row>
    <row r="14645" spans="1:3" x14ac:dyDescent="0.25">
      <c r="A14645" s="1" t="s">
        <v>14644</v>
      </c>
      <c r="C14645" s="3">
        <v>5</v>
      </c>
    </row>
    <row r="14646" spans="1:3" x14ac:dyDescent="0.25">
      <c r="A14646" s="1" t="s">
        <v>14645</v>
      </c>
      <c r="C14646" s="3">
        <v>5</v>
      </c>
    </row>
    <row r="14647" spans="1:3" x14ac:dyDescent="0.25">
      <c r="A14647" s="1" t="s">
        <v>14646</v>
      </c>
      <c r="C14647" s="3">
        <v>5</v>
      </c>
    </row>
    <row r="14648" spans="1:3" x14ac:dyDescent="0.25">
      <c r="A14648" s="1" t="s">
        <v>14647</v>
      </c>
      <c r="C14648" s="3">
        <v>5</v>
      </c>
    </row>
    <row r="14649" spans="1:3" x14ac:dyDescent="0.25">
      <c r="A14649" s="1" t="s">
        <v>14648</v>
      </c>
      <c r="C14649" s="3">
        <v>5</v>
      </c>
    </row>
    <row r="14650" spans="1:3" x14ac:dyDescent="0.25">
      <c r="A14650" s="1" t="s">
        <v>14649</v>
      </c>
      <c r="C14650" s="3">
        <v>5</v>
      </c>
    </row>
    <row r="14651" spans="1:3" x14ac:dyDescent="0.25">
      <c r="A14651" s="1" t="s">
        <v>14650</v>
      </c>
      <c r="C14651" s="3">
        <v>5</v>
      </c>
    </row>
    <row r="14652" spans="1:3" x14ac:dyDescent="0.25">
      <c r="A14652" s="1" t="s">
        <v>14651</v>
      </c>
      <c r="C14652" s="3">
        <v>5</v>
      </c>
    </row>
    <row r="14653" spans="1:3" x14ac:dyDescent="0.25">
      <c r="A14653" s="1" t="s">
        <v>14652</v>
      </c>
      <c r="C14653" s="3">
        <v>5</v>
      </c>
    </row>
    <row r="14654" spans="1:3" x14ac:dyDescent="0.25">
      <c r="A14654" s="1" t="s">
        <v>14653</v>
      </c>
      <c r="C14654" s="3">
        <v>5</v>
      </c>
    </row>
    <row r="14655" spans="1:3" x14ac:dyDescent="0.25">
      <c r="A14655" s="1" t="s">
        <v>14654</v>
      </c>
      <c r="C14655" s="3">
        <v>5</v>
      </c>
    </row>
    <row r="14656" spans="1:3" x14ac:dyDescent="0.25">
      <c r="A14656" s="1" t="s">
        <v>14655</v>
      </c>
      <c r="C14656" s="3">
        <v>5</v>
      </c>
    </row>
    <row r="14657" spans="1:3" x14ac:dyDescent="0.25">
      <c r="A14657" s="1" t="s">
        <v>14656</v>
      </c>
      <c r="C14657" s="3">
        <v>5</v>
      </c>
    </row>
    <row r="14658" spans="1:3" x14ac:dyDescent="0.25">
      <c r="A14658" s="1" t="s">
        <v>14657</v>
      </c>
      <c r="C14658" s="3">
        <v>5</v>
      </c>
    </row>
    <row r="14659" spans="1:3" x14ac:dyDescent="0.25">
      <c r="A14659" s="1" t="s">
        <v>14658</v>
      </c>
      <c r="C14659" s="3">
        <v>5</v>
      </c>
    </row>
    <row r="14660" spans="1:3" x14ac:dyDescent="0.25">
      <c r="A14660" s="1" t="s">
        <v>14659</v>
      </c>
      <c r="C14660" s="3">
        <v>5</v>
      </c>
    </row>
    <row r="14661" spans="1:3" x14ac:dyDescent="0.25">
      <c r="A14661" s="1" t="s">
        <v>14660</v>
      </c>
      <c r="C14661" s="3">
        <v>5</v>
      </c>
    </row>
    <row r="14662" spans="1:3" x14ac:dyDescent="0.25">
      <c r="A14662" s="1" t="s">
        <v>14661</v>
      </c>
      <c r="C14662" s="3">
        <v>5</v>
      </c>
    </row>
    <row r="14663" spans="1:3" x14ac:dyDescent="0.25">
      <c r="A14663" s="1" t="s">
        <v>14662</v>
      </c>
      <c r="C14663" s="3">
        <v>5</v>
      </c>
    </row>
    <row r="14664" spans="1:3" x14ac:dyDescent="0.25">
      <c r="A14664" s="1" t="s">
        <v>14663</v>
      </c>
      <c r="C14664" s="3">
        <v>5</v>
      </c>
    </row>
    <row r="14665" spans="1:3" x14ac:dyDescent="0.25">
      <c r="A14665" s="1" t="s">
        <v>14664</v>
      </c>
      <c r="C14665" s="3">
        <v>5</v>
      </c>
    </row>
    <row r="14666" spans="1:3" x14ac:dyDescent="0.25">
      <c r="A14666" s="1" t="s">
        <v>14665</v>
      </c>
      <c r="C14666" s="3">
        <v>5</v>
      </c>
    </row>
    <row r="14667" spans="1:3" x14ac:dyDescent="0.25">
      <c r="A14667" s="1" t="s">
        <v>14666</v>
      </c>
      <c r="C14667" s="3">
        <v>5</v>
      </c>
    </row>
    <row r="14668" spans="1:3" x14ac:dyDescent="0.25">
      <c r="A14668" s="1" t="s">
        <v>14667</v>
      </c>
      <c r="C14668" s="3">
        <v>5</v>
      </c>
    </row>
    <row r="14669" spans="1:3" x14ac:dyDescent="0.25">
      <c r="A14669" s="1" t="s">
        <v>14668</v>
      </c>
      <c r="C14669" s="3">
        <v>5</v>
      </c>
    </row>
    <row r="14670" spans="1:3" x14ac:dyDescent="0.25">
      <c r="A14670" s="1" t="s">
        <v>14669</v>
      </c>
      <c r="C14670" s="3">
        <v>5</v>
      </c>
    </row>
    <row r="14671" spans="1:3" x14ac:dyDescent="0.25">
      <c r="A14671" s="1" t="s">
        <v>14670</v>
      </c>
      <c r="C14671" s="3">
        <v>5</v>
      </c>
    </row>
    <row r="14672" spans="1:3" x14ac:dyDescent="0.25">
      <c r="A14672" s="1" t="s">
        <v>14671</v>
      </c>
      <c r="C14672" s="3">
        <v>5</v>
      </c>
    </row>
    <row r="14673" spans="1:3" x14ac:dyDescent="0.25">
      <c r="A14673" s="1" t="s">
        <v>14672</v>
      </c>
      <c r="C14673" s="3">
        <v>5</v>
      </c>
    </row>
    <row r="14674" spans="1:3" x14ac:dyDescent="0.25">
      <c r="A14674" s="1" t="s">
        <v>14673</v>
      </c>
      <c r="C14674" s="3">
        <v>5</v>
      </c>
    </row>
    <row r="14675" spans="1:3" x14ac:dyDescent="0.25">
      <c r="A14675" s="1" t="s">
        <v>14674</v>
      </c>
      <c r="C14675" s="3">
        <v>5</v>
      </c>
    </row>
    <row r="14676" spans="1:3" x14ac:dyDescent="0.25">
      <c r="A14676" s="1" t="s">
        <v>14675</v>
      </c>
      <c r="C14676" s="3">
        <v>5</v>
      </c>
    </row>
    <row r="14677" spans="1:3" x14ac:dyDescent="0.25">
      <c r="A14677" s="1" t="s">
        <v>14676</v>
      </c>
      <c r="C14677" s="3">
        <v>5</v>
      </c>
    </row>
    <row r="14678" spans="1:3" x14ac:dyDescent="0.25">
      <c r="A14678" s="1" t="s">
        <v>14677</v>
      </c>
      <c r="C14678" s="3">
        <v>5</v>
      </c>
    </row>
    <row r="14679" spans="1:3" x14ac:dyDescent="0.25">
      <c r="A14679" s="1" t="s">
        <v>14678</v>
      </c>
      <c r="C14679" s="3">
        <v>5</v>
      </c>
    </row>
    <row r="14680" spans="1:3" x14ac:dyDescent="0.25">
      <c r="A14680" s="1" t="s">
        <v>14679</v>
      </c>
      <c r="C14680" s="3">
        <v>5</v>
      </c>
    </row>
    <row r="14681" spans="1:3" x14ac:dyDescent="0.25">
      <c r="A14681" s="1" t="s">
        <v>14680</v>
      </c>
      <c r="C14681" s="3">
        <v>5</v>
      </c>
    </row>
    <row r="14682" spans="1:3" x14ac:dyDescent="0.25">
      <c r="A14682" s="1" t="s">
        <v>14681</v>
      </c>
      <c r="C14682" s="3">
        <v>5</v>
      </c>
    </row>
    <row r="14683" spans="1:3" x14ac:dyDescent="0.25">
      <c r="A14683" s="1" t="s">
        <v>14682</v>
      </c>
      <c r="C14683" s="3">
        <v>5</v>
      </c>
    </row>
    <row r="14684" spans="1:3" x14ac:dyDescent="0.25">
      <c r="A14684" s="1" t="s">
        <v>14683</v>
      </c>
      <c r="C14684" s="3">
        <v>5</v>
      </c>
    </row>
    <row r="14685" spans="1:3" x14ac:dyDescent="0.25">
      <c r="A14685" s="1" t="s">
        <v>14684</v>
      </c>
      <c r="C14685" s="3">
        <v>5</v>
      </c>
    </row>
    <row r="14686" spans="1:3" x14ac:dyDescent="0.25">
      <c r="A14686" s="1" t="s">
        <v>14685</v>
      </c>
      <c r="C14686" s="3">
        <v>5</v>
      </c>
    </row>
    <row r="14687" spans="1:3" x14ac:dyDescent="0.25">
      <c r="A14687" s="1" t="s">
        <v>14686</v>
      </c>
      <c r="C14687" s="3">
        <v>5</v>
      </c>
    </row>
    <row r="14688" spans="1:3" x14ac:dyDescent="0.25">
      <c r="A14688" s="1" t="s">
        <v>14687</v>
      </c>
      <c r="C14688" s="3">
        <v>5</v>
      </c>
    </row>
    <row r="14689" spans="1:3" x14ac:dyDescent="0.25">
      <c r="A14689" s="1" t="s">
        <v>14688</v>
      </c>
      <c r="C14689" s="3">
        <v>5</v>
      </c>
    </row>
    <row r="14690" spans="1:3" x14ac:dyDescent="0.25">
      <c r="A14690" s="1" t="s">
        <v>14689</v>
      </c>
      <c r="C14690" s="3">
        <v>5</v>
      </c>
    </row>
    <row r="14691" spans="1:3" x14ac:dyDescent="0.25">
      <c r="A14691" s="1" t="s">
        <v>14690</v>
      </c>
      <c r="C14691" s="3">
        <v>5</v>
      </c>
    </row>
    <row r="14692" spans="1:3" x14ac:dyDescent="0.25">
      <c r="A14692" s="1" t="s">
        <v>14691</v>
      </c>
      <c r="C14692" s="3">
        <v>5</v>
      </c>
    </row>
    <row r="14693" spans="1:3" x14ac:dyDescent="0.25">
      <c r="A14693" s="1" t="s">
        <v>14692</v>
      </c>
      <c r="C14693" s="3">
        <v>5</v>
      </c>
    </row>
    <row r="14694" spans="1:3" x14ac:dyDescent="0.25">
      <c r="A14694" s="1" t="s">
        <v>14693</v>
      </c>
      <c r="C14694" s="3">
        <v>5</v>
      </c>
    </row>
    <row r="14695" spans="1:3" x14ac:dyDescent="0.25">
      <c r="A14695" s="1" t="s">
        <v>14694</v>
      </c>
      <c r="C14695" s="3">
        <v>5</v>
      </c>
    </row>
    <row r="14696" spans="1:3" x14ac:dyDescent="0.25">
      <c r="A14696" s="1" t="s">
        <v>14695</v>
      </c>
      <c r="C14696" s="3">
        <v>5</v>
      </c>
    </row>
    <row r="14697" spans="1:3" x14ac:dyDescent="0.25">
      <c r="A14697" s="1" t="s">
        <v>14696</v>
      </c>
      <c r="C14697" s="3">
        <v>5</v>
      </c>
    </row>
    <row r="14698" spans="1:3" x14ac:dyDescent="0.25">
      <c r="A14698" s="1" t="s">
        <v>14697</v>
      </c>
      <c r="C14698" s="3">
        <v>5</v>
      </c>
    </row>
    <row r="14699" spans="1:3" x14ac:dyDescent="0.25">
      <c r="A14699" s="1" t="s">
        <v>14698</v>
      </c>
      <c r="C14699" s="3">
        <v>5</v>
      </c>
    </row>
    <row r="14700" spans="1:3" x14ac:dyDescent="0.25">
      <c r="A14700" s="1" t="s">
        <v>14699</v>
      </c>
      <c r="C14700" s="3">
        <v>5</v>
      </c>
    </row>
    <row r="14701" spans="1:3" x14ac:dyDescent="0.25">
      <c r="A14701" s="1" t="s">
        <v>14700</v>
      </c>
      <c r="C14701" s="3">
        <v>5</v>
      </c>
    </row>
    <row r="14702" spans="1:3" x14ac:dyDescent="0.25">
      <c r="A14702" s="1" t="s">
        <v>14701</v>
      </c>
      <c r="C14702" s="3">
        <v>5</v>
      </c>
    </row>
    <row r="14703" spans="1:3" x14ac:dyDescent="0.25">
      <c r="A14703" s="1" t="s">
        <v>14702</v>
      </c>
      <c r="C14703" s="3">
        <v>5</v>
      </c>
    </row>
    <row r="14704" spans="1:3" x14ac:dyDescent="0.25">
      <c r="A14704" s="1" t="s">
        <v>14703</v>
      </c>
      <c r="C14704" s="3">
        <v>5</v>
      </c>
    </row>
    <row r="14705" spans="1:3" x14ac:dyDescent="0.25">
      <c r="A14705" s="1" t="s">
        <v>14704</v>
      </c>
      <c r="C14705" s="3">
        <v>5</v>
      </c>
    </row>
    <row r="14706" spans="1:3" x14ac:dyDescent="0.25">
      <c r="A14706" s="1" t="s">
        <v>14705</v>
      </c>
      <c r="C14706" s="3">
        <v>5</v>
      </c>
    </row>
    <row r="14707" spans="1:3" x14ac:dyDescent="0.25">
      <c r="A14707" s="1" t="s">
        <v>14706</v>
      </c>
      <c r="C14707" s="3">
        <v>5</v>
      </c>
    </row>
    <row r="14708" spans="1:3" x14ac:dyDescent="0.25">
      <c r="A14708" s="1" t="s">
        <v>14707</v>
      </c>
      <c r="C14708" s="3">
        <v>5</v>
      </c>
    </row>
    <row r="14709" spans="1:3" x14ac:dyDescent="0.25">
      <c r="A14709" s="1" t="s">
        <v>14708</v>
      </c>
      <c r="C14709" s="3">
        <v>5</v>
      </c>
    </row>
    <row r="14710" spans="1:3" x14ac:dyDescent="0.25">
      <c r="A14710" s="1" t="s">
        <v>14709</v>
      </c>
      <c r="C14710" s="3">
        <v>5</v>
      </c>
    </row>
    <row r="14711" spans="1:3" x14ac:dyDescent="0.25">
      <c r="A14711" s="1" t="s">
        <v>14710</v>
      </c>
      <c r="C14711" s="3">
        <v>5</v>
      </c>
    </row>
    <row r="14712" spans="1:3" x14ac:dyDescent="0.25">
      <c r="A14712" s="1" t="s">
        <v>14711</v>
      </c>
      <c r="C14712" s="3">
        <v>5</v>
      </c>
    </row>
    <row r="14713" spans="1:3" x14ac:dyDescent="0.25">
      <c r="A14713" s="1" t="s">
        <v>14712</v>
      </c>
      <c r="C14713" s="3">
        <v>5</v>
      </c>
    </row>
    <row r="14714" spans="1:3" x14ac:dyDescent="0.25">
      <c r="A14714" s="1" t="s">
        <v>14713</v>
      </c>
      <c r="C14714" s="3">
        <v>5</v>
      </c>
    </row>
    <row r="14715" spans="1:3" x14ac:dyDescent="0.25">
      <c r="A14715" s="1" t="s">
        <v>14714</v>
      </c>
      <c r="C14715" s="3">
        <v>5</v>
      </c>
    </row>
    <row r="14716" spans="1:3" x14ac:dyDescent="0.25">
      <c r="A14716" s="1" t="s">
        <v>14715</v>
      </c>
      <c r="C14716" s="3">
        <v>5</v>
      </c>
    </row>
    <row r="14717" spans="1:3" x14ac:dyDescent="0.25">
      <c r="A14717" s="1" t="s">
        <v>14716</v>
      </c>
      <c r="C14717" s="3">
        <v>5</v>
      </c>
    </row>
    <row r="14718" spans="1:3" x14ac:dyDescent="0.25">
      <c r="A14718" s="1" t="s">
        <v>14717</v>
      </c>
      <c r="C14718" s="3">
        <v>5</v>
      </c>
    </row>
    <row r="14719" spans="1:3" x14ac:dyDescent="0.25">
      <c r="A14719" s="1" t="s">
        <v>14718</v>
      </c>
      <c r="C14719" s="3">
        <v>5</v>
      </c>
    </row>
    <row r="14720" spans="1:3" x14ac:dyDescent="0.25">
      <c r="A14720" s="1" t="s">
        <v>14719</v>
      </c>
      <c r="C14720" s="3">
        <v>5</v>
      </c>
    </row>
    <row r="14721" spans="1:3" x14ac:dyDescent="0.25">
      <c r="A14721" s="1" t="s">
        <v>14720</v>
      </c>
      <c r="C14721" s="3">
        <v>5</v>
      </c>
    </row>
    <row r="14722" spans="1:3" x14ac:dyDescent="0.25">
      <c r="A14722" s="1" t="s">
        <v>14721</v>
      </c>
      <c r="C14722" s="3">
        <v>5</v>
      </c>
    </row>
    <row r="14723" spans="1:3" x14ac:dyDescent="0.25">
      <c r="A14723" s="1" t="s">
        <v>14722</v>
      </c>
      <c r="C14723" s="3">
        <v>5</v>
      </c>
    </row>
    <row r="14724" spans="1:3" x14ac:dyDescent="0.25">
      <c r="A14724" s="1" t="s">
        <v>14723</v>
      </c>
      <c r="C14724" s="3">
        <v>5</v>
      </c>
    </row>
    <row r="14725" spans="1:3" x14ac:dyDescent="0.25">
      <c r="A14725" s="1" t="s">
        <v>14724</v>
      </c>
      <c r="C14725" s="3">
        <v>5</v>
      </c>
    </row>
    <row r="14726" spans="1:3" x14ac:dyDescent="0.25">
      <c r="A14726" s="1" t="s">
        <v>14725</v>
      </c>
      <c r="C14726" s="3">
        <v>5</v>
      </c>
    </row>
    <row r="14727" spans="1:3" x14ac:dyDescent="0.25">
      <c r="A14727" s="1" t="s">
        <v>14726</v>
      </c>
      <c r="C14727" s="3">
        <v>5</v>
      </c>
    </row>
    <row r="14728" spans="1:3" x14ac:dyDescent="0.25">
      <c r="A14728" s="1" t="s">
        <v>14727</v>
      </c>
      <c r="C14728" s="3">
        <v>5</v>
      </c>
    </row>
    <row r="14729" spans="1:3" x14ac:dyDescent="0.25">
      <c r="A14729" s="1" t="s">
        <v>14728</v>
      </c>
      <c r="C14729" s="3">
        <v>5</v>
      </c>
    </row>
    <row r="14730" spans="1:3" x14ac:dyDescent="0.25">
      <c r="A14730" s="1" t="s">
        <v>14729</v>
      </c>
      <c r="C14730" s="3">
        <v>5</v>
      </c>
    </row>
    <row r="14731" spans="1:3" x14ac:dyDescent="0.25">
      <c r="A14731" s="1" t="s">
        <v>14730</v>
      </c>
      <c r="C14731" s="3">
        <v>5</v>
      </c>
    </row>
    <row r="14732" spans="1:3" x14ac:dyDescent="0.25">
      <c r="A14732" s="1" t="s">
        <v>14731</v>
      </c>
      <c r="C14732" s="3">
        <v>5</v>
      </c>
    </row>
    <row r="14733" spans="1:3" x14ac:dyDescent="0.25">
      <c r="A14733" s="1" t="s">
        <v>14732</v>
      </c>
      <c r="C14733" s="3">
        <v>5</v>
      </c>
    </row>
    <row r="14734" spans="1:3" x14ac:dyDescent="0.25">
      <c r="A14734" s="1" t="s">
        <v>14733</v>
      </c>
      <c r="C14734" s="3">
        <v>5</v>
      </c>
    </row>
    <row r="14735" spans="1:3" x14ac:dyDescent="0.25">
      <c r="A14735" s="1" t="s">
        <v>14734</v>
      </c>
      <c r="C14735" s="3">
        <v>5</v>
      </c>
    </row>
    <row r="14736" spans="1:3" x14ac:dyDescent="0.25">
      <c r="A14736" s="1" t="s">
        <v>14735</v>
      </c>
      <c r="C14736" s="3">
        <v>5</v>
      </c>
    </row>
    <row r="14737" spans="1:3" x14ac:dyDescent="0.25">
      <c r="A14737" s="1" t="s">
        <v>14736</v>
      </c>
      <c r="C14737" s="3">
        <v>5</v>
      </c>
    </row>
    <row r="14738" spans="1:3" x14ac:dyDescent="0.25">
      <c r="A14738" s="1" t="s">
        <v>14737</v>
      </c>
      <c r="C14738" s="3">
        <v>5</v>
      </c>
    </row>
    <row r="14739" spans="1:3" x14ac:dyDescent="0.25">
      <c r="A14739" s="1" t="s">
        <v>14738</v>
      </c>
      <c r="C14739" s="3">
        <v>5</v>
      </c>
    </row>
    <row r="14740" spans="1:3" x14ac:dyDescent="0.25">
      <c r="A14740" s="1" t="s">
        <v>14739</v>
      </c>
      <c r="C14740" s="3">
        <v>5</v>
      </c>
    </row>
    <row r="14741" spans="1:3" x14ac:dyDescent="0.25">
      <c r="A14741" s="1" t="s">
        <v>14740</v>
      </c>
      <c r="C14741" s="3">
        <v>5</v>
      </c>
    </row>
    <row r="14742" spans="1:3" x14ac:dyDescent="0.25">
      <c r="A14742" s="1" t="s">
        <v>14741</v>
      </c>
      <c r="C14742" s="3">
        <v>5</v>
      </c>
    </row>
    <row r="14743" spans="1:3" x14ac:dyDescent="0.25">
      <c r="A14743" s="1" t="s">
        <v>14742</v>
      </c>
      <c r="C14743" s="3">
        <v>5</v>
      </c>
    </row>
    <row r="14744" spans="1:3" x14ac:dyDescent="0.25">
      <c r="A14744" s="1" t="s">
        <v>14743</v>
      </c>
      <c r="C14744" s="3">
        <v>5</v>
      </c>
    </row>
    <row r="14745" spans="1:3" x14ac:dyDescent="0.25">
      <c r="A14745" s="1" t="s">
        <v>14744</v>
      </c>
      <c r="C14745" s="3">
        <v>5</v>
      </c>
    </row>
    <row r="14746" spans="1:3" x14ac:dyDescent="0.25">
      <c r="A14746" s="1" t="s">
        <v>14745</v>
      </c>
      <c r="C14746" s="3">
        <v>5</v>
      </c>
    </row>
    <row r="14747" spans="1:3" x14ac:dyDescent="0.25">
      <c r="A14747" s="1" t="s">
        <v>14746</v>
      </c>
      <c r="C14747" s="3">
        <v>5</v>
      </c>
    </row>
    <row r="14748" spans="1:3" x14ac:dyDescent="0.25">
      <c r="A14748" s="1" t="s">
        <v>14747</v>
      </c>
      <c r="C14748" s="3">
        <v>5</v>
      </c>
    </row>
    <row r="14749" spans="1:3" x14ac:dyDescent="0.25">
      <c r="A14749" s="1" t="s">
        <v>14748</v>
      </c>
      <c r="C14749" s="3">
        <v>5</v>
      </c>
    </row>
    <row r="14750" spans="1:3" x14ac:dyDescent="0.25">
      <c r="A14750" s="1" t="s">
        <v>14749</v>
      </c>
      <c r="C14750" s="3">
        <v>5</v>
      </c>
    </row>
    <row r="14751" spans="1:3" x14ac:dyDescent="0.25">
      <c r="A14751" s="1" t="s">
        <v>14750</v>
      </c>
      <c r="C14751" s="3">
        <v>5</v>
      </c>
    </row>
    <row r="14752" spans="1:3" x14ac:dyDescent="0.25">
      <c r="A14752" s="1" t="s">
        <v>14751</v>
      </c>
      <c r="C14752" s="3">
        <v>5</v>
      </c>
    </row>
    <row r="14753" spans="1:3" x14ac:dyDescent="0.25">
      <c r="A14753" s="1" t="s">
        <v>14752</v>
      </c>
      <c r="C14753" s="3">
        <v>5</v>
      </c>
    </row>
    <row r="14754" spans="1:3" x14ac:dyDescent="0.25">
      <c r="A14754" s="1" t="s">
        <v>14753</v>
      </c>
      <c r="C14754" s="3">
        <v>5</v>
      </c>
    </row>
    <row r="14755" spans="1:3" x14ac:dyDescent="0.25">
      <c r="A14755" s="1" t="s">
        <v>14754</v>
      </c>
      <c r="C14755" s="3">
        <v>5</v>
      </c>
    </row>
    <row r="14756" spans="1:3" x14ac:dyDescent="0.25">
      <c r="A14756" s="1" t="s">
        <v>14755</v>
      </c>
      <c r="C14756" s="3">
        <v>5</v>
      </c>
    </row>
    <row r="14757" spans="1:3" x14ac:dyDescent="0.25">
      <c r="A14757" s="1" t="s">
        <v>14756</v>
      </c>
      <c r="C14757" s="3">
        <v>5</v>
      </c>
    </row>
    <row r="14758" spans="1:3" x14ac:dyDescent="0.25">
      <c r="A14758" s="1" t="s">
        <v>14757</v>
      </c>
      <c r="C14758" s="3">
        <v>5</v>
      </c>
    </row>
    <row r="14759" spans="1:3" x14ac:dyDescent="0.25">
      <c r="A14759" s="1" t="s">
        <v>14758</v>
      </c>
      <c r="C14759" s="3">
        <v>5</v>
      </c>
    </row>
    <row r="14760" spans="1:3" x14ac:dyDescent="0.25">
      <c r="A14760" s="1" t="s">
        <v>14759</v>
      </c>
      <c r="C14760" s="3">
        <v>5</v>
      </c>
    </row>
    <row r="14761" spans="1:3" x14ac:dyDescent="0.25">
      <c r="A14761" s="1" t="s">
        <v>14760</v>
      </c>
      <c r="C14761" s="3">
        <v>5</v>
      </c>
    </row>
    <row r="14762" spans="1:3" x14ac:dyDescent="0.25">
      <c r="A14762" s="1" t="s">
        <v>14761</v>
      </c>
      <c r="C14762" s="3">
        <v>5</v>
      </c>
    </row>
    <row r="14763" spans="1:3" x14ac:dyDescent="0.25">
      <c r="A14763" s="1" t="s">
        <v>14762</v>
      </c>
      <c r="C14763" s="3">
        <v>5</v>
      </c>
    </row>
    <row r="14764" spans="1:3" x14ac:dyDescent="0.25">
      <c r="A14764" s="1" t="s">
        <v>14763</v>
      </c>
      <c r="C14764" s="3">
        <v>5</v>
      </c>
    </row>
    <row r="14765" spans="1:3" x14ac:dyDescent="0.25">
      <c r="A14765" s="1" t="s">
        <v>14764</v>
      </c>
      <c r="C14765" s="3">
        <v>5</v>
      </c>
    </row>
    <row r="14766" spans="1:3" x14ac:dyDescent="0.25">
      <c r="A14766" s="1" t="s">
        <v>14765</v>
      </c>
      <c r="C14766" s="3">
        <v>5</v>
      </c>
    </row>
    <row r="14767" spans="1:3" x14ac:dyDescent="0.25">
      <c r="A14767" s="1" t="s">
        <v>14766</v>
      </c>
      <c r="C14767" s="3">
        <v>5</v>
      </c>
    </row>
    <row r="14768" spans="1:3" x14ac:dyDescent="0.25">
      <c r="A14768" s="1" t="s">
        <v>14767</v>
      </c>
      <c r="C14768" s="3">
        <v>5</v>
      </c>
    </row>
    <row r="14769" spans="1:3" x14ac:dyDescent="0.25">
      <c r="A14769" s="1" t="s">
        <v>14768</v>
      </c>
      <c r="C14769" s="3">
        <v>5</v>
      </c>
    </row>
    <row r="14770" spans="1:3" x14ac:dyDescent="0.25">
      <c r="A14770" s="1" t="s">
        <v>14769</v>
      </c>
      <c r="C14770" s="3">
        <v>5</v>
      </c>
    </row>
    <row r="14771" spans="1:3" x14ac:dyDescent="0.25">
      <c r="A14771" s="1" t="s">
        <v>14770</v>
      </c>
      <c r="C14771" s="3">
        <v>5</v>
      </c>
    </row>
    <row r="14772" spans="1:3" x14ac:dyDescent="0.25">
      <c r="A14772" s="1" t="s">
        <v>14771</v>
      </c>
      <c r="C14772" s="3">
        <v>5</v>
      </c>
    </row>
    <row r="14773" spans="1:3" x14ac:dyDescent="0.25">
      <c r="A14773" s="1" t="s">
        <v>14772</v>
      </c>
      <c r="C14773" s="3">
        <v>5</v>
      </c>
    </row>
    <row r="14774" spans="1:3" x14ac:dyDescent="0.25">
      <c r="A14774" s="1" t="s">
        <v>14773</v>
      </c>
      <c r="C14774" s="3">
        <v>5</v>
      </c>
    </row>
    <row r="14775" spans="1:3" x14ac:dyDescent="0.25">
      <c r="A14775" s="1" t="s">
        <v>14774</v>
      </c>
      <c r="C14775" s="3">
        <v>5</v>
      </c>
    </row>
    <row r="14776" spans="1:3" x14ac:dyDescent="0.25">
      <c r="A14776" s="1" t="s">
        <v>14775</v>
      </c>
      <c r="C14776" s="3">
        <v>5</v>
      </c>
    </row>
    <row r="14777" spans="1:3" x14ac:dyDescent="0.25">
      <c r="A14777" s="1" t="s">
        <v>14776</v>
      </c>
      <c r="C14777" s="3">
        <v>5</v>
      </c>
    </row>
    <row r="14778" spans="1:3" x14ac:dyDescent="0.25">
      <c r="A14778" s="1" t="s">
        <v>14777</v>
      </c>
      <c r="C14778" s="3">
        <v>5</v>
      </c>
    </row>
    <row r="14779" spans="1:3" x14ac:dyDescent="0.25">
      <c r="A14779" s="1" t="s">
        <v>14778</v>
      </c>
      <c r="C14779" s="3">
        <v>5</v>
      </c>
    </row>
    <row r="14780" spans="1:3" x14ac:dyDescent="0.25">
      <c r="A14780" s="1" t="s">
        <v>14779</v>
      </c>
      <c r="C14780" s="3">
        <v>5</v>
      </c>
    </row>
    <row r="14781" spans="1:3" x14ac:dyDescent="0.25">
      <c r="A14781" s="1" t="s">
        <v>14780</v>
      </c>
      <c r="C14781" s="3">
        <v>5</v>
      </c>
    </row>
    <row r="14782" spans="1:3" x14ac:dyDescent="0.25">
      <c r="A14782" s="1" t="s">
        <v>14781</v>
      </c>
      <c r="C14782" s="3">
        <v>5</v>
      </c>
    </row>
    <row r="14783" spans="1:3" x14ac:dyDescent="0.25">
      <c r="A14783" s="1" t="s">
        <v>14782</v>
      </c>
      <c r="C14783" s="3">
        <v>5</v>
      </c>
    </row>
    <row r="14784" spans="1:3" x14ac:dyDescent="0.25">
      <c r="A14784" s="1" t="s">
        <v>14783</v>
      </c>
      <c r="C14784" s="3">
        <v>5</v>
      </c>
    </row>
    <row r="14785" spans="1:3" x14ac:dyDescent="0.25">
      <c r="A14785" s="1" t="s">
        <v>14784</v>
      </c>
      <c r="C14785" s="3">
        <v>5</v>
      </c>
    </row>
    <row r="14786" spans="1:3" x14ac:dyDescent="0.25">
      <c r="A14786" s="1" t="s">
        <v>14785</v>
      </c>
      <c r="C14786" s="3">
        <v>5</v>
      </c>
    </row>
    <row r="14787" spans="1:3" x14ac:dyDescent="0.25">
      <c r="A14787" s="1" t="s">
        <v>14786</v>
      </c>
      <c r="C14787" s="3">
        <v>5</v>
      </c>
    </row>
    <row r="14788" spans="1:3" x14ac:dyDescent="0.25">
      <c r="A14788" s="1" t="s">
        <v>14787</v>
      </c>
      <c r="C14788" s="3">
        <v>5</v>
      </c>
    </row>
    <row r="14789" spans="1:3" x14ac:dyDescent="0.25">
      <c r="A14789" s="1" t="s">
        <v>14788</v>
      </c>
      <c r="C14789" s="3">
        <v>5</v>
      </c>
    </row>
    <row r="14790" spans="1:3" x14ac:dyDescent="0.25">
      <c r="A14790" s="1" t="s">
        <v>14789</v>
      </c>
      <c r="C14790" s="3">
        <v>5</v>
      </c>
    </row>
    <row r="14791" spans="1:3" x14ac:dyDescent="0.25">
      <c r="A14791" s="1" t="s">
        <v>14790</v>
      </c>
      <c r="C14791" s="3">
        <v>5</v>
      </c>
    </row>
    <row r="14792" spans="1:3" x14ac:dyDescent="0.25">
      <c r="A14792" s="1" t="s">
        <v>14791</v>
      </c>
      <c r="C14792" s="3">
        <v>5</v>
      </c>
    </row>
    <row r="14793" spans="1:3" x14ac:dyDescent="0.25">
      <c r="A14793" s="1" t="s">
        <v>14792</v>
      </c>
      <c r="C14793" s="3">
        <v>5</v>
      </c>
    </row>
    <row r="14794" spans="1:3" x14ac:dyDescent="0.25">
      <c r="A14794" s="1" t="s">
        <v>14793</v>
      </c>
      <c r="C14794" s="3">
        <v>5</v>
      </c>
    </row>
    <row r="14795" spans="1:3" x14ac:dyDescent="0.25">
      <c r="A14795" s="1" t="s">
        <v>14794</v>
      </c>
      <c r="C14795" s="3">
        <v>5</v>
      </c>
    </row>
    <row r="14796" spans="1:3" x14ac:dyDescent="0.25">
      <c r="A14796" s="1" t="s">
        <v>14795</v>
      </c>
      <c r="C14796" s="3">
        <v>5</v>
      </c>
    </row>
    <row r="14797" spans="1:3" x14ac:dyDescent="0.25">
      <c r="A14797" s="1" t="s">
        <v>14796</v>
      </c>
      <c r="C14797" s="3">
        <v>5</v>
      </c>
    </row>
    <row r="14798" spans="1:3" x14ac:dyDescent="0.25">
      <c r="A14798" s="1" t="s">
        <v>14797</v>
      </c>
      <c r="C14798" s="3">
        <v>5</v>
      </c>
    </row>
    <row r="14799" spans="1:3" x14ac:dyDescent="0.25">
      <c r="A14799" s="1" t="s">
        <v>14798</v>
      </c>
      <c r="C14799" s="3">
        <v>5</v>
      </c>
    </row>
    <row r="14800" spans="1:3" x14ac:dyDescent="0.25">
      <c r="A14800" s="1" t="s">
        <v>14799</v>
      </c>
      <c r="C14800" s="3">
        <v>5</v>
      </c>
    </row>
    <row r="14801" spans="1:3" x14ac:dyDescent="0.25">
      <c r="A14801" s="1" t="s">
        <v>14800</v>
      </c>
      <c r="C14801" s="3">
        <v>5</v>
      </c>
    </row>
    <row r="14802" spans="1:3" x14ac:dyDescent="0.25">
      <c r="A14802" s="1" t="s">
        <v>14801</v>
      </c>
      <c r="C14802" s="3">
        <v>5</v>
      </c>
    </row>
    <row r="14803" spans="1:3" x14ac:dyDescent="0.25">
      <c r="A14803" s="1" t="s">
        <v>14802</v>
      </c>
      <c r="C14803" s="3">
        <v>5</v>
      </c>
    </row>
    <row r="14804" spans="1:3" x14ac:dyDescent="0.25">
      <c r="A14804" s="1" t="s">
        <v>14803</v>
      </c>
      <c r="C14804" s="3">
        <v>5</v>
      </c>
    </row>
    <row r="14805" spans="1:3" x14ac:dyDescent="0.25">
      <c r="A14805" s="1" t="s">
        <v>14804</v>
      </c>
      <c r="C14805" s="3">
        <v>5</v>
      </c>
    </row>
    <row r="14806" spans="1:3" x14ac:dyDescent="0.25">
      <c r="A14806" s="1" t="s">
        <v>14805</v>
      </c>
      <c r="C14806" s="3">
        <v>5</v>
      </c>
    </row>
    <row r="14807" spans="1:3" x14ac:dyDescent="0.25">
      <c r="A14807" s="1" t="s">
        <v>14806</v>
      </c>
      <c r="C14807" s="3">
        <v>5</v>
      </c>
    </row>
    <row r="14808" spans="1:3" x14ac:dyDescent="0.25">
      <c r="A14808" s="1" t="s">
        <v>14807</v>
      </c>
      <c r="C14808" s="3">
        <v>5</v>
      </c>
    </row>
    <row r="14809" spans="1:3" x14ac:dyDescent="0.25">
      <c r="A14809" s="1" t="s">
        <v>14808</v>
      </c>
      <c r="C14809" s="3">
        <v>5</v>
      </c>
    </row>
    <row r="14810" spans="1:3" x14ac:dyDescent="0.25">
      <c r="A14810" s="1" t="s">
        <v>14809</v>
      </c>
      <c r="C14810" s="3">
        <v>5</v>
      </c>
    </row>
    <row r="14811" spans="1:3" x14ac:dyDescent="0.25">
      <c r="A14811" s="1" t="s">
        <v>14810</v>
      </c>
      <c r="C14811" s="3">
        <v>5</v>
      </c>
    </row>
    <row r="14812" spans="1:3" x14ac:dyDescent="0.25">
      <c r="A14812" s="1" t="s">
        <v>14811</v>
      </c>
      <c r="C14812" s="3">
        <v>5</v>
      </c>
    </row>
    <row r="14813" spans="1:3" x14ac:dyDescent="0.25">
      <c r="A14813" s="1" t="s">
        <v>14812</v>
      </c>
      <c r="C14813" s="3">
        <v>5</v>
      </c>
    </row>
    <row r="14814" spans="1:3" x14ac:dyDescent="0.25">
      <c r="A14814" s="1" t="s">
        <v>14813</v>
      </c>
      <c r="C14814" s="3">
        <v>5</v>
      </c>
    </row>
    <row r="14815" spans="1:3" x14ac:dyDescent="0.25">
      <c r="A14815" s="1" t="s">
        <v>14814</v>
      </c>
      <c r="C14815" s="3">
        <v>5</v>
      </c>
    </row>
    <row r="14816" spans="1:3" x14ac:dyDescent="0.25">
      <c r="A14816" s="1" t="s">
        <v>14815</v>
      </c>
      <c r="C14816" s="3">
        <v>5</v>
      </c>
    </row>
    <row r="14817" spans="1:3" x14ac:dyDescent="0.25">
      <c r="A14817" s="1" t="s">
        <v>14816</v>
      </c>
      <c r="C14817" s="3">
        <v>5</v>
      </c>
    </row>
    <row r="14818" spans="1:3" x14ac:dyDescent="0.25">
      <c r="A14818" s="1" t="s">
        <v>14817</v>
      </c>
      <c r="C14818" s="3">
        <v>5</v>
      </c>
    </row>
    <row r="14819" spans="1:3" x14ac:dyDescent="0.25">
      <c r="A14819" s="1" t="s">
        <v>14818</v>
      </c>
      <c r="C14819" s="3">
        <v>5</v>
      </c>
    </row>
    <row r="14820" spans="1:3" x14ac:dyDescent="0.25">
      <c r="A14820" s="1" t="s">
        <v>14819</v>
      </c>
      <c r="C14820" s="3">
        <v>5</v>
      </c>
    </row>
    <row r="14821" spans="1:3" x14ac:dyDescent="0.25">
      <c r="A14821" s="1" t="s">
        <v>14820</v>
      </c>
      <c r="C14821" s="3">
        <v>5</v>
      </c>
    </row>
    <row r="14822" spans="1:3" x14ac:dyDescent="0.25">
      <c r="A14822" s="1" t="s">
        <v>14821</v>
      </c>
      <c r="C14822" s="3">
        <v>5</v>
      </c>
    </row>
    <row r="14823" spans="1:3" x14ac:dyDescent="0.25">
      <c r="A14823" s="1" t="s">
        <v>14822</v>
      </c>
      <c r="C14823" s="3">
        <v>5</v>
      </c>
    </row>
    <row r="14824" spans="1:3" x14ac:dyDescent="0.25">
      <c r="A14824" s="1" t="s">
        <v>14823</v>
      </c>
      <c r="C14824" s="3">
        <v>5</v>
      </c>
    </row>
    <row r="14825" spans="1:3" x14ac:dyDescent="0.25">
      <c r="A14825" s="1" t="s">
        <v>14824</v>
      </c>
      <c r="C14825" s="3">
        <v>5</v>
      </c>
    </row>
    <row r="14826" spans="1:3" x14ac:dyDescent="0.25">
      <c r="A14826" s="1" t="s">
        <v>14825</v>
      </c>
      <c r="C14826" s="3">
        <v>5</v>
      </c>
    </row>
    <row r="14827" spans="1:3" x14ac:dyDescent="0.25">
      <c r="A14827" s="1" t="s">
        <v>14826</v>
      </c>
      <c r="C14827" s="3">
        <v>5</v>
      </c>
    </row>
    <row r="14828" spans="1:3" x14ac:dyDescent="0.25">
      <c r="A14828" s="1" t="s">
        <v>14827</v>
      </c>
      <c r="C14828" s="3">
        <v>5</v>
      </c>
    </row>
    <row r="14829" spans="1:3" x14ac:dyDescent="0.25">
      <c r="A14829" s="1" t="s">
        <v>14828</v>
      </c>
      <c r="C14829" s="3">
        <v>5</v>
      </c>
    </row>
    <row r="14830" spans="1:3" x14ac:dyDescent="0.25">
      <c r="A14830" s="1" t="s">
        <v>14829</v>
      </c>
      <c r="C14830" s="3">
        <v>5</v>
      </c>
    </row>
    <row r="14831" spans="1:3" x14ac:dyDescent="0.25">
      <c r="A14831" s="1" t="s">
        <v>14830</v>
      </c>
      <c r="C14831" s="3">
        <v>5</v>
      </c>
    </row>
    <row r="14832" spans="1:3" x14ac:dyDescent="0.25">
      <c r="A14832" s="1" t="s">
        <v>14831</v>
      </c>
      <c r="C14832" s="3">
        <v>5</v>
      </c>
    </row>
    <row r="14833" spans="1:3" x14ac:dyDescent="0.25">
      <c r="A14833" s="1" t="s">
        <v>14832</v>
      </c>
      <c r="C14833" s="3">
        <v>5</v>
      </c>
    </row>
    <row r="14834" spans="1:3" x14ac:dyDescent="0.25">
      <c r="A14834" s="1" t="s">
        <v>14833</v>
      </c>
      <c r="C14834" s="3">
        <v>5</v>
      </c>
    </row>
    <row r="14835" spans="1:3" x14ac:dyDescent="0.25">
      <c r="A14835" s="1" t="s">
        <v>14834</v>
      </c>
      <c r="C14835" s="3">
        <v>5</v>
      </c>
    </row>
    <row r="14836" spans="1:3" x14ac:dyDescent="0.25">
      <c r="A14836" s="1" t="s">
        <v>14835</v>
      </c>
      <c r="C14836" s="3">
        <v>5</v>
      </c>
    </row>
    <row r="14837" spans="1:3" x14ac:dyDescent="0.25">
      <c r="A14837" s="1" t="s">
        <v>14836</v>
      </c>
      <c r="C14837" s="3">
        <v>5</v>
      </c>
    </row>
    <row r="14838" spans="1:3" x14ac:dyDescent="0.25">
      <c r="A14838" s="1" t="s">
        <v>14837</v>
      </c>
      <c r="C14838" s="3">
        <v>5</v>
      </c>
    </row>
    <row r="14839" spans="1:3" x14ac:dyDescent="0.25">
      <c r="A14839" s="1" t="s">
        <v>14838</v>
      </c>
      <c r="C14839" s="3">
        <v>5</v>
      </c>
    </row>
    <row r="14840" spans="1:3" x14ac:dyDescent="0.25">
      <c r="A14840" s="1" t="s">
        <v>14839</v>
      </c>
      <c r="C14840" s="3">
        <v>5</v>
      </c>
    </row>
    <row r="14841" spans="1:3" x14ac:dyDescent="0.25">
      <c r="A14841" s="1" t="s">
        <v>14840</v>
      </c>
      <c r="C14841" s="3">
        <v>5</v>
      </c>
    </row>
    <row r="14842" spans="1:3" x14ac:dyDescent="0.25">
      <c r="A14842" s="1" t="s">
        <v>14841</v>
      </c>
      <c r="C14842" s="3">
        <v>5</v>
      </c>
    </row>
    <row r="14843" spans="1:3" x14ac:dyDescent="0.25">
      <c r="A14843" s="1" t="s">
        <v>14842</v>
      </c>
      <c r="C14843" s="3">
        <v>5</v>
      </c>
    </row>
    <row r="14844" spans="1:3" x14ac:dyDescent="0.25">
      <c r="A14844" s="1" t="s">
        <v>14843</v>
      </c>
      <c r="C14844" s="3">
        <v>5</v>
      </c>
    </row>
    <row r="14845" spans="1:3" x14ac:dyDescent="0.25">
      <c r="A14845" s="1" t="s">
        <v>14844</v>
      </c>
      <c r="C14845" s="3">
        <v>5</v>
      </c>
    </row>
    <row r="14846" spans="1:3" x14ac:dyDescent="0.25">
      <c r="A14846" s="1" t="s">
        <v>14845</v>
      </c>
      <c r="C14846" s="3">
        <v>5</v>
      </c>
    </row>
    <row r="14847" spans="1:3" x14ac:dyDescent="0.25">
      <c r="A14847" s="1" t="s">
        <v>14846</v>
      </c>
      <c r="C14847" s="3">
        <v>5</v>
      </c>
    </row>
    <row r="14848" spans="1:3" x14ac:dyDescent="0.25">
      <c r="A14848" s="1" t="s">
        <v>14847</v>
      </c>
      <c r="C14848" s="3">
        <v>5</v>
      </c>
    </row>
    <row r="14849" spans="1:3" x14ac:dyDescent="0.25">
      <c r="A14849" s="1" t="s">
        <v>14848</v>
      </c>
      <c r="C14849" s="3">
        <v>5</v>
      </c>
    </row>
    <row r="14850" spans="1:3" x14ac:dyDescent="0.25">
      <c r="A14850" s="1" t="s">
        <v>14849</v>
      </c>
      <c r="C14850" s="3">
        <v>5</v>
      </c>
    </row>
    <row r="14851" spans="1:3" x14ac:dyDescent="0.25">
      <c r="A14851" s="1" t="s">
        <v>14850</v>
      </c>
      <c r="C14851" s="3">
        <v>5</v>
      </c>
    </row>
    <row r="14852" spans="1:3" x14ac:dyDescent="0.25">
      <c r="A14852" s="1" t="s">
        <v>14851</v>
      </c>
      <c r="C14852" s="3">
        <v>5</v>
      </c>
    </row>
    <row r="14853" spans="1:3" x14ac:dyDescent="0.25">
      <c r="A14853" s="1" t="s">
        <v>14852</v>
      </c>
      <c r="C14853" s="3">
        <v>5</v>
      </c>
    </row>
    <row r="14854" spans="1:3" x14ac:dyDescent="0.25">
      <c r="A14854" s="1" t="s">
        <v>14853</v>
      </c>
      <c r="C14854" s="3">
        <v>5</v>
      </c>
    </row>
    <row r="14855" spans="1:3" x14ac:dyDescent="0.25">
      <c r="A14855" s="1" t="s">
        <v>14854</v>
      </c>
      <c r="C14855" s="3">
        <v>5</v>
      </c>
    </row>
    <row r="14856" spans="1:3" x14ac:dyDescent="0.25">
      <c r="A14856" s="1" t="s">
        <v>14855</v>
      </c>
      <c r="C14856" s="3">
        <v>5</v>
      </c>
    </row>
    <row r="14857" spans="1:3" x14ac:dyDescent="0.25">
      <c r="A14857" s="1" t="s">
        <v>14856</v>
      </c>
      <c r="C14857" s="3">
        <v>5</v>
      </c>
    </row>
    <row r="14858" spans="1:3" x14ac:dyDescent="0.25">
      <c r="A14858" s="1" t="s">
        <v>14857</v>
      </c>
      <c r="C14858" s="3">
        <v>5</v>
      </c>
    </row>
    <row r="14859" spans="1:3" x14ac:dyDescent="0.25">
      <c r="A14859" s="1" t="s">
        <v>14858</v>
      </c>
      <c r="C14859" s="3">
        <v>5</v>
      </c>
    </row>
    <row r="14860" spans="1:3" x14ac:dyDescent="0.25">
      <c r="A14860" s="1" t="s">
        <v>14859</v>
      </c>
      <c r="C14860" s="3">
        <v>5</v>
      </c>
    </row>
    <row r="14861" spans="1:3" x14ac:dyDescent="0.25">
      <c r="A14861" s="1" t="s">
        <v>14860</v>
      </c>
      <c r="C14861" s="3">
        <v>5</v>
      </c>
    </row>
    <row r="14862" spans="1:3" x14ac:dyDescent="0.25">
      <c r="A14862" s="1" t="s">
        <v>14861</v>
      </c>
      <c r="C14862" s="3">
        <v>5</v>
      </c>
    </row>
    <row r="14863" spans="1:3" x14ac:dyDescent="0.25">
      <c r="A14863" s="1" t="s">
        <v>14862</v>
      </c>
      <c r="C14863" s="3">
        <v>5</v>
      </c>
    </row>
    <row r="14864" spans="1:3" x14ac:dyDescent="0.25">
      <c r="A14864" s="1" t="s">
        <v>14863</v>
      </c>
      <c r="C14864" s="3">
        <v>5</v>
      </c>
    </row>
    <row r="14865" spans="1:3" x14ac:dyDescent="0.25">
      <c r="A14865" s="1" t="s">
        <v>14864</v>
      </c>
      <c r="C14865" s="3">
        <v>5</v>
      </c>
    </row>
    <row r="14866" spans="1:3" x14ac:dyDescent="0.25">
      <c r="A14866" s="1" t="s">
        <v>14865</v>
      </c>
      <c r="C14866" s="3">
        <v>5</v>
      </c>
    </row>
    <row r="14867" spans="1:3" x14ac:dyDescent="0.25">
      <c r="A14867" s="1" t="s">
        <v>14866</v>
      </c>
      <c r="C14867" s="3">
        <v>5</v>
      </c>
    </row>
    <row r="14868" spans="1:3" x14ac:dyDescent="0.25">
      <c r="A14868" s="1" t="s">
        <v>14867</v>
      </c>
      <c r="C14868" s="3">
        <v>5</v>
      </c>
    </row>
    <row r="14869" spans="1:3" x14ac:dyDescent="0.25">
      <c r="A14869" s="1" t="s">
        <v>14868</v>
      </c>
      <c r="C14869" s="3">
        <v>5</v>
      </c>
    </row>
    <row r="14870" spans="1:3" x14ac:dyDescent="0.25">
      <c r="A14870" s="1" t="s">
        <v>14869</v>
      </c>
      <c r="C14870" s="3">
        <v>5</v>
      </c>
    </row>
    <row r="14871" spans="1:3" x14ac:dyDescent="0.25">
      <c r="A14871" s="1" t="s">
        <v>14870</v>
      </c>
      <c r="C14871" s="3">
        <v>5</v>
      </c>
    </row>
    <row r="14872" spans="1:3" x14ac:dyDescent="0.25">
      <c r="A14872" s="1" t="s">
        <v>14871</v>
      </c>
      <c r="C14872" s="3">
        <v>5</v>
      </c>
    </row>
    <row r="14873" spans="1:3" x14ac:dyDescent="0.25">
      <c r="A14873" s="1" t="s">
        <v>14872</v>
      </c>
      <c r="C14873" s="3">
        <v>5</v>
      </c>
    </row>
    <row r="14874" spans="1:3" x14ac:dyDescent="0.25">
      <c r="A14874" s="1" t="s">
        <v>14873</v>
      </c>
      <c r="C14874" s="3">
        <v>5</v>
      </c>
    </row>
    <row r="14875" spans="1:3" x14ac:dyDescent="0.25">
      <c r="A14875" s="1" t="s">
        <v>14874</v>
      </c>
      <c r="C14875" s="3">
        <v>5</v>
      </c>
    </row>
    <row r="14876" spans="1:3" x14ac:dyDescent="0.25">
      <c r="A14876" s="1" t="s">
        <v>14875</v>
      </c>
      <c r="C14876" s="3">
        <v>5</v>
      </c>
    </row>
    <row r="14877" spans="1:3" x14ac:dyDescent="0.25">
      <c r="A14877" s="1" t="s">
        <v>14876</v>
      </c>
      <c r="C14877" s="3">
        <v>5</v>
      </c>
    </row>
    <row r="14878" spans="1:3" x14ac:dyDescent="0.25">
      <c r="A14878" s="1" t="s">
        <v>14877</v>
      </c>
      <c r="C14878" s="3">
        <v>5</v>
      </c>
    </row>
    <row r="14879" spans="1:3" x14ac:dyDescent="0.25">
      <c r="A14879" s="1" t="s">
        <v>14878</v>
      </c>
      <c r="C14879" s="3">
        <v>5</v>
      </c>
    </row>
    <row r="14880" spans="1:3" x14ac:dyDescent="0.25">
      <c r="A14880" s="1" t="s">
        <v>14879</v>
      </c>
      <c r="C14880" s="3">
        <v>5</v>
      </c>
    </row>
    <row r="14881" spans="1:3" x14ac:dyDescent="0.25">
      <c r="A14881" s="1" t="s">
        <v>14880</v>
      </c>
      <c r="C14881" s="3">
        <v>5</v>
      </c>
    </row>
    <row r="14882" spans="1:3" x14ac:dyDescent="0.25">
      <c r="A14882" s="1" t="s">
        <v>14881</v>
      </c>
      <c r="C14882" s="3">
        <v>5</v>
      </c>
    </row>
    <row r="14883" spans="1:3" x14ac:dyDescent="0.25">
      <c r="A14883" s="1" t="s">
        <v>14882</v>
      </c>
      <c r="C14883" s="3">
        <v>5</v>
      </c>
    </row>
    <row r="14884" spans="1:3" x14ac:dyDescent="0.25">
      <c r="A14884" s="1" t="s">
        <v>14883</v>
      </c>
      <c r="C14884" s="3">
        <v>5</v>
      </c>
    </row>
    <row r="14885" spans="1:3" x14ac:dyDescent="0.25">
      <c r="A14885" s="1" t="s">
        <v>14884</v>
      </c>
      <c r="C14885" s="3">
        <v>5</v>
      </c>
    </row>
    <row r="14886" spans="1:3" x14ac:dyDescent="0.25">
      <c r="A14886" s="1" t="s">
        <v>14885</v>
      </c>
      <c r="C14886" s="3">
        <v>5</v>
      </c>
    </row>
    <row r="14887" spans="1:3" x14ac:dyDescent="0.25">
      <c r="A14887" s="1" t="s">
        <v>14886</v>
      </c>
      <c r="C14887" s="3">
        <v>5</v>
      </c>
    </row>
    <row r="14888" spans="1:3" x14ac:dyDescent="0.25">
      <c r="A14888" s="1" t="s">
        <v>14887</v>
      </c>
      <c r="C14888" s="3">
        <v>5</v>
      </c>
    </row>
    <row r="14889" spans="1:3" x14ac:dyDescent="0.25">
      <c r="A14889" s="1" t="s">
        <v>14888</v>
      </c>
      <c r="C14889" s="3">
        <v>5</v>
      </c>
    </row>
    <row r="14890" spans="1:3" x14ac:dyDescent="0.25">
      <c r="A14890" s="1" t="s">
        <v>14889</v>
      </c>
      <c r="C14890" s="3">
        <v>5</v>
      </c>
    </row>
    <row r="14891" spans="1:3" x14ac:dyDescent="0.25">
      <c r="A14891" s="1" t="s">
        <v>14890</v>
      </c>
      <c r="C14891" s="3">
        <v>5</v>
      </c>
    </row>
    <row r="14892" spans="1:3" x14ac:dyDescent="0.25">
      <c r="A14892" s="1" t="s">
        <v>14891</v>
      </c>
      <c r="C14892" s="3">
        <v>5</v>
      </c>
    </row>
    <row r="14893" spans="1:3" x14ac:dyDescent="0.25">
      <c r="A14893" s="1" t="s">
        <v>14892</v>
      </c>
      <c r="C14893" s="3">
        <v>5</v>
      </c>
    </row>
    <row r="14894" spans="1:3" x14ac:dyDescent="0.25">
      <c r="A14894" s="1" t="s">
        <v>14893</v>
      </c>
      <c r="C14894" s="3">
        <v>5</v>
      </c>
    </row>
    <row r="14895" spans="1:3" x14ac:dyDescent="0.25">
      <c r="A14895" s="1" t="s">
        <v>14894</v>
      </c>
      <c r="C14895" s="3">
        <v>5</v>
      </c>
    </row>
    <row r="14896" spans="1:3" x14ac:dyDescent="0.25">
      <c r="A14896" s="1" t="s">
        <v>14895</v>
      </c>
      <c r="C14896" s="3">
        <v>5</v>
      </c>
    </row>
    <row r="14897" spans="1:3" x14ac:dyDescent="0.25">
      <c r="A14897" s="1" t="s">
        <v>14896</v>
      </c>
      <c r="C14897" s="3">
        <v>5</v>
      </c>
    </row>
    <row r="14898" spans="1:3" x14ac:dyDescent="0.25">
      <c r="A14898" s="1" t="s">
        <v>14897</v>
      </c>
      <c r="C14898" s="3">
        <v>5</v>
      </c>
    </row>
    <row r="14899" spans="1:3" x14ac:dyDescent="0.25">
      <c r="A14899" s="1" t="s">
        <v>14898</v>
      </c>
      <c r="C14899" s="3">
        <v>5</v>
      </c>
    </row>
    <row r="14900" spans="1:3" x14ac:dyDescent="0.25">
      <c r="A14900" s="1" t="s">
        <v>14899</v>
      </c>
      <c r="C14900" s="3">
        <v>5</v>
      </c>
    </row>
    <row r="14901" spans="1:3" x14ac:dyDescent="0.25">
      <c r="A14901" s="1" t="s">
        <v>14900</v>
      </c>
      <c r="C14901" s="3">
        <v>5</v>
      </c>
    </row>
    <row r="14902" spans="1:3" x14ac:dyDescent="0.25">
      <c r="A14902" s="1" t="s">
        <v>14901</v>
      </c>
      <c r="C14902" s="3">
        <v>5</v>
      </c>
    </row>
    <row r="14903" spans="1:3" x14ac:dyDescent="0.25">
      <c r="A14903" s="1" t="s">
        <v>14902</v>
      </c>
      <c r="C14903" s="3">
        <v>5</v>
      </c>
    </row>
    <row r="14904" spans="1:3" x14ac:dyDescent="0.25">
      <c r="A14904" s="1" t="s">
        <v>14903</v>
      </c>
      <c r="C14904" s="3">
        <v>5</v>
      </c>
    </row>
    <row r="14905" spans="1:3" x14ac:dyDescent="0.25">
      <c r="A14905" s="1" t="s">
        <v>14904</v>
      </c>
      <c r="C14905" s="3">
        <v>5</v>
      </c>
    </row>
    <row r="14906" spans="1:3" x14ac:dyDescent="0.25">
      <c r="A14906" s="1" t="s">
        <v>14905</v>
      </c>
      <c r="C14906" s="3">
        <v>5</v>
      </c>
    </row>
    <row r="14907" spans="1:3" x14ac:dyDescent="0.25">
      <c r="A14907" s="1" t="s">
        <v>14906</v>
      </c>
      <c r="C14907" s="3">
        <v>5</v>
      </c>
    </row>
    <row r="14908" spans="1:3" x14ac:dyDescent="0.25">
      <c r="A14908" s="1" t="s">
        <v>14907</v>
      </c>
      <c r="C14908" s="3">
        <v>5</v>
      </c>
    </row>
    <row r="14909" spans="1:3" x14ac:dyDescent="0.25">
      <c r="A14909" s="1" t="s">
        <v>14908</v>
      </c>
      <c r="C14909" s="3">
        <v>5</v>
      </c>
    </row>
    <row r="14910" spans="1:3" x14ac:dyDescent="0.25">
      <c r="A14910" s="1" t="s">
        <v>14909</v>
      </c>
      <c r="C14910" s="3">
        <v>5</v>
      </c>
    </row>
    <row r="14911" spans="1:3" x14ac:dyDescent="0.25">
      <c r="A14911" s="1" t="s">
        <v>14910</v>
      </c>
      <c r="C14911" s="3">
        <v>5</v>
      </c>
    </row>
    <row r="14912" spans="1:3" x14ac:dyDescent="0.25">
      <c r="A14912" s="1" t="s">
        <v>14911</v>
      </c>
      <c r="C14912" s="3">
        <v>5</v>
      </c>
    </row>
    <row r="14913" spans="1:3" x14ac:dyDescent="0.25">
      <c r="A14913" s="1" t="s">
        <v>14912</v>
      </c>
      <c r="C14913" s="3">
        <v>5</v>
      </c>
    </row>
    <row r="14914" spans="1:3" x14ac:dyDescent="0.25">
      <c r="A14914" s="1" t="s">
        <v>14913</v>
      </c>
      <c r="C14914" s="3">
        <v>5</v>
      </c>
    </row>
    <row r="14915" spans="1:3" x14ac:dyDescent="0.25">
      <c r="A14915" s="1" t="s">
        <v>14914</v>
      </c>
      <c r="C14915" s="3">
        <v>5</v>
      </c>
    </row>
    <row r="14916" spans="1:3" x14ac:dyDescent="0.25">
      <c r="A14916" s="1" t="s">
        <v>14915</v>
      </c>
      <c r="C14916" s="3">
        <v>5</v>
      </c>
    </row>
    <row r="14917" spans="1:3" x14ac:dyDescent="0.25">
      <c r="A14917" s="1" t="s">
        <v>14916</v>
      </c>
      <c r="C14917" s="3">
        <v>5</v>
      </c>
    </row>
    <row r="14918" spans="1:3" x14ac:dyDescent="0.25">
      <c r="A14918" s="1" t="s">
        <v>14917</v>
      </c>
      <c r="C14918" s="3">
        <v>5</v>
      </c>
    </row>
    <row r="14919" spans="1:3" x14ac:dyDescent="0.25">
      <c r="A14919" s="1" t="s">
        <v>14918</v>
      </c>
      <c r="C14919" s="3">
        <v>5</v>
      </c>
    </row>
    <row r="14920" spans="1:3" x14ac:dyDescent="0.25">
      <c r="A14920" s="1" t="s">
        <v>14919</v>
      </c>
      <c r="C14920" s="3">
        <v>5</v>
      </c>
    </row>
    <row r="14921" spans="1:3" x14ac:dyDescent="0.25">
      <c r="A14921" s="1" t="s">
        <v>14920</v>
      </c>
      <c r="C14921" s="3">
        <v>5</v>
      </c>
    </row>
    <row r="14922" spans="1:3" x14ac:dyDescent="0.25">
      <c r="A14922" s="1" t="s">
        <v>14921</v>
      </c>
      <c r="C14922" s="3">
        <v>5</v>
      </c>
    </row>
    <row r="14923" spans="1:3" x14ac:dyDescent="0.25">
      <c r="A14923" s="1" t="s">
        <v>14922</v>
      </c>
      <c r="C14923" s="3">
        <v>5</v>
      </c>
    </row>
    <row r="14924" spans="1:3" x14ac:dyDescent="0.25">
      <c r="A14924" s="1" t="s">
        <v>14923</v>
      </c>
      <c r="C14924" s="3">
        <v>5</v>
      </c>
    </row>
    <row r="14925" spans="1:3" x14ac:dyDescent="0.25">
      <c r="A14925" s="1" t="s">
        <v>14924</v>
      </c>
      <c r="C14925" s="3">
        <v>5</v>
      </c>
    </row>
    <row r="14926" spans="1:3" x14ac:dyDescent="0.25">
      <c r="A14926" s="1" t="s">
        <v>14925</v>
      </c>
      <c r="C14926" s="3">
        <v>5</v>
      </c>
    </row>
    <row r="14927" spans="1:3" x14ac:dyDescent="0.25">
      <c r="A14927" s="1" t="s">
        <v>14926</v>
      </c>
      <c r="C14927" s="3">
        <v>5</v>
      </c>
    </row>
    <row r="14928" spans="1:3" x14ac:dyDescent="0.25">
      <c r="A14928" s="1" t="s">
        <v>14927</v>
      </c>
      <c r="C14928" s="3">
        <v>5</v>
      </c>
    </row>
    <row r="14929" spans="1:3" x14ac:dyDescent="0.25">
      <c r="A14929" s="1" t="s">
        <v>14928</v>
      </c>
      <c r="C14929" s="3">
        <v>5</v>
      </c>
    </row>
    <row r="14930" spans="1:3" x14ac:dyDescent="0.25">
      <c r="A14930" s="1" t="s">
        <v>14929</v>
      </c>
      <c r="C14930" s="3">
        <v>5</v>
      </c>
    </row>
    <row r="14931" spans="1:3" x14ac:dyDescent="0.25">
      <c r="A14931" s="1" t="s">
        <v>14930</v>
      </c>
      <c r="C14931" s="3">
        <v>5</v>
      </c>
    </row>
    <row r="14932" spans="1:3" x14ac:dyDescent="0.25">
      <c r="A14932" s="1" t="s">
        <v>14931</v>
      </c>
      <c r="C14932" s="3">
        <v>5</v>
      </c>
    </row>
    <row r="14933" spans="1:3" x14ac:dyDescent="0.25">
      <c r="A14933" s="1" t="s">
        <v>14932</v>
      </c>
      <c r="C14933" s="3">
        <v>5</v>
      </c>
    </row>
    <row r="14934" spans="1:3" x14ac:dyDescent="0.25">
      <c r="A14934" s="1" t="s">
        <v>14933</v>
      </c>
      <c r="C14934" s="3">
        <v>5</v>
      </c>
    </row>
    <row r="14935" spans="1:3" x14ac:dyDescent="0.25">
      <c r="A14935" s="1" t="s">
        <v>14934</v>
      </c>
      <c r="C14935" s="3">
        <v>5</v>
      </c>
    </row>
    <row r="14936" spans="1:3" x14ac:dyDescent="0.25">
      <c r="A14936" s="1" t="s">
        <v>14935</v>
      </c>
      <c r="C14936" s="3">
        <v>5</v>
      </c>
    </row>
    <row r="14937" spans="1:3" x14ac:dyDescent="0.25">
      <c r="A14937" s="1" t="s">
        <v>14936</v>
      </c>
      <c r="C14937" s="3">
        <v>5</v>
      </c>
    </row>
    <row r="14938" spans="1:3" x14ac:dyDescent="0.25">
      <c r="A14938" s="1" t="s">
        <v>14937</v>
      </c>
      <c r="C14938" s="3">
        <v>5</v>
      </c>
    </row>
    <row r="14939" spans="1:3" x14ac:dyDescent="0.25">
      <c r="A14939" s="1" t="s">
        <v>14938</v>
      </c>
      <c r="C14939" s="3">
        <v>5</v>
      </c>
    </row>
    <row r="14940" spans="1:3" x14ac:dyDescent="0.25">
      <c r="A14940" s="1" t="s">
        <v>14939</v>
      </c>
      <c r="C14940" s="3">
        <v>5</v>
      </c>
    </row>
    <row r="14941" spans="1:3" x14ac:dyDescent="0.25">
      <c r="A14941" s="1" t="s">
        <v>14940</v>
      </c>
      <c r="C14941" s="3">
        <v>5</v>
      </c>
    </row>
    <row r="14942" spans="1:3" x14ac:dyDescent="0.25">
      <c r="A14942" s="1" t="s">
        <v>14941</v>
      </c>
      <c r="C14942" s="3">
        <v>5</v>
      </c>
    </row>
    <row r="14943" spans="1:3" x14ac:dyDescent="0.25">
      <c r="A14943" s="1" t="s">
        <v>14942</v>
      </c>
      <c r="C14943" s="3">
        <v>5</v>
      </c>
    </row>
    <row r="14944" spans="1:3" x14ac:dyDescent="0.25">
      <c r="A14944" s="1" t="s">
        <v>14943</v>
      </c>
      <c r="C14944" s="3">
        <v>5</v>
      </c>
    </row>
    <row r="14945" spans="1:3" x14ac:dyDescent="0.25">
      <c r="A14945" s="1" t="s">
        <v>14944</v>
      </c>
      <c r="C14945" s="3">
        <v>5</v>
      </c>
    </row>
    <row r="14946" spans="1:3" x14ac:dyDescent="0.25">
      <c r="A14946" s="1" t="s">
        <v>14945</v>
      </c>
      <c r="C14946" s="3">
        <v>5</v>
      </c>
    </row>
    <row r="14947" spans="1:3" x14ac:dyDescent="0.25">
      <c r="A14947" s="1" t="s">
        <v>14946</v>
      </c>
      <c r="C14947" s="3">
        <v>5</v>
      </c>
    </row>
    <row r="14948" spans="1:3" x14ac:dyDescent="0.25">
      <c r="A14948" s="1" t="s">
        <v>14947</v>
      </c>
      <c r="C14948" s="3">
        <v>5</v>
      </c>
    </row>
    <row r="14949" spans="1:3" x14ac:dyDescent="0.25">
      <c r="A14949" s="1" t="s">
        <v>14948</v>
      </c>
      <c r="C14949" s="3">
        <v>5</v>
      </c>
    </row>
    <row r="14950" spans="1:3" x14ac:dyDescent="0.25">
      <c r="A14950" s="1" t="s">
        <v>14949</v>
      </c>
      <c r="C14950" s="3">
        <v>5</v>
      </c>
    </row>
    <row r="14951" spans="1:3" x14ac:dyDescent="0.25">
      <c r="A14951" s="1" t="s">
        <v>14950</v>
      </c>
      <c r="C14951" s="3">
        <v>5</v>
      </c>
    </row>
    <row r="14952" spans="1:3" x14ac:dyDescent="0.25">
      <c r="A14952" s="1" t="s">
        <v>14951</v>
      </c>
      <c r="C14952" s="3">
        <v>5</v>
      </c>
    </row>
    <row r="14953" spans="1:3" x14ac:dyDescent="0.25">
      <c r="A14953" s="1" t="s">
        <v>14952</v>
      </c>
      <c r="C14953" s="3">
        <v>5</v>
      </c>
    </row>
    <row r="14954" spans="1:3" x14ac:dyDescent="0.25">
      <c r="A14954" s="1" t="s">
        <v>14953</v>
      </c>
      <c r="C14954" s="3">
        <v>5</v>
      </c>
    </row>
    <row r="14955" spans="1:3" x14ac:dyDescent="0.25">
      <c r="A14955" s="1" t="s">
        <v>14954</v>
      </c>
      <c r="C14955" s="3">
        <v>5</v>
      </c>
    </row>
    <row r="14956" spans="1:3" x14ac:dyDescent="0.25">
      <c r="A14956" s="1" t="s">
        <v>14955</v>
      </c>
      <c r="C14956" s="3">
        <v>5</v>
      </c>
    </row>
    <row r="14957" spans="1:3" x14ac:dyDescent="0.25">
      <c r="A14957" s="1" t="s">
        <v>14956</v>
      </c>
      <c r="C14957" s="3">
        <v>5</v>
      </c>
    </row>
    <row r="14958" spans="1:3" x14ac:dyDescent="0.25">
      <c r="A14958" s="1" t="s">
        <v>14957</v>
      </c>
      <c r="C14958" s="3">
        <v>5</v>
      </c>
    </row>
    <row r="14959" spans="1:3" x14ac:dyDescent="0.25">
      <c r="A14959" s="1" t="s">
        <v>14958</v>
      </c>
      <c r="C14959" s="3">
        <v>5</v>
      </c>
    </row>
    <row r="14960" spans="1:3" x14ac:dyDescent="0.25">
      <c r="A14960" s="1" t="s">
        <v>14959</v>
      </c>
      <c r="C14960" s="3">
        <v>5</v>
      </c>
    </row>
    <row r="14961" spans="1:3" x14ac:dyDescent="0.25">
      <c r="A14961" s="1" t="s">
        <v>14960</v>
      </c>
      <c r="C14961" s="3">
        <v>5</v>
      </c>
    </row>
    <row r="14962" spans="1:3" x14ac:dyDescent="0.25">
      <c r="A14962" s="1" t="s">
        <v>14961</v>
      </c>
      <c r="C14962" s="3">
        <v>5</v>
      </c>
    </row>
    <row r="14963" spans="1:3" x14ac:dyDescent="0.25">
      <c r="A14963" s="1" t="s">
        <v>14962</v>
      </c>
      <c r="C14963" s="3">
        <v>5</v>
      </c>
    </row>
    <row r="14964" spans="1:3" x14ac:dyDescent="0.25">
      <c r="A14964" s="1" t="s">
        <v>14963</v>
      </c>
      <c r="C14964" s="3">
        <v>5</v>
      </c>
    </row>
    <row r="14965" spans="1:3" x14ac:dyDescent="0.25">
      <c r="A14965" s="1" t="s">
        <v>14964</v>
      </c>
      <c r="C14965" s="3">
        <v>5</v>
      </c>
    </row>
    <row r="14966" spans="1:3" x14ac:dyDescent="0.25">
      <c r="A14966" s="1" t="s">
        <v>14965</v>
      </c>
      <c r="C14966" s="3">
        <v>5</v>
      </c>
    </row>
    <row r="14967" spans="1:3" x14ac:dyDescent="0.25">
      <c r="A14967" s="1" t="s">
        <v>14966</v>
      </c>
      <c r="C14967" s="3">
        <v>5</v>
      </c>
    </row>
    <row r="14968" spans="1:3" x14ac:dyDescent="0.25">
      <c r="A14968" s="1" t="s">
        <v>14967</v>
      </c>
      <c r="C14968" s="3">
        <v>5</v>
      </c>
    </row>
    <row r="14969" spans="1:3" x14ac:dyDescent="0.25">
      <c r="A14969" s="1" t="s">
        <v>14968</v>
      </c>
      <c r="C14969" s="3">
        <v>5</v>
      </c>
    </row>
    <row r="14970" spans="1:3" x14ac:dyDescent="0.25">
      <c r="A14970" s="1" t="s">
        <v>14969</v>
      </c>
      <c r="C14970" s="3">
        <v>5</v>
      </c>
    </row>
    <row r="14971" spans="1:3" x14ac:dyDescent="0.25">
      <c r="A14971" s="1" t="s">
        <v>14970</v>
      </c>
      <c r="C14971" s="3">
        <v>5</v>
      </c>
    </row>
    <row r="14972" spans="1:3" x14ac:dyDescent="0.25">
      <c r="A14972" s="1" t="s">
        <v>14971</v>
      </c>
      <c r="C14972" s="3">
        <v>5</v>
      </c>
    </row>
    <row r="14973" spans="1:3" x14ac:dyDescent="0.25">
      <c r="A14973" s="1" t="s">
        <v>14972</v>
      </c>
      <c r="C14973" s="3">
        <v>5</v>
      </c>
    </row>
    <row r="14974" spans="1:3" x14ac:dyDescent="0.25">
      <c r="A14974" s="1" t="s">
        <v>14973</v>
      </c>
      <c r="C14974" s="3">
        <v>5</v>
      </c>
    </row>
    <row r="14975" spans="1:3" x14ac:dyDescent="0.25">
      <c r="A14975" s="1" t="s">
        <v>14974</v>
      </c>
      <c r="C14975" s="3">
        <v>5</v>
      </c>
    </row>
    <row r="14976" spans="1:3" x14ac:dyDescent="0.25">
      <c r="A14976" s="1" t="s">
        <v>14975</v>
      </c>
      <c r="C14976" s="3">
        <v>5</v>
      </c>
    </row>
    <row r="14977" spans="1:3" x14ac:dyDescent="0.25">
      <c r="A14977" s="1" t="s">
        <v>14976</v>
      </c>
      <c r="C14977" s="3">
        <v>5</v>
      </c>
    </row>
    <row r="14978" spans="1:3" x14ac:dyDescent="0.25">
      <c r="A14978" s="1" t="s">
        <v>14977</v>
      </c>
      <c r="C14978" s="3">
        <v>5</v>
      </c>
    </row>
    <row r="14979" spans="1:3" x14ac:dyDescent="0.25">
      <c r="A14979" s="1" t="s">
        <v>14978</v>
      </c>
      <c r="C14979" s="3">
        <v>5</v>
      </c>
    </row>
    <row r="14980" spans="1:3" x14ac:dyDescent="0.25">
      <c r="A14980" s="1" t="s">
        <v>14979</v>
      </c>
      <c r="C14980" s="3">
        <v>5</v>
      </c>
    </row>
    <row r="14981" spans="1:3" x14ac:dyDescent="0.25">
      <c r="A14981" s="1" t="s">
        <v>14980</v>
      </c>
      <c r="C14981" s="3">
        <v>5</v>
      </c>
    </row>
    <row r="14982" spans="1:3" x14ac:dyDescent="0.25">
      <c r="A14982" s="1" t="s">
        <v>14981</v>
      </c>
      <c r="C14982" s="3">
        <v>5</v>
      </c>
    </row>
    <row r="14983" spans="1:3" x14ac:dyDescent="0.25">
      <c r="A14983" s="1" t="s">
        <v>14982</v>
      </c>
      <c r="C14983" s="3">
        <v>5</v>
      </c>
    </row>
    <row r="14984" spans="1:3" x14ac:dyDescent="0.25">
      <c r="A14984" s="1" t="s">
        <v>14983</v>
      </c>
      <c r="C14984" s="3">
        <v>5</v>
      </c>
    </row>
    <row r="14985" spans="1:3" x14ac:dyDescent="0.25">
      <c r="A14985" s="1" t="s">
        <v>14984</v>
      </c>
      <c r="C14985" s="3">
        <v>5</v>
      </c>
    </row>
    <row r="14986" spans="1:3" x14ac:dyDescent="0.25">
      <c r="A14986" s="1" t="s">
        <v>14985</v>
      </c>
      <c r="C14986" s="3">
        <v>5</v>
      </c>
    </row>
    <row r="14987" spans="1:3" x14ac:dyDescent="0.25">
      <c r="A14987" s="1" t="s">
        <v>14986</v>
      </c>
      <c r="C14987" s="3">
        <v>5</v>
      </c>
    </row>
    <row r="14988" spans="1:3" x14ac:dyDescent="0.25">
      <c r="A14988" s="1" t="s">
        <v>14987</v>
      </c>
      <c r="C14988" s="3">
        <v>5</v>
      </c>
    </row>
    <row r="14989" spans="1:3" x14ac:dyDescent="0.25">
      <c r="A14989" s="1" t="s">
        <v>14988</v>
      </c>
      <c r="C14989" s="3">
        <v>5</v>
      </c>
    </row>
    <row r="14990" spans="1:3" x14ac:dyDescent="0.25">
      <c r="A14990" s="1" t="s">
        <v>14989</v>
      </c>
      <c r="C14990" s="3">
        <v>5</v>
      </c>
    </row>
    <row r="14991" spans="1:3" x14ac:dyDescent="0.25">
      <c r="A14991" s="1" t="s">
        <v>14990</v>
      </c>
      <c r="C14991" s="3">
        <v>5</v>
      </c>
    </row>
    <row r="14992" spans="1:3" x14ac:dyDescent="0.25">
      <c r="A14992" s="1" t="s">
        <v>14991</v>
      </c>
      <c r="C14992" s="3">
        <v>5</v>
      </c>
    </row>
    <row r="14993" spans="1:3" x14ac:dyDescent="0.25">
      <c r="A14993" s="1" t="s">
        <v>14992</v>
      </c>
      <c r="C14993" s="3">
        <v>5</v>
      </c>
    </row>
    <row r="14994" spans="1:3" x14ac:dyDescent="0.25">
      <c r="A14994" s="1" t="s">
        <v>14993</v>
      </c>
      <c r="C14994" s="3">
        <v>5</v>
      </c>
    </row>
    <row r="14995" spans="1:3" x14ac:dyDescent="0.25">
      <c r="A14995" s="1" t="s">
        <v>14994</v>
      </c>
      <c r="C14995" s="3">
        <v>5</v>
      </c>
    </row>
    <row r="14996" spans="1:3" x14ac:dyDescent="0.25">
      <c r="A14996" s="1" t="s">
        <v>14995</v>
      </c>
      <c r="C14996" s="3">
        <v>5</v>
      </c>
    </row>
    <row r="14997" spans="1:3" x14ac:dyDescent="0.25">
      <c r="A14997" s="1" t="s">
        <v>14996</v>
      </c>
      <c r="C14997" s="3">
        <v>5</v>
      </c>
    </row>
    <row r="14998" spans="1:3" x14ac:dyDescent="0.25">
      <c r="A14998" s="1" t="s">
        <v>14997</v>
      </c>
      <c r="C14998" s="3">
        <v>5</v>
      </c>
    </row>
    <row r="14999" spans="1:3" x14ac:dyDescent="0.25">
      <c r="A14999" s="1" t="s">
        <v>14998</v>
      </c>
      <c r="C14999" s="3">
        <v>5</v>
      </c>
    </row>
    <row r="15000" spans="1:3" x14ac:dyDescent="0.25">
      <c r="A15000" s="1" t="s">
        <v>14999</v>
      </c>
      <c r="C15000" s="3">
        <v>5</v>
      </c>
    </row>
    <row r="15001" spans="1:3" x14ac:dyDescent="0.25">
      <c r="A15001" s="1" t="s">
        <v>15000</v>
      </c>
      <c r="C15001" s="3">
        <v>5</v>
      </c>
    </row>
    <row r="15002" spans="1:3" x14ac:dyDescent="0.25">
      <c r="A15002" s="1" t="s">
        <v>15001</v>
      </c>
      <c r="C15002" s="3">
        <v>5</v>
      </c>
    </row>
    <row r="15003" spans="1:3" x14ac:dyDescent="0.25">
      <c r="A15003" s="1" t="s">
        <v>15002</v>
      </c>
      <c r="C15003" s="3">
        <v>5</v>
      </c>
    </row>
    <row r="15004" spans="1:3" x14ac:dyDescent="0.25">
      <c r="A15004" s="1" t="s">
        <v>15003</v>
      </c>
      <c r="C15004" s="3">
        <v>5</v>
      </c>
    </row>
    <row r="15005" spans="1:3" x14ac:dyDescent="0.25">
      <c r="A15005" s="1" t="s">
        <v>15004</v>
      </c>
      <c r="C15005" s="3">
        <v>5</v>
      </c>
    </row>
    <row r="15006" spans="1:3" x14ac:dyDescent="0.25">
      <c r="A15006" s="1" t="s">
        <v>15005</v>
      </c>
      <c r="C15006" s="3">
        <v>5</v>
      </c>
    </row>
    <row r="15007" spans="1:3" x14ac:dyDescent="0.25">
      <c r="A15007" s="1" t="s">
        <v>15006</v>
      </c>
      <c r="C15007" s="3">
        <v>5</v>
      </c>
    </row>
    <row r="15008" spans="1:3" x14ac:dyDescent="0.25">
      <c r="A15008" s="1" t="s">
        <v>15007</v>
      </c>
      <c r="C15008" s="3">
        <v>5</v>
      </c>
    </row>
    <row r="15009" spans="1:3" x14ac:dyDescent="0.25">
      <c r="A15009" s="1" t="s">
        <v>15008</v>
      </c>
      <c r="C15009" s="3">
        <v>5</v>
      </c>
    </row>
    <row r="15010" spans="1:3" x14ac:dyDescent="0.25">
      <c r="A15010" s="1" t="s">
        <v>15009</v>
      </c>
      <c r="C15010" s="3">
        <v>5</v>
      </c>
    </row>
    <row r="15011" spans="1:3" x14ac:dyDescent="0.25">
      <c r="A15011" s="1" t="s">
        <v>15010</v>
      </c>
      <c r="C15011" s="3">
        <v>5</v>
      </c>
    </row>
    <row r="15012" spans="1:3" x14ac:dyDescent="0.25">
      <c r="A15012" s="1" t="s">
        <v>15011</v>
      </c>
      <c r="C15012" s="3">
        <v>5</v>
      </c>
    </row>
    <row r="15013" spans="1:3" x14ac:dyDescent="0.25">
      <c r="A15013" s="1" t="s">
        <v>15012</v>
      </c>
      <c r="C15013" s="3">
        <v>5</v>
      </c>
    </row>
    <row r="15014" spans="1:3" x14ac:dyDescent="0.25">
      <c r="A15014" s="1" t="s">
        <v>15013</v>
      </c>
      <c r="C15014" s="3">
        <v>5</v>
      </c>
    </row>
    <row r="15015" spans="1:3" x14ac:dyDescent="0.25">
      <c r="A15015" s="1" t="s">
        <v>15014</v>
      </c>
      <c r="C15015" s="3">
        <v>5</v>
      </c>
    </row>
    <row r="15016" spans="1:3" x14ac:dyDescent="0.25">
      <c r="A15016" s="1" t="s">
        <v>15015</v>
      </c>
      <c r="C15016" s="3">
        <v>5</v>
      </c>
    </row>
    <row r="15017" spans="1:3" x14ac:dyDescent="0.25">
      <c r="A15017" s="1" t="s">
        <v>15016</v>
      </c>
      <c r="C15017" s="3">
        <v>5</v>
      </c>
    </row>
    <row r="15018" spans="1:3" x14ac:dyDescent="0.25">
      <c r="A15018" s="1" t="s">
        <v>15017</v>
      </c>
      <c r="C15018" s="3">
        <v>5</v>
      </c>
    </row>
    <row r="15019" spans="1:3" x14ac:dyDescent="0.25">
      <c r="A15019" s="1" t="s">
        <v>15018</v>
      </c>
      <c r="C15019" s="3">
        <v>5</v>
      </c>
    </row>
    <row r="15020" spans="1:3" x14ac:dyDescent="0.25">
      <c r="A15020" s="1" t="s">
        <v>15019</v>
      </c>
      <c r="C15020" s="3">
        <v>5</v>
      </c>
    </row>
    <row r="15021" spans="1:3" x14ac:dyDescent="0.25">
      <c r="A15021" s="1" t="s">
        <v>15020</v>
      </c>
      <c r="C15021" s="3">
        <v>5</v>
      </c>
    </row>
    <row r="15022" spans="1:3" x14ac:dyDescent="0.25">
      <c r="A15022" s="1" t="s">
        <v>15021</v>
      </c>
      <c r="C15022" s="3">
        <v>5</v>
      </c>
    </row>
    <row r="15023" spans="1:3" x14ac:dyDescent="0.25">
      <c r="A15023" s="1" t="s">
        <v>15022</v>
      </c>
      <c r="C15023" s="3">
        <v>5</v>
      </c>
    </row>
    <row r="15024" spans="1:3" x14ac:dyDescent="0.25">
      <c r="A15024" s="1" t="s">
        <v>15023</v>
      </c>
      <c r="C15024" s="3">
        <v>5</v>
      </c>
    </row>
    <row r="15025" spans="1:3" x14ac:dyDescent="0.25">
      <c r="A15025" s="1" t="s">
        <v>15024</v>
      </c>
      <c r="C15025" s="3">
        <v>5</v>
      </c>
    </row>
    <row r="15026" spans="1:3" x14ac:dyDescent="0.25">
      <c r="A15026" s="1" t="s">
        <v>15025</v>
      </c>
      <c r="C15026" s="3">
        <v>5</v>
      </c>
    </row>
    <row r="15027" spans="1:3" x14ac:dyDescent="0.25">
      <c r="A15027" s="1" t="s">
        <v>15026</v>
      </c>
      <c r="C15027" s="3">
        <v>5</v>
      </c>
    </row>
    <row r="15028" spans="1:3" x14ac:dyDescent="0.25">
      <c r="A15028" s="1" t="s">
        <v>15027</v>
      </c>
      <c r="C15028" s="3">
        <v>5</v>
      </c>
    </row>
    <row r="15029" spans="1:3" x14ac:dyDescent="0.25">
      <c r="A15029" s="1" t="s">
        <v>15028</v>
      </c>
      <c r="C15029" s="3">
        <v>5</v>
      </c>
    </row>
    <row r="15030" spans="1:3" x14ac:dyDescent="0.25">
      <c r="A15030" s="1" t="s">
        <v>15029</v>
      </c>
      <c r="C15030" s="3">
        <v>5</v>
      </c>
    </row>
    <row r="15031" spans="1:3" x14ac:dyDescent="0.25">
      <c r="A15031" s="1" t="s">
        <v>15030</v>
      </c>
      <c r="C15031" s="3">
        <v>5</v>
      </c>
    </row>
    <row r="15032" spans="1:3" x14ac:dyDescent="0.25">
      <c r="A15032" s="1" t="s">
        <v>15031</v>
      </c>
      <c r="C15032" s="3">
        <v>5</v>
      </c>
    </row>
    <row r="15033" spans="1:3" x14ac:dyDescent="0.25">
      <c r="A15033" s="1" t="s">
        <v>15032</v>
      </c>
      <c r="C15033" s="3">
        <v>5</v>
      </c>
    </row>
    <row r="15034" spans="1:3" x14ac:dyDescent="0.25">
      <c r="A15034" s="1" t="s">
        <v>15033</v>
      </c>
      <c r="C15034" s="3">
        <v>5</v>
      </c>
    </row>
    <row r="15035" spans="1:3" x14ac:dyDescent="0.25">
      <c r="A15035" s="1" t="s">
        <v>15034</v>
      </c>
      <c r="C15035" s="3">
        <v>5</v>
      </c>
    </row>
    <row r="15036" spans="1:3" x14ac:dyDescent="0.25">
      <c r="A15036" s="1" t="s">
        <v>15035</v>
      </c>
      <c r="C15036" s="3">
        <v>5</v>
      </c>
    </row>
    <row r="15037" spans="1:3" x14ac:dyDescent="0.25">
      <c r="A15037" s="1" t="s">
        <v>15036</v>
      </c>
      <c r="C15037" s="3">
        <v>5</v>
      </c>
    </row>
    <row r="15038" spans="1:3" x14ac:dyDescent="0.25">
      <c r="A15038" s="1" t="s">
        <v>15037</v>
      </c>
      <c r="C15038" s="3">
        <v>5</v>
      </c>
    </row>
    <row r="15039" spans="1:3" x14ac:dyDescent="0.25">
      <c r="A15039" s="1" t="s">
        <v>15038</v>
      </c>
      <c r="C15039" s="3">
        <v>5</v>
      </c>
    </row>
    <row r="15040" spans="1:3" x14ac:dyDescent="0.25">
      <c r="A15040" s="1" t="s">
        <v>15039</v>
      </c>
      <c r="C15040" s="3">
        <v>5</v>
      </c>
    </row>
    <row r="15041" spans="1:3" x14ac:dyDescent="0.25">
      <c r="A15041" s="1" t="s">
        <v>15040</v>
      </c>
      <c r="C15041" s="3">
        <v>5</v>
      </c>
    </row>
    <row r="15042" spans="1:3" x14ac:dyDescent="0.25">
      <c r="A15042" s="1" t="s">
        <v>15041</v>
      </c>
      <c r="C15042" s="3">
        <v>5</v>
      </c>
    </row>
    <row r="15043" spans="1:3" x14ac:dyDescent="0.25">
      <c r="A15043" s="1" t="s">
        <v>15042</v>
      </c>
      <c r="C15043" s="3">
        <v>5</v>
      </c>
    </row>
    <row r="15044" spans="1:3" x14ac:dyDescent="0.25">
      <c r="A15044" s="1" t="s">
        <v>15043</v>
      </c>
      <c r="C15044" s="3">
        <v>5</v>
      </c>
    </row>
    <row r="15045" spans="1:3" x14ac:dyDescent="0.25">
      <c r="A15045" s="1" t="s">
        <v>15044</v>
      </c>
      <c r="C15045" s="3">
        <v>5</v>
      </c>
    </row>
    <row r="15046" spans="1:3" x14ac:dyDescent="0.25">
      <c r="A15046" s="1" t="s">
        <v>15045</v>
      </c>
      <c r="C15046" s="3">
        <v>5</v>
      </c>
    </row>
    <row r="15047" spans="1:3" x14ac:dyDescent="0.25">
      <c r="A15047" s="1" t="s">
        <v>15046</v>
      </c>
      <c r="C15047" s="3">
        <v>5</v>
      </c>
    </row>
    <row r="15048" spans="1:3" x14ac:dyDescent="0.25">
      <c r="A15048" s="1" t="s">
        <v>15047</v>
      </c>
      <c r="C15048" s="3">
        <v>5</v>
      </c>
    </row>
    <row r="15049" spans="1:3" x14ac:dyDescent="0.25">
      <c r="A15049" s="1" t="s">
        <v>15048</v>
      </c>
      <c r="C15049" s="3">
        <v>5</v>
      </c>
    </row>
    <row r="15050" spans="1:3" x14ac:dyDescent="0.25">
      <c r="A15050" s="1" t="s">
        <v>15049</v>
      </c>
      <c r="C15050" s="3">
        <v>5</v>
      </c>
    </row>
    <row r="15051" spans="1:3" x14ac:dyDescent="0.25">
      <c r="A15051" s="1" t="s">
        <v>15050</v>
      </c>
      <c r="C15051" s="3">
        <v>5</v>
      </c>
    </row>
    <row r="15052" spans="1:3" x14ac:dyDescent="0.25">
      <c r="A15052" s="1" t="s">
        <v>15051</v>
      </c>
      <c r="C15052" s="3">
        <v>5</v>
      </c>
    </row>
    <row r="15053" spans="1:3" x14ac:dyDescent="0.25">
      <c r="A15053" s="1" t="s">
        <v>15052</v>
      </c>
      <c r="C15053" s="3">
        <v>5</v>
      </c>
    </row>
    <row r="15054" spans="1:3" x14ac:dyDescent="0.25">
      <c r="A15054" s="1" t="s">
        <v>15053</v>
      </c>
      <c r="C15054" s="3">
        <v>5</v>
      </c>
    </row>
    <row r="15055" spans="1:3" x14ac:dyDescent="0.25">
      <c r="A15055" s="1" t="s">
        <v>15054</v>
      </c>
      <c r="C15055" s="3">
        <v>5</v>
      </c>
    </row>
    <row r="15056" spans="1:3" x14ac:dyDescent="0.25">
      <c r="A15056" s="1" t="s">
        <v>15055</v>
      </c>
      <c r="C15056" s="3">
        <v>5</v>
      </c>
    </row>
    <row r="15057" spans="1:3" x14ac:dyDescent="0.25">
      <c r="A15057" s="1" t="s">
        <v>15056</v>
      </c>
      <c r="C15057" s="3">
        <v>5</v>
      </c>
    </row>
    <row r="15058" spans="1:3" x14ac:dyDescent="0.25">
      <c r="A15058" s="1" t="s">
        <v>15057</v>
      </c>
      <c r="C15058" s="3">
        <v>5</v>
      </c>
    </row>
    <row r="15059" spans="1:3" x14ac:dyDescent="0.25">
      <c r="A15059" s="1" t="s">
        <v>15058</v>
      </c>
      <c r="C15059" s="3">
        <v>5</v>
      </c>
    </row>
    <row r="15060" spans="1:3" x14ac:dyDescent="0.25">
      <c r="A15060" s="1" t="s">
        <v>15059</v>
      </c>
      <c r="C15060" s="3">
        <v>5</v>
      </c>
    </row>
    <row r="15061" spans="1:3" x14ac:dyDescent="0.25">
      <c r="A15061" s="1" t="s">
        <v>15060</v>
      </c>
      <c r="C15061" s="3">
        <v>5</v>
      </c>
    </row>
    <row r="15062" spans="1:3" x14ac:dyDescent="0.25">
      <c r="A15062" s="1" t="s">
        <v>15061</v>
      </c>
      <c r="C15062" s="3">
        <v>5</v>
      </c>
    </row>
    <row r="15063" spans="1:3" x14ac:dyDescent="0.25">
      <c r="A15063" s="1" t="s">
        <v>15062</v>
      </c>
      <c r="C15063" s="3">
        <v>5</v>
      </c>
    </row>
    <row r="15064" spans="1:3" x14ac:dyDescent="0.25">
      <c r="A15064" s="1" t="s">
        <v>15063</v>
      </c>
      <c r="C15064" s="3">
        <v>5</v>
      </c>
    </row>
    <row r="15065" spans="1:3" x14ac:dyDescent="0.25">
      <c r="A15065" s="1" t="s">
        <v>15064</v>
      </c>
      <c r="C15065" s="3">
        <v>5</v>
      </c>
    </row>
    <row r="15066" spans="1:3" x14ac:dyDescent="0.25">
      <c r="A15066" s="1" t="s">
        <v>15065</v>
      </c>
      <c r="C15066" s="3">
        <v>5</v>
      </c>
    </row>
    <row r="15067" spans="1:3" x14ac:dyDescent="0.25">
      <c r="A15067" s="1" t="s">
        <v>15066</v>
      </c>
      <c r="C15067" s="3">
        <v>5</v>
      </c>
    </row>
    <row r="15068" spans="1:3" x14ac:dyDescent="0.25">
      <c r="A15068" s="1" t="s">
        <v>15067</v>
      </c>
      <c r="C15068" s="3">
        <v>5</v>
      </c>
    </row>
    <row r="15069" spans="1:3" x14ac:dyDescent="0.25">
      <c r="A15069" s="1" t="s">
        <v>15068</v>
      </c>
      <c r="C15069" s="3">
        <v>5</v>
      </c>
    </row>
    <row r="15070" spans="1:3" x14ac:dyDescent="0.25">
      <c r="A15070" s="1" t="s">
        <v>15069</v>
      </c>
      <c r="C15070" s="3">
        <v>5</v>
      </c>
    </row>
    <row r="15071" spans="1:3" x14ac:dyDescent="0.25">
      <c r="A15071" s="1" t="s">
        <v>15070</v>
      </c>
      <c r="C15071" s="3">
        <v>5</v>
      </c>
    </row>
    <row r="15072" spans="1:3" x14ac:dyDescent="0.25">
      <c r="A15072" s="1" t="s">
        <v>15071</v>
      </c>
      <c r="C15072" s="3">
        <v>5</v>
      </c>
    </row>
    <row r="15073" spans="1:3" x14ac:dyDescent="0.25">
      <c r="A15073" s="1" t="s">
        <v>15072</v>
      </c>
      <c r="C15073" s="3">
        <v>5</v>
      </c>
    </row>
    <row r="15074" spans="1:3" x14ac:dyDescent="0.25">
      <c r="A15074" s="1" t="s">
        <v>15073</v>
      </c>
      <c r="C15074" s="3">
        <v>5</v>
      </c>
    </row>
    <row r="15075" spans="1:3" x14ac:dyDescent="0.25">
      <c r="A15075" s="1" t="s">
        <v>15074</v>
      </c>
      <c r="C15075" s="3">
        <v>5</v>
      </c>
    </row>
    <row r="15076" spans="1:3" x14ac:dyDescent="0.25">
      <c r="A15076" s="1" t="s">
        <v>15075</v>
      </c>
      <c r="C15076" s="3">
        <v>5</v>
      </c>
    </row>
    <row r="15077" spans="1:3" x14ac:dyDescent="0.25">
      <c r="A15077" s="1" t="s">
        <v>15076</v>
      </c>
      <c r="C15077" s="3">
        <v>5</v>
      </c>
    </row>
    <row r="15078" spans="1:3" x14ac:dyDescent="0.25">
      <c r="A15078" s="1" t="s">
        <v>15077</v>
      </c>
      <c r="C15078" s="3">
        <v>5</v>
      </c>
    </row>
    <row r="15079" spans="1:3" x14ac:dyDescent="0.25">
      <c r="A15079" s="1" t="s">
        <v>15078</v>
      </c>
      <c r="C15079" s="3">
        <v>5</v>
      </c>
    </row>
    <row r="15080" spans="1:3" x14ac:dyDescent="0.25">
      <c r="A15080" s="1" t="s">
        <v>15079</v>
      </c>
      <c r="C15080" s="3">
        <v>5</v>
      </c>
    </row>
    <row r="15081" spans="1:3" x14ac:dyDescent="0.25">
      <c r="A15081" s="1" t="s">
        <v>15080</v>
      </c>
      <c r="C15081" s="3">
        <v>5</v>
      </c>
    </row>
    <row r="15082" spans="1:3" x14ac:dyDescent="0.25">
      <c r="A15082" s="1" t="s">
        <v>15081</v>
      </c>
      <c r="C15082" s="3">
        <v>5</v>
      </c>
    </row>
    <row r="15083" spans="1:3" x14ac:dyDescent="0.25">
      <c r="A15083" s="1" t="s">
        <v>15082</v>
      </c>
      <c r="C15083" s="3">
        <v>5</v>
      </c>
    </row>
    <row r="15084" spans="1:3" x14ac:dyDescent="0.25">
      <c r="A15084" s="1" t="s">
        <v>15083</v>
      </c>
      <c r="C15084" s="3">
        <v>5</v>
      </c>
    </row>
    <row r="15085" spans="1:3" x14ac:dyDescent="0.25">
      <c r="A15085" s="1" t="s">
        <v>15084</v>
      </c>
      <c r="C15085" s="3">
        <v>5</v>
      </c>
    </row>
    <row r="15086" spans="1:3" x14ac:dyDescent="0.25">
      <c r="A15086" s="1" t="s">
        <v>15085</v>
      </c>
      <c r="C15086" s="3">
        <v>5</v>
      </c>
    </row>
    <row r="15087" spans="1:3" x14ac:dyDescent="0.25">
      <c r="A15087" s="1" t="s">
        <v>15086</v>
      </c>
      <c r="C15087" s="3">
        <v>5</v>
      </c>
    </row>
    <row r="15088" spans="1:3" x14ac:dyDescent="0.25">
      <c r="A15088" s="1" t="s">
        <v>15087</v>
      </c>
      <c r="C15088" s="3">
        <v>5</v>
      </c>
    </row>
    <row r="15089" spans="1:3" x14ac:dyDescent="0.25">
      <c r="A15089" s="1" t="s">
        <v>15088</v>
      </c>
      <c r="C15089" s="3">
        <v>5</v>
      </c>
    </row>
    <row r="15090" spans="1:3" x14ac:dyDescent="0.25">
      <c r="A15090" s="1" t="s">
        <v>15089</v>
      </c>
      <c r="C15090" s="3">
        <v>5</v>
      </c>
    </row>
    <row r="15091" spans="1:3" x14ac:dyDescent="0.25">
      <c r="A15091" s="1" t="s">
        <v>15090</v>
      </c>
      <c r="C15091" s="3">
        <v>5</v>
      </c>
    </row>
    <row r="15092" spans="1:3" x14ac:dyDescent="0.25">
      <c r="A15092" s="1" t="s">
        <v>15091</v>
      </c>
      <c r="C15092" s="3">
        <v>5</v>
      </c>
    </row>
    <row r="15093" spans="1:3" x14ac:dyDescent="0.25">
      <c r="A15093" s="1" t="s">
        <v>15092</v>
      </c>
      <c r="C15093" s="3">
        <v>5</v>
      </c>
    </row>
    <row r="15094" spans="1:3" x14ac:dyDescent="0.25">
      <c r="A15094" s="1" t="s">
        <v>15093</v>
      </c>
      <c r="C15094" s="3">
        <v>5</v>
      </c>
    </row>
    <row r="15095" spans="1:3" x14ac:dyDescent="0.25">
      <c r="A15095" s="1" t="s">
        <v>15094</v>
      </c>
      <c r="C15095" s="3">
        <v>5</v>
      </c>
    </row>
    <row r="15096" spans="1:3" x14ac:dyDescent="0.25">
      <c r="A15096" s="1" t="s">
        <v>15095</v>
      </c>
      <c r="C15096" s="3">
        <v>5</v>
      </c>
    </row>
    <row r="15097" spans="1:3" x14ac:dyDescent="0.25">
      <c r="A15097" s="1" t="s">
        <v>15096</v>
      </c>
      <c r="C15097" s="3">
        <v>5</v>
      </c>
    </row>
    <row r="15098" spans="1:3" x14ac:dyDescent="0.25">
      <c r="A15098" s="1" t="s">
        <v>15097</v>
      </c>
      <c r="C15098" s="3">
        <v>5</v>
      </c>
    </row>
    <row r="15099" spans="1:3" x14ac:dyDescent="0.25">
      <c r="A15099" s="1" t="s">
        <v>15098</v>
      </c>
      <c r="C15099" s="3">
        <v>5</v>
      </c>
    </row>
    <row r="15100" spans="1:3" x14ac:dyDescent="0.25">
      <c r="A15100" s="1" t="s">
        <v>15099</v>
      </c>
      <c r="C15100" s="3">
        <v>5</v>
      </c>
    </row>
    <row r="15101" spans="1:3" x14ac:dyDescent="0.25">
      <c r="A15101" s="1" t="s">
        <v>15100</v>
      </c>
      <c r="C15101" s="3">
        <v>5</v>
      </c>
    </row>
    <row r="15102" spans="1:3" x14ac:dyDescent="0.25">
      <c r="A15102" s="1" t="s">
        <v>15101</v>
      </c>
      <c r="C15102" s="3">
        <v>5</v>
      </c>
    </row>
    <row r="15103" spans="1:3" x14ac:dyDescent="0.25">
      <c r="A15103" s="1" t="s">
        <v>15102</v>
      </c>
      <c r="C15103" s="3">
        <v>5</v>
      </c>
    </row>
    <row r="15104" spans="1:3" x14ac:dyDescent="0.25">
      <c r="A15104" s="1" t="s">
        <v>15103</v>
      </c>
      <c r="C15104" s="3">
        <v>5</v>
      </c>
    </row>
    <row r="15105" spans="1:3" x14ac:dyDescent="0.25">
      <c r="A15105" s="1" t="s">
        <v>15104</v>
      </c>
      <c r="C15105" s="3">
        <v>5</v>
      </c>
    </row>
    <row r="15106" spans="1:3" x14ac:dyDescent="0.25">
      <c r="A15106" s="1" t="s">
        <v>15105</v>
      </c>
      <c r="C15106" s="3">
        <v>5</v>
      </c>
    </row>
    <row r="15107" spans="1:3" x14ac:dyDescent="0.25">
      <c r="A15107" s="1" t="s">
        <v>15106</v>
      </c>
      <c r="C15107" s="3">
        <v>5</v>
      </c>
    </row>
    <row r="15108" spans="1:3" x14ac:dyDescent="0.25">
      <c r="A15108" s="1" t="s">
        <v>15107</v>
      </c>
      <c r="C15108" s="3">
        <v>5</v>
      </c>
    </row>
    <row r="15109" spans="1:3" x14ac:dyDescent="0.25">
      <c r="A15109" s="1" t="s">
        <v>15108</v>
      </c>
      <c r="C15109" s="3">
        <v>5</v>
      </c>
    </row>
    <row r="15110" spans="1:3" x14ac:dyDescent="0.25">
      <c r="A15110" s="1" t="s">
        <v>15109</v>
      </c>
      <c r="C15110" s="3">
        <v>5</v>
      </c>
    </row>
    <row r="15111" spans="1:3" x14ac:dyDescent="0.25">
      <c r="A15111" s="1" t="s">
        <v>15110</v>
      </c>
      <c r="C15111" s="3">
        <v>5</v>
      </c>
    </row>
    <row r="15112" spans="1:3" x14ac:dyDescent="0.25">
      <c r="A15112" s="1" t="s">
        <v>15111</v>
      </c>
      <c r="C15112" s="3">
        <v>5</v>
      </c>
    </row>
    <row r="15113" spans="1:3" x14ac:dyDescent="0.25">
      <c r="A15113" s="1" t="s">
        <v>15112</v>
      </c>
      <c r="C15113" s="3">
        <v>5</v>
      </c>
    </row>
    <row r="15114" spans="1:3" x14ac:dyDescent="0.25">
      <c r="A15114" s="1" t="s">
        <v>15113</v>
      </c>
      <c r="C15114" s="3">
        <v>5</v>
      </c>
    </row>
    <row r="15115" spans="1:3" x14ac:dyDescent="0.25">
      <c r="A15115" s="1" t="s">
        <v>15114</v>
      </c>
      <c r="C15115" s="3">
        <v>5</v>
      </c>
    </row>
    <row r="15116" spans="1:3" x14ac:dyDescent="0.25">
      <c r="A15116" s="1" t="s">
        <v>15115</v>
      </c>
      <c r="C15116" s="3">
        <v>5</v>
      </c>
    </row>
    <row r="15117" spans="1:3" x14ac:dyDescent="0.25">
      <c r="A15117" s="1" t="s">
        <v>15116</v>
      </c>
      <c r="C15117" s="3">
        <v>5</v>
      </c>
    </row>
    <row r="15118" spans="1:3" x14ac:dyDescent="0.25">
      <c r="A15118" s="1" t="s">
        <v>15117</v>
      </c>
      <c r="C15118" s="3">
        <v>5</v>
      </c>
    </row>
    <row r="15119" spans="1:3" x14ac:dyDescent="0.25">
      <c r="A15119" s="1" t="s">
        <v>15118</v>
      </c>
      <c r="C15119" s="3">
        <v>5</v>
      </c>
    </row>
    <row r="15120" spans="1:3" x14ac:dyDescent="0.25">
      <c r="A15120" s="1" t="s">
        <v>15119</v>
      </c>
      <c r="C15120" s="3">
        <v>5</v>
      </c>
    </row>
    <row r="15121" spans="1:3" x14ac:dyDescent="0.25">
      <c r="A15121" s="1" t="s">
        <v>15120</v>
      </c>
      <c r="C15121" s="3">
        <v>5</v>
      </c>
    </row>
    <row r="15122" spans="1:3" x14ac:dyDescent="0.25">
      <c r="A15122" s="1" t="s">
        <v>15121</v>
      </c>
      <c r="C15122" s="3">
        <v>5</v>
      </c>
    </row>
    <row r="15123" spans="1:3" x14ac:dyDescent="0.25">
      <c r="A15123" s="1" t="s">
        <v>15122</v>
      </c>
      <c r="C15123" s="3">
        <v>5</v>
      </c>
    </row>
    <row r="15124" spans="1:3" x14ac:dyDescent="0.25">
      <c r="A15124" s="1" t="s">
        <v>15123</v>
      </c>
      <c r="C15124" s="3">
        <v>5</v>
      </c>
    </row>
    <row r="15125" spans="1:3" x14ac:dyDescent="0.25">
      <c r="A15125" s="1" t="s">
        <v>15124</v>
      </c>
      <c r="C15125" s="3">
        <v>5</v>
      </c>
    </row>
    <row r="15126" spans="1:3" x14ac:dyDescent="0.25">
      <c r="A15126" s="1" t="s">
        <v>15125</v>
      </c>
      <c r="C15126" s="3">
        <v>5</v>
      </c>
    </row>
    <row r="15127" spans="1:3" x14ac:dyDescent="0.25">
      <c r="A15127" s="1" t="s">
        <v>15126</v>
      </c>
      <c r="C15127" s="3">
        <v>5</v>
      </c>
    </row>
    <row r="15128" spans="1:3" x14ac:dyDescent="0.25">
      <c r="A15128" s="1" t="s">
        <v>15127</v>
      </c>
      <c r="C15128" s="3">
        <v>5</v>
      </c>
    </row>
    <row r="15129" spans="1:3" x14ac:dyDescent="0.25">
      <c r="A15129" s="1" t="s">
        <v>15128</v>
      </c>
      <c r="C15129" s="3">
        <v>5</v>
      </c>
    </row>
    <row r="15130" spans="1:3" x14ac:dyDescent="0.25">
      <c r="A15130" s="1" t="s">
        <v>15129</v>
      </c>
      <c r="C15130" s="3">
        <v>5</v>
      </c>
    </row>
    <row r="15131" spans="1:3" x14ac:dyDescent="0.25">
      <c r="A15131" s="1" t="s">
        <v>15130</v>
      </c>
      <c r="C15131" s="3">
        <v>5</v>
      </c>
    </row>
    <row r="15132" spans="1:3" x14ac:dyDescent="0.25">
      <c r="A15132" s="1" t="s">
        <v>15131</v>
      </c>
      <c r="C15132" s="3">
        <v>5</v>
      </c>
    </row>
    <row r="15133" spans="1:3" x14ac:dyDescent="0.25">
      <c r="A15133" s="1" t="s">
        <v>15132</v>
      </c>
      <c r="C15133" s="3">
        <v>5</v>
      </c>
    </row>
    <row r="15134" spans="1:3" x14ac:dyDescent="0.25">
      <c r="A15134" s="1" t="s">
        <v>15133</v>
      </c>
      <c r="C15134" s="3">
        <v>5</v>
      </c>
    </row>
    <row r="15135" spans="1:3" x14ac:dyDescent="0.25">
      <c r="A15135" s="1" t="s">
        <v>15134</v>
      </c>
      <c r="C15135" s="3">
        <v>5</v>
      </c>
    </row>
    <row r="15136" spans="1:3" x14ac:dyDescent="0.25">
      <c r="A15136" s="1" t="s">
        <v>15135</v>
      </c>
      <c r="C15136" s="3">
        <v>5</v>
      </c>
    </row>
    <row r="15137" spans="1:3" x14ac:dyDescent="0.25">
      <c r="A15137" s="1" t="s">
        <v>15136</v>
      </c>
      <c r="C15137" s="3">
        <v>5</v>
      </c>
    </row>
    <row r="15138" spans="1:3" x14ac:dyDescent="0.25">
      <c r="A15138" s="1" t="s">
        <v>15137</v>
      </c>
      <c r="C15138" s="3">
        <v>5</v>
      </c>
    </row>
    <row r="15139" spans="1:3" x14ac:dyDescent="0.25">
      <c r="A15139" s="1" t="s">
        <v>15138</v>
      </c>
      <c r="C15139" s="3">
        <v>5</v>
      </c>
    </row>
    <row r="15140" spans="1:3" x14ac:dyDescent="0.25">
      <c r="A15140" s="1" t="s">
        <v>15139</v>
      </c>
      <c r="C15140" s="3">
        <v>5</v>
      </c>
    </row>
    <row r="15141" spans="1:3" x14ac:dyDescent="0.25">
      <c r="A15141" s="1" t="s">
        <v>15140</v>
      </c>
      <c r="C15141" s="3">
        <v>5</v>
      </c>
    </row>
    <row r="15142" spans="1:3" x14ac:dyDescent="0.25">
      <c r="A15142" s="1" t="s">
        <v>15141</v>
      </c>
      <c r="C15142" s="3">
        <v>5</v>
      </c>
    </row>
    <row r="15143" spans="1:3" x14ac:dyDescent="0.25">
      <c r="A15143" s="1" t="s">
        <v>15142</v>
      </c>
      <c r="C15143" s="3">
        <v>5</v>
      </c>
    </row>
    <row r="15144" spans="1:3" x14ac:dyDescent="0.25">
      <c r="A15144" s="1" t="s">
        <v>15143</v>
      </c>
      <c r="C15144" s="3">
        <v>5</v>
      </c>
    </row>
    <row r="15145" spans="1:3" x14ac:dyDescent="0.25">
      <c r="A15145" s="1" t="s">
        <v>15144</v>
      </c>
      <c r="C15145" s="3">
        <v>5</v>
      </c>
    </row>
    <row r="15146" spans="1:3" x14ac:dyDescent="0.25">
      <c r="A15146" s="1" t="s">
        <v>15145</v>
      </c>
      <c r="C15146" s="3">
        <v>5</v>
      </c>
    </row>
    <row r="15147" spans="1:3" x14ac:dyDescent="0.25">
      <c r="A15147" s="1" t="s">
        <v>15146</v>
      </c>
      <c r="C15147" s="3">
        <v>5</v>
      </c>
    </row>
    <row r="15148" spans="1:3" x14ac:dyDescent="0.25">
      <c r="A15148" s="1" t="s">
        <v>15147</v>
      </c>
      <c r="C15148" s="3">
        <v>5</v>
      </c>
    </row>
    <row r="15149" spans="1:3" x14ac:dyDescent="0.25">
      <c r="A15149" s="1" t="s">
        <v>15148</v>
      </c>
      <c r="C15149" s="3">
        <v>5</v>
      </c>
    </row>
    <row r="15150" spans="1:3" x14ac:dyDescent="0.25">
      <c r="A15150" s="1" t="s">
        <v>15149</v>
      </c>
      <c r="C15150" s="3">
        <v>5</v>
      </c>
    </row>
    <row r="15151" spans="1:3" x14ac:dyDescent="0.25">
      <c r="A15151" s="1" t="s">
        <v>15150</v>
      </c>
      <c r="C15151" s="3">
        <v>5</v>
      </c>
    </row>
    <row r="15152" spans="1:3" x14ac:dyDescent="0.25">
      <c r="A15152" s="1" t="s">
        <v>15151</v>
      </c>
      <c r="C15152" s="3">
        <v>5</v>
      </c>
    </row>
    <row r="15153" spans="1:3" x14ac:dyDescent="0.25">
      <c r="A15153" s="1" t="s">
        <v>15152</v>
      </c>
      <c r="C15153" s="3">
        <v>5</v>
      </c>
    </row>
    <row r="15154" spans="1:3" x14ac:dyDescent="0.25">
      <c r="A15154" s="1" t="s">
        <v>15153</v>
      </c>
      <c r="C15154" s="3">
        <v>5</v>
      </c>
    </row>
    <row r="15155" spans="1:3" x14ac:dyDescent="0.25">
      <c r="A15155" s="1" t="s">
        <v>15154</v>
      </c>
      <c r="C15155" s="3">
        <v>5</v>
      </c>
    </row>
    <row r="15156" spans="1:3" x14ac:dyDescent="0.25">
      <c r="A15156" s="1" t="s">
        <v>15155</v>
      </c>
      <c r="C15156" s="3">
        <v>5</v>
      </c>
    </row>
    <row r="15157" spans="1:3" x14ac:dyDescent="0.25">
      <c r="A15157" s="1" t="s">
        <v>15156</v>
      </c>
      <c r="C15157" s="3">
        <v>5</v>
      </c>
    </row>
    <row r="15158" spans="1:3" x14ac:dyDescent="0.25">
      <c r="A15158" s="1" t="s">
        <v>15157</v>
      </c>
      <c r="C15158" s="3">
        <v>5</v>
      </c>
    </row>
    <row r="15159" spans="1:3" x14ac:dyDescent="0.25">
      <c r="A15159" s="1" t="s">
        <v>15158</v>
      </c>
      <c r="C15159" s="3">
        <v>5</v>
      </c>
    </row>
    <row r="15160" spans="1:3" x14ac:dyDescent="0.25">
      <c r="A15160" s="1" t="s">
        <v>15159</v>
      </c>
      <c r="C15160" s="3">
        <v>5</v>
      </c>
    </row>
    <row r="15161" spans="1:3" x14ac:dyDescent="0.25">
      <c r="A15161" s="1" t="s">
        <v>15160</v>
      </c>
      <c r="C15161" s="3">
        <v>5</v>
      </c>
    </row>
    <row r="15162" spans="1:3" x14ac:dyDescent="0.25">
      <c r="A15162" s="1" t="s">
        <v>15161</v>
      </c>
      <c r="C15162" s="3">
        <v>5</v>
      </c>
    </row>
    <row r="15163" spans="1:3" x14ac:dyDescent="0.25">
      <c r="A15163" s="1" t="s">
        <v>15162</v>
      </c>
      <c r="C15163" s="3">
        <v>5</v>
      </c>
    </row>
    <row r="15164" spans="1:3" x14ac:dyDescent="0.25">
      <c r="A15164" s="1" t="s">
        <v>15163</v>
      </c>
      <c r="C15164" s="3">
        <v>5</v>
      </c>
    </row>
    <row r="15165" spans="1:3" x14ac:dyDescent="0.25">
      <c r="A15165" s="1" t="s">
        <v>15164</v>
      </c>
      <c r="C15165" s="3">
        <v>5</v>
      </c>
    </row>
    <row r="15166" spans="1:3" x14ac:dyDescent="0.25">
      <c r="A15166" s="1" t="s">
        <v>15165</v>
      </c>
      <c r="C15166" s="3">
        <v>5</v>
      </c>
    </row>
    <row r="15167" spans="1:3" x14ac:dyDescent="0.25">
      <c r="A15167" s="1" t="s">
        <v>15166</v>
      </c>
      <c r="C15167" s="3">
        <v>5</v>
      </c>
    </row>
    <row r="15168" spans="1:3" x14ac:dyDescent="0.25">
      <c r="A15168" s="1" t="s">
        <v>15167</v>
      </c>
      <c r="C15168" s="3">
        <v>5</v>
      </c>
    </row>
    <row r="15169" spans="1:3" x14ac:dyDescent="0.25">
      <c r="A15169" s="1" t="s">
        <v>15168</v>
      </c>
      <c r="C15169" s="3">
        <v>5</v>
      </c>
    </row>
    <row r="15170" spans="1:3" x14ac:dyDescent="0.25">
      <c r="A15170" s="1" t="s">
        <v>15169</v>
      </c>
      <c r="C15170" s="3">
        <v>5</v>
      </c>
    </row>
    <row r="15171" spans="1:3" x14ac:dyDescent="0.25">
      <c r="A15171" s="1" t="s">
        <v>15170</v>
      </c>
      <c r="C15171" s="3">
        <v>5</v>
      </c>
    </row>
    <row r="15172" spans="1:3" x14ac:dyDescent="0.25">
      <c r="A15172" s="1" t="s">
        <v>15171</v>
      </c>
      <c r="C15172" s="3">
        <v>5</v>
      </c>
    </row>
    <row r="15173" spans="1:3" x14ac:dyDescent="0.25">
      <c r="A15173" s="1" t="s">
        <v>15172</v>
      </c>
      <c r="C15173" s="3">
        <v>5</v>
      </c>
    </row>
    <row r="15174" spans="1:3" x14ac:dyDescent="0.25">
      <c r="A15174" s="1" t="s">
        <v>15173</v>
      </c>
      <c r="C15174" s="3">
        <v>5</v>
      </c>
    </row>
    <row r="15175" spans="1:3" x14ac:dyDescent="0.25">
      <c r="A15175" s="1" t="s">
        <v>15174</v>
      </c>
      <c r="C15175" s="3">
        <v>5</v>
      </c>
    </row>
    <row r="15176" spans="1:3" x14ac:dyDescent="0.25">
      <c r="A15176" s="1" t="s">
        <v>15175</v>
      </c>
      <c r="C15176" s="3">
        <v>5</v>
      </c>
    </row>
    <row r="15177" spans="1:3" x14ac:dyDescent="0.25">
      <c r="A15177" s="1" t="s">
        <v>15176</v>
      </c>
      <c r="C15177" s="3">
        <v>5</v>
      </c>
    </row>
    <row r="15178" spans="1:3" x14ac:dyDescent="0.25">
      <c r="A15178" s="1" t="s">
        <v>15177</v>
      </c>
      <c r="C15178" s="3">
        <v>5</v>
      </c>
    </row>
    <row r="15179" spans="1:3" x14ac:dyDescent="0.25">
      <c r="A15179" s="1" t="s">
        <v>15178</v>
      </c>
      <c r="C15179" s="3">
        <v>5</v>
      </c>
    </row>
    <row r="15180" spans="1:3" x14ac:dyDescent="0.25">
      <c r="A15180" s="1" t="s">
        <v>15179</v>
      </c>
      <c r="C15180" s="3">
        <v>5</v>
      </c>
    </row>
    <row r="15181" spans="1:3" x14ac:dyDescent="0.25">
      <c r="A15181" s="1" t="s">
        <v>15180</v>
      </c>
      <c r="C15181" s="3">
        <v>5</v>
      </c>
    </row>
    <row r="15182" spans="1:3" x14ac:dyDescent="0.25">
      <c r="A15182" s="1" t="s">
        <v>15181</v>
      </c>
      <c r="C15182" s="3">
        <v>5</v>
      </c>
    </row>
    <row r="15183" spans="1:3" x14ac:dyDescent="0.25">
      <c r="A15183" s="1" t="s">
        <v>15182</v>
      </c>
      <c r="C15183" s="3">
        <v>5</v>
      </c>
    </row>
    <row r="15184" spans="1:3" x14ac:dyDescent="0.25">
      <c r="A15184" s="1" t="s">
        <v>15183</v>
      </c>
      <c r="C15184" s="3">
        <v>5</v>
      </c>
    </row>
    <row r="15185" spans="1:3" x14ac:dyDescent="0.25">
      <c r="A15185" s="1" t="s">
        <v>15184</v>
      </c>
      <c r="C15185" s="3">
        <v>5</v>
      </c>
    </row>
    <row r="15186" spans="1:3" x14ac:dyDescent="0.25">
      <c r="A15186" s="1" t="s">
        <v>15185</v>
      </c>
      <c r="C15186" s="3">
        <v>5</v>
      </c>
    </row>
    <row r="15187" spans="1:3" x14ac:dyDescent="0.25">
      <c r="A15187" s="1" t="s">
        <v>15186</v>
      </c>
      <c r="C15187" s="3">
        <v>5</v>
      </c>
    </row>
    <row r="15188" spans="1:3" x14ac:dyDescent="0.25">
      <c r="A15188" s="1" t="s">
        <v>15187</v>
      </c>
      <c r="C15188" s="3">
        <v>5</v>
      </c>
    </row>
    <row r="15189" spans="1:3" x14ac:dyDescent="0.25">
      <c r="A15189" s="1" t="s">
        <v>15188</v>
      </c>
      <c r="C15189" s="3">
        <v>5</v>
      </c>
    </row>
    <row r="15190" spans="1:3" x14ac:dyDescent="0.25">
      <c r="A15190" s="1" t="s">
        <v>15189</v>
      </c>
      <c r="C15190" s="3">
        <v>5</v>
      </c>
    </row>
    <row r="15191" spans="1:3" x14ac:dyDescent="0.25">
      <c r="A15191" s="1" t="s">
        <v>15190</v>
      </c>
      <c r="C15191" s="3">
        <v>5</v>
      </c>
    </row>
    <row r="15192" spans="1:3" x14ac:dyDescent="0.25">
      <c r="A15192" s="1" t="s">
        <v>15191</v>
      </c>
      <c r="C15192" s="3">
        <v>5</v>
      </c>
    </row>
    <row r="15193" spans="1:3" x14ac:dyDescent="0.25">
      <c r="A15193" s="1" t="s">
        <v>15192</v>
      </c>
      <c r="C15193" s="3">
        <v>5</v>
      </c>
    </row>
    <row r="15194" spans="1:3" x14ac:dyDescent="0.25">
      <c r="A15194" s="1" t="s">
        <v>15193</v>
      </c>
      <c r="C15194" s="3">
        <v>5</v>
      </c>
    </row>
    <row r="15195" spans="1:3" x14ac:dyDescent="0.25">
      <c r="A15195" s="1" t="s">
        <v>15194</v>
      </c>
      <c r="C15195" s="3">
        <v>5</v>
      </c>
    </row>
    <row r="15196" spans="1:3" x14ac:dyDescent="0.25">
      <c r="A15196" s="1" t="s">
        <v>15195</v>
      </c>
      <c r="C15196" s="3">
        <v>5</v>
      </c>
    </row>
    <row r="15197" spans="1:3" x14ac:dyDescent="0.25">
      <c r="A15197" s="1" t="s">
        <v>15196</v>
      </c>
      <c r="C15197" s="3">
        <v>5</v>
      </c>
    </row>
    <row r="15198" spans="1:3" x14ac:dyDescent="0.25">
      <c r="A15198" s="1" t="s">
        <v>15197</v>
      </c>
      <c r="C15198" s="3">
        <v>5</v>
      </c>
    </row>
    <row r="15199" spans="1:3" x14ac:dyDescent="0.25">
      <c r="A15199" s="1" t="s">
        <v>15198</v>
      </c>
      <c r="C15199" s="3">
        <v>5</v>
      </c>
    </row>
    <row r="15200" spans="1:3" x14ac:dyDescent="0.25">
      <c r="A15200" s="1" t="s">
        <v>15199</v>
      </c>
      <c r="C15200" s="3">
        <v>5</v>
      </c>
    </row>
    <row r="15201" spans="1:3" x14ac:dyDescent="0.25">
      <c r="A15201" s="1" t="s">
        <v>15200</v>
      </c>
      <c r="C15201" s="3">
        <v>5</v>
      </c>
    </row>
    <row r="15202" spans="1:3" x14ac:dyDescent="0.25">
      <c r="A15202" s="1" t="s">
        <v>15201</v>
      </c>
      <c r="C15202" s="3">
        <v>5</v>
      </c>
    </row>
    <row r="15203" spans="1:3" x14ac:dyDescent="0.25">
      <c r="A15203" s="1" t="s">
        <v>15202</v>
      </c>
      <c r="C15203" s="3">
        <v>5</v>
      </c>
    </row>
    <row r="15204" spans="1:3" x14ac:dyDescent="0.25">
      <c r="A15204" s="1" t="s">
        <v>15203</v>
      </c>
      <c r="C15204" s="3">
        <v>5</v>
      </c>
    </row>
    <row r="15205" spans="1:3" x14ac:dyDescent="0.25">
      <c r="A15205" s="1" t="s">
        <v>15204</v>
      </c>
      <c r="C15205" s="3">
        <v>5</v>
      </c>
    </row>
    <row r="15206" spans="1:3" x14ac:dyDescent="0.25">
      <c r="A15206" s="1" t="s">
        <v>15205</v>
      </c>
      <c r="C15206" s="3">
        <v>5</v>
      </c>
    </row>
    <row r="15207" spans="1:3" x14ac:dyDescent="0.25">
      <c r="A15207" s="1" t="s">
        <v>15206</v>
      </c>
      <c r="C15207" s="3">
        <v>5</v>
      </c>
    </row>
    <row r="15208" spans="1:3" x14ac:dyDescent="0.25">
      <c r="A15208" s="1" t="s">
        <v>15207</v>
      </c>
      <c r="C15208" s="3">
        <v>5</v>
      </c>
    </row>
    <row r="15209" spans="1:3" x14ac:dyDescent="0.25">
      <c r="A15209" s="1" t="s">
        <v>15208</v>
      </c>
      <c r="C15209" s="3">
        <v>5</v>
      </c>
    </row>
    <row r="15210" spans="1:3" x14ac:dyDescent="0.25">
      <c r="A15210" s="1" t="s">
        <v>15209</v>
      </c>
      <c r="C15210" s="3">
        <v>5</v>
      </c>
    </row>
    <row r="15211" spans="1:3" x14ac:dyDescent="0.25">
      <c r="A15211" s="1" t="s">
        <v>15210</v>
      </c>
      <c r="C15211" s="3">
        <v>5</v>
      </c>
    </row>
    <row r="15212" spans="1:3" x14ac:dyDescent="0.25">
      <c r="A15212" s="1" t="s">
        <v>15211</v>
      </c>
      <c r="C15212" s="3">
        <v>5</v>
      </c>
    </row>
    <row r="15213" spans="1:3" x14ac:dyDescent="0.25">
      <c r="A15213" s="1" t="s">
        <v>15212</v>
      </c>
      <c r="C15213" s="3">
        <v>5</v>
      </c>
    </row>
    <row r="15214" spans="1:3" x14ac:dyDescent="0.25">
      <c r="A15214" s="1" t="s">
        <v>15213</v>
      </c>
      <c r="C15214" s="3">
        <v>5</v>
      </c>
    </row>
    <row r="15215" spans="1:3" x14ac:dyDescent="0.25">
      <c r="A15215" s="1" t="s">
        <v>15214</v>
      </c>
      <c r="C15215" s="3">
        <v>5</v>
      </c>
    </row>
    <row r="15216" spans="1:3" x14ac:dyDescent="0.25">
      <c r="A15216" s="1" t="s">
        <v>15215</v>
      </c>
      <c r="C15216" s="3">
        <v>5</v>
      </c>
    </row>
    <row r="15217" spans="1:3" x14ac:dyDescent="0.25">
      <c r="A15217" s="1" t="s">
        <v>15216</v>
      </c>
      <c r="C15217" s="3">
        <v>5</v>
      </c>
    </row>
    <row r="15218" spans="1:3" x14ac:dyDescent="0.25">
      <c r="A15218" s="1" t="s">
        <v>15217</v>
      </c>
      <c r="C15218" s="3">
        <v>5</v>
      </c>
    </row>
    <row r="15219" spans="1:3" x14ac:dyDescent="0.25">
      <c r="A15219" s="1" t="s">
        <v>15218</v>
      </c>
      <c r="C15219" s="3">
        <v>5</v>
      </c>
    </row>
    <row r="15220" spans="1:3" x14ac:dyDescent="0.25">
      <c r="A15220" s="1" t="s">
        <v>15219</v>
      </c>
      <c r="C15220" s="3">
        <v>5</v>
      </c>
    </row>
    <row r="15221" spans="1:3" x14ac:dyDescent="0.25">
      <c r="A15221" s="1" t="s">
        <v>15220</v>
      </c>
      <c r="C15221" s="3">
        <v>5</v>
      </c>
    </row>
    <row r="15222" spans="1:3" x14ac:dyDescent="0.25">
      <c r="A15222" s="1" t="s">
        <v>15221</v>
      </c>
      <c r="C15222" s="3">
        <v>5</v>
      </c>
    </row>
    <row r="15223" spans="1:3" x14ac:dyDescent="0.25">
      <c r="A15223" s="1" t="s">
        <v>15222</v>
      </c>
      <c r="C15223" s="3">
        <v>5</v>
      </c>
    </row>
    <row r="15224" spans="1:3" x14ac:dyDescent="0.25">
      <c r="A15224" s="1" t="s">
        <v>15223</v>
      </c>
      <c r="C15224" s="3">
        <v>5</v>
      </c>
    </row>
    <row r="15225" spans="1:3" x14ac:dyDescent="0.25">
      <c r="A15225" s="1" t="s">
        <v>15224</v>
      </c>
      <c r="C15225" s="3">
        <v>5</v>
      </c>
    </row>
    <row r="15226" spans="1:3" x14ac:dyDescent="0.25">
      <c r="A15226" s="1" t="s">
        <v>15225</v>
      </c>
      <c r="C15226" s="3">
        <v>5</v>
      </c>
    </row>
    <row r="15227" spans="1:3" x14ac:dyDescent="0.25">
      <c r="A15227" s="1" t="s">
        <v>15226</v>
      </c>
      <c r="C15227" s="3">
        <v>5</v>
      </c>
    </row>
    <row r="15228" spans="1:3" x14ac:dyDescent="0.25">
      <c r="A15228" s="1" t="s">
        <v>15227</v>
      </c>
      <c r="C15228" s="3">
        <v>5</v>
      </c>
    </row>
    <row r="15229" spans="1:3" x14ac:dyDescent="0.25">
      <c r="A15229" s="1" t="s">
        <v>15228</v>
      </c>
      <c r="C15229" s="3">
        <v>5</v>
      </c>
    </row>
    <row r="15230" spans="1:3" x14ac:dyDescent="0.25">
      <c r="A15230" s="1" t="s">
        <v>15229</v>
      </c>
      <c r="C15230" s="3">
        <v>5</v>
      </c>
    </row>
    <row r="15231" spans="1:3" x14ac:dyDescent="0.25">
      <c r="A15231" s="1" t="s">
        <v>15230</v>
      </c>
      <c r="C15231" s="3">
        <v>5</v>
      </c>
    </row>
    <row r="15232" spans="1:3" x14ac:dyDescent="0.25">
      <c r="A15232" s="1" t="s">
        <v>15231</v>
      </c>
      <c r="C15232" s="3">
        <v>5</v>
      </c>
    </row>
    <row r="15233" spans="1:3" x14ac:dyDescent="0.25">
      <c r="A15233" s="1" t="s">
        <v>15232</v>
      </c>
      <c r="C15233" s="3">
        <v>5</v>
      </c>
    </row>
    <row r="15234" spans="1:3" x14ac:dyDescent="0.25">
      <c r="A15234" s="1" t="s">
        <v>15233</v>
      </c>
      <c r="C15234" s="3">
        <v>5</v>
      </c>
    </row>
    <row r="15235" spans="1:3" x14ac:dyDescent="0.25">
      <c r="A15235" s="1" t="s">
        <v>15234</v>
      </c>
      <c r="C15235" s="3">
        <v>5</v>
      </c>
    </row>
    <row r="15236" spans="1:3" x14ac:dyDescent="0.25">
      <c r="A15236" s="1" t="s">
        <v>15235</v>
      </c>
      <c r="C15236" s="3">
        <v>5</v>
      </c>
    </row>
    <row r="15237" spans="1:3" x14ac:dyDescent="0.25">
      <c r="A15237" s="1" t="s">
        <v>15236</v>
      </c>
      <c r="C15237" s="3">
        <v>5</v>
      </c>
    </row>
    <row r="15238" spans="1:3" x14ac:dyDescent="0.25">
      <c r="A15238" s="1" t="s">
        <v>15237</v>
      </c>
      <c r="C15238" s="3">
        <v>5</v>
      </c>
    </row>
    <row r="15239" spans="1:3" x14ac:dyDescent="0.25">
      <c r="A15239" s="1" t="s">
        <v>15238</v>
      </c>
      <c r="C15239" s="3">
        <v>5</v>
      </c>
    </row>
    <row r="15240" spans="1:3" x14ac:dyDescent="0.25">
      <c r="A15240" s="1" t="s">
        <v>15239</v>
      </c>
      <c r="C15240" s="3">
        <v>5</v>
      </c>
    </row>
    <row r="15241" spans="1:3" x14ac:dyDescent="0.25">
      <c r="A15241" s="1" t="s">
        <v>15240</v>
      </c>
      <c r="C15241" s="3">
        <v>5</v>
      </c>
    </row>
    <row r="15242" spans="1:3" x14ac:dyDescent="0.25">
      <c r="A15242" s="1" t="s">
        <v>15241</v>
      </c>
      <c r="C15242" s="3">
        <v>5</v>
      </c>
    </row>
    <row r="15243" spans="1:3" x14ac:dyDescent="0.25">
      <c r="A15243" s="1" t="s">
        <v>15242</v>
      </c>
      <c r="C15243" s="3">
        <v>5</v>
      </c>
    </row>
    <row r="15244" spans="1:3" x14ac:dyDescent="0.25">
      <c r="A15244" s="1" t="s">
        <v>15243</v>
      </c>
      <c r="C15244" s="3">
        <v>5</v>
      </c>
    </row>
    <row r="15245" spans="1:3" x14ac:dyDescent="0.25">
      <c r="A15245" s="1" t="s">
        <v>15244</v>
      </c>
      <c r="C15245" s="3">
        <v>5</v>
      </c>
    </row>
    <row r="15246" spans="1:3" x14ac:dyDescent="0.25">
      <c r="A15246" s="1" t="s">
        <v>15245</v>
      </c>
      <c r="C15246" s="3">
        <v>5</v>
      </c>
    </row>
    <row r="15247" spans="1:3" x14ac:dyDescent="0.25">
      <c r="A15247" s="1" t="s">
        <v>15246</v>
      </c>
      <c r="C15247" s="3">
        <v>5</v>
      </c>
    </row>
    <row r="15248" spans="1:3" x14ac:dyDescent="0.25">
      <c r="A15248" s="1" t="s">
        <v>15247</v>
      </c>
      <c r="C15248" s="3">
        <v>5</v>
      </c>
    </row>
    <row r="15249" spans="1:3" x14ac:dyDescent="0.25">
      <c r="A15249" s="1" t="s">
        <v>15248</v>
      </c>
      <c r="C15249" s="3">
        <v>5</v>
      </c>
    </row>
    <row r="15250" spans="1:3" x14ac:dyDescent="0.25">
      <c r="A15250" s="1" t="s">
        <v>15249</v>
      </c>
      <c r="C15250" s="3">
        <v>5</v>
      </c>
    </row>
    <row r="15251" spans="1:3" x14ac:dyDescent="0.25">
      <c r="A15251" s="1" t="s">
        <v>15250</v>
      </c>
      <c r="C15251" s="3">
        <v>5</v>
      </c>
    </row>
    <row r="15252" spans="1:3" x14ac:dyDescent="0.25">
      <c r="A15252" s="1" t="s">
        <v>15251</v>
      </c>
      <c r="C15252" s="3">
        <v>5</v>
      </c>
    </row>
    <row r="15253" spans="1:3" x14ac:dyDescent="0.25">
      <c r="A15253" s="1" t="s">
        <v>15252</v>
      </c>
      <c r="C15253" s="3">
        <v>5</v>
      </c>
    </row>
    <row r="15254" spans="1:3" x14ac:dyDescent="0.25">
      <c r="A15254" s="1" t="s">
        <v>15253</v>
      </c>
      <c r="C15254" s="3">
        <v>5</v>
      </c>
    </row>
    <row r="15255" spans="1:3" x14ac:dyDescent="0.25">
      <c r="A15255" s="1" t="s">
        <v>15254</v>
      </c>
      <c r="C15255" s="3">
        <v>5</v>
      </c>
    </row>
    <row r="15256" spans="1:3" x14ac:dyDescent="0.25">
      <c r="A15256" s="1" t="s">
        <v>15255</v>
      </c>
      <c r="C15256" s="3">
        <v>5</v>
      </c>
    </row>
    <row r="15257" spans="1:3" x14ac:dyDescent="0.25">
      <c r="A15257" s="1" t="s">
        <v>15256</v>
      </c>
      <c r="C15257" s="3">
        <v>5</v>
      </c>
    </row>
    <row r="15258" spans="1:3" x14ac:dyDescent="0.25">
      <c r="A15258" s="1" t="s">
        <v>15257</v>
      </c>
      <c r="C15258" s="3">
        <v>5</v>
      </c>
    </row>
    <row r="15259" spans="1:3" x14ac:dyDescent="0.25">
      <c r="A15259" s="1" t="s">
        <v>15258</v>
      </c>
      <c r="C15259" s="3">
        <v>5</v>
      </c>
    </row>
    <row r="15260" spans="1:3" x14ac:dyDescent="0.25">
      <c r="A15260" s="1" t="s">
        <v>15259</v>
      </c>
      <c r="C15260" s="3">
        <v>5</v>
      </c>
    </row>
    <row r="15261" spans="1:3" x14ac:dyDescent="0.25">
      <c r="A15261" s="1" t="s">
        <v>15260</v>
      </c>
      <c r="C15261" s="3">
        <v>5</v>
      </c>
    </row>
    <row r="15262" spans="1:3" x14ac:dyDescent="0.25">
      <c r="A15262" s="1" t="s">
        <v>15261</v>
      </c>
      <c r="C15262" s="3">
        <v>5</v>
      </c>
    </row>
    <row r="15263" spans="1:3" x14ac:dyDescent="0.25">
      <c r="A15263" s="1" t="s">
        <v>15262</v>
      </c>
      <c r="C15263" s="3">
        <v>5</v>
      </c>
    </row>
    <row r="15264" spans="1:3" x14ac:dyDescent="0.25">
      <c r="A15264" s="1" t="s">
        <v>15263</v>
      </c>
      <c r="C15264" s="3">
        <v>5</v>
      </c>
    </row>
    <row r="15265" spans="1:3" x14ac:dyDescent="0.25">
      <c r="A15265" s="1" t="s">
        <v>15264</v>
      </c>
      <c r="C15265" s="3">
        <v>5</v>
      </c>
    </row>
    <row r="15266" spans="1:3" x14ac:dyDescent="0.25">
      <c r="A15266" s="1" t="s">
        <v>15265</v>
      </c>
      <c r="C15266" s="3">
        <v>5</v>
      </c>
    </row>
    <row r="15267" spans="1:3" x14ac:dyDescent="0.25">
      <c r="A15267" s="1" t="s">
        <v>15266</v>
      </c>
      <c r="C15267" s="3">
        <v>5</v>
      </c>
    </row>
    <row r="15268" spans="1:3" x14ac:dyDescent="0.25">
      <c r="A15268" s="1" t="s">
        <v>15267</v>
      </c>
      <c r="C15268" s="3">
        <v>5</v>
      </c>
    </row>
    <row r="15269" spans="1:3" x14ac:dyDescent="0.25">
      <c r="A15269" s="1" t="s">
        <v>15268</v>
      </c>
      <c r="C15269" s="3">
        <v>5</v>
      </c>
    </row>
    <row r="15270" spans="1:3" x14ac:dyDescent="0.25">
      <c r="A15270" s="1" t="s">
        <v>15269</v>
      </c>
      <c r="C15270" s="3">
        <v>5</v>
      </c>
    </row>
    <row r="15271" spans="1:3" x14ac:dyDescent="0.25">
      <c r="A15271" s="1" t="s">
        <v>15270</v>
      </c>
      <c r="C15271" s="3">
        <v>5</v>
      </c>
    </row>
    <row r="15272" spans="1:3" x14ac:dyDescent="0.25">
      <c r="A15272" s="1" t="s">
        <v>15271</v>
      </c>
      <c r="C15272" s="3">
        <v>5</v>
      </c>
    </row>
    <row r="15273" spans="1:3" x14ac:dyDescent="0.25">
      <c r="A15273" s="1" t="s">
        <v>15272</v>
      </c>
      <c r="C15273" s="3">
        <v>5</v>
      </c>
    </row>
    <row r="15274" spans="1:3" x14ac:dyDescent="0.25">
      <c r="A15274" s="1" t="s">
        <v>15273</v>
      </c>
      <c r="C15274" s="3">
        <v>5</v>
      </c>
    </row>
    <row r="15275" spans="1:3" x14ac:dyDescent="0.25">
      <c r="A15275" s="1" t="s">
        <v>15274</v>
      </c>
      <c r="C15275" s="3">
        <v>5</v>
      </c>
    </row>
    <row r="15276" spans="1:3" x14ac:dyDescent="0.25">
      <c r="A15276" s="1" t="s">
        <v>15275</v>
      </c>
      <c r="C15276" s="3">
        <v>4</v>
      </c>
    </row>
    <row r="15277" spans="1:3" x14ac:dyDescent="0.25">
      <c r="A15277" s="1" t="s">
        <v>15276</v>
      </c>
      <c r="C15277" s="3">
        <v>4</v>
      </c>
    </row>
    <row r="15278" spans="1:3" x14ac:dyDescent="0.25">
      <c r="A15278" s="1" t="s">
        <v>15277</v>
      </c>
      <c r="C15278" s="3">
        <v>4</v>
      </c>
    </row>
    <row r="15279" spans="1:3" x14ac:dyDescent="0.25">
      <c r="A15279" s="1" t="s">
        <v>15278</v>
      </c>
      <c r="C15279" s="3">
        <v>4</v>
      </c>
    </row>
    <row r="15280" spans="1:3" x14ac:dyDescent="0.25">
      <c r="A15280" s="1" t="s">
        <v>15279</v>
      </c>
      <c r="C15280" s="3">
        <v>4</v>
      </c>
    </row>
    <row r="15281" spans="1:3" x14ac:dyDescent="0.25">
      <c r="A15281" s="1" t="s">
        <v>15280</v>
      </c>
      <c r="C15281" s="3">
        <v>4</v>
      </c>
    </row>
    <row r="15282" spans="1:3" x14ac:dyDescent="0.25">
      <c r="A15282" s="1" t="s">
        <v>15281</v>
      </c>
      <c r="C15282" s="3">
        <v>4</v>
      </c>
    </row>
    <row r="15283" spans="1:3" x14ac:dyDescent="0.25">
      <c r="A15283" s="1" t="s">
        <v>15282</v>
      </c>
      <c r="C15283" s="3">
        <v>4</v>
      </c>
    </row>
    <row r="15284" spans="1:3" x14ac:dyDescent="0.25">
      <c r="A15284" s="1" t="s">
        <v>15283</v>
      </c>
      <c r="C15284" s="3">
        <v>4</v>
      </c>
    </row>
    <row r="15285" spans="1:3" x14ac:dyDescent="0.25">
      <c r="A15285" s="1" t="s">
        <v>15284</v>
      </c>
      <c r="C15285" s="3">
        <v>4</v>
      </c>
    </row>
    <row r="15286" spans="1:3" x14ac:dyDescent="0.25">
      <c r="A15286" s="1" t="s">
        <v>15285</v>
      </c>
      <c r="C15286" s="3">
        <v>4</v>
      </c>
    </row>
    <row r="15287" spans="1:3" x14ac:dyDescent="0.25">
      <c r="A15287" s="1" t="s">
        <v>15286</v>
      </c>
      <c r="C15287" s="3">
        <v>4</v>
      </c>
    </row>
    <row r="15288" spans="1:3" x14ac:dyDescent="0.25">
      <c r="A15288" s="1" t="s">
        <v>15287</v>
      </c>
      <c r="C15288" s="3">
        <v>4</v>
      </c>
    </row>
    <row r="15289" spans="1:3" x14ac:dyDescent="0.25">
      <c r="A15289" s="1" t="s">
        <v>15288</v>
      </c>
      <c r="C15289" s="3">
        <v>4</v>
      </c>
    </row>
    <row r="15290" spans="1:3" x14ac:dyDescent="0.25">
      <c r="A15290" s="1" t="s">
        <v>15289</v>
      </c>
      <c r="C15290" s="3">
        <v>4</v>
      </c>
    </row>
    <row r="15291" spans="1:3" x14ac:dyDescent="0.25">
      <c r="A15291" s="1" t="s">
        <v>15290</v>
      </c>
      <c r="C15291" s="3">
        <v>4</v>
      </c>
    </row>
    <row r="15292" spans="1:3" x14ac:dyDescent="0.25">
      <c r="A15292" s="1" t="s">
        <v>15291</v>
      </c>
      <c r="C15292" s="3">
        <v>4</v>
      </c>
    </row>
    <row r="15293" spans="1:3" x14ac:dyDescent="0.25">
      <c r="A15293" s="1" t="s">
        <v>15292</v>
      </c>
      <c r="C15293" s="3">
        <v>4</v>
      </c>
    </row>
    <row r="15294" spans="1:3" x14ac:dyDescent="0.25">
      <c r="A15294" s="1" t="s">
        <v>15293</v>
      </c>
      <c r="C15294" s="3">
        <v>4</v>
      </c>
    </row>
    <row r="15295" spans="1:3" x14ac:dyDescent="0.25">
      <c r="A15295" s="1" t="s">
        <v>15294</v>
      </c>
      <c r="C15295" s="3">
        <v>4</v>
      </c>
    </row>
    <row r="15296" spans="1:3" x14ac:dyDescent="0.25">
      <c r="A15296" s="1" t="s">
        <v>15295</v>
      </c>
      <c r="C15296" s="3">
        <v>4</v>
      </c>
    </row>
    <row r="15297" spans="1:3" x14ac:dyDescent="0.25">
      <c r="A15297" s="1" t="s">
        <v>15296</v>
      </c>
      <c r="C15297" s="3">
        <v>4</v>
      </c>
    </row>
    <row r="15298" spans="1:3" x14ac:dyDescent="0.25">
      <c r="A15298" s="1" t="s">
        <v>15297</v>
      </c>
      <c r="C15298" s="3">
        <v>4</v>
      </c>
    </row>
    <row r="15299" spans="1:3" x14ac:dyDescent="0.25">
      <c r="A15299" s="1" t="s">
        <v>15298</v>
      </c>
      <c r="C15299" s="3">
        <v>4</v>
      </c>
    </row>
    <row r="15300" spans="1:3" x14ac:dyDescent="0.25">
      <c r="A15300" s="1" t="s">
        <v>15299</v>
      </c>
      <c r="C15300" s="3">
        <v>4</v>
      </c>
    </row>
    <row r="15301" spans="1:3" x14ac:dyDescent="0.25">
      <c r="A15301" s="1" t="s">
        <v>15300</v>
      </c>
      <c r="C15301" s="3">
        <v>4</v>
      </c>
    </row>
    <row r="15302" spans="1:3" x14ac:dyDescent="0.25">
      <c r="A15302" s="1" t="s">
        <v>15301</v>
      </c>
      <c r="C15302" s="3">
        <v>4</v>
      </c>
    </row>
    <row r="15303" spans="1:3" x14ac:dyDescent="0.25">
      <c r="A15303" s="1" t="s">
        <v>15302</v>
      </c>
      <c r="C15303" s="3">
        <v>4</v>
      </c>
    </row>
    <row r="15304" spans="1:3" x14ac:dyDescent="0.25">
      <c r="A15304" s="1" t="s">
        <v>15303</v>
      </c>
      <c r="C15304" s="3">
        <v>4</v>
      </c>
    </row>
    <row r="15305" spans="1:3" x14ac:dyDescent="0.25">
      <c r="A15305" s="1" t="s">
        <v>15304</v>
      </c>
      <c r="C15305" s="3">
        <v>4</v>
      </c>
    </row>
    <row r="15306" spans="1:3" x14ac:dyDescent="0.25">
      <c r="A15306" s="1" t="s">
        <v>15305</v>
      </c>
      <c r="C15306" s="3">
        <v>4</v>
      </c>
    </row>
    <row r="15307" spans="1:3" x14ac:dyDescent="0.25">
      <c r="A15307" s="1" t="s">
        <v>15306</v>
      </c>
      <c r="C15307" s="3">
        <v>4</v>
      </c>
    </row>
    <row r="15308" spans="1:3" x14ac:dyDescent="0.25">
      <c r="A15308" s="1" t="s">
        <v>15307</v>
      </c>
      <c r="C15308" s="3">
        <v>4</v>
      </c>
    </row>
    <row r="15309" spans="1:3" x14ac:dyDescent="0.25">
      <c r="A15309" s="1" t="s">
        <v>15308</v>
      </c>
      <c r="C15309" s="3">
        <v>4</v>
      </c>
    </row>
    <row r="15310" spans="1:3" x14ac:dyDescent="0.25">
      <c r="A15310" s="1" t="s">
        <v>15309</v>
      </c>
      <c r="C15310" s="3">
        <v>4</v>
      </c>
    </row>
    <row r="15311" spans="1:3" x14ac:dyDescent="0.25">
      <c r="A15311" s="1" t="s">
        <v>15310</v>
      </c>
      <c r="C15311" s="3">
        <v>4</v>
      </c>
    </row>
    <row r="15312" spans="1:3" x14ac:dyDescent="0.25">
      <c r="A15312" s="1" t="s">
        <v>15311</v>
      </c>
      <c r="C15312" s="3">
        <v>4</v>
      </c>
    </row>
    <row r="15313" spans="1:3" x14ac:dyDescent="0.25">
      <c r="A15313" s="1" t="s">
        <v>15312</v>
      </c>
      <c r="C15313" s="3">
        <v>4</v>
      </c>
    </row>
    <row r="15314" spans="1:3" x14ac:dyDescent="0.25">
      <c r="A15314" s="1" t="s">
        <v>15313</v>
      </c>
      <c r="C15314" s="3">
        <v>4</v>
      </c>
    </row>
    <row r="15315" spans="1:3" x14ac:dyDescent="0.25">
      <c r="A15315" s="1" t="s">
        <v>15314</v>
      </c>
      <c r="C15315" s="3">
        <v>4</v>
      </c>
    </row>
    <row r="15316" spans="1:3" x14ac:dyDescent="0.25">
      <c r="A15316" s="1" t="s">
        <v>15315</v>
      </c>
      <c r="C15316" s="3">
        <v>4</v>
      </c>
    </row>
    <row r="15317" spans="1:3" x14ac:dyDescent="0.25">
      <c r="A15317" s="1" t="s">
        <v>15316</v>
      </c>
      <c r="C15317" s="3">
        <v>4</v>
      </c>
    </row>
    <row r="15318" spans="1:3" x14ac:dyDescent="0.25">
      <c r="A15318" s="1" t="s">
        <v>15317</v>
      </c>
      <c r="C15318" s="3">
        <v>4</v>
      </c>
    </row>
    <row r="15319" spans="1:3" x14ac:dyDescent="0.25">
      <c r="A15319" s="1" t="s">
        <v>15318</v>
      </c>
      <c r="C15319" s="3">
        <v>4</v>
      </c>
    </row>
    <row r="15320" spans="1:3" x14ac:dyDescent="0.25">
      <c r="A15320" s="1" t="s">
        <v>15319</v>
      </c>
      <c r="C15320" s="3">
        <v>4</v>
      </c>
    </row>
    <row r="15321" spans="1:3" x14ac:dyDescent="0.25">
      <c r="A15321" s="1" t="s">
        <v>15320</v>
      </c>
      <c r="C15321" s="3">
        <v>4</v>
      </c>
    </row>
    <row r="15322" spans="1:3" x14ac:dyDescent="0.25">
      <c r="A15322" s="1" t="s">
        <v>15321</v>
      </c>
      <c r="C15322" s="3">
        <v>4</v>
      </c>
    </row>
    <row r="15323" spans="1:3" x14ac:dyDescent="0.25">
      <c r="A15323" s="1" t="s">
        <v>15322</v>
      </c>
      <c r="C15323" s="3">
        <v>4</v>
      </c>
    </row>
    <row r="15324" spans="1:3" x14ac:dyDescent="0.25">
      <c r="A15324" s="1" t="s">
        <v>15323</v>
      </c>
      <c r="C15324" s="3">
        <v>4</v>
      </c>
    </row>
    <row r="15325" spans="1:3" x14ac:dyDescent="0.25">
      <c r="A15325" s="1" t="s">
        <v>15324</v>
      </c>
      <c r="C15325" s="3">
        <v>4</v>
      </c>
    </row>
    <row r="15326" spans="1:3" x14ac:dyDescent="0.25">
      <c r="A15326" s="1" t="s">
        <v>15325</v>
      </c>
      <c r="C15326" s="3">
        <v>4</v>
      </c>
    </row>
    <row r="15327" spans="1:3" x14ac:dyDescent="0.25">
      <c r="A15327" s="1" t="s">
        <v>15326</v>
      </c>
      <c r="C15327" s="3">
        <v>4</v>
      </c>
    </row>
    <row r="15328" spans="1:3" x14ac:dyDescent="0.25">
      <c r="A15328" s="1" t="s">
        <v>15327</v>
      </c>
      <c r="C15328" s="3">
        <v>4</v>
      </c>
    </row>
    <row r="15329" spans="1:3" x14ac:dyDescent="0.25">
      <c r="A15329" s="1" t="s">
        <v>15328</v>
      </c>
      <c r="C15329" s="3">
        <v>4</v>
      </c>
    </row>
    <row r="15330" spans="1:3" x14ac:dyDescent="0.25">
      <c r="A15330" s="1" t="s">
        <v>15329</v>
      </c>
      <c r="C15330" s="3">
        <v>4</v>
      </c>
    </row>
    <row r="15331" spans="1:3" x14ac:dyDescent="0.25">
      <c r="A15331" s="1" t="s">
        <v>15330</v>
      </c>
      <c r="C15331" s="3">
        <v>4</v>
      </c>
    </row>
    <row r="15332" spans="1:3" x14ac:dyDescent="0.25">
      <c r="A15332" s="1" t="s">
        <v>15331</v>
      </c>
      <c r="C15332" s="3">
        <v>4</v>
      </c>
    </row>
    <row r="15333" spans="1:3" x14ac:dyDescent="0.25">
      <c r="A15333" s="1" t="s">
        <v>15332</v>
      </c>
      <c r="C15333" s="3">
        <v>4</v>
      </c>
    </row>
    <row r="15334" spans="1:3" x14ac:dyDescent="0.25">
      <c r="A15334" s="1" t="s">
        <v>15333</v>
      </c>
      <c r="C15334" s="3">
        <v>4</v>
      </c>
    </row>
    <row r="15335" spans="1:3" x14ac:dyDescent="0.25">
      <c r="A15335" s="1" t="s">
        <v>15334</v>
      </c>
      <c r="C15335" s="3">
        <v>4</v>
      </c>
    </row>
    <row r="15336" spans="1:3" x14ac:dyDescent="0.25">
      <c r="A15336" s="1" t="s">
        <v>15335</v>
      </c>
      <c r="C15336" s="3">
        <v>4</v>
      </c>
    </row>
    <row r="15337" spans="1:3" x14ac:dyDescent="0.25">
      <c r="A15337" s="1" t="s">
        <v>15336</v>
      </c>
      <c r="C15337" s="3">
        <v>4</v>
      </c>
    </row>
    <row r="15338" spans="1:3" x14ac:dyDescent="0.25">
      <c r="A15338" s="1" t="s">
        <v>15337</v>
      </c>
      <c r="C15338" s="3">
        <v>4</v>
      </c>
    </row>
    <row r="15339" spans="1:3" x14ac:dyDescent="0.25">
      <c r="A15339" s="1" t="s">
        <v>15338</v>
      </c>
      <c r="C15339" s="3">
        <v>4</v>
      </c>
    </row>
    <row r="15340" spans="1:3" x14ac:dyDescent="0.25">
      <c r="A15340" s="1" t="s">
        <v>15339</v>
      </c>
      <c r="C15340" s="3">
        <v>4</v>
      </c>
    </row>
    <row r="15341" spans="1:3" x14ac:dyDescent="0.25">
      <c r="A15341" s="1" t="s">
        <v>15340</v>
      </c>
      <c r="C15341" s="3">
        <v>4</v>
      </c>
    </row>
    <row r="15342" spans="1:3" x14ac:dyDescent="0.25">
      <c r="A15342" s="1" t="s">
        <v>15341</v>
      </c>
      <c r="C15342" s="3">
        <v>4</v>
      </c>
    </row>
    <row r="15343" spans="1:3" x14ac:dyDescent="0.25">
      <c r="A15343" s="1" t="s">
        <v>15342</v>
      </c>
      <c r="C15343" s="3">
        <v>4</v>
      </c>
    </row>
    <row r="15344" spans="1:3" x14ac:dyDescent="0.25">
      <c r="A15344" s="1" t="s">
        <v>15343</v>
      </c>
      <c r="C15344" s="3">
        <v>4</v>
      </c>
    </row>
    <row r="15345" spans="1:3" x14ac:dyDescent="0.25">
      <c r="A15345" s="1" t="s">
        <v>15344</v>
      </c>
      <c r="C15345" s="3">
        <v>4</v>
      </c>
    </row>
    <row r="15346" spans="1:3" x14ac:dyDescent="0.25">
      <c r="A15346" s="1" t="s">
        <v>15345</v>
      </c>
      <c r="C15346" s="3">
        <v>4</v>
      </c>
    </row>
    <row r="15347" spans="1:3" x14ac:dyDescent="0.25">
      <c r="A15347" s="1" t="s">
        <v>15346</v>
      </c>
      <c r="C15347" s="3">
        <v>4</v>
      </c>
    </row>
    <row r="15348" spans="1:3" x14ac:dyDescent="0.25">
      <c r="A15348" s="1" t="s">
        <v>15347</v>
      </c>
      <c r="C15348" s="3">
        <v>4</v>
      </c>
    </row>
    <row r="15349" spans="1:3" x14ac:dyDescent="0.25">
      <c r="A15349" s="1" t="s">
        <v>15348</v>
      </c>
      <c r="C15349" s="3">
        <v>4</v>
      </c>
    </row>
    <row r="15350" spans="1:3" x14ac:dyDescent="0.25">
      <c r="A15350" s="1" t="s">
        <v>15349</v>
      </c>
      <c r="C15350" s="3">
        <v>4</v>
      </c>
    </row>
    <row r="15351" spans="1:3" x14ac:dyDescent="0.25">
      <c r="A15351" s="1" t="s">
        <v>15350</v>
      </c>
      <c r="C15351" s="3">
        <v>4</v>
      </c>
    </row>
    <row r="15352" spans="1:3" x14ac:dyDescent="0.25">
      <c r="A15352" s="1" t="s">
        <v>15351</v>
      </c>
      <c r="C15352" s="3">
        <v>4</v>
      </c>
    </row>
    <row r="15353" spans="1:3" x14ac:dyDescent="0.25">
      <c r="A15353" s="1" t="s">
        <v>15352</v>
      </c>
      <c r="C15353" s="3">
        <v>4</v>
      </c>
    </row>
    <row r="15354" spans="1:3" x14ac:dyDescent="0.25">
      <c r="A15354" s="1" t="s">
        <v>15353</v>
      </c>
      <c r="C15354" s="3">
        <v>4</v>
      </c>
    </row>
    <row r="15355" spans="1:3" x14ac:dyDescent="0.25">
      <c r="A15355" s="1" t="s">
        <v>15354</v>
      </c>
      <c r="C15355" s="3">
        <v>4</v>
      </c>
    </row>
    <row r="15356" spans="1:3" x14ac:dyDescent="0.25">
      <c r="A15356" s="1" t="s">
        <v>15355</v>
      </c>
      <c r="C15356" s="3">
        <v>4</v>
      </c>
    </row>
    <row r="15357" spans="1:3" x14ac:dyDescent="0.25">
      <c r="A15357" s="1" t="s">
        <v>15356</v>
      </c>
      <c r="C15357" s="3">
        <v>4</v>
      </c>
    </row>
    <row r="15358" spans="1:3" x14ac:dyDescent="0.25">
      <c r="A15358" s="1" t="s">
        <v>15357</v>
      </c>
      <c r="C15358" s="3">
        <v>4</v>
      </c>
    </row>
    <row r="15359" spans="1:3" x14ac:dyDescent="0.25">
      <c r="A15359" s="1" t="s">
        <v>15358</v>
      </c>
      <c r="C15359" s="3">
        <v>4</v>
      </c>
    </row>
    <row r="15360" spans="1:3" x14ac:dyDescent="0.25">
      <c r="A15360" s="1" t="s">
        <v>15359</v>
      </c>
      <c r="C15360" s="3">
        <v>4</v>
      </c>
    </row>
    <row r="15361" spans="1:3" x14ac:dyDescent="0.25">
      <c r="A15361" s="1" t="s">
        <v>15360</v>
      </c>
      <c r="C15361" s="3">
        <v>4</v>
      </c>
    </row>
    <row r="15362" spans="1:3" x14ac:dyDescent="0.25">
      <c r="A15362" s="1" t="s">
        <v>15361</v>
      </c>
      <c r="C15362" s="3">
        <v>4</v>
      </c>
    </row>
    <row r="15363" spans="1:3" x14ac:dyDescent="0.25">
      <c r="A15363" s="1" t="s">
        <v>15362</v>
      </c>
      <c r="C15363" s="3">
        <v>4</v>
      </c>
    </row>
    <row r="15364" spans="1:3" x14ac:dyDescent="0.25">
      <c r="A15364" s="1" t="s">
        <v>15363</v>
      </c>
      <c r="C15364" s="3">
        <v>4</v>
      </c>
    </row>
    <row r="15365" spans="1:3" x14ac:dyDescent="0.25">
      <c r="A15365" s="1" t="s">
        <v>15364</v>
      </c>
      <c r="C15365" s="3">
        <v>4</v>
      </c>
    </row>
    <row r="15366" spans="1:3" x14ac:dyDescent="0.25">
      <c r="A15366" s="1" t="s">
        <v>15365</v>
      </c>
      <c r="C15366" s="3">
        <v>4</v>
      </c>
    </row>
    <row r="15367" spans="1:3" x14ac:dyDescent="0.25">
      <c r="A15367" s="1" t="s">
        <v>15366</v>
      </c>
      <c r="C15367" s="3">
        <v>4</v>
      </c>
    </row>
    <row r="15368" spans="1:3" x14ac:dyDescent="0.25">
      <c r="A15368" s="1" t="s">
        <v>15367</v>
      </c>
      <c r="C15368" s="3">
        <v>4</v>
      </c>
    </row>
    <row r="15369" spans="1:3" x14ac:dyDescent="0.25">
      <c r="A15369" s="1" t="s">
        <v>15368</v>
      </c>
      <c r="C15369" s="3">
        <v>4</v>
      </c>
    </row>
    <row r="15370" spans="1:3" x14ac:dyDescent="0.25">
      <c r="A15370" s="1" t="s">
        <v>15369</v>
      </c>
      <c r="C15370" s="3">
        <v>4</v>
      </c>
    </row>
    <row r="15371" spans="1:3" x14ac:dyDescent="0.25">
      <c r="A15371" s="1" t="s">
        <v>15370</v>
      </c>
      <c r="C15371" s="3">
        <v>4</v>
      </c>
    </row>
    <row r="15372" spans="1:3" x14ac:dyDescent="0.25">
      <c r="A15372" s="1" t="s">
        <v>15371</v>
      </c>
      <c r="C15372" s="3">
        <v>4</v>
      </c>
    </row>
    <row r="15373" spans="1:3" x14ac:dyDescent="0.25">
      <c r="A15373" s="1" t="s">
        <v>15372</v>
      </c>
      <c r="C15373" s="3">
        <v>4</v>
      </c>
    </row>
    <row r="15374" spans="1:3" x14ac:dyDescent="0.25">
      <c r="A15374" s="1" t="s">
        <v>15373</v>
      </c>
      <c r="C15374" s="3">
        <v>4</v>
      </c>
    </row>
    <row r="15375" spans="1:3" x14ac:dyDescent="0.25">
      <c r="A15375" s="1" t="s">
        <v>15374</v>
      </c>
      <c r="C15375" s="3">
        <v>4</v>
      </c>
    </row>
    <row r="15376" spans="1:3" x14ac:dyDescent="0.25">
      <c r="A15376" s="1" t="s">
        <v>15375</v>
      </c>
      <c r="C15376" s="3">
        <v>4</v>
      </c>
    </row>
    <row r="15377" spans="1:3" x14ac:dyDescent="0.25">
      <c r="A15377" s="1" t="s">
        <v>15376</v>
      </c>
      <c r="C15377" s="3">
        <v>4</v>
      </c>
    </row>
    <row r="15378" spans="1:3" x14ac:dyDescent="0.25">
      <c r="A15378" s="1" t="s">
        <v>15377</v>
      </c>
      <c r="C15378" s="3">
        <v>4</v>
      </c>
    </row>
    <row r="15379" spans="1:3" x14ac:dyDescent="0.25">
      <c r="A15379" s="1" t="s">
        <v>15378</v>
      </c>
      <c r="C15379" s="3">
        <v>4</v>
      </c>
    </row>
    <row r="15380" spans="1:3" x14ac:dyDescent="0.25">
      <c r="A15380" s="1" t="s">
        <v>15379</v>
      </c>
      <c r="C15380" s="3">
        <v>4</v>
      </c>
    </row>
    <row r="15381" spans="1:3" x14ac:dyDescent="0.25">
      <c r="A15381" s="1" t="s">
        <v>15380</v>
      </c>
      <c r="C15381" s="3">
        <v>4</v>
      </c>
    </row>
    <row r="15382" spans="1:3" x14ac:dyDescent="0.25">
      <c r="A15382" s="1" t="s">
        <v>15381</v>
      </c>
      <c r="C15382" s="3">
        <v>4</v>
      </c>
    </row>
    <row r="15383" spans="1:3" x14ac:dyDescent="0.25">
      <c r="A15383" s="1" t="s">
        <v>15382</v>
      </c>
      <c r="C15383" s="3">
        <v>4</v>
      </c>
    </row>
    <row r="15384" spans="1:3" x14ac:dyDescent="0.25">
      <c r="A15384" s="1" t="s">
        <v>15383</v>
      </c>
      <c r="C15384" s="3">
        <v>4</v>
      </c>
    </row>
    <row r="15385" spans="1:3" x14ac:dyDescent="0.25">
      <c r="A15385" s="1" t="s">
        <v>15384</v>
      </c>
      <c r="C15385" s="3">
        <v>4</v>
      </c>
    </row>
    <row r="15386" spans="1:3" x14ac:dyDescent="0.25">
      <c r="A15386" s="1" t="s">
        <v>15385</v>
      </c>
      <c r="C15386" s="3">
        <v>4</v>
      </c>
    </row>
    <row r="15387" spans="1:3" x14ac:dyDescent="0.25">
      <c r="A15387" s="1" t="s">
        <v>15386</v>
      </c>
      <c r="C15387" s="3">
        <v>4</v>
      </c>
    </row>
    <row r="15388" spans="1:3" x14ac:dyDescent="0.25">
      <c r="A15388" s="1" t="s">
        <v>15387</v>
      </c>
      <c r="C15388" s="3">
        <v>4</v>
      </c>
    </row>
    <row r="15389" spans="1:3" x14ac:dyDescent="0.25">
      <c r="A15389" s="1" t="s">
        <v>15388</v>
      </c>
      <c r="C15389" s="3">
        <v>4</v>
      </c>
    </row>
    <row r="15390" spans="1:3" x14ac:dyDescent="0.25">
      <c r="A15390" s="1" t="s">
        <v>15389</v>
      </c>
      <c r="C15390" s="3">
        <v>4</v>
      </c>
    </row>
    <row r="15391" spans="1:3" x14ac:dyDescent="0.25">
      <c r="A15391" s="1" t="s">
        <v>15390</v>
      </c>
      <c r="C15391" s="3">
        <v>4</v>
      </c>
    </row>
    <row r="15392" spans="1:3" x14ac:dyDescent="0.25">
      <c r="A15392" s="1" t="s">
        <v>15391</v>
      </c>
      <c r="C15392" s="3">
        <v>4</v>
      </c>
    </row>
    <row r="15393" spans="1:3" x14ac:dyDescent="0.25">
      <c r="A15393" s="1" t="s">
        <v>15392</v>
      </c>
      <c r="C15393" s="3">
        <v>4</v>
      </c>
    </row>
    <row r="15394" spans="1:3" x14ac:dyDescent="0.25">
      <c r="A15394" s="1" t="s">
        <v>15393</v>
      </c>
      <c r="C15394" s="3">
        <v>4</v>
      </c>
    </row>
    <row r="15395" spans="1:3" x14ac:dyDescent="0.25">
      <c r="A15395" s="1" t="s">
        <v>15394</v>
      </c>
      <c r="C15395" s="3">
        <v>4</v>
      </c>
    </row>
    <row r="15396" spans="1:3" x14ac:dyDescent="0.25">
      <c r="A15396" s="1" t="s">
        <v>15395</v>
      </c>
      <c r="C15396" s="3">
        <v>4</v>
      </c>
    </row>
    <row r="15397" spans="1:3" x14ac:dyDescent="0.25">
      <c r="A15397" s="1" t="s">
        <v>15396</v>
      </c>
      <c r="C15397" s="3">
        <v>4</v>
      </c>
    </row>
    <row r="15398" spans="1:3" x14ac:dyDescent="0.25">
      <c r="A15398" s="1" t="s">
        <v>15397</v>
      </c>
      <c r="C15398" s="3">
        <v>4</v>
      </c>
    </row>
    <row r="15399" spans="1:3" x14ac:dyDescent="0.25">
      <c r="A15399" s="1" t="s">
        <v>15398</v>
      </c>
      <c r="C15399" s="3">
        <v>4</v>
      </c>
    </row>
    <row r="15400" spans="1:3" x14ac:dyDescent="0.25">
      <c r="A15400" s="1" t="s">
        <v>15399</v>
      </c>
      <c r="C15400" s="3">
        <v>4</v>
      </c>
    </row>
    <row r="15401" spans="1:3" x14ac:dyDescent="0.25">
      <c r="A15401" s="1" t="s">
        <v>15400</v>
      </c>
      <c r="C15401" s="3">
        <v>4</v>
      </c>
    </row>
    <row r="15402" spans="1:3" x14ac:dyDescent="0.25">
      <c r="A15402" s="1" t="s">
        <v>15401</v>
      </c>
      <c r="C15402" s="3">
        <v>4</v>
      </c>
    </row>
    <row r="15403" spans="1:3" x14ac:dyDescent="0.25">
      <c r="A15403" s="1" t="s">
        <v>15402</v>
      </c>
      <c r="C15403" s="3">
        <v>4</v>
      </c>
    </row>
    <row r="15404" spans="1:3" x14ac:dyDescent="0.25">
      <c r="A15404" s="1" t="s">
        <v>15403</v>
      </c>
      <c r="C15404" s="3">
        <v>4</v>
      </c>
    </row>
    <row r="15405" spans="1:3" x14ac:dyDescent="0.25">
      <c r="A15405" s="1" t="s">
        <v>15404</v>
      </c>
      <c r="C15405" s="3">
        <v>4</v>
      </c>
    </row>
    <row r="15406" spans="1:3" x14ac:dyDescent="0.25">
      <c r="A15406" s="1" t="s">
        <v>15405</v>
      </c>
      <c r="C15406" s="3">
        <v>4</v>
      </c>
    </row>
    <row r="15407" spans="1:3" x14ac:dyDescent="0.25">
      <c r="A15407" s="1" t="s">
        <v>15406</v>
      </c>
      <c r="C15407" s="3">
        <v>4</v>
      </c>
    </row>
    <row r="15408" spans="1:3" x14ac:dyDescent="0.25">
      <c r="A15408" s="1" t="s">
        <v>15407</v>
      </c>
      <c r="C15408" s="3">
        <v>4</v>
      </c>
    </row>
    <row r="15409" spans="1:3" x14ac:dyDescent="0.25">
      <c r="A15409" s="1" t="s">
        <v>15408</v>
      </c>
      <c r="C15409" s="3">
        <v>4</v>
      </c>
    </row>
    <row r="15410" spans="1:3" x14ac:dyDescent="0.25">
      <c r="A15410" s="1" t="s">
        <v>15409</v>
      </c>
      <c r="C15410" s="3">
        <v>4</v>
      </c>
    </row>
    <row r="15411" spans="1:3" x14ac:dyDescent="0.25">
      <c r="A15411" s="1" t="s">
        <v>15410</v>
      </c>
      <c r="C15411" s="3">
        <v>4</v>
      </c>
    </row>
    <row r="15412" spans="1:3" x14ac:dyDescent="0.25">
      <c r="A15412" s="1" t="s">
        <v>15411</v>
      </c>
      <c r="C15412" s="3">
        <v>4</v>
      </c>
    </row>
    <row r="15413" spans="1:3" x14ac:dyDescent="0.25">
      <c r="A15413" s="1" t="s">
        <v>15412</v>
      </c>
      <c r="C15413" s="3">
        <v>4</v>
      </c>
    </row>
    <row r="15414" spans="1:3" x14ac:dyDescent="0.25">
      <c r="A15414" s="1" t="s">
        <v>15413</v>
      </c>
      <c r="C15414" s="3">
        <v>4</v>
      </c>
    </row>
    <row r="15415" spans="1:3" x14ac:dyDescent="0.25">
      <c r="A15415" s="1" t="s">
        <v>15414</v>
      </c>
      <c r="C15415" s="3">
        <v>4</v>
      </c>
    </row>
    <row r="15416" spans="1:3" x14ac:dyDescent="0.25">
      <c r="A15416" s="1" t="s">
        <v>15415</v>
      </c>
      <c r="C15416" s="3">
        <v>4</v>
      </c>
    </row>
    <row r="15417" spans="1:3" x14ac:dyDescent="0.25">
      <c r="A15417" s="1" t="s">
        <v>15416</v>
      </c>
      <c r="C15417" s="3">
        <v>4</v>
      </c>
    </row>
    <row r="15418" spans="1:3" x14ac:dyDescent="0.25">
      <c r="A15418" s="1" t="s">
        <v>15417</v>
      </c>
      <c r="C15418" s="3">
        <v>4</v>
      </c>
    </row>
    <row r="15419" spans="1:3" x14ac:dyDescent="0.25">
      <c r="A15419" s="1" t="s">
        <v>15418</v>
      </c>
      <c r="C15419" s="3">
        <v>4</v>
      </c>
    </row>
    <row r="15420" spans="1:3" x14ac:dyDescent="0.25">
      <c r="A15420" s="1" t="s">
        <v>15419</v>
      </c>
      <c r="C15420" s="3">
        <v>4</v>
      </c>
    </row>
    <row r="15421" spans="1:3" x14ac:dyDescent="0.25">
      <c r="A15421" s="1" t="s">
        <v>15420</v>
      </c>
      <c r="C15421" s="3">
        <v>4</v>
      </c>
    </row>
    <row r="15422" spans="1:3" x14ac:dyDescent="0.25">
      <c r="A15422" s="1" t="s">
        <v>15421</v>
      </c>
      <c r="C15422" s="3">
        <v>4</v>
      </c>
    </row>
    <row r="15423" spans="1:3" x14ac:dyDescent="0.25">
      <c r="A15423" s="1" t="s">
        <v>15422</v>
      </c>
      <c r="C15423" s="3">
        <v>4</v>
      </c>
    </row>
    <row r="15424" spans="1:3" x14ac:dyDescent="0.25">
      <c r="A15424" s="1" t="s">
        <v>15423</v>
      </c>
      <c r="C15424" s="3">
        <v>4</v>
      </c>
    </row>
    <row r="15425" spans="1:3" x14ac:dyDescent="0.25">
      <c r="A15425" s="1" t="s">
        <v>15424</v>
      </c>
      <c r="C15425" s="3">
        <v>4</v>
      </c>
    </row>
    <row r="15426" spans="1:3" x14ac:dyDescent="0.25">
      <c r="A15426" s="1" t="s">
        <v>15425</v>
      </c>
      <c r="C15426" s="3">
        <v>4</v>
      </c>
    </row>
    <row r="15427" spans="1:3" x14ac:dyDescent="0.25">
      <c r="A15427" s="1" t="s">
        <v>15426</v>
      </c>
      <c r="C15427" s="3">
        <v>4</v>
      </c>
    </row>
    <row r="15428" spans="1:3" x14ac:dyDescent="0.25">
      <c r="A15428" s="1" t="s">
        <v>15427</v>
      </c>
      <c r="C15428" s="3">
        <v>4</v>
      </c>
    </row>
    <row r="15429" spans="1:3" x14ac:dyDescent="0.25">
      <c r="A15429" s="1" t="s">
        <v>15428</v>
      </c>
      <c r="C15429" s="3">
        <v>4</v>
      </c>
    </row>
    <row r="15430" spans="1:3" x14ac:dyDescent="0.25">
      <c r="A15430" s="1" t="s">
        <v>15429</v>
      </c>
      <c r="C15430" s="3">
        <v>4</v>
      </c>
    </row>
    <row r="15431" spans="1:3" x14ac:dyDescent="0.25">
      <c r="A15431" s="1" t="s">
        <v>15430</v>
      </c>
      <c r="C15431" s="3">
        <v>4</v>
      </c>
    </row>
    <row r="15432" spans="1:3" x14ac:dyDescent="0.25">
      <c r="A15432" s="1" t="s">
        <v>15431</v>
      </c>
      <c r="C15432" s="3">
        <v>4</v>
      </c>
    </row>
    <row r="15433" spans="1:3" x14ac:dyDescent="0.25">
      <c r="A15433" s="1" t="s">
        <v>15432</v>
      </c>
      <c r="C15433" s="3">
        <v>4</v>
      </c>
    </row>
    <row r="15434" spans="1:3" x14ac:dyDescent="0.25">
      <c r="A15434" s="1" t="s">
        <v>15433</v>
      </c>
      <c r="C15434" s="3">
        <v>4</v>
      </c>
    </row>
    <row r="15435" spans="1:3" x14ac:dyDescent="0.25">
      <c r="A15435" s="1" t="s">
        <v>15434</v>
      </c>
      <c r="C15435" s="3">
        <v>4</v>
      </c>
    </row>
    <row r="15436" spans="1:3" x14ac:dyDescent="0.25">
      <c r="A15436" s="1" t="s">
        <v>15435</v>
      </c>
      <c r="C15436" s="3">
        <v>4</v>
      </c>
    </row>
    <row r="15437" spans="1:3" x14ac:dyDescent="0.25">
      <c r="A15437" s="1" t="s">
        <v>15436</v>
      </c>
      <c r="C15437" s="3">
        <v>4</v>
      </c>
    </row>
    <row r="15438" spans="1:3" x14ac:dyDescent="0.25">
      <c r="A15438" s="1" t="s">
        <v>15437</v>
      </c>
      <c r="C15438" s="3">
        <v>4</v>
      </c>
    </row>
    <row r="15439" spans="1:3" x14ac:dyDescent="0.25">
      <c r="A15439" s="1" t="s">
        <v>15438</v>
      </c>
      <c r="C15439" s="3">
        <v>4</v>
      </c>
    </row>
    <row r="15440" spans="1:3" x14ac:dyDescent="0.25">
      <c r="A15440" s="1" t="s">
        <v>15439</v>
      </c>
      <c r="C15440" s="3">
        <v>4</v>
      </c>
    </row>
    <row r="15441" spans="1:3" x14ac:dyDescent="0.25">
      <c r="A15441" s="1" t="s">
        <v>15440</v>
      </c>
      <c r="C15441" s="3">
        <v>4</v>
      </c>
    </row>
    <row r="15442" spans="1:3" x14ac:dyDescent="0.25">
      <c r="A15442" s="1" t="s">
        <v>15441</v>
      </c>
      <c r="C15442" s="3">
        <v>4</v>
      </c>
    </row>
    <row r="15443" spans="1:3" x14ac:dyDescent="0.25">
      <c r="A15443" s="1" t="s">
        <v>15442</v>
      </c>
      <c r="C15443" s="3">
        <v>4</v>
      </c>
    </row>
    <row r="15444" spans="1:3" x14ac:dyDescent="0.25">
      <c r="A15444" s="1" t="s">
        <v>15443</v>
      </c>
      <c r="C15444" s="3">
        <v>4</v>
      </c>
    </row>
    <row r="15445" spans="1:3" x14ac:dyDescent="0.25">
      <c r="A15445" s="1" t="s">
        <v>15444</v>
      </c>
      <c r="C15445" s="3">
        <v>4</v>
      </c>
    </row>
    <row r="15446" spans="1:3" x14ac:dyDescent="0.25">
      <c r="A15446" s="1" t="s">
        <v>15445</v>
      </c>
      <c r="C15446" s="3">
        <v>4</v>
      </c>
    </row>
    <row r="15447" spans="1:3" x14ac:dyDescent="0.25">
      <c r="A15447" s="1" t="s">
        <v>15446</v>
      </c>
      <c r="C15447" s="3">
        <v>4</v>
      </c>
    </row>
    <row r="15448" spans="1:3" x14ac:dyDescent="0.25">
      <c r="A15448" s="1" t="s">
        <v>15447</v>
      </c>
      <c r="C15448" s="3">
        <v>4</v>
      </c>
    </row>
    <row r="15449" spans="1:3" x14ac:dyDescent="0.25">
      <c r="A15449" s="1" t="s">
        <v>15448</v>
      </c>
      <c r="C15449" s="3">
        <v>4</v>
      </c>
    </row>
    <row r="15450" spans="1:3" x14ac:dyDescent="0.25">
      <c r="A15450" s="1" t="s">
        <v>15449</v>
      </c>
      <c r="C15450" s="3">
        <v>4</v>
      </c>
    </row>
    <row r="15451" spans="1:3" x14ac:dyDescent="0.25">
      <c r="A15451" s="1" t="s">
        <v>15450</v>
      </c>
      <c r="C15451" s="3">
        <v>4</v>
      </c>
    </row>
    <row r="15452" spans="1:3" x14ac:dyDescent="0.25">
      <c r="A15452" s="1" t="s">
        <v>15451</v>
      </c>
      <c r="C15452" s="3">
        <v>4</v>
      </c>
    </row>
    <row r="15453" spans="1:3" x14ac:dyDescent="0.25">
      <c r="A15453" s="1" t="s">
        <v>15452</v>
      </c>
      <c r="C15453" s="3">
        <v>4</v>
      </c>
    </row>
    <row r="15454" spans="1:3" x14ac:dyDescent="0.25">
      <c r="A15454" s="1" t="s">
        <v>15453</v>
      </c>
      <c r="C15454" s="3">
        <v>4</v>
      </c>
    </row>
    <row r="15455" spans="1:3" x14ac:dyDescent="0.25">
      <c r="A15455" s="1" t="s">
        <v>15454</v>
      </c>
      <c r="C15455" s="3">
        <v>4</v>
      </c>
    </row>
    <row r="15456" spans="1:3" x14ac:dyDescent="0.25">
      <c r="A15456" s="1" t="s">
        <v>15455</v>
      </c>
      <c r="C15456" s="3">
        <v>4</v>
      </c>
    </row>
    <row r="15457" spans="1:3" x14ac:dyDescent="0.25">
      <c r="A15457" s="1" t="s">
        <v>15456</v>
      </c>
      <c r="C15457" s="3">
        <v>4</v>
      </c>
    </row>
    <row r="15458" spans="1:3" x14ac:dyDescent="0.25">
      <c r="A15458" s="1" t="s">
        <v>15457</v>
      </c>
      <c r="C15458" s="3">
        <v>4</v>
      </c>
    </row>
    <row r="15459" spans="1:3" x14ac:dyDescent="0.25">
      <c r="A15459" s="1" t="s">
        <v>15458</v>
      </c>
      <c r="C15459" s="3">
        <v>4</v>
      </c>
    </row>
    <row r="15460" spans="1:3" x14ac:dyDescent="0.25">
      <c r="A15460" s="1" t="s">
        <v>15459</v>
      </c>
      <c r="C15460" s="3">
        <v>4</v>
      </c>
    </row>
    <row r="15461" spans="1:3" x14ac:dyDescent="0.25">
      <c r="A15461" s="1" t="s">
        <v>15460</v>
      </c>
      <c r="C15461" s="3">
        <v>4</v>
      </c>
    </row>
    <row r="15462" spans="1:3" x14ac:dyDescent="0.25">
      <c r="A15462" s="1" t="s">
        <v>15461</v>
      </c>
      <c r="C15462" s="3">
        <v>4</v>
      </c>
    </row>
    <row r="15463" spans="1:3" x14ac:dyDescent="0.25">
      <c r="A15463" s="1" t="s">
        <v>15462</v>
      </c>
      <c r="C15463" s="3">
        <v>4</v>
      </c>
    </row>
    <row r="15464" spans="1:3" x14ac:dyDescent="0.25">
      <c r="A15464" s="1" t="s">
        <v>15463</v>
      </c>
      <c r="C15464" s="3">
        <v>4</v>
      </c>
    </row>
    <row r="15465" spans="1:3" x14ac:dyDescent="0.25">
      <c r="A15465" s="1" t="s">
        <v>15464</v>
      </c>
      <c r="C15465" s="3">
        <v>4</v>
      </c>
    </row>
    <row r="15466" spans="1:3" x14ac:dyDescent="0.25">
      <c r="A15466" s="1" t="s">
        <v>15465</v>
      </c>
      <c r="C15466" s="3">
        <v>4</v>
      </c>
    </row>
    <row r="15467" spans="1:3" x14ac:dyDescent="0.25">
      <c r="A15467" s="1" t="s">
        <v>15466</v>
      </c>
      <c r="C15467" s="3">
        <v>4</v>
      </c>
    </row>
    <row r="15468" spans="1:3" x14ac:dyDescent="0.25">
      <c r="A15468" s="1" t="s">
        <v>15467</v>
      </c>
      <c r="C15468" s="3">
        <v>4</v>
      </c>
    </row>
    <row r="15469" spans="1:3" x14ac:dyDescent="0.25">
      <c r="A15469" s="1" t="s">
        <v>15468</v>
      </c>
      <c r="C15469" s="3">
        <v>4</v>
      </c>
    </row>
    <row r="15470" spans="1:3" x14ac:dyDescent="0.25">
      <c r="A15470" s="1" t="s">
        <v>15469</v>
      </c>
      <c r="C15470" s="3">
        <v>4</v>
      </c>
    </row>
    <row r="15471" spans="1:3" x14ac:dyDescent="0.25">
      <c r="A15471" s="1" t="s">
        <v>15470</v>
      </c>
      <c r="C15471" s="3">
        <v>4</v>
      </c>
    </row>
    <row r="15472" spans="1:3" x14ac:dyDescent="0.25">
      <c r="A15472" s="1" t="s">
        <v>15471</v>
      </c>
      <c r="C15472" s="3">
        <v>4</v>
      </c>
    </row>
    <row r="15473" spans="1:3" x14ac:dyDescent="0.25">
      <c r="A15473" s="1" t="s">
        <v>15472</v>
      </c>
      <c r="C15473" s="3">
        <v>4</v>
      </c>
    </row>
    <row r="15474" spans="1:3" x14ac:dyDescent="0.25">
      <c r="A15474" s="1" t="s">
        <v>15473</v>
      </c>
      <c r="C15474" s="3">
        <v>4</v>
      </c>
    </row>
    <row r="15475" spans="1:3" x14ac:dyDescent="0.25">
      <c r="A15475" s="1" t="s">
        <v>15474</v>
      </c>
      <c r="C15475" s="3">
        <v>4</v>
      </c>
    </row>
    <row r="15476" spans="1:3" x14ac:dyDescent="0.25">
      <c r="A15476" s="1" t="s">
        <v>15475</v>
      </c>
      <c r="C15476" s="3">
        <v>4</v>
      </c>
    </row>
    <row r="15477" spans="1:3" x14ac:dyDescent="0.25">
      <c r="A15477" s="1" t="s">
        <v>15476</v>
      </c>
      <c r="C15477" s="3">
        <v>4</v>
      </c>
    </row>
    <row r="15478" spans="1:3" x14ac:dyDescent="0.25">
      <c r="A15478" s="1" t="s">
        <v>15477</v>
      </c>
      <c r="C15478" s="3">
        <v>4</v>
      </c>
    </row>
    <row r="15479" spans="1:3" x14ac:dyDescent="0.25">
      <c r="A15479" s="1" t="s">
        <v>15478</v>
      </c>
      <c r="C15479" s="3">
        <v>4</v>
      </c>
    </row>
    <row r="15480" spans="1:3" x14ac:dyDescent="0.25">
      <c r="A15480" s="1" t="s">
        <v>15479</v>
      </c>
      <c r="C15480" s="3">
        <v>4</v>
      </c>
    </row>
    <row r="15481" spans="1:3" x14ac:dyDescent="0.25">
      <c r="A15481" s="1" t="s">
        <v>15480</v>
      </c>
      <c r="C15481" s="3">
        <v>4</v>
      </c>
    </row>
    <row r="15482" spans="1:3" x14ac:dyDescent="0.25">
      <c r="A15482" s="1" t="s">
        <v>15481</v>
      </c>
      <c r="C15482" s="3">
        <v>4</v>
      </c>
    </row>
    <row r="15483" spans="1:3" x14ac:dyDescent="0.25">
      <c r="A15483" s="1" t="s">
        <v>15482</v>
      </c>
      <c r="C15483" s="3">
        <v>4</v>
      </c>
    </row>
    <row r="15484" spans="1:3" x14ac:dyDescent="0.25">
      <c r="A15484" s="1" t="s">
        <v>15483</v>
      </c>
      <c r="C15484" s="3">
        <v>4</v>
      </c>
    </row>
    <row r="15485" spans="1:3" x14ac:dyDescent="0.25">
      <c r="A15485" s="1" t="s">
        <v>15484</v>
      </c>
      <c r="C15485" s="3">
        <v>4</v>
      </c>
    </row>
    <row r="15486" spans="1:3" x14ac:dyDescent="0.25">
      <c r="A15486" s="1" t="s">
        <v>15485</v>
      </c>
      <c r="C15486" s="3">
        <v>4</v>
      </c>
    </row>
    <row r="15487" spans="1:3" x14ac:dyDescent="0.25">
      <c r="A15487" s="1" t="s">
        <v>15486</v>
      </c>
      <c r="C15487" s="3">
        <v>4</v>
      </c>
    </row>
    <row r="15488" spans="1:3" x14ac:dyDescent="0.25">
      <c r="A15488" s="1" t="s">
        <v>15487</v>
      </c>
      <c r="C15488" s="3">
        <v>4</v>
      </c>
    </row>
    <row r="15489" spans="1:3" x14ac:dyDescent="0.25">
      <c r="A15489" s="1" t="s">
        <v>15488</v>
      </c>
      <c r="C15489" s="3">
        <v>4</v>
      </c>
    </row>
    <row r="15490" spans="1:3" x14ac:dyDescent="0.25">
      <c r="A15490" s="1" t="s">
        <v>15489</v>
      </c>
      <c r="C15490" s="3">
        <v>4</v>
      </c>
    </row>
    <row r="15491" spans="1:3" x14ac:dyDescent="0.25">
      <c r="A15491" s="1" t="s">
        <v>15490</v>
      </c>
      <c r="C15491" s="3">
        <v>4</v>
      </c>
    </row>
    <row r="15492" spans="1:3" x14ac:dyDescent="0.25">
      <c r="A15492" s="1" t="s">
        <v>15491</v>
      </c>
      <c r="C15492" s="3">
        <v>4</v>
      </c>
    </row>
    <row r="15493" spans="1:3" x14ac:dyDescent="0.25">
      <c r="A15493" s="1" t="s">
        <v>15492</v>
      </c>
      <c r="C15493" s="3">
        <v>4</v>
      </c>
    </row>
    <row r="15494" spans="1:3" x14ac:dyDescent="0.25">
      <c r="A15494" s="1" t="s">
        <v>15493</v>
      </c>
      <c r="C15494" s="3">
        <v>4</v>
      </c>
    </row>
    <row r="15495" spans="1:3" x14ac:dyDescent="0.25">
      <c r="A15495" s="1" t="s">
        <v>15494</v>
      </c>
      <c r="C15495" s="3">
        <v>4</v>
      </c>
    </row>
    <row r="15496" spans="1:3" x14ac:dyDescent="0.25">
      <c r="A15496" s="1" t="s">
        <v>15495</v>
      </c>
      <c r="C15496" s="3">
        <v>4</v>
      </c>
    </row>
    <row r="15497" spans="1:3" x14ac:dyDescent="0.25">
      <c r="A15497" s="1" t="s">
        <v>15496</v>
      </c>
      <c r="C15497" s="3">
        <v>4</v>
      </c>
    </row>
    <row r="15498" spans="1:3" x14ac:dyDescent="0.25">
      <c r="A15498" s="1" t="s">
        <v>15497</v>
      </c>
      <c r="C15498" s="3">
        <v>4</v>
      </c>
    </row>
    <row r="15499" spans="1:3" x14ac:dyDescent="0.25">
      <c r="A15499" s="1" t="s">
        <v>15498</v>
      </c>
      <c r="C15499" s="3">
        <v>4</v>
      </c>
    </row>
    <row r="15500" spans="1:3" x14ac:dyDescent="0.25">
      <c r="A15500" s="1" t="s">
        <v>15499</v>
      </c>
      <c r="C15500" s="3">
        <v>4</v>
      </c>
    </row>
    <row r="15501" spans="1:3" x14ac:dyDescent="0.25">
      <c r="A15501" s="1" t="s">
        <v>15500</v>
      </c>
      <c r="C15501" s="3">
        <v>4</v>
      </c>
    </row>
    <row r="15502" spans="1:3" x14ac:dyDescent="0.25">
      <c r="A15502" s="1" t="s">
        <v>15501</v>
      </c>
      <c r="C15502" s="3">
        <v>4</v>
      </c>
    </row>
    <row r="15503" spans="1:3" x14ac:dyDescent="0.25">
      <c r="A15503" s="1" t="s">
        <v>15502</v>
      </c>
      <c r="C15503" s="3">
        <v>4</v>
      </c>
    </row>
    <row r="15504" spans="1:3" x14ac:dyDescent="0.25">
      <c r="A15504" s="1" t="s">
        <v>15503</v>
      </c>
      <c r="C15504" s="3">
        <v>4</v>
      </c>
    </row>
    <row r="15505" spans="1:3" x14ac:dyDescent="0.25">
      <c r="A15505" s="1" t="s">
        <v>15504</v>
      </c>
      <c r="C15505" s="3">
        <v>4</v>
      </c>
    </row>
    <row r="15506" spans="1:3" x14ac:dyDescent="0.25">
      <c r="A15506" s="1" t="s">
        <v>15505</v>
      </c>
      <c r="C15506" s="3">
        <v>4</v>
      </c>
    </row>
    <row r="15507" spans="1:3" x14ac:dyDescent="0.25">
      <c r="A15507" s="1" t="s">
        <v>15506</v>
      </c>
      <c r="C15507" s="3">
        <v>4</v>
      </c>
    </row>
    <row r="15508" spans="1:3" x14ac:dyDescent="0.25">
      <c r="A15508" s="1" t="s">
        <v>15507</v>
      </c>
      <c r="C15508" s="3">
        <v>4</v>
      </c>
    </row>
    <row r="15509" spans="1:3" x14ac:dyDescent="0.25">
      <c r="A15509" s="1" t="s">
        <v>15508</v>
      </c>
      <c r="C15509" s="3">
        <v>4</v>
      </c>
    </row>
    <row r="15510" spans="1:3" x14ac:dyDescent="0.25">
      <c r="A15510" s="1" t="s">
        <v>15509</v>
      </c>
      <c r="C15510" s="3">
        <v>4</v>
      </c>
    </row>
    <row r="15511" spans="1:3" x14ac:dyDescent="0.25">
      <c r="A15511" s="1" t="s">
        <v>15510</v>
      </c>
      <c r="C15511" s="3">
        <v>4</v>
      </c>
    </row>
    <row r="15512" spans="1:3" x14ac:dyDescent="0.25">
      <c r="A15512" s="1" t="s">
        <v>15511</v>
      </c>
      <c r="C15512" s="3">
        <v>4</v>
      </c>
    </row>
    <row r="15513" spans="1:3" x14ac:dyDescent="0.25">
      <c r="A15513" s="1" t="s">
        <v>15512</v>
      </c>
      <c r="C15513" s="3">
        <v>4</v>
      </c>
    </row>
    <row r="15514" spans="1:3" x14ac:dyDescent="0.25">
      <c r="A15514" s="1" t="s">
        <v>15513</v>
      </c>
      <c r="C15514" s="3">
        <v>4</v>
      </c>
    </row>
    <row r="15515" spans="1:3" x14ac:dyDescent="0.25">
      <c r="A15515" s="1" t="s">
        <v>15514</v>
      </c>
      <c r="C15515" s="3">
        <v>4</v>
      </c>
    </row>
    <row r="15516" spans="1:3" x14ac:dyDescent="0.25">
      <c r="A15516" s="1" t="s">
        <v>15515</v>
      </c>
      <c r="C15516" s="3">
        <v>4</v>
      </c>
    </row>
    <row r="15517" spans="1:3" x14ac:dyDescent="0.25">
      <c r="A15517" s="1" t="s">
        <v>15516</v>
      </c>
      <c r="C15517" s="3">
        <v>4</v>
      </c>
    </row>
    <row r="15518" spans="1:3" x14ac:dyDescent="0.25">
      <c r="A15518" s="1" t="s">
        <v>15517</v>
      </c>
      <c r="C15518" s="3">
        <v>4</v>
      </c>
    </row>
    <row r="15519" spans="1:3" x14ac:dyDescent="0.25">
      <c r="A15519" s="1" t="s">
        <v>15518</v>
      </c>
      <c r="C15519" s="3">
        <v>4</v>
      </c>
    </row>
    <row r="15520" spans="1:3" x14ac:dyDescent="0.25">
      <c r="A15520" s="1" t="s">
        <v>15519</v>
      </c>
      <c r="C15520" s="3">
        <v>4</v>
      </c>
    </row>
    <row r="15521" spans="1:3" x14ac:dyDescent="0.25">
      <c r="A15521" s="1" t="s">
        <v>15520</v>
      </c>
      <c r="C15521" s="3">
        <v>4</v>
      </c>
    </row>
    <row r="15522" spans="1:3" x14ac:dyDescent="0.25">
      <c r="A15522" s="1" t="s">
        <v>15521</v>
      </c>
      <c r="C15522" s="3">
        <v>4</v>
      </c>
    </row>
    <row r="15523" spans="1:3" x14ac:dyDescent="0.25">
      <c r="A15523" s="1" t="s">
        <v>15522</v>
      </c>
      <c r="C15523" s="3">
        <v>4</v>
      </c>
    </row>
    <row r="15524" spans="1:3" x14ac:dyDescent="0.25">
      <c r="A15524" s="1" t="s">
        <v>15523</v>
      </c>
      <c r="C15524" s="3">
        <v>4</v>
      </c>
    </row>
    <row r="15525" spans="1:3" x14ac:dyDescent="0.25">
      <c r="A15525" s="1" t="s">
        <v>15524</v>
      </c>
      <c r="C15525" s="3">
        <v>4</v>
      </c>
    </row>
    <row r="15526" spans="1:3" x14ac:dyDescent="0.25">
      <c r="A15526" s="1" t="s">
        <v>15525</v>
      </c>
      <c r="C15526" s="3">
        <v>4</v>
      </c>
    </row>
    <row r="15527" spans="1:3" x14ac:dyDescent="0.25">
      <c r="A15527" s="1" t="s">
        <v>15526</v>
      </c>
      <c r="C15527" s="3">
        <v>4</v>
      </c>
    </row>
    <row r="15528" spans="1:3" x14ac:dyDescent="0.25">
      <c r="A15528" s="1" t="s">
        <v>15527</v>
      </c>
      <c r="C15528" s="3">
        <v>4</v>
      </c>
    </row>
    <row r="15529" spans="1:3" x14ac:dyDescent="0.25">
      <c r="A15529" s="1" t="s">
        <v>15528</v>
      </c>
      <c r="C15529" s="3">
        <v>4</v>
      </c>
    </row>
    <row r="15530" spans="1:3" x14ac:dyDescent="0.25">
      <c r="A15530" s="1" t="s">
        <v>15529</v>
      </c>
      <c r="C15530" s="3">
        <v>4</v>
      </c>
    </row>
    <row r="15531" spans="1:3" x14ac:dyDescent="0.25">
      <c r="A15531" s="1" t="s">
        <v>15530</v>
      </c>
      <c r="C15531" s="3">
        <v>4</v>
      </c>
    </row>
    <row r="15532" spans="1:3" x14ac:dyDescent="0.25">
      <c r="A15532" s="1" t="s">
        <v>15531</v>
      </c>
      <c r="C15532" s="3">
        <v>4</v>
      </c>
    </row>
    <row r="15533" spans="1:3" x14ac:dyDescent="0.25">
      <c r="A15533" s="1" t="s">
        <v>15532</v>
      </c>
      <c r="C15533" s="3">
        <v>4</v>
      </c>
    </row>
    <row r="15534" spans="1:3" x14ac:dyDescent="0.25">
      <c r="A15534" s="1" t="s">
        <v>15533</v>
      </c>
      <c r="C15534" s="3">
        <v>4</v>
      </c>
    </row>
    <row r="15535" spans="1:3" x14ac:dyDescent="0.25">
      <c r="A15535" s="1" t="s">
        <v>15534</v>
      </c>
      <c r="C15535" s="3">
        <v>4</v>
      </c>
    </row>
    <row r="15536" spans="1:3" x14ac:dyDescent="0.25">
      <c r="A15536" s="1" t="s">
        <v>15535</v>
      </c>
      <c r="C15536" s="3">
        <v>4</v>
      </c>
    </row>
    <row r="15537" spans="1:3" x14ac:dyDescent="0.25">
      <c r="A15537" s="1" t="s">
        <v>15536</v>
      </c>
      <c r="C15537" s="3">
        <v>4</v>
      </c>
    </row>
    <row r="15538" spans="1:3" x14ac:dyDescent="0.25">
      <c r="A15538" s="1" t="s">
        <v>15537</v>
      </c>
      <c r="C15538" s="3">
        <v>4</v>
      </c>
    </row>
    <row r="15539" spans="1:3" x14ac:dyDescent="0.25">
      <c r="A15539" s="1" t="s">
        <v>15538</v>
      </c>
      <c r="C15539" s="3">
        <v>4</v>
      </c>
    </row>
    <row r="15540" spans="1:3" x14ac:dyDescent="0.25">
      <c r="A15540" s="1" t="s">
        <v>15539</v>
      </c>
      <c r="C15540" s="3">
        <v>4</v>
      </c>
    </row>
    <row r="15541" spans="1:3" x14ac:dyDescent="0.25">
      <c r="A15541" s="1" t="s">
        <v>15540</v>
      </c>
      <c r="C15541" s="3">
        <v>4</v>
      </c>
    </row>
    <row r="15542" spans="1:3" x14ac:dyDescent="0.25">
      <c r="A15542" s="1" t="s">
        <v>15541</v>
      </c>
      <c r="C15542" s="3">
        <v>4</v>
      </c>
    </row>
    <row r="15543" spans="1:3" x14ac:dyDescent="0.25">
      <c r="A15543" s="1" t="s">
        <v>15542</v>
      </c>
      <c r="C15543" s="3">
        <v>4</v>
      </c>
    </row>
    <row r="15544" spans="1:3" x14ac:dyDescent="0.25">
      <c r="A15544" s="1" t="s">
        <v>15543</v>
      </c>
      <c r="C15544" s="3">
        <v>4</v>
      </c>
    </row>
    <row r="15545" spans="1:3" x14ac:dyDescent="0.25">
      <c r="A15545" s="1" t="s">
        <v>15544</v>
      </c>
      <c r="C15545" s="3">
        <v>4</v>
      </c>
    </row>
    <row r="15546" spans="1:3" x14ac:dyDescent="0.25">
      <c r="A15546" s="1" t="s">
        <v>15545</v>
      </c>
      <c r="C15546" s="3">
        <v>4</v>
      </c>
    </row>
    <row r="15547" spans="1:3" x14ac:dyDescent="0.25">
      <c r="A15547" s="1" t="s">
        <v>15546</v>
      </c>
      <c r="C15547" s="3">
        <v>4</v>
      </c>
    </row>
    <row r="15548" spans="1:3" x14ac:dyDescent="0.25">
      <c r="A15548" s="1" t="s">
        <v>15547</v>
      </c>
      <c r="C15548" s="3">
        <v>4</v>
      </c>
    </row>
    <row r="15549" spans="1:3" x14ac:dyDescent="0.25">
      <c r="A15549" s="1" t="s">
        <v>15548</v>
      </c>
      <c r="C15549" s="3">
        <v>4</v>
      </c>
    </row>
    <row r="15550" spans="1:3" x14ac:dyDescent="0.25">
      <c r="A15550" s="1" t="s">
        <v>15549</v>
      </c>
      <c r="C15550" s="3">
        <v>4</v>
      </c>
    </row>
    <row r="15551" spans="1:3" x14ac:dyDescent="0.25">
      <c r="A15551" s="1" t="s">
        <v>15550</v>
      </c>
      <c r="C15551" s="3">
        <v>4</v>
      </c>
    </row>
    <row r="15552" spans="1:3" x14ac:dyDescent="0.25">
      <c r="A15552" s="1" t="s">
        <v>15551</v>
      </c>
      <c r="C15552" s="3">
        <v>4</v>
      </c>
    </row>
    <row r="15553" spans="1:3" x14ac:dyDescent="0.25">
      <c r="A15553" s="1" t="s">
        <v>15552</v>
      </c>
      <c r="C15553" s="3">
        <v>4</v>
      </c>
    </row>
    <row r="15554" spans="1:3" x14ac:dyDescent="0.25">
      <c r="A15554" s="1" t="s">
        <v>15553</v>
      </c>
      <c r="C15554" s="3">
        <v>4</v>
      </c>
    </row>
    <row r="15555" spans="1:3" x14ac:dyDescent="0.25">
      <c r="A15555" s="1" t="s">
        <v>15554</v>
      </c>
      <c r="C15555" s="3">
        <v>4</v>
      </c>
    </row>
    <row r="15556" spans="1:3" x14ac:dyDescent="0.25">
      <c r="A15556" s="1" t="s">
        <v>15555</v>
      </c>
      <c r="C15556" s="3">
        <v>4</v>
      </c>
    </row>
    <row r="15557" spans="1:3" x14ac:dyDescent="0.25">
      <c r="A15557" s="1" t="s">
        <v>15556</v>
      </c>
      <c r="C15557" s="3">
        <v>4</v>
      </c>
    </row>
    <row r="15558" spans="1:3" x14ac:dyDescent="0.25">
      <c r="A15558" s="1" t="s">
        <v>15557</v>
      </c>
      <c r="C15558" s="3">
        <v>4</v>
      </c>
    </row>
    <row r="15559" spans="1:3" x14ac:dyDescent="0.25">
      <c r="A15559" s="1" t="s">
        <v>15558</v>
      </c>
      <c r="C15559" s="3">
        <v>4</v>
      </c>
    </row>
    <row r="15560" spans="1:3" x14ac:dyDescent="0.25">
      <c r="A15560" s="1" t="s">
        <v>15559</v>
      </c>
      <c r="C15560" s="3">
        <v>4</v>
      </c>
    </row>
    <row r="15561" spans="1:3" x14ac:dyDescent="0.25">
      <c r="A15561" s="1" t="s">
        <v>15560</v>
      </c>
      <c r="C15561" s="3">
        <v>4</v>
      </c>
    </row>
    <row r="15562" spans="1:3" x14ac:dyDescent="0.25">
      <c r="A15562" s="1" t="s">
        <v>15561</v>
      </c>
      <c r="C15562" s="3">
        <v>4</v>
      </c>
    </row>
    <row r="15563" spans="1:3" x14ac:dyDescent="0.25">
      <c r="A15563" s="1" t="s">
        <v>15562</v>
      </c>
      <c r="C15563" s="3">
        <v>4</v>
      </c>
    </row>
    <row r="15564" spans="1:3" x14ac:dyDescent="0.25">
      <c r="A15564" s="1" t="s">
        <v>15563</v>
      </c>
      <c r="C15564" s="3">
        <v>4</v>
      </c>
    </row>
    <row r="15565" spans="1:3" x14ac:dyDescent="0.25">
      <c r="A15565" s="1" t="s">
        <v>15564</v>
      </c>
      <c r="C15565" s="3">
        <v>4</v>
      </c>
    </row>
    <row r="15566" spans="1:3" x14ac:dyDescent="0.25">
      <c r="A15566" s="1" t="s">
        <v>15565</v>
      </c>
      <c r="C15566" s="3">
        <v>4</v>
      </c>
    </row>
    <row r="15567" spans="1:3" x14ac:dyDescent="0.25">
      <c r="A15567" s="1" t="s">
        <v>15566</v>
      </c>
      <c r="C15567" s="3">
        <v>4</v>
      </c>
    </row>
    <row r="15568" spans="1:3" x14ac:dyDescent="0.25">
      <c r="A15568" s="1" t="s">
        <v>15567</v>
      </c>
      <c r="C15568" s="3">
        <v>4</v>
      </c>
    </row>
    <row r="15569" spans="1:3" x14ac:dyDescent="0.25">
      <c r="A15569" s="1" t="s">
        <v>15568</v>
      </c>
      <c r="C15569" s="3">
        <v>4</v>
      </c>
    </row>
    <row r="15570" spans="1:3" x14ac:dyDescent="0.25">
      <c r="A15570" s="1" t="s">
        <v>15569</v>
      </c>
      <c r="C15570" s="3">
        <v>4</v>
      </c>
    </row>
    <row r="15571" spans="1:3" x14ac:dyDescent="0.25">
      <c r="A15571" s="1" t="s">
        <v>15570</v>
      </c>
      <c r="C15571" s="3">
        <v>4</v>
      </c>
    </row>
    <row r="15572" spans="1:3" x14ac:dyDescent="0.25">
      <c r="A15572" s="1" t="s">
        <v>15571</v>
      </c>
      <c r="C15572" s="3">
        <v>4</v>
      </c>
    </row>
    <row r="15573" spans="1:3" x14ac:dyDescent="0.25">
      <c r="A15573" s="1" t="s">
        <v>15572</v>
      </c>
      <c r="C15573" s="3">
        <v>4</v>
      </c>
    </row>
    <row r="15574" spans="1:3" x14ac:dyDescent="0.25">
      <c r="A15574" s="1" t="s">
        <v>15573</v>
      </c>
      <c r="C15574" s="3">
        <v>4</v>
      </c>
    </row>
    <row r="15575" spans="1:3" x14ac:dyDescent="0.25">
      <c r="A15575" s="1" t="s">
        <v>15574</v>
      </c>
      <c r="C15575" s="3">
        <v>4</v>
      </c>
    </row>
    <row r="15576" spans="1:3" x14ac:dyDescent="0.25">
      <c r="A15576" s="1" t="s">
        <v>15575</v>
      </c>
      <c r="C15576" s="3">
        <v>4</v>
      </c>
    </row>
    <row r="15577" spans="1:3" x14ac:dyDescent="0.25">
      <c r="A15577" s="1" t="s">
        <v>15576</v>
      </c>
      <c r="C15577" s="3">
        <v>4</v>
      </c>
    </row>
    <row r="15578" spans="1:3" x14ac:dyDescent="0.25">
      <c r="A15578" s="1" t="s">
        <v>15577</v>
      </c>
      <c r="C15578" s="3">
        <v>4</v>
      </c>
    </row>
    <row r="15579" spans="1:3" x14ac:dyDescent="0.25">
      <c r="A15579" s="1" t="s">
        <v>15578</v>
      </c>
      <c r="C15579" s="3">
        <v>4</v>
      </c>
    </row>
    <row r="15580" spans="1:3" x14ac:dyDescent="0.25">
      <c r="A15580" s="1" t="s">
        <v>15579</v>
      </c>
      <c r="C15580" s="3">
        <v>4</v>
      </c>
    </row>
    <row r="15581" spans="1:3" x14ac:dyDescent="0.25">
      <c r="A15581" s="1" t="s">
        <v>15580</v>
      </c>
      <c r="C15581" s="3">
        <v>4</v>
      </c>
    </row>
    <row r="15582" spans="1:3" x14ac:dyDescent="0.25">
      <c r="A15582" s="1" t="s">
        <v>15581</v>
      </c>
      <c r="C15582" s="3">
        <v>4</v>
      </c>
    </row>
    <row r="15583" spans="1:3" x14ac:dyDescent="0.25">
      <c r="A15583" s="1" t="s">
        <v>15582</v>
      </c>
      <c r="C15583" s="3">
        <v>4</v>
      </c>
    </row>
    <row r="15584" spans="1:3" x14ac:dyDescent="0.25">
      <c r="A15584" s="1" t="s">
        <v>15583</v>
      </c>
      <c r="C15584" s="3">
        <v>4</v>
      </c>
    </row>
    <row r="15585" spans="1:3" x14ac:dyDescent="0.25">
      <c r="A15585" s="1" t="s">
        <v>15584</v>
      </c>
      <c r="C15585" s="3">
        <v>4</v>
      </c>
    </row>
    <row r="15586" spans="1:3" x14ac:dyDescent="0.25">
      <c r="A15586" s="1" t="s">
        <v>15585</v>
      </c>
      <c r="C15586" s="3">
        <v>4</v>
      </c>
    </row>
    <row r="15587" spans="1:3" x14ac:dyDescent="0.25">
      <c r="A15587" s="1" t="s">
        <v>15586</v>
      </c>
      <c r="C15587" s="3">
        <v>4</v>
      </c>
    </row>
    <row r="15588" spans="1:3" x14ac:dyDescent="0.25">
      <c r="A15588" s="1" t="s">
        <v>15587</v>
      </c>
      <c r="C15588" s="3">
        <v>4</v>
      </c>
    </row>
    <row r="15589" spans="1:3" x14ac:dyDescent="0.25">
      <c r="A15589" s="1" t="s">
        <v>15588</v>
      </c>
      <c r="C15589" s="3">
        <v>4</v>
      </c>
    </row>
    <row r="15590" spans="1:3" x14ac:dyDescent="0.25">
      <c r="A15590" s="1" t="s">
        <v>15589</v>
      </c>
      <c r="C15590" s="3">
        <v>4</v>
      </c>
    </row>
    <row r="15591" spans="1:3" x14ac:dyDescent="0.25">
      <c r="A15591" s="1" t="s">
        <v>15590</v>
      </c>
      <c r="C15591" s="3">
        <v>4</v>
      </c>
    </row>
    <row r="15592" spans="1:3" x14ac:dyDescent="0.25">
      <c r="A15592" s="1" t="s">
        <v>15591</v>
      </c>
      <c r="C15592" s="3">
        <v>4</v>
      </c>
    </row>
    <row r="15593" spans="1:3" x14ac:dyDescent="0.25">
      <c r="A15593" s="1" t="s">
        <v>15592</v>
      </c>
      <c r="C15593" s="3">
        <v>4</v>
      </c>
    </row>
    <row r="15594" spans="1:3" x14ac:dyDescent="0.25">
      <c r="A15594" s="1" t="s">
        <v>15593</v>
      </c>
      <c r="C15594" s="3">
        <v>4</v>
      </c>
    </row>
    <row r="15595" spans="1:3" x14ac:dyDescent="0.25">
      <c r="A15595" s="1" t="s">
        <v>15594</v>
      </c>
      <c r="C15595" s="3">
        <v>4</v>
      </c>
    </row>
    <row r="15596" spans="1:3" x14ac:dyDescent="0.25">
      <c r="A15596" s="1" t="s">
        <v>15595</v>
      </c>
      <c r="C15596" s="3">
        <v>4</v>
      </c>
    </row>
    <row r="15597" spans="1:3" x14ac:dyDescent="0.25">
      <c r="A15597" s="1" t="s">
        <v>15596</v>
      </c>
      <c r="C15597" s="3">
        <v>4</v>
      </c>
    </row>
    <row r="15598" spans="1:3" x14ac:dyDescent="0.25">
      <c r="A15598" s="1" t="s">
        <v>15597</v>
      </c>
      <c r="C15598" s="3">
        <v>4</v>
      </c>
    </row>
    <row r="15599" spans="1:3" x14ac:dyDescent="0.25">
      <c r="A15599" s="1" t="s">
        <v>15598</v>
      </c>
      <c r="C15599" s="3">
        <v>4</v>
      </c>
    </row>
    <row r="15600" spans="1:3" x14ac:dyDescent="0.25">
      <c r="A15600" s="1" t="s">
        <v>15599</v>
      </c>
      <c r="C15600" s="3">
        <v>4</v>
      </c>
    </row>
    <row r="15601" spans="1:3" x14ac:dyDescent="0.25">
      <c r="A15601" s="1" t="s">
        <v>15600</v>
      </c>
      <c r="C15601" s="3">
        <v>4</v>
      </c>
    </row>
    <row r="15602" spans="1:3" x14ac:dyDescent="0.25">
      <c r="A15602" s="1" t="s">
        <v>15601</v>
      </c>
      <c r="C15602" s="3">
        <v>4</v>
      </c>
    </row>
    <row r="15603" spans="1:3" x14ac:dyDescent="0.25">
      <c r="A15603" s="1" t="s">
        <v>15602</v>
      </c>
      <c r="C15603" s="3">
        <v>4</v>
      </c>
    </row>
    <row r="15604" spans="1:3" x14ac:dyDescent="0.25">
      <c r="A15604" s="1" t="s">
        <v>15603</v>
      </c>
      <c r="C15604" s="3">
        <v>4</v>
      </c>
    </row>
    <row r="15605" spans="1:3" x14ac:dyDescent="0.25">
      <c r="A15605" s="1" t="s">
        <v>15604</v>
      </c>
      <c r="C15605" s="3">
        <v>4</v>
      </c>
    </row>
    <row r="15606" spans="1:3" x14ac:dyDescent="0.25">
      <c r="A15606" s="1" t="s">
        <v>15605</v>
      </c>
      <c r="C15606" s="3">
        <v>4</v>
      </c>
    </row>
    <row r="15607" spans="1:3" x14ac:dyDescent="0.25">
      <c r="A15607" s="1" t="s">
        <v>15606</v>
      </c>
      <c r="C15607" s="3">
        <v>4</v>
      </c>
    </row>
    <row r="15608" spans="1:3" x14ac:dyDescent="0.25">
      <c r="A15608" s="1" t="s">
        <v>15607</v>
      </c>
      <c r="C15608" s="3">
        <v>4</v>
      </c>
    </row>
    <row r="15609" spans="1:3" x14ac:dyDescent="0.25">
      <c r="A15609" s="1" t="s">
        <v>15608</v>
      </c>
      <c r="C15609" s="3">
        <v>4</v>
      </c>
    </row>
    <row r="15610" spans="1:3" x14ac:dyDescent="0.25">
      <c r="A15610" s="1" t="s">
        <v>15609</v>
      </c>
      <c r="C15610" s="3">
        <v>4</v>
      </c>
    </row>
    <row r="15611" spans="1:3" x14ac:dyDescent="0.25">
      <c r="A15611" s="1" t="s">
        <v>15610</v>
      </c>
      <c r="C15611" s="3">
        <v>4</v>
      </c>
    </row>
    <row r="15612" spans="1:3" x14ac:dyDescent="0.25">
      <c r="A15612" s="1" t="s">
        <v>15611</v>
      </c>
      <c r="C15612" s="3">
        <v>4</v>
      </c>
    </row>
    <row r="15613" spans="1:3" x14ac:dyDescent="0.25">
      <c r="A15613" s="1" t="s">
        <v>15612</v>
      </c>
      <c r="C15613" s="3">
        <v>4</v>
      </c>
    </row>
    <row r="15614" spans="1:3" x14ac:dyDescent="0.25">
      <c r="A15614" s="1" t="s">
        <v>15613</v>
      </c>
      <c r="C15614" s="3">
        <v>4</v>
      </c>
    </row>
    <row r="15615" spans="1:3" x14ac:dyDescent="0.25">
      <c r="A15615" s="1" t="s">
        <v>15614</v>
      </c>
      <c r="C15615" s="3">
        <v>4</v>
      </c>
    </row>
    <row r="15616" spans="1:3" x14ac:dyDescent="0.25">
      <c r="A15616" s="1" t="s">
        <v>15615</v>
      </c>
      <c r="C15616" s="3">
        <v>4</v>
      </c>
    </row>
    <row r="15617" spans="1:3" x14ac:dyDescent="0.25">
      <c r="A15617" s="1" t="s">
        <v>15616</v>
      </c>
      <c r="C15617" s="3">
        <v>4</v>
      </c>
    </row>
    <row r="15618" spans="1:3" x14ac:dyDescent="0.25">
      <c r="A15618" s="1" t="s">
        <v>15617</v>
      </c>
      <c r="C15618" s="3">
        <v>4</v>
      </c>
    </row>
    <row r="15619" spans="1:3" x14ac:dyDescent="0.25">
      <c r="A15619" s="1" t="s">
        <v>15618</v>
      </c>
      <c r="C15619" s="3">
        <v>4</v>
      </c>
    </row>
    <row r="15620" spans="1:3" x14ac:dyDescent="0.25">
      <c r="A15620" s="1" t="s">
        <v>15619</v>
      </c>
      <c r="C15620" s="3">
        <v>4</v>
      </c>
    </row>
    <row r="15621" spans="1:3" x14ac:dyDescent="0.25">
      <c r="A15621" s="1" t="s">
        <v>15620</v>
      </c>
      <c r="C15621" s="3">
        <v>4</v>
      </c>
    </row>
    <row r="15622" spans="1:3" x14ac:dyDescent="0.25">
      <c r="A15622" s="1" t="s">
        <v>15621</v>
      </c>
      <c r="C15622" s="3">
        <v>4</v>
      </c>
    </row>
    <row r="15623" spans="1:3" x14ac:dyDescent="0.25">
      <c r="A15623" s="1" t="s">
        <v>15622</v>
      </c>
      <c r="C15623" s="3">
        <v>4</v>
      </c>
    </row>
    <row r="15624" spans="1:3" x14ac:dyDescent="0.25">
      <c r="A15624" s="1" t="s">
        <v>15623</v>
      </c>
      <c r="C15624" s="3">
        <v>4</v>
      </c>
    </row>
    <row r="15625" spans="1:3" x14ac:dyDescent="0.25">
      <c r="A15625" s="1" t="s">
        <v>15624</v>
      </c>
      <c r="C15625" s="3">
        <v>4</v>
      </c>
    </row>
    <row r="15626" spans="1:3" x14ac:dyDescent="0.25">
      <c r="A15626" s="1" t="s">
        <v>15625</v>
      </c>
      <c r="C15626" s="3">
        <v>4</v>
      </c>
    </row>
    <row r="15627" spans="1:3" x14ac:dyDescent="0.25">
      <c r="A15627" s="1" t="s">
        <v>15626</v>
      </c>
      <c r="C15627" s="3">
        <v>4</v>
      </c>
    </row>
    <row r="15628" spans="1:3" x14ac:dyDescent="0.25">
      <c r="A15628" s="1" t="s">
        <v>15627</v>
      </c>
      <c r="C15628" s="3">
        <v>4</v>
      </c>
    </row>
    <row r="15629" spans="1:3" x14ac:dyDescent="0.25">
      <c r="A15629" s="1" t="s">
        <v>15628</v>
      </c>
      <c r="C15629" s="3">
        <v>4</v>
      </c>
    </row>
    <row r="15630" spans="1:3" x14ac:dyDescent="0.25">
      <c r="A15630" s="1" t="s">
        <v>15629</v>
      </c>
      <c r="C15630" s="3">
        <v>4</v>
      </c>
    </row>
    <row r="15631" spans="1:3" x14ac:dyDescent="0.25">
      <c r="A15631" s="1" t="s">
        <v>15630</v>
      </c>
      <c r="C15631" s="3">
        <v>4</v>
      </c>
    </row>
    <row r="15632" spans="1:3" x14ac:dyDescent="0.25">
      <c r="A15632" s="1" t="s">
        <v>15631</v>
      </c>
      <c r="C15632" s="3">
        <v>4</v>
      </c>
    </row>
    <row r="15633" spans="1:3" x14ac:dyDescent="0.25">
      <c r="A15633" s="1" t="s">
        <v>15632</v>
      </c>
      <c r="C15633" s="3">
        <v>4</v>
      </c>
    </row>
    <row r="15634" spans="1:3" x14ac:dyDescent="0.25">
      <c r="A15634" s="1" t="s">
        <v>15633</v>
      </c>
      <c r="C15634" s="3">
        <v>4</v>
      </c>
    </row>
    <row r="15635" spans="1:3" x14ac:dyDescent="0.25">
      <c r="A15635" s="1" t="s">
        <v>15634</v>
      </c>
      <c r="C15635" s="3">
        <v>4</v>
      </c>
    </row>
    <row r="15636" spans="1:3" x14ac:dyDescent="0.25">
      <c r="A15636" s="1" t="s">
        <v>15635</v>
      </c>
      <c r="C15636" s="3">
        <v>4</v>
      </c>
    </row>
    <row r="15637" spans="1:3" x14ac:dyDescent="0.25">
      <c r="A15637" s="1" t="s">
        <v>15636</v>
      </c>
      <c r="C15637" s="3">
        <v>4</v>
      </c>
    </row>
    <row r="15638" spans="1:3" x14ac:dyDescent="0.25">
      <c r="A15638" s="1" t="s">
        <v>15637</v>
      </c>
      <c r="C15638" s="3">
        <v>4</v>
      </c>
    </row>
    <row r="15639" spans="1:3" x14ac:dyDescent="0.25">
      <c r="A15639" s="1" t="s">
        <v>15638</v>
      </c>
      <c r="C15639" s="3">
        <v>4</v>
      </c>
    </row>
    <row r="15640" spans="1:3" x14ac:dyDescent="0.25">
      <c r="A15640" s="1" t="s">
        <v>15639</v>
      </c>
      <c r="C15640" s="3">
        <v>4</v>
      </c>
    </row>
    <row r="15641" spans="1:3" x14ac:dyDescent="0.25">
      <c r="A15641" s="1" t="s">
        <v>15640</v>
      </c>
      <c r="C15641" s="3">
        <v>4</v>
      </c>
    </row>
    <row r="15642" spans="1:3" x14ac:dyDescent="0.25">
      <c r="A15642" s="1" t="s">
        <v>15641</v>
      </c>
      <c r="C15642" s="3">
        <v>4</v>
      </c>
    </row>
    <row r="15643" spans="1:3" x14ac:dyDescent="0.25">
      <c r="A15643" s="1" t="s">
        <v>15642</v>
      </c>
      <c r="C15643" s="3">
        <v>4</v>
      </c>
    </row>
    <row r="15644" spans="1:3" x14ac:dyDescent="0.25">
      <c r="A15644" s="1" t="s">
        <v>15643</v>
      </c>
      <c r="C15644" s="3">
        <v>4</v>
      </c>
    </row>
    <row r="15645" spans="1:3" x14ac:dyDescent="0.25">
      <c r="A15645" s="1" t="s">
        <v>15644</v>
      </c>
      <c r="C15645" s="3">
        <v>4</v>
      </c>
    </row>
    <row r="15646" spans="1:3" x14ac:dyDescent="0.25">
      <c r="A15646" s="1" t="s">
        <v>15645</v>
      </c>
      <c r="C15646" s="3">
        <v>4</v>
      </c>
    </row>
    <row r="15647" spans="1:3" x14ac:dyDescent="0.25">
      <c r="A15647" s="1" t="s">
        <v>15646</v>
      </c>
      <c r="C15647" s="3">
        <v>4</v>
      </c>
    </row>
    <row r="15648" spans="1:3" x14ac:dyDescent="0.25">
      <c r="A15648" s="1" t="s">
        <v>15647</v>
      </c>
      <c r="C15648" s="3">
        <v>4</v>
      </c>
    </row>
    <row r="15649" spans="1:3" x14ac:dyDescent="0.25">
      <c r="A15649" s="1" t="s">
        <v>15648</v>
      </c>
      <c r="C15649" s="3">
        <v>4</v>
      </c>
    </row>
    <row r="15650" spans="1:3" x14ac:dyDescent="0.25">
      <c r="A15650" s="1" t="s">
        <v>15649</v>
      </c>
      <c r="C15650" s="3">
        <v>4</v>
      </c>
    </row>
    <row r="15651" spans="1:3" x14ac:dyDescent="0.25">
      <c r="A15651" s="1" t="s">
        <v>15650</v>
      </c>
      <c r="C15651" s="3">
        <v>4</v>
      </c>
    </row>
    <row r="15652" spans="1:3" x14ac:dyDescent="0.25">
      <c r="A15652" s="1" t="s">
        <v>15651</v>
      </c>
      <c r="C15652" s="3">
        <v>4</v>
      </c>
    </row>
    <row r="15653" spans="1:3" x14ac:dyDescent="0.25">
      <c r="A15653" s="1" t="s">
        <v>15652</v>
      </c>
      <c r="C15653" s="3">
        <v>4</v>
      </c>
    </row>
    <row r="15654" spans="1:3" x14ac:dyDescent="0.25">
      <c r="A15654" s="1" t="s">
        <v>15653</v>
      </c>
      <c r="C15654" s="3">
        <v>4</v>
      </c>
    </row>
    <row r="15655" spans="1:3" x14ac:dyDescent="0.25">
      <c r="A15655" s="1" t="s">
        <v>15654</v>
      </c>
      <c r="C15655" s="3">
        <v>4</v>
      </c>
    </row>
    <row r="15656" spans="1:3" x14ac:dyDescent="0.25">
      <c r="A15656" s="1" t="s">
        <v>15655</v>
      </c>
      <c r="C15656" s="3">
        <v>4</v>
      </c>
    </row>
    <row r="15657" spans="1:3" x14ac:dyDescent="0.25">
      <c r="A15657" s="1" t="s">
        <v>15656</v>
      </c>
      <c r="C15657" s="3">
        <v>4</v>
      </c>
    </row>
    <row r="15658" spans="1:3" x14ac:dyDescent="0.25">
      <c r="A15658" s="1" t="s">
        <v>15657</v>
      </c>
      <c r="C15658" s="3">
        <v>4</v>
      </c>
    </row>
    <row r="15659" spans="1:3" x14ac:dyDescent="0.25">
      <c r="A15659" s="1" t="s">
        <v>15658</v>
      </c>
      <c r="C15659" s="3">
        <v>4</v>
      </c>
    </row>
    <row r="15660" spans="1:3" x14ac:dyDescent="0.25">
      <c r="A15660" s="1" t="s">
        <v>15659</v>
      </c>
      <c r="C15660" s="3">
        <v>4</v>
      </c>
    </row>
    <row r="15661" spans="1:3" x14ac:dyDescent="0.25">
      <c r="A15661" s="1" t="s">
        <v>15660</v>
      </c>
      <c r="C15661" s="3">
        <v>4</v>
      </c>
    </row>
    <row r="15662" spans="1:3" x14ac:dyDescent="0.25">
      <c r="A15662" s="1" t="s">
        <v>15661</v>
      </c>
      <c r="C15662" s="3">
        <v>4</v>
      </c>
    </row>
    <row r="15663" spans="1:3" x14ac:dyDescent="0.25">
      <c r="A15663" s="1" t="s">
        <v>15662</v>
      </c>
      <c r="C15663" s="3">
        <v>4</v>
      </c>
    </row>
    <row r="15664" spans="1:3" x14ac:dyDescent="0.25">
      <c r="A15664" s="1" t="s">
        <v>15663</v>
      </c>
      <c r="C15664" s="3">
        <v>4</v>
      </c>
    </row>
    <row r="15665" spans="1:3" x14ac:dyDescent="0.25">
      <c r="A15665" s="1" t="s">
        <v>15664</v>
      </c>
      <c r="C15665" s="3">
        <v>4</v>
      </c>
    </row>
    <row r="15666" spans="1:3" x14ac:dyDescent="0.25">
      <c r="A15666" s="1" t="s">
        <v>15665</v>
      </c>
      <c r="C15666" s="3">
        <v>4</v>
      </c>
    </row>
    <row r="15667" spans="1:3" x14ac:dyDescent="0.25">
      <c r="A15667" s="1" t="s">
        <v>15666</v>
      </c>
      <c r="C15667" s="3">
        <v>4</v>
      </c>
    </row>
    <row r="15668" spans="1:3" x14ac:dyDescent="0.25">
      <c r="A15668" s="1" t="s">
        <v>15667</v>
      </c>
      <c r="C15668" s="3">
        <v>4</v>
      </c>
    </row>
    <row r="15669" spans="1:3" x14ac:dyDescent="0.25">
      <c r="A15669" s="1" t="s">
        <v>15668</v>
      </c>
      <c r="C15669" s="3">
        <v>4</v>
      </c>
    </row>
    <row r="15670" spans="1:3" x14ac:dyDescent="0.25">
      <c r="A15670" s="1" t="s">
        <v>15669</v>
      </c>
      <c r="C15670" s="3">
        <v>4</v>
      </c>
    </row>
    <row r="15671" spans="1:3" x14ac:dyDescent="0.25">
      <c r="A15671" s="1" t="s">
        <v>15670</v>
      </c>
      <c r="C15671" s="3">
        <v>4</v>
      </c>
    </row>
    <row r="15672" spans="1:3" x14ac:dyDescent="0.25">
      <c r="A15672" s="1" t="s">
        <v>15671</v>
      </c>
      <c r="C15672" s="3">
        <v>4</v>
      </c>
    </row>
    <row r="15673" spans="1:3" x14ac:dyDescent="0.25">
      <c r="A15673" s="1" t="s">
        <v>15672</v>
      </c>
      <c r="C15673" s="3">
        <v>4</v>
      </c>
    </row>
    <row r="15674" spans="1:3" x14ac:dyDescent="0.25">
      <c r="A15674" s="1" t="s">
        <v>15673</v>
      </c>
      <c r="C15674" s="3">
        <v>4</v>
      </c>
    </row>
    <row r="15675" spans="1:3" x14ac:dyDescent="0.25">
      <c r="A15675" s="1" t="s">
        <v>15674</v>
      </c>
      <c r="C15675" s="3">
        <v>4</v>
      </c>
    </row>
    <row r="15676" spans="1:3" x14ac:dyDescent="0.25">
      <c r="A15676" s="1" t="s">
        <v>15675</v>
      </c>
      <c r="C15676" s="3">
        <v>4</v>
      </c>
    </row>
    <row r="15677" spans="1:3" x14ac:dyDescent="0.25">
      <c r="A15677" s="1" t="s">
        <v>15676</v>
      </c>
      <c r="C15677" s="3">
        <v>4</v>
      </c>
    </row>
    <row r="15678" spans="1:3" x14ac:dyDescent="0.25">
      <c r="A15678" s="1" t="s">
        <v>15677</v>
      </c>
      <c r="C15678" s="3">
        <v>4</v>
      </c>
    </row>
    <row r="15679" spans="1:3" x14ac:dyDescent="0.25">
      <c r="A15679" s="1" t="s">
        <v>15678</v>
      </c>
      <c r="C15679" s="3">
        <v>4</v>
      </c>
    </row>
    <row r="15680" spans="1:3" x14ac:dyDescent="0.25">
      <c r="A15680" s="1" t="s">
        <v>15679</v>
      </c>
      <c r="C15680" s="3">
        <v>4</v>
      </c>
    </row>
    <row r="15681" spans="1:3" x14ac:dyDescent="0.25">
      <c r="A15681" s="1" t="s">
        <v>15680</v>
      </c>
      <c r="C15681" s="3">
        <v>4</v>
      </c>
    </row>
    <row r="15682" spans="1:3" x14ac:dyDescent="0.25">
      <c r="A15682" s="1" t="s">
        <v>15681</v>
      </c>
      <c r="C15682" s="3">
        <v>4</v>
      </c>
    </row>
    <row r="15683" spans="1:3" x14ac:dyDescent="0.25">
      <c r="A15683" s="1" t="s">
        <v>15682</v>
      </c>
      <c r="C15683" s="3">
        <v>4</v>
      </c>
    </row>
    <row r="15684" spans="1:3" x14ac:dyDescent="0.25">
      <c r="A15684" s="1" t="s">
        <v>15683</v>
      </c>
      <c r="C15684" s="3">
        <v>4</v>
      </c>
    </row>
    <row r="15685" spans="1:3" x14ac:dyDescent="0.25">
      <c r="A15685" s="1" t="s">
        <v>15684</v>
      </c>
      <c r="C15685" s="3">
        <v>4</v>
      </c>
    </row>
    <row r="15686" spans="1:3" x14ac:dyDescent="0.25">
      <c r="A15686" s="1" t="s">
        <v>15685</v>
      </c>
      <c r="C15686" s="3">
        <v>4</v>
      </c>
    </row>
    <row r="15687" spans="1:3" x14ac:dyDescent="0.25">
      <c r="A15687" s="1" t="s">
        <v>15686</v>
      </c>
      <c r="C15687" s="3">
        <v>4</v>
      </c>
    </row>
    <row r="15688" spans="1:3" x14ac:dyDescent="0.25">
      <c r="A15688" s="1" t="s">
        <v>15687</v>
      </c>
      <c r="C15688" s="3">
        <v>4</v>
      </c>
    </row>
    <row r="15689" spans="1:3" x14ac:dyDescent="0.25">
      <c r="A15689" s="1" t="s">
        <v>15688</v>
      </c>
      <c r="C15689" s="3">
        <v>4</v>
      </c>
    </row>
    <row r="15690" spans="1:3" x14ac:dyDescent="0.25">
      <c r="A15690" s="1" t="s">
        <v>15689</v>
      </c>
      <c r="C15690" s="3">
        <v>4</v>
      </c>
    </row>
    <row r="15691" spans="1:3" x14ac:dyDescent="0.25">
      <c r="A15691" s="1" t="s">
        <v>15690</v>
      </c>
      <c r="C15691" s="3">
        <v>4</v>
      </c>
    </row>
    <row r="15692" spans="1:3" x14ac:dyDescent="0.25">
      <c r="A15692" s="1" t="s">
        <v>15691</v>
      </c>
      <c r="C15692" s="3">
        <v>4</v>
      </c>
    </row>
    <row r="15693" spans="1:3" x14ac:dyDescent="0.25">
      <c r="A15693" s="1" t="s">
        <v>15692</v>
      </c>
      <c r="C15693" s="3">
        <v>4</v>
      </c>
    </row>
    <row r="15694" spans="1:3" x14ac:dyDescent="0.25">
      <c r="A15694" s="1" t="s">
        <v>15693</v>
      </c>
      <c r="C15694" s="3">
        <v>4</v>
      </c>
    </row>
    <row r="15695" spans="1:3" x14ac:dyDescent="0.25">
      <c r="A15695" s="1" t="s">
        <v>15694</v>
      </c>
      <c r="C15695" s="3">
        <v>4</v>
      </c>
    </row>
    <row r="15696" spans="1:3" x14ac:dyDescent="0.25">
      <c r="A15696" s="1" t="s">
        <v>15695</v>
      </c>
      <c r="C15696" s="3">
        <v>4</v>
      </c>
    </row>
    <row r="15697" spans="1:3" x14ac:dyDescent="0.25">
      <c r="A15697" s="1" t="s">
        <v>15696</v>
      </c>
      <c r="C15697" s="3">
        <v>4</v>
      </c>
    </row>
    <row r="15698" spans="1:3" x14ac:dyDescent="0.25">
      <c r="A15698" s="1" t="s">
        <v>15697</v>
      </c>
      <c r="C15698" s="3">
        <v>4</v>
      </c>
    </row>
    <row r="15699" spans="1:3" x14ac:dyDescent="0.25">
      <c r="A15699" s="1" t="s">
        <v>15698</v>
      </c>
      <c r="C15699" s="3">
        <v>4</v>
      </c>
    </row>
    <row r="15700" spans="1:3" x14ac:dyDescent="0.25">
      <c r="A15700" s="1" t="s">
        <v>15699</v>
      </c>
      <c r="C15700" s="3">
        <v>4</v>
      </c>
    </row>
    <row r="15701" spans="1:3" x14ac:dyDescent="0.25">
      <c r="A15701" s="1" t="s">
        <v>15700</v>
      </c>
      <c r="C15701" s="3">
        <v>4</v>
      </c>
    </row>
    <row r="15702" spans="1:3" x14ac:dyDescent="0.25">
      <c r="A15702" s="1" t="s">
        <v>15701</v>
      </c>
      <c r="C15702" s="3">
        <v>4</v>
      </c>
    </row>
    <row r="15703" spans="1:3" x14ac:dyDescent="0.25">
      <c r="A15703" s="1" t="s">
        <v>15702</v>
      </c>
      <c r="C15703" s="3">
        <v>4</v>
      </c>
    </row>
    <row r="15704" spans="1:3" x14ac:dyDescent="0.25">
      <c r="A15704" s="1" t="s">
        <v>15703</v>
      </c>
      <c r="C15704" s="3">
        <v>4</v>
      </c>
    </row>
    <row r="15705" spans="1:3" x14ac:dyDescent="0.25">
      <c r="A15705" s="1" t="s">
        <v>15704</v>
      </c>
      <c r="C15705" s="3">
        <v>4</v>
      </c>
    </row>
    <row r="15706" spans="1:3" x14ac:dyDescent="0.25">
      <c r="A15706" s="1" t="s">
        <v>15705</v>
      </c>
      <c r="C15706" s="3">
        <v>4</v>
      </c>
    </row>
    <row r="15707" spans="1:3" x14ac:dyDescent="0.25">
      <c r="A15707" s="1" t="s">
        <v>15706</v>
      </c>
      <c r="C15707" s="3">
        <v>4</v>
      </c>
    </row>
    <row r="15708" spans="1:3" x14ac:dyDescent="0.25">
      <c r="A15708" s="1" t="s">
        <v>15707</v>
      </c>
      <c r="C15708" s="3">
        <v>4</v>
      </c>
    </row>
    <row r="15709" spans="1:3" x14ac:dyDescent="0.25">
      <c r="A15709" s="1" t="s">
        <v>15708</v>
      </c>
      <c r="C15709" s="3">
        <v>4</v>
      </c>
    </row>
    <row r="15710" spans="1:3" x14ac:dyDescent="0.25">
      <c r="A15710" s="1" t="s">
        <v>15709</v>
      </c>
      <c r="C15710" s="3">
        <v>4</v>
      </c>
    </row>
    <row r="15711" spans="1:3" x14ac:dyDescent="0.25">
      <c r="A15711" s="1" t="s">
        <v>15710</v>
      </c>
      <c r="C15711" s="3">
        <v>4</v>
      </c>
    </row>
    <row r="15712" spans="1:3" x14ac:dyDescent="0.25">
      <c r="A15712" s="1" t="s">
        <v>15711</v>
      </c>
      <c r="C15712" s="3">
        <v>4</v>
      </c>
    </row>
    <row r="15713" spans="1:3" x14ac:dyDescent="0.25">
      <c r="A15713" s="1" t="s">
        <v>15712</v>
      </c>
      <c r="C15713" s="3">
        <v>4</v>
      </c>
    </row>
    <row r="15714" spans="1:3" x14ac:dyDescent="0.25">
      <c r="A15714" s="1" t="s">
        <v>15713</v>
      </c>
      <c r="C15714" s="3">
        <v>4</v>
      </c>
    </row>
    <row r="15715" spans="1:3" x14ac:dyDescent="0.25">
      <c r="A15715" s="1" t="s">
        <v>15714</v>
      </c>
      <c r="C15715" s="3">
        <v>4</v>
      </c>
    </row>
    <row r="15716" spans="1:3" x14ac:dyDescent="0.25">
      <c r="A15716" s="1" t="s">
        <v>15715</v>
      </c>
      <c r="C15716" s="3">
        <v>4</v>
      </c>
    </row>
    <row r="15717" spans="1:3" x14ac:dyDescent="0.25">
      <c r="A15717" s="1" t="s">
        <v>15716</v>
      </c>
      <c r="C15717" s="3">
        <v>4</v>
      </c>
    </row>
    <row r="15718" spans="1:3" x14ac:dyDescent="0.25">
      <c r="A15718" s="1" t="s">
        <v>15717</v>
      </c>
      <c r="C15718" s="3">
        <v>4</v>
      </c>
    </row>
    <row r="15719" spans="1:3" x14ac:dyDescent="0.25">
      <c r="A15719" s="1" t="s">
        <v>15718</v>
      </c>
      <c r="C15719" s="3">
        <v>4</v>
      </c>
    </row>
    <row r="15720" spans="1:3" x14ac:dyDescent="0.25">
      <c r="A15720" s="1" t="s">
        <v>15719</v>
      </c>
      <c r="C15720" s="3">
        <v>4</v>
      </c>
    </row>
    <row r="15721" spans="1:3" x14ac:dyDescent="0.25">
      <c r="A15721" s="1" t="s">
        <v>15720</v>
      </c>
      <c r="C15721" s="3">
        <v>4</v>
      </c>
    </row>
    <row r="15722" spans="1:3" x14ac:dyDescent="0.25">
      <c r="A15722" s="1" t="s">
        <v>15721</v>
      </c>
      <c r="C15722" s="3">
        <v>4</v>
      </c>
    </row>
    <row r="15723" spans="1:3" x14ac:dyDescent="0.25">
      <c r="A15723" s="1" t="s">
        <v>15722</v>
      </c>
      <c r="C15723" s="3">
        <v>4</v>
      </c>
    </row>
    <row r="15724" spans="1:3" x14ac:dyDescent="0.25">
      <c r="A15724" s="1" t="s">
        <v>15723</v>
      </c>
      <c r="C15724" s="3">
        <v>4</v>
      </c>
    </row>
    <row r="15725" spans="1:3" x14ac:dyDescent="0.25">
      <c r="A15725" s="1" t="s">
        <v>15724</v>
      </c>
      <c r="C15725" s="3">
        <v>4</v>
      </c>
    </row>
    <row r="15726" spans="1:3" x14ac:dyDescent="0.25">
      <c r="A15726" s="1" t="s">
        <v>15725</v>
      </c>
      <c r="C15726" s="3">
        <v>4</v>
      </c>
    </row>
    <row r="15727" spans="1:3" x14ac:dyDescent="0.25">
      <c r="A15727" s="1" t="s">
        <v>15726</v>
      </c>
      <c r="C15727" s="3">
        <v>4</v>
      </c>
    </row>
    <row r="15728" spans="1:3" x14ac:dyDescent="0.25">
      <c r="A15728" s="1" t="s">
        <v>15727</v>
      </c>
      <c r="C15728" s="3">
        <v>4</v>
      </c>
    </row>
    <row r="15729" spans="1:3" x14ac:dyDescent="0.25">
      <c r="A15729" s="1" t="s">
        <v>15728</v>
      </c>
      <c r="C15729" s="3">
        <v>4</v>
      </c>
    </row>
    <row r="15730" spans="1:3" x14ac:dyDescent="0.25">
      <c r="A15730" s="1" t="s">
        <v>15729</v>
      </c>
      <c r="C15730" s="3">
        <v>4</v>
      </c>
    </row>
    <row r="15731" spans="1:3" x14ac:dyDescent="0.25">
      <c r="A15731" s="1" t="s">
        <v>15730</v>
      </c>
      <c r="C15731" s="3">
        <v>4</v>
      </c>
    </row>
    <row r="15732" spans="1:3" x14ac:dyDescent="0.25">
      <c r="A15732" s="1" t="s">
        <v>15731</v>
      </c>
      <c r="C15732" s="3">
        <v>4</v>
      </c>
    </row>
    <row r="15733" spans="1:3" x14ac:dyDescent="0.25">
      <c r="A15733" s="1" t="s">
        <v>15732</v>
      </c>
      <c r="C15733" s="3">
        <v>4</v>
      </c>
    </row>
    <row r="15734" spans="1:3" x14ac:dyDescent="0.25">
      <c r="A15734" s="1" t="s">
        <v>15733</v>
      </c>
      <c r="C15734" s="3">
        <v>4</v>
      </c>
    </row>
    <row r="15735" spans="1:3" x14ac:dyDescent="0.25">
      <c r="A15735" s="1" t="s">
        <v>15734</v>
      </c>
      <c r="C15735" s="3">
        <v>4</v>
      </c>
    </row>
    <row r="15736" spans="1:3" x14ac:dyDescent="0.25">
      <c r="A15736" s="1" t="s">
        <v>15735</v>
      </c>
      <c r="C15736" s="3">
        <v>4</v>
      </c>
    </row>
    <row r="15737" spans="1:3" x14ac:dyDescent="0.25">
      <c r="A15737" s="1" t="s">
        <v>15736</v>
      </c>
      <c r="C15737" s="3">
        <v>4</v>
      </c>
    </row>
    <row r="15738" spans="1:3" x14ac:dyDescent="0.25">
      <c r="A15738" s="1" t="s">
        <v>15737</v>
      </c>
      <c r="C15738" s="3">
        <v>4</v>
      </c>
    </row>
    <row r="15739" spans="1:3" x14ac:dyDescent="0.25">
      <c r="A15739" s="1" t="s">
        <v>15738</v>
      </c>
      <c r="C15739" s="3">
        <v>4</v>
      </c>
    </row>
    <row r="15740" spans="1:3" x14ac:dyDescent="0.25">
      <c r="A15740" s="1" t="s">
        <v>15739</v>
      </c>
      <c r="C15740" s="3">
        <v>4</v>
      </c>
    </row>
    <row r="15741" spans="1:3" x14ac:dyDescent="0.25">
      <c r="A15741" s="1" t="s">
        <v>15740</v>
      </c>
      <c r="C15741" s="3">
        <v>4</v>
      </c>
    </row>
    <row r="15742" spans="1:3" x14ac:dyDescent="0.25">
      <c r="A15742" s="1" t="s">
        <v>15741</v>
      </c>
      <c r="C15742" s="3">
        <v>4</v>
      </c>
    </row>
    <row r="15743" spans="1:3" x14ac:dyDescent="0.25">
      <c r="A15743" s="1" t="s">
        <v>15742</v>
      </c>
      <c r="C15743" s="3">
        <v>4</v>
      </c>
    </row>
    <row r="15744" spans="1:3" x14ac:dyDescent="0.25">
      <c r="A15744" s="1" t="s">
        <v>15743</v>
      </c>
      <c r="C15744" s="3">
        <v>4</v>
      </c>
    </row>
    <row r="15745" spans="1:3" x14ac:dyDescent="0.25">
      <c r="A15745" s="1" t="s">
        <v>15744</v>
      </c>
      <c r="C15745" s="3">
        <v>4</v>
      </c>
    </row>
    <row r="15746" spans="1:3" x14ac:dyDescent="0.25">
      <c r="A15746" s="1" t="s">
        <v>15745</v>
      </c>
      <c r="C15746" s="3">
        <v>4</v>
      </c>
    </row>
    <row r="15747" spans="1:3" x14ac:dyDescent="0.25">
      <c r="A15747" s="1" t="s">
        <v>15746</v>
      </c>
      <c r="C15747" s="3">
        <v>4</v>
      </c>
    </row>
    <row r="15748" spans="1:3" x14ac:dyDescent="0.25">
      <c r="A15748" s="1" t="s">
        <v>15747</v>
      </c>
      <c r="C15748" s="3">
        <v>4</v>
      </c>
    </row>
    <row r="15749" spans="1:3" x14ac:dyDescent="0.25">
      <c r="A15749" s="1" t="s">
        <v>15748</v>
      </c>
      <c r="C15749" s="3">
        <v>4</v>
      </c>
    </row>
    <row r="15750" spans="1:3" x14ac:dyDescent="0.25">
      <c r="A15750" s="1" t="s">
        <v>15749</v>
      </c>
      <c r="C15750" s="3">
        <v>4</v>
      </c>
    </row>
    <row r="15751" spans="1:3" x14ac:dyDescent="0.25">
      <c r="A15751" s="1" t="s">
        <v>15750</v>
      </c>
      <c r="C15751" s="3">
        <v>4</v>
      </c>
    </row>
    <row r="15752" spans="1:3" x14ac:dyDescent="0.25">
      <c r="A15752" s="1" t="s">
        <v>15751</v>
      </c>
      <c r="C15752" s="3">
        <v>4</v>
      </c>
    </row>
    <row r="15753" spans="1:3" x14ac:dyDescent="0.25">
      <c r="A15753" s="1" t="s">
        <v>15752</v>
      </c>
      <c r="C15753" s="3">
        <v>4</v>
      </c>
    </row>
    <row r="15754" spans="1:3" x14ac:dyDescent="0.25">
      <c r="A15754" s="1" t="s">
        <v>15753</v>
      </c>
      <c r="C15754" s="3">
        <v>4</v>
      </c>
    </row>
    <row r="15755" spans="1:3" x14ac:dyDescent="0.25">
      <c r="A15755" s="1" t="s">
        <v>15754</v>
      </c>
      <c r="C15755" s="3">
        <v>4</v>
      </c>
    </row>
    <row r="15756" spans="1:3" x14ac:dyDescent="0.25">
      <c r="A15756" s="1" t="s">
        <v>15755</v>
      </c>
      <c r="C15756" s="3">
        <v>4</v>
      </c>
    </row>
    <row r="15757" spans="1:3" x14ac:dyDescent="0.25">
      <c r="A15757" s="1" t="s">
        <v>15756</v>
      </c>
      <c r="C15757" s="3">
        <v>4</v>
      </c>
    </row>
    <row r="15758" spans="1:3" x14ac:dyDescent="0.25">
      <c r="A15758" s="1" t="s">
        <v>15757</v>
      </c>
      <c r="C15758" s="3">
        <v>4</v>
      </c>
    </row>
    <row r="15759" spans="1:3" x14ac:dyDescent="0.25">
      <c r="A15759" s="1" t="s">
        <v>15758</v>
      </c>
      <c r="C15759" s="3">
        <v>4</v>
      </c>
    </row>
    <row r="15760" spans="1:3" x14ac:dyDescent="0.25">
      <c r="A15760" s="1" t="s">
        <v>15759</v>
      </c>
      <c r="C15760" s="3">
        <v>4</v>
      </c>
    </row>
    <row r="15761" spans="1:3" x14ac:dyDescent="0.25">
      <c r="A15761" s="1" t="s">
        <v>15760</v>
      </c>
      <c r="C15761" s="3">
        <v>4</v>
      </c>
    </row>
    <row r="15762" spans="1:3" x14ac:dyDescent="0.25">
      <c r="A15762" s="1" t="s">
        <v>15761</v>
      </c>
      <c r="C15762" s="3">
        <v>4</v>
      </c>
    </row>
    <row r="15763" spans="1:3" x14ac:dyDescent="0.25">
      <c r="A15763" s="1" t="s">
        <v>15762</v>
      </c>
      <c r="C15763" s="3">
        <v>4</v>
      </c>
    </row>
    <row r="15764" spans="1:3" x14ac:dyDescent="0.25">
      <c r="A15764" s="1" t="s">
        <v>15763</v>
      </c>
      <c r="C15764" s="3">
        <v>4</v>
      </c>
    </row>
    <row r="15765" spans="1:3" x14ac:dyDescent="0.25">
      <c r="A15765" s="1" t="s">
        <v>15764</v>
      </c>
      <c r="C15765" s="3">
        <v>4</v>
      </c>
    </row>
    <row r="15766" spans="1:3" x14ac:dyDescent="0.25">
      <c r="A15766" s="1" t="s">
        <v>15765</v>
      </c>
      <c r="C15766" s="3">
        <v>4</v>
      </c>
    </row>
    <row r="15767" spans="1:3" x14ac:dyDescent="0.25">
      <c r="A15767" s="1" t="s">
        <v>15766</v>
      </c>
      <c r="C15767" s="3">
        <v>4</v>
      </c>
    </row>
    <row r="15768" spans="1:3" x14ac:dyDescent="0.25">
      <c r="A15768" s="1" t="s">
        <v>15767</v>
      </c>
      <c r="C15768" s="3">
        <v>4</v>
      </c>
    </row>
    <row r="15769" spans="1:3" x14ac:dyDescent="0.25">
      <c r="A15769" s="1" t="s">
        <v>15768</v>
      </c>
      <c r="C15769" s="3">
        <v>4</v>
      </c>
    </row>
    <row r="15770" spans="1:3" x14ac:dyDescent="0.25">
      <c r="A15770" s="1" t="s">
        <v>15769</v>
      </c>
      <c r="C15770" s="3">
        <v>4</v>
      </c>
    </row>
    <row r="15771" spans="1:3" x14ac:dyDescent="0.25">
      <c r="A15771" s="1" t="s">
        <v>15770</v>
      </c>
      <c r="C15771" s="3">
        <v>4</v>
      </c>
    </row>
    <row r="15772" spans="1:3" x14ac:dyDescent="0.25">
      <c r="A15772" s="1" t="s">
        <v>15771</v>
      </c>
      <c r="C15772" s="3">
        <v>4</v>
      </c>
    </row>
    <row r="15773" spans="1:3" x14ac:dyDescent="0.25">
      <c r="A15773" s="1" t="s">
        <v>15772</v>
      </c>
      <c r="C15773" s="3">
        <v>4</v>
      </c>
    </row>
    <row r="15774" spans="1:3" x14ac:dyDescent="0.25">
      <c r="A15774" s="1" t="s">
        <v>15773</v>
      </c>
      <c r="C15774" s="3">
        <v>4</v>
      </c>
    </row>
    <row r="15775" spans="1:3" x14ac:dyDescent="0.25">
      <c r="A15775" s="1" t="s">
        <v>15774</v>
      </c>
      <c r="C15775" s="3">
        <v>4</v>
      </c>
    </row>
    <row r="15776" spans="1:3" x14ac:dyDescent="0.25">
      <c r="A15776" s="1" t="s">
        <v>15775</v>
      </c>
      <c r="C15776" s="3">
        <v>4</v>
      </c>
    </row>
    <row r="15777" spans="1:3" x14ac:dyDescent="0.25">
      <c r="A15777" s="1" t="s">
        <v>15776</v>
      </c>
      <c r="C15777" s="3">
        <v>4</v>
      </c>
    </row>
    <row r="15778" spans="1:3" x14ac:dyDescent="0.25">
      <c r="A15778" s="1" t="s">
        <v>15777</v>
      </c>
      <c r="C15778" s="3">
        <v>4</v>
      </c>
    </row>
    <row r="15779" spans="1:3" x14ac:dyDescent="0.25">
      <c r="A15779" s="1" t="s">
        <v>15778</v>
      </c>
      <c r="C15779" s="3">
        <v>4</v>
      </c>
    </row>
    <row r="15780" spans="1:3" x14ac:dyDescent="0.25">
      <c r="A15780" s="1" t="s">
        <v>15779</v>
      </c>
      <c r="C15780" s="3">
        <v>4</v>
      </c>
    </row>
    <row r="15781" spans="1:3" x14ac:dyDescent="0.25">
      <c r="A15781" s="1" t="s">
        <v>15780</v>
      </c>
      <c r="C15781" s="3">
        <v>4</v>
      </c>
    </row>
    <row r="15782" spans="1:3" x14ac:dyDescent="0.25">
      <c r="A15782" s="1" t="s">
        <v>15781</v>
      </c>
      <c r="C15782" s="3">
        <v>4</v>
      </c>
    </row>
    <row r="15783" spans="1:3" x14ac:dyDescent="0.25">
      <c r="A15783" s="1" t="s">
        <v>15782</v>
      </c>
      <c r="C15783" s="3">
        <v>4</v>
      </c>
    </row>
    <row r="15784" spans="1:3" x14ac:dyDescent="0.25">
      <c r="A15784" s="1" t="s">
        <v>15783</v>
      </c>
      <c r="C15784" s="3">
        <v>4</v>
      </c>
    </row>
    <row r="15785" spans="1:3" x14ac:dyDescent="0.25">
      <c r="A15785" s="1" t="s">
        <v>15784</v>
      </c>
      <c r="C15785" s="3">
        <v>4</v>
      </c>
    </row>
    <row r="15786" spans="1:3" x14ac:dyDescent="0.25">
      <c r="A15786" s="1" t="s">
        <v>15785</v>
      </c>
      <c r="C15786" s="3">
        <v>4</v>
      </c>
    </row>
    <row r="15787" spans="1:3" x14ac:dyDescent="0.25">
      <c r="A15787" s="1" t="s">
        <v>15786</v>
      </c>
      <c r="C15787" s="3">
        <v>4</v>
      </c>
    </row>
    <row r="15788" spans="1:3" x14ac:dyDescent="0.25">
      <c r="A15788" s="1" t="s">
        <v>15787</v>
      </c>
      <c r="C15788" s="3">
        <v>4</v>
      </c>
    </row>
    <row r="15789" spans="1:3" x14ac:dyDescent="0.25">
      <c r="A15789" s="1" t="s">
        <v>15788</v>
      </c>
      <c r="C15789" s="3">
        <v>4</v>
      </c>
    </row>
    <row r="15790" spans="1:3" x14ac:dyDescent="0.25">
      <c r="A15790" s="1" t="s">
        <v>15789</v>
      </c>
      <c r="C15790" s="3">
        <v>4</v>
      </c>
    </row>
    <row r="15791" spans="1:3" x14ac:dyDescent="0.25">
      <c r="A15791" s="1" t="s">
        <v>15790</v>
      </c>
      <c r="C15791" s="3">
        <v>4</v>
      </c>
    </row>
    <row r="15792" spans="1:3" x14ac:dyDescent="0.25">
      <c r="A15792" s="1" t="s">
        <v>15791</v>
      </c>
      <c r="C15792" s="3">
        <v>4</v>
      </c>
    </row>
    <row r="15793" spans="1:3" x14ac:dyDescent="0.25">
      <c r="A15793" s="1" t="s">
        <v>15792</v>
      </c>
      <c r="C15793" s="3">
        <v>4</v>
      </c>
    </row>
    <row r="15794" spans="1:3" x14ac:dyDescent="0.25">
      <c r="A15794" s="1" t="s">
        <v>15793</v>
      </c>
      <c r="C15794" s="3">
        <v>4</v>
      </c>
    </row>
    <row r="15795" spans="1:3" x14ac:dyDescent="0.25">
      <c r="A15795" s="1" t="s">
        <v>15794</v>
      </c>
      <c r="C15795" s="3">
        <v>4</v>
      </c>
    </row>
    <row r="15796" spans="1:3" x14ac:dyDescent="0.25">
      <c r="A15796" s="1" t="s">
        <v>15795</v>
      </c>
      <c r="C15796" s="3">
        <v>4</v>
      </c>
    </row>
    <row r="15797" spans="1:3" x14ac:dyDescent="0.25">
      <c r="A15797" s="1" t="s">
        <v>15796</v>
      </c>
      <c r="C15797" s="3">
        <v>4</v>
      </c>
    </row>
    <row r="15798" spans="1:3" x14ac:dyDescent="0.25">
      <c r="A15798" s="1" t="s">
        <v>15797</v>
      </c>
      <c r="C15798" s="3">
        <v>4</v>
      </c>
    </row>
    <row r="15799" spans="1:3" x14ac:dyDescent="0.25">
      <c r="A15799" s="1" t="s">
        <v>15798</v>
      </c>
      <c r="C15799" s="3">
        <v>4</v>
      </c>
    </row>
    <row r="15800" spans="1:3" x14ac:dyDescent="0.25">
      <c r="A15800" s="1" t="s">
        <v>15799</v>
      </c>
      <c r="C15800" s="3">
        <v>4</v>
      </c>
    </row>
    <row r="15801" spans="1:3" x14ac:dyDescent="0.25">
      <c r="A15801" s="1" t="s">
        <v>15800</v>
      </c>
      <c r="C15801" s="3">
        <v>4</v>
      </c>
    </row>
    <row r="15802" spans="1:3" x14ac:dyDescent="0.25">
      <c r="A15802" s="1" t="s">
        <v>15801</v>
      </c>
      <c r="C15802" s="3">
        <v>4</v>
      </c>
    </row>
    <row r="15803" spans="1:3" x14ac:dyDescent="0.25">
      <c r="A15803" s="1" t="s">
        <v>15802</v>
      </c>
      <c r="C15803" s="3">
        <v>4</v>
      </c>
    </row>
    <row r="15804" spans="1:3" x14ac:dyDescent="0.25">
      <c r="A15804" s="1" t="s">
        <v>15803</v>
      </c>
      <c r="C15804" s="3">
        <v>4</v>
      </c>
    </row>
    <row r="15805" spans="1:3" x14ac:dyDescent="0.25">
      <c r="A15805" s="1" t="s">
        <v>15804</v>
      </c>
      <c r="C15805" s="3">
        <v>4</v>
      </c>
    </row>
    <row r="15806" spans="1:3" x14ac:dyDescent="0.25">
      <c r="A15806" s="1" t="s">
        <v>15805</v>
      </c>
      <c r="C15806" s="3">
        <v>4</v>
      </c>
    </row>
    <row r="15807" spans="1:3" x14ac:dyDescent="0.25">
      <c r="A15807" s="1" t="s">
        <v>15806</v>
      </c>
      <c r="C15807" s="3">
        <v>4</v>
      </c>
    </row>
    <row r="15808" spans="1:3" x14ac:dyDescent="0.25">
      <c r="A15808" s="1" t="s">
        <v>15807</v>
      </c>
      <c r="C15808" s="3">
        <v>4</v>
      </c>
    </row>
    <row r="15809" spans="1:3" x14ac:dyDescent="0.25">
      <c r="A15809" s="1" t="s">
        <v>15808</v>
      </c>
      <c r="C15809" s="3">
        <v>4</v>
      </c>
    </row>
    <row r="15810" spans="1:3" x14ac:dyDescent="0.25">
      <c r="A15810" s="1" t="s">
        <v>15809</v>
      </c>
      <c r="C15810" s="3">
        <v>4</v>
      </c>
    </row>
    <row r="15811" spans="1:3" x14ac:dyDescent="0.25">
      <c r="A15811" s="1" t="s">
        <v>15810</v>
      </c>
      <c r="C15811" s="3">
        <v>4</v>
      </c>
    </row>
    <row r="15812" spans="1:3" x14ac:dyDescent="0.25">
      <c r="A15812" s="1" t="s">
        <v>15811</v>
      </c>
      <c r="C15812" s="3">
        <v>4</v>
      </c>
    </row>
    <row r="15813" spans="1:3" x14ac:dyDescent="0.25">
      <c r="A15813" s="1" t="s">
        <v>15812</v>
      </c>
      <c r="C15813" s="3">
        <v>4</v>
      </c>
    </row>
    <row r="15814" spans="1:3" x14ac:dyDescent="0.25">
      <c r="A15814" s="1" t="s">
        <v>15813</v>
      </c>
      <c r="C15814" s="3">
        <v>4</v>
      </c>
    </row>
    <row r="15815" spans="1:3" x14ac:dyDescent="0.25">
      <c r="A15815" s="1" t="s">
        <v>15814</v>
      </c>
      <c r="C15815" s="3">
        <v>4</v>
      </c>
    </row>
    <row r="15816" spans="1:3" x14ac:dyDescent="0.25">
      <c r="A15816" s="1" t="s">
        <v>15815</v>
      </c>
      <c r="C15816" s="3">
        <v>4</v>
      </c>
    </row>
    <row r="15817" spans="1:3" x14ac:dyDescent="0.25">
      <c r="A15817" s="1" t="s">
        <v>15816</v>
      </c>
      <c r="C15817" s="3">
        <v>4</v>
      </c>
    </row>
    <row r="15818" spans="1:3" x14ac:dyDescent="0.25">
      <c r="A15818" s="1" t="s">
        <v>15817</v>
      </c>
      <c r="C15818" s="3">
        <v>4</v>
      </c>
    </row>
    <row r="15819" spans="1:3" x14ac:dyDescent="0.25">
      <c r="A15819" s="1" t="s">
        <v>15818</v>
      </c>
      <c r="C15819" s="3">
        <v>4</v>
      </c>
    </row>
    <row r="15820" spans="1:3" x14ac:dyDescent="0.25">
      <c r="A15820" s="1" t="s">
        <v>15819</v>
      </c>
      <c r="C15820" s="3">
        <v>4</v>
      </c>
    </row>
    <row r="15821" spans="1:3" x14ac:dyDescent="0.25">
      <c r="A15821" s="1" t="s">
        <v>15820</v>
      </c>
      <c r="C15821" s="3">
        <v>4</v>
      </c>
    </row>
    <row r="15822" spans="1:3" x14ac:dyDescent="0.25">
      <c r="A15822" s="1" t="s">
        <v>15821</v>
      </c>
      <c r="C15822" s="3">
        <v>4</v>
      </c>
    </row>
    <row r="15823" spans="1:3" x14ac:dyDescent="0.25">
      <c r="A15823" s="1" t="s">
        <v>15822</v>
      </c>
      <c r="C15823" s="3">
        <v>4</v>
      </c>
    </row>
    <row r="15824" spans="1:3" x14ac:dyDescent="0.25">
      <c r="A15824" s="1" t="s">
        <v>15823</v>
      </c>
      <c r="C15824" s="3">
        <v>4</v>
      </c>
    </row>
    <row r="15825" spans="1:3" x14ac:dyDescent="0.25">
      <c r="A15825" s="1" t="s">
        <v>15824</v>
      </c>
      <c r="C15825" s="3">
        <v>4</v>
      </c>
    </row>
    <row r="15826" spans="1:3" x14ac:dyDescent="0.25">
      <c r="A15826" s="1" t="s">
        <v>15825</v>
      </c>
      <c r="C15826" s="3">
        <v>4</v>
      </c>
    </row>
    <row r="15827" spans="1:3" x14ac:dyDescent="0.25">
      <c r="A15827" s="1" t="s">
        <v>15826</v>
      </c>
      <c r="C15827" s="3">
        <v>4</v>
      </c>
    </row>
    <row r="15828" spans="1:3" x14ac:dyDescent="0.25">
      <c r="A15828" s="1" t="s">
        <v>15827</v>
      </c>
      <c r="C15828" s="3">
        <v>4</v>
      </c>
    </row>
    <row r="15829" spans="1:3" x14ac:dyDescent="0.25">
      <c r="A15829" s="1" t="s">
        <v>15828</v>
      </c>
      <c r="C15829" s="3">
        <v>4</v>
      </c>
    </row>
    <row r="15830" spans="1:3" x14ac:dyDescent="0.25">
      <c r="A15830" s="1" t="s">
        <v>15829</v>
      </c>
      <c r="C15830" s="3">
        <v>4</v>
      </c>
    </row>
    <row r="15831" spans="1:3" x14ac:dyDescent="0.25">
      <c r="A15831" s="1" t="s">
        <v>15830</v>
      </c>
      <c r="C15831" s="3">
        <v>4</v>
      </c>
    </row>
    <row r="15832" spans="1:3" x14ac:dyDescent="0.25">
      <c r="A15832" s="1" t="s">
        <v>15831</v>
      </c>
      <c r="C15832" s="3">
        <v>4</v>
      </c>
    </row>
    <row r="15833" spans="1:3" x14ac:dyDescent="0.25">
      <c r="A15833" s="1" t="s">
        <v>15832</v>
      </c>
      <c r="C15833" s="3">
        <v>4</v>
      </c>
    </row>
    <row r="15834" spans="1:3" x14ac:dyDescent="0.25">
      <c r="A15834" s="1" t="s">
        <v>15833</v>
      </c>
      <c r="C15834" s="3">
        <v>4</v>
      </c>
    </row>
    <row r="15835" spans="1:3" x14ac:dyDescent="0.25">
      <c r="A15835" s="1" t="s">
        <v>15834</v>
      </c>
      <c r="C15835" s="3">
        <v>4</v>
      </c>
    </row>
    <row r="15836" spans="1:3" x14ac:dyDescent="0.25">
      <c r="A15836" s="1" t="s">
        <v>15835</v>
      </c>
      <c r="C15836" s="3">
        <v>4</v>
      </c>
    </row>
    <row r="15837" spans="1:3" x14ac:dyDescent="0.25">
      <c r="A15837" s="1" t="s">
        <v>15836</v>
      </c>
      <c r="C15837" s="3">
        <v>4</v>
      </c>
    </row>
    <row r="15838" spans="1:3" x14ac:dyDescent="0.25">
      <c r="A15838" s="1" t="s">
        <v>15837</v>
      </c>
      <c r="C15838" s="3">
        <v>4</v>
      </c>
    </row>
    <row r="15839" spans="1:3" x14ac:dyDescent="0.25">
      <c r="A15839" s="1" t="s">
        <v>15838</v>
      </c>
      <c r="C15839" s="3">
        <v>4</v>
      </c>
    </row>
    <row r="15840" spans="1:3" x14ac:dyDescent="0.25">
      <c r="A15840" s="1" t="s">
        <v>15839</v>
      </c>
      <c r="C15840" s="3">
        <v>4</v>
      </c>
    </row>
    <row r="15841" spans="1:3" x14ac:dyDescent="0.25">
      <c r="A15841" s="1" t="s">
        <v>15840</v>
      </c>
      <c r="C15841" s="3">
        <v>4</v>
      </c>
    </row>
    <row r="15842" spans="1:3" x14ac:dyDescent="0.25">
      <c r="A15842" s="1" t="s">
        <v>15841</v>
      </c>
      <c r="C15842" s="3">
        <v>4</v>
      </c>
    </row>
    <row r="15843" spans="1:3" x14ac:dyDescent="0.25">
      <c r="A15843" s="1" t="s">
        <v>15842</v>
      </c>
      <c r="C15843" s="3">
        <v>4</v>
      </c>
    </row>
    <row r="15844" spans="1:3" x14ac:dyDescent="0.25">
      <c r="A15844" s="1" t="s">
        <v>15843</v>
      </c>
      <c r="C15844" s="3">
        <v>4</v>
      </c>
    </row>
    <row r="15845" spans="1:3" x14ac:dyDescent="0.25">
      <c r="A15845" s="1" t="s">
        <v>15844</v>
      </c>
      <c r="C15845" s="3">
        <v>4</v>
      </c>
    </row>
    <row r="15846" spans="1:3" x14ac:dyDescent="0.25">
      <c r="A15846" s="1" t="s">
        <v>15845</v>
      </c>
      <c r="C15846" s="3">
        <v>4</v>
      </c>
    </row>
    <row r="15847" spans="1:3" x14ac:dyDescent="0.25">
      <c r="A15847" s="1" t="s">
        <v>15846</v>
      </c>
      <c r="C15847" s="3">
        <v>4</v>
      </c>
    </row>
    <row r="15848" spans="1:3" x14ac:dyDescent="0.25">
      <c r="A15848" s="1" t="s">
        <v>15847</v>
      </c>
      <c r="C15848" s="3">
        <v>4</v>
      </c>
    </row>
    <row r="15849" spans="1:3" x14ac:dyDescent="0.25">
      <c r="A15849" s="1" t="s">
        <v>15848</v>
      </c>
      <c r="C15849" s="3">
        <v>4</v>
      </c>
    </row>
    <row r="15850" spans="1:3" x14ac:dyDescent="0.25">
      <c r="A15850" s="1" t="s">
        <v>15849</v>
      </c>
      <c r="C15850" s="3">
        <v>4</v>
      </c>
    </row>
    <row r="15851" spans="1:3" x14ac:dyDescent="0.25">
      <c r="A15851" s="1" t="s">
        <v>15850</v>
      </c>
      <c r="C15851" s="3">
        <v>4</v>
      </c>
    </row>
    <row r="15852" spans="1:3" x14ac:dyDescent="0.25">
      <c r="A15852" s="1" t="s">
        <v>15851</v>
      </c>
      <c r="C15852" s="3">
        <v>4</v>
      </c>
    </row>
    <row r="15853" spans="1:3" x14ac:dyDescent="0.25">
      <c r="A15853" s="1" t="s">
        <v>15852</v>
      </c>
      <c r="C15853" s="3">
        <v>4</v>
      </c>
    </row>
    <row r="15854" spans="1:3" x14ac:dyDescent="0.25">
      <c r="A15854" s="1" t="s">
        <v>15853</v>
      </c>
      <c r="C15854" s="3">
        <v>4</v>
      </c>
    </row>
    <row r="15855" spans="1:3" x14ac:dyDescent="0.25">
      <c r="A15855" s="1" t="s">
        <v>15854</v>
      </c>
      <c r="C15855" s="3">
        <v>4</v>
      </c>
    </row>
    <row r="15856" spans="1:3" x14ac:dyDescent="0.25">
      <c r="A15856" s="1" t="s">
        <v>15855</v>
      </c>
      <c r="C15856" s="3">
        <v>4</v>
      </c>
    </row>
    <row r="15857" spans="1:3" x14ac:dyDescent="0.25">
      <c r="A15857" s="1" t="s">
        <v>15856</v>
      </c>
      <c r="C15857" s="3">
        <v>4</v>
      </c>
    </row>
    <row r="15858" spans="1:3" x14ac:dyDescent="0.25">
      <c r="A15858" s="1" t="s">
        <v>15857</v>
      </c>
      <c r="C15858" s="3">
        <v>4</v>
      </c>
    </row>
    <row r="15859" spans="1:3" x14ac:dyDescent="0.25">
      <c r="A15859" s="1" t="s">
        <v>15858</v>
      </c>
      <c r="C15859" s="3">
        <v>4</v>
      </c>
    </row>
    <row r="15860" spans="1:3" x14ac:dyDescent="0.25">
      <c r="A15860" s="1" t="s">
        <v>15859</v>
      </c>
      <c r="C15860" s="3">
        <v>4</v>
      </c>
    </row>
    <row r="15861" spans="1:3" x14ac:dyDescent="0.25">
      <c r="A15861" s="1" t="s">
        <v>15860</v>
      </c>
      <c r="C15861" s="3">
        <v>4</v>
      </c>
    </row>
    <row r="15862" spans="1:3" x14ac:dyDescent="0.25">
      <c r="A15862" s="1" t="s">
        <v>15861</v>
      </c>
      <c r="C15862" s="3">
        <v>4</v>
      </c>
    </row>
    <row r="15863" spans="1:3" x14ac:dyDescent="0.25">
      <c r="A15863" s="1" t="s">
        <v>15862</v>
      </c>
      <c r="C15863" s="3">
        <v>4</v>
      </c>
    </row>
    <row r="15864" spans="1:3" x14ac:dyDescent="0.25">
      <c r="A15864" s="1" t="s">
        <v>15863</v>
      </c>
      <c r="C15864" s="3">
        <v>4</v>
      </c>
    </row>
    <row r="15865" spans="1:3" x14ac:dyDescent="0.25">
      <c r="A15865" s="1" t="s">
        <v>15864</v>
      </c>
      <c r="C15865" s="3">
        <v>4</v>
      </c>
    </row>
    <row r="15866" spans="1:3" x14ac:dyDescent="0.25">
      <c r="A15866" s="1" t="s">
        <v>15865</v>
      </c>
      <c r="C15866" s="3">
        <v>4</v>
      </c>
    </row>
    <row r="15867" spans="1:3" x14ac:dyDescent="0.25">
      <c r="A15867" s="1" t="s">
        <v>15866</v>
      </c>
      <c r="C15867" s="3">
        <v>4</v>
      </c>
    </row>
    <row r="15868" spans="1:3" x14ac:dyDescent="0.25">
      <c r="A15868" s="1" t="s">
        <v>15867</v>
      </c>
      <c r="C15868" s="3">
        <v>4</v>
      </c>
    </row>
    <row r="15869" spans="1:3" x14ac:dyDescent="0.25">
      <c r="A15869" s="1" t="s">
        <v>15868</v>
      </c>
      <c r="C15869" s="3">
        <v>4</v>
      </c>
    </row>
    <row r="15870" spans="1:3" x14ac:dyDescent="0.25">
      <c r="A15870" s="1" t="s">
        <v>15869</v>
      </c>
      <c r="C15870" s="3">
        <v>4</v>
      </c>
    </row>
    <row r="15871" spans="1:3" x14ac:dyDescent="0.25">
      <c r="A15871" s="1" t="s">
        <v>15870</v>
      </c>
      <c r="C15871" s="3">
        <v>4</v>
      </c>
    </row>
    <row r="15872" spans="1:3" x14ac:dyDescent="0.25">
      <c r="A15872" s="1" t="s">
        <v>15871</v>
      </c>
      <c r="C15872" s="3">
        <v>4</v>
      </c>
    </row>
    <row r="15873" spans="1:3" x14ac:dyDescent="0.25">
      <c r="A15873" s="1" t="s">
        <v>15872</v>
      </c>
      <c r="C15873" s="3">
        <v>4</v>
      </c>
    </row>
    <row r="15874" spans="1:3" x14ac:dyDescent="0.25">
      <c r="A15874" s="1" t="s">
        <v>15873</v>
      </c>
      <c r="C15874" s="3">
        <v>4</v>
      </c>
    </row>
    <row r="15875" spans="1:3" x14ac:dyDescent="0.25">
      <c r="A15875" s="1" t="s">
        <v>15874</v>
      </c>
      <c r="C15875" s="3">
        <v>4</v>
      </c>
    </row>
    <row r="15876" spans="1:3" x14ac:dyDescent="0.25">
      <c r="A15876" s="1" t="s">
        <v>15875</v>
      </c>
      <c r="C15876" s="3">
        <v>4</v>
      </c>
    </row>
    <row r="15877" spans="1:3" x14ac:dyDescent="0.25">
      <c r="A15877" s="1" t="s">
        <v>15876</v>
      </c>
      <c r="C15877" s="3">
        <v>4</v>
      </c>
    </row>
    <row r="15878" spans="1:3" x14ac:dyDescent="0.25">
      <c r="A15878" s="1" t="s">
        <v>15877</v>
      </c>
      <c r="C15878" s="3">
        <v>4</v>
      </c>
    </row>
    <row r="15879" spans="1:3" x14ac:dyDescent="0.25">
      <c r="A15879" s="1" t="s">
        <v>15878</v>
      </c>
      <c r="C15879" s="3">
        <v>4</v>
      </c>
    </row>
    <row r="15880" spans="1:3" x14ac:dyDescent="0.25">
      <c r="A15880" s="1" t="s">
        <v>15879</v>
      </c>
      <c r="C15880" s="3">
        <v>4</v>
      </c>
    </row>
    <row r="15881" spans="1:3" x14ac:dyDescent="0.25">
      <c r="A15881" s="1" t="s">
        <v>15880</v>
      </c>
      <c r="C15881" s="3">
        <v>4</v>
      </c>
    </row>
    <row r="15882" spans="1:3" x14ac:dyDescent="0.25">
      <c r="A15882" s="1" t="s">
        <v>15881</v>
      </c>
      <c r="C15882" s="3">
        <v>4</v>
      </c>
    </row>
    <row r="15883" spans="1:3" x14ac:dyDescent="0.25">
      <c r="A15883" s="1" t="s">
        <v>15882</v>
      </c>
      <c r="C15883" s="3">
        <v>4</v>
      </c>
    </row>
    <row r="15884" spans="1:3" x14ac:dyDescent="0.25">
      <c r="A15884" s="1" t="s">
        <v>15883</v>
      </c>
      <c r="C15884" s="3">
        <v>4</v>
      </c>
    </row>
    <row r="15885" spans="1:3" x14ac:dyDescent="0.25">
      <c r="A15885" s="1" t="s">
        <v>15884</v>
      </c>
      <c r="C15885" s="3">
        <v>4</v>
      </c>
    </row>
    <row r="15886" spans="1:3" x14ac:dyDescent="0.25">
      <c r="A15886" s="1" t="s">
        <v>15885</v>
      </c>
      <c r="C15886" s="3">
        <v>4</v>
      </c>
    </row>
    <row r="15887" spans="1:3" x14ac:dyDescent="0.25">
      <c r="A15887" s="1" t="s">
        <v>15886</v>
      </c>
      <c r="C15887" s="3">
        <v>4</v>
      </c>
    </row>
    <row r="15888" spans="1:3" x14ac:dyDescent="0.25">
      <c r="A15888" s="1" t="s">
        <v>15887</v>
      </c>
      <c r="C15888" s="3">
        <v>4</v>
      </c>
    </row>
    <row r="15889" spans="1:3" x14ac:dyDescent="0.25">
      <c r="A15889" s="1" t="s">
        <v>15888</v>
      </c>
      <c r="C15889" s="3">
        <v>4</v>
      </c>
    </row>
    <row r="15890" spans="1:3" x14ac:dyDescent="0.25">
      <c r="A15890" s="1" t="s">
        <v>15889</v>
      </c>
      <c r="C15890" s="3">
        <v>4</v>
      </c>
    </row>
    <row r="15891" spans="1:3" x14ac:dyDescent="0.25">
      <c r="A15891" s="1" t="s">
        <v>15890</v>
      </c>
      <c r="C15891" s="3">
        <v>4</v>
      </c>
    </row>
    <row r="15892" spans="1:3" x14ac:dyDescent="0.25">
      <c r="A15892" s="1" t="s">
        <v>15891</v>
      </c>
      <c r="C15892" s="3">
        <v>4</v>
      </c>
    </row>
    <row r="15893" spans="1:3" x14ac:dyDescent="0.25">
      <c r="A15893" s="1" t="s">
        <v>15892</v>
      </c>
      <c r="C15893" s="3">
        <v>4</v>
      </c>
    </row>
    <row r="15894" spans="1:3" x14ac:dyDescent="0.25">
      <c r="A15894" s="1" t="s">
        <v>15893</v>
      </c>
      <c r="C15894" s="3">
        <v>4</v>
      </c>
    </row>
    <row r="15895" spans="1:3" x14ac:dyDescent="0.25">
      <c r="A15895" s="1" t="s">
        <v>15894</v>
      </c>
      <c r="C15895" s="3">
        <v>4</v>
      </c>
    </row>
    <row r="15896" spans="1:3" x14ac:dyDescent="0.25">
      <c r="A15896" s="1" t="s">
        <v>15895</v>
      </c>
      <c r="C15896" s="3">
        <v>4</v>
      </c>
    </row>
    <row r="15897" spans="1:3" x14ac:dyDescent="0.25">
      <c r="A15897" s="1" t="s">
        <v>15896</v>
      </c>
      <c r="C15897" s="3">
        <v>4</v>
      </c>
    </row>
    <row r="15898" spans="1:3" x14ac:dyDescent="0.25">
      <c r="A15898" s="1" t="s">
        <v>15897</v>
      </c>
      <c r="C15898" s="3">
        <v>4</v>
      </c>
    </row>
    <row r="15899" spans="1:3" x14ac:dyDescent="0.25">
      <c r="A15899" s="1" t="s">
        <v>15898</v>
      </c>
      <c r="C15899" s="3">
        <v>4</v>
      </c>
    </row>
    <row r="15900" spans="1:3" x14ac:dyDescent="0.25">
      <c r="A15900" s="1" t="s">
        <v>15899</v>
      </c>
      <c r="C15900" s="3">
        <v>4</v>
      </c>
    </row>
    <row r="15901" spans="1:3" x14ac:dyDescent="0.25">
      <c r="A15901" s="1" t="s">
        <v>15900</v>
      </c>
      <c r="C15901" s="3">
        <v>4</v>
      </c>
    </row>
    <row r="15902" spans="1:3" x14ac:dyDescent="0.25">
      <c r="A15902" s="1" t="s">
        <v>15901</v>
      </c>
      <c r="C15902" s="3">
        <v>4</v>
      </c>
    </row>
    <row r="15903" spans="1:3" x14ac:dyDescent="0.25">
      <c r="A15903" s="1" t="s">
        <v>15902</v>
      </c>
      <c r="C15903" s="3">
        <v>4</v>
      </c>
    </row>
    <row r="15904" spans="1:3" x14ac:dyDescent="0.25">
      <c r="A15904" s="1" t="s">
        <v>15903</v>
      </c>
      <c r="C15904" s="3">
        <v>4</v>
      </c>
    </row>
    <row r="15905" spans="1:3" x14ac:dyDescent="0.25">
      <c r="A15905" s="1" t="s">
        <v>15904</v>
      </c>
      <c r="C15905" s="3">
        <v>4</v>
      </c>
    </row>
    <row r="15906" spans="1:3" x14ac:dyDescent="0.25">
      <c r="A15906" s="1" t="s">
        <v>15905</v>
      </c>
      <c r="C15906" s="3">
        <v>4</v>
      </c>
    </row>
    <row r="15907" spans="1:3" x14ac:dyDescent="0.25">
      <c r="A15907" s="1" t="s">
        <v>15906</v>
      </c>
      <c r="C15907" s="3">
        <v>4</v>
      </c>
    </row>
    <row r="15908" spans="1:3" x14ac:dyDescent="0.25">
      <c r="A15908" s="1" t="s">
        <v>15907</v>
      </c>
      <c r="C15908" s="3">
        <v>4</v>
      </c>
    </row>
    <row r="15909" spans="1:3" x14ac:dyDescent="0.25">
      <c r="A15909" s="1" t="s">
        <v>15908</v>
      </c>
      <c r="C15909" s="3">
        <v>4</v>
      </c>
    </row>
    <row r="15910" spans="1:3" x14ac:dyDescent="0.25">
      <c r="A15910" s="1" t="s">
        <v>15909</v>
      </c>
      <c r="C15910" s="3">
        <v>4</v>
      </c>
    </row>
    <row r="15911" spans="1:3" x14ac:dyDescent="0.25">
      <c r="A15911" s="1" t="s">
        <v>15910</v>
      </c>
      <c r="C15911" s="3">
        <v>4</v>
      </c>
    </row>
    <row r="15912" spans="1:3" x14ac:dyDescent="0.25">
      <c r="A15912" s="1" t="s">
        <v>15911</v>
      </c>
      <c r="C15912" s="3">
        <v>4</v>
      </c>
    </row>
    <row r="15913" spans="1:3" x14ac:dyDescent="0.25">
      <c r="A15913" s="1" t="s">
        <v>15912</v>
      </c>
      <c r="C15913" s="3">
        <v>4</v>
      </c>
    </row>
    <row r="15914" spans="1:3" x14ac:dyDescent="0.25">
      <c r="A15914" s="1" t="s">
        <v>15913</v>
      </c>
      <c r="C15914" s="3">
        <v>4</v>
      </c>
    </row>
    <row r="15915" spans="1:3" x14ac:dyDescent="0.25">
      <c r="A15915" s="1" t="s">
        <v>15914</v>
      </c>
      <c r="C15915" s="3">
        <v>4</v>
      </c>
    </row>
    <row r="15916" spans="1:3" x14ac:dyDescent="0.25">
      <c r="A15916" s="1" t="s">
        <v>15915</v>
      </c>
      <c r="C15916" s="3">
        <v>4</v>
      </c>
    </row>
    <row r="15917" spans="1:3" x14ac:dyDescent="0.25">
      <c r="A15917" s="1" t="s">
        <v>15916</v>
      </c>
      <c r="C15917" s="3">
        <v>4</v>
      </c>
    </row>
    <row r="15918" spans="1:3" x14ac:dyDescent="0.25">
      <c r="A15918" s="1" t="s">
        <v>15917</v>
      </c>
      <c r="C15918" s="3">
        <v>4</v>
      </c>
    </row>
    <row r="15919" spans="1:3" x14ac:dyDescent="0.25">
      <c r="A15919" s="1" t="s">
        <v>15918</v>
      </c>
      <c r="C15919" s="3">
        <v>4</v>
      </c>
    </row>
    <row r="15920" spans="1:3" x14ac:dyDescent="0.25">
      <c r="A15920" s="1" t="s">
        <v>15919</v>
      </c>
      <c r="C15920" s="3">
        <v>4</v>
      </c>
    </row>
    <row r="15921" spans="1:3" x14ac:dyDescent="0.25">
      <c r="A15921" s="1" t="s">
        <v>15920</v>
      </c>
      <c r="C15921" s="3">
        <v>4</v>
      </c>
    </row>
    <row r="15922" spans="1:3" x14ac:dyDescent="0.25">
      <c r="A15922" s="1" t="s">
        <v>15921</v>
      </c>
      <c r="C15922" s="3">
        <v>4</v>
      </c>
    </row>
    <row r="15923" spans="1:3" x14ac:dyDescent="0.25">
      <c r="A15923" s="1" t="s">
        <v>15922</v>
      </c>
      <c r="C15923" s="3">
        <v>4</v>
      </c>
    </row>
    <row r="15924" spans="1:3" x14ac:dyDescent="0.25">
      <c r="A15924" s="1" t="s">
        <v>15923</v>
      </c>
      <c r="C15924" s="3">
        <v>4</v>
      </c>
    </row>
    <row r="15925" spans="1:3" x14ac:dyDescent="0.25">
      <c r="A15925" s="1" t="s">
        <v>15924</v>
      </c>
      <c r="C15925" s="3">
        <v>4</v>
      </c>
    </row>
    <row r="15926" spans="1:3" x14ac:dyDescent="0.25">
      <c r="A15926" s="1" t="s">
        <v>15925</v>
      </c>
      <c r="C15926" s="3">
        <v>4</v>
      </c>
    </row>
    <row r="15927" spans="1:3" x14ac:dyDescent="0.25">
      <c r="A15927" s="1" t="s">
        <v>15926</v>
      </c>
      <c r="C15927" s="3">
        <v>4</v>
      </c>
    </row>
    <row r="15928" spans="1:3" x14ac:dyDescent="0.25">
      <c r="A15928" s="1" t="s">
        <v>15927</v>
      </c>
      <c r="C15928" s="3">
        <v>4</v>
      </c>
    </row>
    <row r="15929" spans="1:3" x14ac:dyDescent="0.25">
      <c r="A15929" s="1" t="s">
        <v>15928</v>
      </c>
      <c r="C15929" s="3">
        <v>4</v>
      </c>
    </row>
    <row r="15930" spans="1:3" x14ac:dyDescent="0.25">
      <c r="A15930" s="1" t="s">
        <v>15929</v>
      </c>
      <c r="C15930" s="3">
        <v>4</v>
      </c>
    </row>
    <row r="15931" spans="1:3" x14ac:dyDescent="0.25">
      <c r="A15931" s="1" t="s">
        <v>15930</v>
      </c>
      <c r="C15931" s="3">
        <v>4</v>
      </c>
    </row>
    <row r="15932" spans="1:3" x14ac:dyDescent="0.25">
      <c r="A15932" s="1" t="s">
        <v>15931</v>
      </c>
      <c r="C15932" s="3">
        <v>4</v>
      </c>
    </row>
    <row r="15933" spans="1:3" x14ac:dyDescent="0.25">
      <c r="A15933" s="1" t="s">
        <v>15932</v>
      </c>
      <c r="C15933" s="3">
        <v>4</v>
      </c>
    </row>
    <row r="15934" spans="1:3" x14ac:dyDescent="0.25">
      <c r="A15934" s="1" t="s">
        <v>15933</v>
      </c>
      <c r="C15934" s="3">
        <v>4</v>
      </c>
    </row>
    <row r="15935" spans="1:3" x14ac:dyDescent="0.25">
      <c r="A15935" s="1" t="s">
        <v>15934</v>
      </c>
      <c r="C15935" s="3">
        <v>4</v>
      </c>
    </row>
    <row r="15936" spans="1:3" x14ac:dyDescent="0.25">
      <c r="A15936" s="1" t="s">
        <v>15935</v>
      </c>
      <c r="C15936" s="3">
        <v>4</v>
      </c>
    </row>
    <row r="15937" spans="1:3" x14ac:dyDescent="0.25">
      <c r="A15937" s="1" t="s">
        <v>15936</v>
      </c>
      <c r="C15937" s="3">
        <v>4</v>
      </c>
    </row>
    <row r="15938" spans="1:3" x14ac:dyDescent="0.25">
      <c r="A15938" s="1" t="s">
        <v>15937</v>
      </c>
      <c r="C15938" s="3">
        <v>4</v>
      </c>
    </row>
    <row r="15939" spans="1:3" x14ac:dyDescent="0.25">
      <c r="A15939" s="1" t="s">
        <v>15938</v>
      </c>
      <c r="C15939" s="3">
        <v>4</v>
      </c>
    </row>
    <row r="15940" spans="1:3" x14ac:dyDescent="0.25">
      <c r="A15940" s="1" t="s">
        <v>15939</v>
      </c>
      <c r="C15940" s="3">
        <v>4</v>
      </c>
    </row>
    <row r="15941" spans="1:3" x14ac:dyDescent="0.25">
      <c r="A15941" s="1" t="s">
        <v>15940</v>
      </c>
      <c r="C15941" s="3">
        <v>4</v>
      </c>
    </row>
    <row r="15942" spans="1:3" x14ac:dyDescent="0.25">
      <c r="A15942" s="1" t="s">
        <v>15941</v>
      </c>
      <c r="C15942" s="3">
        <v>4</v>
      </c>
    </row>
    <row r="15943" spans="1:3" x14ac:dyDescent="0.25">
      <c r="A15943" s="1" t="s">
        <v>15942</v>
      </c>
      <c r="C15943" s="3">
        <v>4</v>
      </c>
    </row>
    <row r="15944" spans="1:3" x14ac:dyDescent="0.25">
      <c r="A15944" s="1" t="s">
        <v>15943</v>
      </c>
      <c r="C15944" s="3">
        <v>4</v>
      </c>
    </row>
    <row r="15945" spans="1:3" x14ac:dyDescent="0.25">
      <c r="A15945" s="1" t="s">
        <v>15944</v>
      </c>
      <c r="C15945" s="3">
        <v>4</v>
      </c>
    </row>
    <row r="15946" spans="1:3" x14ac:dyDescent="0.25">
      <c r="A15946" s="1" t="s">
        <v>15945</v>
      </c>
      <c r="C15946" s="3">
        <v>4</v>
      </c>
    </row>
    <row r="15947" spans="1:3" x14ac:dyDescent="0.25">
      <c r="A15947" s="1" t="s">
        <v>15946</v>
      </c>
      <c r="C15947" s="3">
        <v>4</v>
      </c>
    </row>
    <row r="15948" spans="1:3" x14ac:dyDescent="0.25">
      <c r="A15948" s="1" t="s">
        <v>15947</v>
      </c>
      <c r="C15948" s="3">
        <v>4</v>
      </c>
    </row>
    <row r="15949" spans="1:3" x14ac:dyDescent="0.25">
      <c r="A15949" s="1" t="s">
        <v>15948</v>
      </c>
      <c r="C15949" s="3">
        <v>4</v>
      </c>
    </row>
    <row r="15950" spans="1:3" x14ac:dyDescent="0.25">
      <c r="A15950" s="1" t="s">
        <v>15949</v>
      </c>
      <c r="C15950" s="3">
        <v>4</v>
      </c>
    </row>
    <row r="15951" spans="1:3" x14ac:dyDescent="0.25">
      <c r="A15951" s="1" t="s">
        <v>15950</v>
      </c>
      <c r="C15951" s="3">
        <v>4</v>
      </c>
    </row>
    <row r="15952" spans="1:3" x14ac:dyDescent="0.25">
      <c r="A15952" s="1" t="s">
        <v>15951</v>
      </c>
      <c r="C15952" s="3">
        <v>4</v>
      </c>
    </row>
    <row r="15953" spans="1:3" x14ac:dyDescent="0.25">
      <c r="A15953" s="1" t="s">
        <v>15952</v>
      </c>
      <c r="C15953" s="3">
        <v>4</v>
      </c>
    </row>
    <row r="15954" spans="1:3" x14ac:dyDescent="0.25">
      <c r="A15954" s="1" t="s">
        <v>15953</v>
      </c>
      <c r="C15954" s="3">
        <v>4</v>
      </c>
    </row>
    <row r="15955" spans="1:3" x14ac:dyDescent="0.25">
      <c r="A15955" s="1" t="s">
        <v>15954</v>
      </c>
      <c r="C15955" s="3">
        <v>4</v>
      </c>
    </row>
    <row r="15956" spans="1:3" x14ac:dyDescent="0.25">
      <c r="A15956" s="1" t="s">
        <v>15955</v>
      </c>
      <c r="C15956" s="3">
        <v>4</v>
      </c>
    </row>
    <row r="15957" spans="1:3" x14ac:dyDescent="0.25">
      <c r="A15957" s="1" t="s">
        <v>15956</v>
      </c>
      <c r="C15957" s="3">
        <v>4</v>
      </c>
    </row>
    <row r="15958" spans="1:3" x14ac:dyDescent="0.25">
      <c r="A15958" s="1" t="s">
        <v>15957</v>
      </c>
      <c r="C15958" s="3">
        <v>4</v>
      </c>
    </row>
    <row r="15959" spans="1:3" x14ac:dyDescent="0.25">
      <c r="A15959" s="1" t="s">
        <v>15958</v>
      </c>
      <c r="C15959" s="3">
        <v>4</v>
      </c>
    </row>
    <row r="15960" spans="1:3" x14ac:dyDescent="0.25">
      <c r="A15960" s="1" t="s">
        <v>15959</v>
      </c>
      <c r="C15960" s="3">
        <v>4</v>
      </c>
    </row>
    <row r="15961" spans="1:3" x14ac:dyDescent="0.25">
      <c r="A15961" s="1" t="s">
        <v>15960</v>
      </c>
      <c r="C15961" s="3">
        <v>4</v>
      </c>
    </row>
    <row r="15962" spans="1:3" x14ac:dyDescent="0.25">
      <c r="A15962" s="1" t="s">
        <v>15961</v>
      </c>
      <c r="C15962" s="3">
        <v>4</v>
      </c>
    </row>
    <row r="15963" spans="1:3" x14ac:dyDescent="0.25">
      <c r="A15963" s="1" t="s">
        <v>15962</v>
      </c>
      <c r="C15963" s="3">
        <v>4</v>
      </c>
    </row>
    <row r="15964" spans="1:3" x14ac:dyDescent="0.25">
      <c r="A15964" s="1" t="s">
        <v>15963</v>
      </c>
      <c r="C15964" s="3">
        <v>4</v>
      </c>
    </row>
    <row r="15965" spans="1:3" x14ac:dyDescent="0.25">
      <c r="A15965" s="1" t="s">
        <v>15964</v>
      </c>
      <c r="C15965" s="3">
        <v>4</v>
      </c>
    </row>
    <row r="15966" spans="1:3" x14ac:dyDescent="0.25">
      <c r="A15966" s="1" t="s">
        <v>15965</v>
      </c>
      <c r="C15966" s="3">
        <v>4</v>
      </c>
    </row>
    <row r="15967" spans="1:3" x14ac:dyDescent="0.25">
      <c r="A15967" s="1" t="s">
        <v>15966</v>
      </c>
      <c r="C15967" s="3">
        <v>4</v>
      </c>
    </row>
    <row r="15968" spans="1:3" x14ac:dyDescent="0.25">
      <c r="A15968" s="1" t="s">
        <v>15967</v>
      </c>
      <c r="C15968" s="3">
        <v>4</v>
      </c>
    </row>
    <row r="15969" spans="1:3" x14ac:dyDescent="0.25">
      <c r="A15969" s="1" t="s">
        <v>15968</v>
      </c>
      <c r="C15969" s="3">
        <v>4</v>
      </c>
    </row>
    <row r="15970" spans="1:3" x14ac:dyDescent="0.25">
      <c r="A15970" s="1" t="s">
        <v>15969</v>
      </c>
      <c r="C15970" s="3">
        <v>4</v>
      </c>
    </row>
    <row r="15971" spans="1:3" x14ac:dyDescent="0.25">
      <c r="A15971" s="1" t="s">
        <v>15970</v>
      </c>
      <c r="C15971" s="3">
        <v>4</v>
      </c>
    </row>
    <row r="15972" spans="1:3" x14ac:dyDescent="0.25">
      <c r="A15972" s="1" t="s">
        <v>15971</v>
      </c>
      <c r="C15972" s="3">
        <v>4</v>
      </c>
    </row>
    <row r="15973" spans="1:3" x14ac:dyDescent="0.25">
      <c r="A15973" s="1" t="s">
        <v>15972</v>
      </c>
      <c r="C15973" s="3">
        <v>4</v>
      </c>
    </row>
    <row r="15974" spans="1:3" x14ac:dyDescent="0.25">
      <c r="A15974" s="1" t="s">
        <v>15973</v>
      </c>
      <c r="C15974" s="3">
        <v>4</v>
      </c>
    </row>
    <row r="15975" spans="1:3" x14ac:dyDescent="0.25">
      <c r="A15975" s="1" t="s">
        <v>15974</v>
      </c>
      <c r="C15975" s="3">
        <v>4</v>
      </c>
    </row>
    <row r="15976" spans="1:3" x14ac:dyDescent="0.25">
      <c r="A15976" s="1" t="s">
        <v>15975</v>
      </c>
      <c r="C15976" s="3">
        <v>4</v>
      </c>
    </row>
    <row r="15977" spans="1:3" x14ac:dyDescent="0.25">
      <c r="A15977" s="1" t="s">
        <v>15976</v>
      </c>
      <c r="C15977" s="3">
        <v>4</v>
      </c>
    </row>
    <row r="15978" spans="1:3" x14ac:dyDescent="0.25">
      <c r="A15978" s="1" t="s">
        <v>15977</v>
      </c>
      <c r="C15978" s="3">
        <v>4</v>
      </c>
    </row>
    <row r="15979" spans="1:3" x14ac:dyDescent="0.25">
      <c r="A15979" s="1" t="s">
        <v>15978</v>
      </c>
      <c r="C15979" s="3">
        <v>4</v>
      </c>
    </row>
    <row r="15980" spans="1:3" x14ac:dyDescent="0.25">
      <c r="A15980" s="1" t="s">
        <v>15979</v>
      </c>
      <c r="C15980" s="3">
        <v>4</v>
      </c>
    </row>
    <row r="15981" spans="1:3" x14ac:dyDescent="0.25">
      <c r="A15981" s="1" t="s">
        <v>15980</v>
      </c>
      <c r="C15981" s="3">
        <v>4</v>
      </c>
    </row>
    <row r="15982" spans="1:3" x14ac:dyDescent="0.25">
      <c r="A15982" s="1" t="s">
        <v>15981</v>
      </c>
      <c r="C15982" s="3">
        <v>4</v>
      </c>
    </row>
    <row r="15983" spans="1:3" x14ac:dyDescent="0.25">
      <c r="A15983" s="1" t="s">
        <v>15982</v>
      </c>
      <c r="C15983" s="3">
        <v>4</v>
      </c>
    </row>
    <row r="15984" spans="1:3" x14ac:dyDescent="0.25">
      <c r="A15984" s="1" t="s">
        <v>15983</v>
      </c>
      <c r="C15984" s="3">
        <v>4</v>
      </c>
    </row>
    <row r="15985" spans="1:3" x14ac:dyDescent="0.25">
      <c r="A15985" s="1" t="s">
        <v>15984</v>
      </c>
      <c r="C15985" s="3">
        <v>4</v>
      </c>
    </row>
    <row r="15986" spans="1:3" x14ac:dyDescent="0.25">
      <c r="A15986" s="1" t="s">
        <v>15985</v>
      </c>
      <c r="C15986" s="3">
        <v>4</v>
      </c>
    </row>
    <row r="15987" spans="1:3" x14ac:dyDescent="0.25">
      <c r="A15987" s="1" t="s">
        <v>15986</v>
      </c>
      <c r="C15987" s="3">
        <v>4</v>
      </c>
    </row>
    <row r="15988" spans="1:3" x14ac:dyDescent="0.25">
      <c r="A15988" s="1" t="s">
        <v>15987</v>
      </c>
      <c r="C15988" s="3">
        <v>4</v>
      </c>
    </row>
    <row r="15989" spans="1:3" x14ac:dyDescent="0.25">
      <c r="A15989" s="1" t="s">
        <v>15988</v>
      </c>
      <c r="C15989" s="3">
        <v>4</v>
      </c>
    </row>
    <row r="15990" spans="1:3" x14ac:dyDescent="0.25">
      <c r="A15990" s="1" t="s">
        <v>15989</v>
      </c>
      <c r="C15990" s="3">
        <v>4</v>
      </c>
    </row>
    <row r="15991" spans="1:3" x14ac:dyDescent="0.25">
      <c r="A15991" s="1" t="s">
        <v>15990</v>
      </c>
      <c r="C15991" s="3">
        <v>4</v>
      </c>
    </row>
    <row r="15992" spans="1:3" x14ac:dyDescent="0.25">
      <c r="A15992" s="1" t="s">
        <v>15991</v>
      </c>
      <c r="C15992" s="3">
        <v>4</v>
      </c>
    </row>
    <row r="15993" spans="1:3" x14ac:dyDescent="0.25">
      <c r="A15993" s="1" t="s">
        <v>15992</v>
      </c>
      <c r="C15993" s="3">
        <v>4</v>
      </c>
    </row>
    <row r="15994" spans="1:3" x14ac:dyDescent="0.25">
      <c r="A15994" s="1" t="s">
        <v>15993</v>
      </c>
      <c r="C15994" s="3">
        <v>4</v>
      </c>
    </row>
    <row r="15995" spans="1:3" x14ac:dyDescent="0.25">
      <c r="A15995" s="1" t="s">
        <v>15994</v>
      </c>
      <c r="C15995" s="3">
        <v>4</v>
      </c>
    </row>
    <row r="15996" spans="1:3" x14ac:dyDescent="0.25">
      <c r="A15996" s="1" t="s">
        <v>15995</v>
      </c>
      <c r="C15996" s="3">
        <v>4</v>
      </c>
    </row>
    <row r="15997" spans="1:3" x14ac:dyDescent="0.25">
      <c r="A15997" s="1" t="s">
        <v>15996</v>
      </c>
      <c r="C15997" s="3">
        <v>4</v>
      </c>
    </row>
    <row r="15998" spans="1:3" x14ac:dyDescent="0.25">
      <c r="A15998" s="1" t="s">
        <v>15997</v>
      </c>
      <c r="C15998" s="3">
        <v>4</v>
      </c>
    </row>
    <row r="15999" spans="1:3" x14ac:dyDescent="0.25">
      <c r="A15999" s="1" t="s">
        <v>15998</v>
      </c>
      <c r="C15999" s="3">
        <v>4</v>
      </c>
    </row>
    <row r="16000" spans="1:3" x14ac:dyDescent="0.25">
      <c r="A16000" s="1" t="s">
        <v>15999</v>
      </c>
      <c r="C16000" s="3">
        <v>4</v>
      </c>
    </row>
    <row r="16001" spans="1:3" x14ac:dyDescent="0.25">
      <c r="A16001" s="1" t="s">
        <v>16000</v>
      </c>
      <c r="C16001" s="3">
        <v>4</v>
      </c>
    </row>
    <row r="16002" spans="1:3" x14ac:dyDescent="0.25">
      <c r="A16002" s="1" t="s">
        <v>16001</v>
      </c>
      <c r="C16002" s="3">
        <v>4</v>
      </c>
    </row>
    <row r="16003" spans="1:3" x14ac:dyDescent="0.25">
      <c r="A16003" s="1" t="s">
        <v>16002</v>
      </c>
      <c r="C16003" s="3">
        <v>4</v>
      </c>
    </row>
    <row r="16004" spans="1:3" x14ac:dyDescent="0.25">
      <c r="A16004" s="1" t="s">
        <v>16003</v>
      </c>
      <c r="C16004" s="3">
        <v>4</v>
      </c>
    </row>
    <row r="16005" spans="1:3" x14ac:dyDescent="0.25">
      <c r="A16005" s="1" t="s">
        <v>16004</v>
      </c>
      <c r="C16005" s="3">
        <v>4</v>
      </c>
    </row>
    <row r="16006" spans="1:3" x14ac:dyDescent="0.25">
      <c r="A16006" s="1" t="s">
        <v>16005</v>
      </c>
      <c r="C16006" s="3">
        <v>4</v>
      </c>
    </row>
    <row r="16007" spans="1:3" x14ac:dyDescent="0.25">
      <c r="A16007" s="1" t="s">
        <v>16006</v>
      </c>
      <c r="C16007" s="3">
        <v>4</v>
      </c>
    </row>
    <row r="16008" spans="1:3" x14ac:dyDescent="0.25">
      <c r="A16008" s="1" t="s">
        <v>16007</v>
      </c>
      <c r="C16008" s="3">
        <v>4</v>
      </c>
    </row>
    <row r="16009" spans="1:3" x14ac:dyDescent="0.25">
      <c r="A16009" s="1" t="s">
        <v>16008</v>
      </c>
      <c r="C16009" s="3">
        <v>4</v>
      </c>
    </row>
    <row r="16010" spans="1:3" x14ac:dyDescent="0.25">
      <c r="A16010" s="1" t="s">
        <v>16009</v>
      </c>
      <c r="C16010" s="3">
        <v>4</v>
      </c>
    </row>
    <row r="16011" spans="1:3" x14ac:dyDescent="0.25">
      <c r="A16011" s="1" t="s">
        <v>16010</v>
      </c>
      <c r="C16011" s="3">
        <v>4</v>
      </c>
    </row>
    <row r="16012" spans="1:3" x14ac:dyDescent="0.25">
      <c r="A16012" s="1" t="s">
        <v>16011</v>
      </c>
      <c r="C16012" s="3">
        <v>4</v>
      </c>
    </row>
    <row r="16013" spans="1:3" x14ac:dyDescent="0.25">
      <c r="A16013" s="1" t="s">
        <v>16012</v>
      </c>
      <c r="C16013" s="3">
        <v>4</v>
      </c>
    </row>
    <row r="16014" spans="1:3" x14ac:dyDescent="0.25">
      <c r="A16014" s="1" t="s">
        <v>16013</v>
      </c>
      <c r="C16014" s="3">
        <v>4</v>
      </c>
    </row>
    <row r="16015" spans="1:3" x14ac:dyDescent="0.25">
      <c r="A16015" s="1" t="s">
        <v>16014</v>
      </c>
      <c r="C16015" s="3">
        <v>4</v>
      </c>
    </row>
    <row r="16016" spans="1:3" x14ac:dyDescent="0.25">
      <c r="A16016" s="1" t="s">
        <v>16015</v>
      </c>
      <c r="C16016" s="3">
        <v>4</v>
      </c>
    </row>
    <row r="16017" spans="1:3" x14ac:dyDescent="0.25">
      <c r="A16017" s="1" t="s">
        <v>16016</v>
      </c>
      <c r="C16017" s="3">
        <v>4</v>
      </c>
    </row>
    <row r="16018" spans="1:3" x14ac:dyDescent="0.25">
      <c r="A16018" s="1" t="s">
        <v>16017</v>
      </c>
      <c r="C16018" s="3">
        <v>4</v>
      </c>
    </row>
    <row r="16019" spans="1:3" x14ac:dyDescent="0.25">
      <c r="A16019" s="1" t="s">
        <v>16018</v>
      </c>
      <c r="C16019" s="3">
        <v>4</v>
      </c>
    </row>
    <row r="16020" spans="1:3" x14ac:dyDescent="0.25">
      <c r="A16020" s="1" t="s">
        <v>16019</v>
      </c>
      <c r="C16020" s="3">
        <v>4</v>
      </c>
    </row>
    <row r="16021" spans="1:3" x14ac:dyDescent="0.25">
      <c r="A16021" s="1" t="s">
        <v>16020</v>
      </c>
      <c r="C16021" s="3">
        <v>4</v>
      </c>
    </row>
    <row r="16022" spans="1:3" x14ac:dyDescent="0.25">
      <c r="A16022" s="1" t="s">
        <v>16021</v>
      </c>
      <c r="C16022" s="3">
        <v>4</v>
      </c>
    </row>
    <row r="16023" spans="1:3" x14ac:dyDescent="0.25">
      <c r="A16023" s="1" t="s">
        <v>16022</v>
      </c>
      <c r="C16023" s="3">
        <v>4</v>
      </c>
    </row>
    <row r="16024" spans="1:3" x14ac:dyDescent="0.25">
      <c r="A16024" s="1" t="s">
        <v>16023</v>
      </c>
      <c r="C16024" s="3">
        <v>4</v>
      </c>
    </row>
    <row r="16025" spans="1:3" x14ac:dyDescent="0.25">
      <c r="A16025" s="1" t="s">
        <v>16024</v>
      </c>
      <c r="C16025" s="3">
        <v>4</v>
      </c>
    </row>
    <row r="16026" spans="1:3" x14ac:dyDescent="0.25">
      <c r="A16026" s="1" t="s">
        <v>16025</v>
      </c>
      <c r="C16026" s="3">
        <v>4</v>
      </c>
    </row>
    <row r="16027" spans="1:3" x14ac:dyDescent="0.25">
      <c r="A16027" s="1" t="s">
        <v>16026</v>
      </c>
      <c r="C16027" s="3">
        <v>4</v>
      </c>
    </row>
    <row r="16028" spans="1:3" x14ac:dyDescent="0.25">
      <c r="A16028" s="1" t="s">
        <v>16027</v>
      </c>
      <c r="C16028" s="3">
        <v>4</v>
      </c>
    </row>
    <row r="16029" spans="1:3" x14ac:dyDescent="0.25">
      <c r="A16029" s="1" t="s">
        <v>16028</v>
      </c>
      <c r="C16029" s="3">
        <v>4</v>
      </c>
    </row>
    <row r="16030" spans="1:3" x14ac:dyDescent="0.25">
      <c r="A16030" s="1" t="s">
        <v>16029</v>
      </c>
      <c r="C16030" s="3">
        <v>4</v>
      </c>
    </row>
    <row r="16031" spans="1:3" x14ac:dyDescent="0.25">
      <c r="A16031" s="1" t="s">
        <v>16030</v>
      </c>
      <c r="C16031" s="3">
        <v>4</v>
      </c>
    </row>
    <row r="16032" spans="1:3" x14ac:dyDescent="0.25">
      <c r="A16032" s="1" t="s">
        <v>16031</v>
      </c>
      <c r="C16032" s="3">
        <v>4</v>
      </c>
    </row>
    <row r="16033" spans="1:3" x14ac:dyDescent="0.25">
      <c r="A16033" s="1" t="s">
        <v>16032</v>
      </c>
      <c r="C16033" s="3">
        <v>4</v>
      </c>
    </row>
    <row r="16034" spans="1:3" x14ac:dyDescent="0.25">
      <c r="A16034" s="1" t="s">
        <v>16033</v>
      </c>
      <c r="C16034" s="3">
        <v>4</v>
      </c>
    </row>
    <row r="16035" spans="1:3" x14ac:dyDescent="0.25">
      <c r="A16035" s="1" t="s">
        <v>16034</v>
      </c>
      <c r="C16035" s="3">
        <v>4</v>
      </c>
    </row>
    <row r="16036" spans="1:3" x14ac:dyDescent="0.25">
      <c r="A16036" s="1" t="s">
        <v>16035</v>
      </c>
      <c r="C16036" s="3">
        <v>4</v>
      </c>
    </row>
    <row r="16037" spans="1:3" x14ac:dyDescent="0.25">
      <c r="A16037" s="1" t="s">
        <v>16036</v>
      </c>
      <c r="C16037" s="3">
        <v>4</v>
      </c>
    </row>
    <row r="16038" spans="1:3" x14ac:dyDescent="0.25">
      <c r="A16038" s="1" t="s">
        <v>16037</v>
      </c>
      <c r="C16038" s="3">
        <v>4</v>
      </c>
    </row>
    <row r="16039" spans="1:3" x14ac:dyDescent="0.25">
      <c r="A16039" s="1" t="s">
        <v>16038</v>
      </c>
      <c r="C16039" s="3">
        <v>4</v>
      </c>
    </row>
    <row r="16040" spans="1:3" x14ac:dyDescent="0.25">
      <c r="A16040" s="1" t="s">
        <v>16039</v>
      </c>
      <c r="C16040" s="3">
        <v>4</v>
      </c>
    </row>
    <row r="16041" spans="1:3" x14ac:dyDescent="0.25">
      <c r="A16041" s="1" t="s">
        <v>16040</v>
      </c>
      <c r="C16041" s="3">
        <v>4</v>
      </c>
    </row>
    <row r="16042" spans="1:3" x14ac:dyDescent="0.25">
      <c r="A16042" s="1" t="s">
        <v>16041</v>
      </c>
      <c r="C16042" s="3">
        <v>4</v>
      </c>
    </row>
    <row r="16043" spans="1:3" x14ac:dyDescent="0.25">
      <c r="A16043" s="1" t="s">
        <v>16042</v>
      </c>
      <c r="C16043" s="3">
        <v>4</v>
      </c>
    </row>
    <row r="16044" spans="1:3" x14ac:dyDescent="0.25">
      <c r="A16044" s="1" t="s">
        <v>16043</v>
      </c>
      <c r="C16044" s="3">
        <v>4</v>
      </c>
    </row>
    <row r="16045" spans="1:3" x14ac:dyDescent="0.25">
      <c r="A16045" s="1" t="s">
        <v>16044</v>
      </c>
      <c r="C16045" s="3">
        <v>4</v>
      </c>
    </row>
    <row r="16046" spans="1:3" x14ac:dyDescent="0.25">
      <c r="A16046" s="1" t="s">
        <v>16045</v>
      </c>
      <c r="C16046" s="3">
        <v>4</v>
      </c>
    </row>
    <row r="16047" spans="1:3" x14ac:dyDescent="0.25">
      <c r="A16047" s="1" t="s">
        <v>16046</v>
      </c>
      <c r="C16047" s="3">
        <v>4</v>
      </c>
    </row>
    <row r="16048" spans="1:3" x14ac:dyDescent="0.25">
      <c r="A16048" s="1" t="s">
        <v>16047</v>
      </c>
      <c r="C16048" s="3">
        <v>4</v>
      </c>
    </row>
    <row r="16049" spans="1:3" x14ac:dyDescent="0.25">
      <c r="A16049" s="1" t="s">
        <v>16048</v>
      </c>
      <c r="C16049" s="3">
        <v>4</v>
      </c>
    </row>
    <row r="16050" spans="1:3" x14ac:dyDescent="0.25">
      <c r="A16050" s="1" t="s">
        <v>16049</v>
      </c>
      <c r="C16050" s="3">
        <v>4</v>
      </c>
    </row>
    <row r="16051" spans="1:3" x14ac:dyDescent="0.25">
      <c r="A16051" s="1" t="s">
        <v>16050</v>
      </c>
      <c r="C16051" s="3">
        <v>4</v>
      </c>
    </row>
    <row r="16052" spans="1:3" x14ac:dyDescent="0.25">
      <c r="A16052" s="1" t="s">
        <v>16051</v>
      </c>
      <c r="C16052" s="3">
        <v>4</v>
      </c>
    </row>
    <row r="16053" spans="1:3" x14ac:dyDescent="0.25">
      <c r="A16053" s="1" t="s">
        <v>16052</v>
      </c>
      <c r="C16053" s="3">
        <v>4</v>
      </c>
    </row>
    <row r="16054" spans="1:3" x14ac:dyDescent="0.25">
      <c r="A16054" s="1" t="s">
        <v>16053</v>
      </c>
      <c r="C16054" s="3">
        <v>4</v>
      </c>
    </row>
    <row r="16055" spans="1:3" x14ac:dyDescent="0.25">
      <c r="A16055" s="1" t="s">
        <v>16054</v>
      </c>
      <c r="C16055" s="3">
        <v>4</v>
      </c>
    </row>
    <row r="16056" spans="1:3" x14ac:dyDescent="0.25">
      <c r="A16056" s="1" t="s">
        <v>16055</v>
      </c>
      <c r="C16056" s="3">
        <v>4</v>
      </c>
    </row>
    <row r="16057" spans="1:3" x14ac:dyDescent="0.25">
      <c r="A16057" s="1" t="s">
        <v>16056</v>
      </c>
      <c r="C16057" s="3">
        <v>4</v>
      </c>
    </row>
    <row r="16058" spans="1:3" x14ac:dyDescent="0.25">
      <c r="A16058" s="1" t="s">
        <v>16057</v>
      </c>
      <c r="C16058" s="3">
        <v>4</v>
      </c>
    </row>
    <row r="16059" spans="1:3" x14ac:dyDescent="0.25">
      <c r="A16059" s="1" t="s">
        <v>16058</v>
      </c>
      <c r="C16059" s="3">
        <v>4</v>
      </c>
    </row>
    <row r="16060" spans="1:3" x14ac:dyDescent="0.25">
      <c r="A16060" s="1" t="s">
        <v>16059</v>
      </c>
      <c r="C16060" s="3">
        <v>4</v>
      </c>
    </row>
    <row r="16061" spans="1:3" x14ac:dyDescent="0.25">
      <c r="A16061" s="1" t="s">
        <v>16060</v>
      </c>
      <c r="C16061" s="3">
        <v>4</v>
      </c>
    </row>
    <row r="16062" spans="1:3" x14ac:dyDescent="0.25">
      <c r="A16062" s="1" t="s">
        <v>16061</v>
      </c>
      <c r="C16062" s="3">
        <v>4</v>
      </c>
    </row>
    <row r="16063" spans="1:3" x14ac:dyDescent="0.25">
      <c r="A16063" s="1" t="s">
        <v>16062</v>
      </c>
      <c r="C16063" s="3">
        <v>4</v>
      </c>
    </row>
    <row r="16064" spans="1:3" x14ac:dyDescent="0.25">
      <c r="A16064" s="1" t="s">
        <v>16063</v>
      </c>
      <c r="C16064" s="3">
        <v>4</v>
      </c>
    </row>
    <row r="16065" spans="1:3" x14ac:dyDescent="0.25">
      <c r="A16065" s="1" t="s">
        <v>16064</v>
      </c>
      <c r="C16065" s="3">
        <v>4</v>
      </c>
    </row>
    <row r="16066" spans="1:3" x14ac:dyDescent="0.25">
      <c r="A16066" s="1" t="s">
        <v>16065</v>
      </c>
      <c r="C16066" s="3">
        <v>4</v>
      </c>
    </row>
    <row r="16067" spans="1:3" x14ac:dyDescent="0.25">
      <c r="A16067" s="1" t="s">
        <v>16066</v>
      </c>
      <c r="C16067" s="3">
        <v>4</v>
      </c>
    </row>
    <row r="16068" spans="1:3" x14ac:dyDescent="0.25">
      <c r="A16068" s="1" t="s">
        <v>16067</v>
      </c>
      <c r="C16068" s="3">
        <v>4</v>
      </c>
    </row>
    <row r="16069" spans="1:3" x14ac:dyDescent="0.25">
      <c r="A16069" s="1" t="s">
        <v>16068</v>
      </c>
      <c r="C16069" s="3">
        <v>4</v>
      </c>
    </row>
    <row r="16070" spans="1:3" x14ac:dyDescent="0.25">
      <c r="A16070" s="1" t="s">
        <v>16069</v>
      </c>
      <c r="C16070" s="3">
        <v>4</v>
      </c>
    </row>
    <row r="16071" spans="1:3" x14ac:dyDescent="0.25">
      <c r="A16071" s="1" t="s">
        <v>16070</v>
      </c>
      <c r="C16071" s="3">
        <v>4</v>
      </c>
    </row>
    <row r="16072" spans="1:3" x14ac:dyDescent="0.25">
      <c r="A16072" s="1" t="s">
        <v>16071</v>
      </c>
      <c r="C16072" s="3">
        <v>4</v>
      </c>
    </row>
    <row r="16073" spans="1:3" x14ac:dyDescent="0.25">
      <c r="A16073" s="1" t="s">
        <v>16072</v>
      </c>
      <c r="C16073" s="3">
        <v>4</v>
      </c>
    </row>
    <row r="16074" spans="1:3" x14ac:dyDescent="0.25">
      <c r="A16074" s="1" t="s">
        <v>16073</v>
      </c>
      <c r="C16074" s="3">
        <v>4</v>
      </c>
    </row>
    <row r="16075" spans="1:3" x14ac:dyDescent="0.25">
      <c r="A16075" s="1" t="s">
        <v>16074</v>
      </c>
      <c r="C16075" s="3">
        <v>4</v>
      </c>
    </row>
    <row r="16076" spans="1:3" x14ac:dyDescent="0.25">
      <c r="A16076" s="1" t="s">
        <v>16075</v>
      </c>
      <c r="C16076" s="3">
        <v>4</v>
      </c>
    </row>
    <row r="16077" spans="1:3" x14ac:dyDescent="0.25">
      <c r="A16077" s="1" t="s">
        <v>16076</v>
      </c>
      <c r="C16077" s="3">
        <v>4</v>
      </c>
    </row>
    <row r="16078" spans="1:3" x14ac:dyDescent="0.25">
      <c r="A16078" s="1" t="s">
        <v>16077</v>
      </c>
      <c r="C16078" s="3">
        <v>4</v>
      </c>
    </row>
    <row r="16079" spans="1:3" x14ac:dyDescent="0.25">
      <c r="A16079" s="1" t="s">
        <v>16078</v>
      </c>
      <c r="C16079" s="3">
        <v>4</v>
      </c>
    </row>
    <row r="16080" spans="1:3" x14ac:dyDescent="0.25">
      <c r="A16080" s="1" t="s">
        <v>16079</v>
      </c>
      <c r="C16080" s="3">
        <v>4</v>
      </c>
    </row>
    <row r="16081" spans="1:3" x14ac:dyDescent="0.25">
      <c r="A16081" s="1" t="s">
        <v>16080</v>
      </c>
      <c r="C16081" s="3">
        <v>4</v>
      </c>
    </row>
    <row r="16082" spans="1:3" x14ac:dyDescent="0.25">
      <c r="A16082" s="1" t="s">
        <v>16081</v>
      </c>
      <c r="C16082" s="3">
        <v>4</v>
      </c>
    </row>
    <row r="16083" spans="1:3" x14ac:dyDescent="0.25">
      <c r="A16083" s="1" t="s">
        <v>16082</v>
      </c>
      <c r="C16083" s="3">
        <v>4</v>
      </c>
    </row>
    <row r="16084" spans="1:3" x14ac:dyDescent="0.25">
      <c r="A16084" s="1" t="s">
        <v>16083</v>
      </c>
      <c r="C16084" s="3">
        <v>4</v>
      </c>
    </row>
    <row r="16085" spans="1:3" x14ac:dyDescent="0.25">
      <c r="A16085" s="1" t="s">
        <v>16084</v>
      </c>
      <c r="C16085" s="3">
        <v>4</v>
      </c>
    </row>
    <row r="16086" spans="1:3" x14ac:dyDescent="0.25">
      <c r="A16086" s="1" t="s">
        <v>16085</v>
      </c>
      <c r="C16086" s="3">
        <v>4</v>
      </c>
    </row>
    <row r="16087" spans="1:3" x14ac:dyDescent="0.25">
      <c r="A16087" s="1" t="s">
        <v>16086</v>
      </c>
      <c r="C16087" s="3">
        <v>4</v>
      </c>
    </row>
    <row r="16088" spans="1:3" x14ac:dyDescent="0.25">
      <c r="A16088" s="1" t="s">
        <v>16087</v>
      </c>
      <c r="C16088" s="3">
        <v>4</v>
      </c>
    </row>
    <row r="16089" spans="1:3" x14ac:dyDescent="0.25">
      <c r="A16089" s="1" t="s">
        <v>16088</v>
      </c>
      <c r="C16089" s="3">
        <v>4</v>
      </c>
    </row>
    <row r="16090" spans="1:3" x14ac:dyDescent="0.25">
      <c r="A16090" s="1" t="s">
        <v>16089</v>
      </c>
      <c r="C16090" s="3">
        <v>4</v>
      </c>
    </row>
    <row r="16091" spans="1:3" x14ac:dyDescent="0.25">
      <c r="A16091" s="1" t="s">
        <v>16090</v>
      </c>
      <c r="C16091" s="3">
        <v>4</v>
      </c>
    </row>
    <row r="16092" spans="1:3" x14ac:dyDescent="0.25">
      <c r="A16092" s="1" t="s">
        <v>16091</v>
      </c>
      <c r="C16092" s="3">
        <v>4</v>
      </c>
    </row>
    <row r="16093" spans="1:3" x14ac:dyDescent="0.25">
      <c r="A16093" s="1" t="s">
        <v>16092</v>
      </c>
      <c r="C16093" s="3">
        <v>4</v>
      </c>
    </row>
    <row r="16094" spans="1:3" x14ac:dyDescent="0.25">
      <c r="A16094" s="1" t="s">
        <v>16093</v>
      </c>
      <c r="C16094" s="3">
        <v>4</v>
      </c>
    </row>
    <row r="16095" spans="1:3" x14ac:dyDescent="0.25">
      <c r="A16095" s="1" t="s">
        <v>16094</v>
      </c>
      <c r="C16095" s="3">
        <v>4</v>
      </c>
    </row>
    <row r="16096" spans="1:3" x14ac:dyDescent="0.25">
      <c r="A16096" s="1" t="s">
        <v>16095</v>
      </c>
      <c r="C16096" s="3">
        <v>4</v>
      </c>
    </row>
    <row r="16097" spans="1:3" x14ac:dyDescent="0.25">
      <c r="A16097" s="1" t="s">
        <v>16096</v>
      </c>
      <c r="C16097" s="3">
        <v>4</v>
      </c>
    </row>
    <row r="16098" spans="1:3" x14ac:dyDescent="0.25">
      <c r="A16098" s="1" t="s">
        <v>16097</v>
      </c>
      <c r="C16098" s="3">
        <v>4</v>
      </c>
    </row>
    <row r="16099" spans="1:3" x14ac:dyDescent="0.25">
      <c r="A16099" s="1" t="s">
        <v>16098</v>
      </c>
      <c r="C16099" s="3">
        <v>4</v>
      </c>
    </row>
    <row r="16100" spans="1:3" x14ac:dyDescent="0.25">
      <c r="A16100" s="1" t="s">
        <v>16099</v>
      </c>
      <c r="C16100" s="3">
        <v>4</v>
      </c>
    </row>
    <row r="16101" spans="1:3" x14ac:dyDescent="0.25">
      <c r="A16101" s="1" t="s">
        <v>16100</v>
      </c>
      <c r="C16101" s="3">
        <v>4</v>
      </c>
    </row>
    <row r="16102" spans="1:3" x14ac:dyDescent="0.25">
      <c r="A16102" s="1" t="s">
        <v>16101</v>
      </c>
      <c r="C16102" s="3">
        <v>4</v>
      </c>
    </row>
    <row r="16103" spans="1:3" x14ac:dyDescent="0.25">
      <c r="A16103" s="1" t="s">
        <v>16102</v>
      </c>
      <c r="C16103" s="3">
        <v>4</v>
      </c>
    </row>
    <row r="16104" spans="1:3" x14ac:dyDescent="0.25">
      <c r="A16104" s="1" t="s">
        <v>16103</v>
      </c>
      <c r="C16104" s="3">
        <v>4</v>
      </c>
    </row>
    <row r="16105" spans="1:3" x14ac:dyDescent="0.25">
      <c r="A16105" s="1" t="s">
        <v>16104</v>
      </c>
      <c r="C16105" s="3">
        <v>4</v>
      </c>
    </row>
    <row r="16106" spans="1:3" x14ac:dyDescent="0.25">
      <c r="A16106" s="1" t="s">
        <v>16105</v>
      </c>
      <c r="C16106" s="3">
        <v>4</v>
      </c>
    </row>
    <row r="16107" spans="1:3" x14ac:dyDescent="0.25">
      <c r="A16107" s="1" t="s">
        <v>16106</v>
      </c>
      <c r="C16107" s="3">
        <v>4</v>
      </c>
    </row>
    <row r="16108" spans="1:3" x14ac:dyDescent="0.25">
      <c r="A16108" s="1" t="s">
        <v>16107</v>
      </c>
      <c r="C16108" s="3">
        <v>4</v>
      </c>
    </row>
    <row r="16109" spans="1:3" x14ac:dyDescent="0.25">
      <c r="A16109" s="1" t="s">
        <v>16108</v>
      </c>
      <c r="C16109" s="3">
        <v>4</v>
      </c>
    </row>
    <row r="16110" spans="1:3" x14ac:dyDescent="0.25">
      <c r="A16110" s="1" t="s">
        <v>16109</v>
      </c>
      <c r="C16110" s="3">
        <v>4</v>
      </c>
    </row>
    <row r="16111" spans="1:3" x14ac:dyDescent="0.25">
      <c r="A16111" s="1" t="s">
        <v>16110</v>
      </c>
      <c r="C16111" s="3">
        <v>4</v>
      </c>
    </row>
    <row r="16112" spans="1:3" x14ac:dyDescent="0.25">
      <c r="A16112" s="1" t="s">
        <v>16111</v>
      </c>
      <c r="C16112" s="3">
        <v>4</v>
      </c>
    </row>
    <row r="16113" spans="1:3" x14ac:dyDescent="0.25">
      <c r="A16113" s="1" t="s">
        <v>16112</v>
      </c>
      <c r="C16113" s="3">
        <v>4</v>
      </c>
    </row>
    <row r="16114" spans="1:3" x14ac:dyDescent="0.25">
      <c r="A16114" s="1" t="s">
        <v>16113</v>
      </c>
      <c r="C16114" s="3">
        <v>4</v>
      </c>
    </row>
    <row r="16115" spans="1:3" x14ac:dyDescent="0.25">
      <c r="A16115" s="1" t="s">
        <v>16114</v>
      </c>
      <c r="C16115" s="3">
        <v>4</v>
      </c>
    </row>
    <row r="16116" spans="1:3" x14ac:dyDescent="0.25">
      <c r="A16116" s="1" t="s">
        <v>16115</v>
      </c>
      <c r="C16116" s="3">
        <v>4</v>
      </c>
    </row>
    <row r="16117" spans="1:3" x14ac:dyDescent="0.25">
      <c r="A16117" s="1" t="s">
        <v>16116</v>
      </c>
      <c r="C16117" s="3">
        <v>4</v>
      </c>
    </row>
    <row r="16118" spans="1:3" x14ac:dyDescent="0.25">
      <c r="A16118" s="1" t="s">
        <v>16117</v>
      </c>
      <c r="C16118" s="3">
        <v>4</v>
      </c>
    </row>
    <row r="16119" spans="1:3" x14ac:dyDescent="0.25">
      <c r="A16119" s="1" t="s">
        <v>16118</v>
      </c>
      <c r="C16119" s="3">
        <v>4</v>
      </c>
    </row>
    <row r="16120" spans="1:3" x14ac:dyDescent="0.25">
      <c r="A16120" s="1" t="s">
        <v>16119</v>
      </c>
      <c r="C16120" s="3">
        <v>4</v>
      </c>
    </row>
    <row r="16121" spans="1:3" x14ac:dyDescent="0.25">
      <c r="A16121" s="1" t="s">
        <v>16120</v>
      </c>
      <c r="C16121" s="3">
        <v>4</v>
      </c>
    </row>
    <row r="16122" spans="1:3" x14ac:dyDescent="0.25">
      <c r="A16122" s="1" t="s">
        <v>16121</v>
      </c>
      <c r="C16122" s="3">
        <v>4</v>
      </c>
    </row>
    <row r="16123" spans="1:3" x14ac:dyDescent="0.25">
      <c r="A16123" s="1" t="s">
        <v>16122</v>
      </c>
      <c r="C16123" s="3">
        <v>4</v>
      </c>
    </row>
    <row r="16124" spans="1:3" x14ac:dyDescent="0.25">
      <c r="A16124" s="1" t="s">
        <v>16123</v>
      </c>
      <c r="C16124" s="3">
        <v>4</v>
      </c>
    </row>
    <row r="16125" spans="1:3" x14ac:dyDescent="0.25">
      <c r="A16125" s="1" t="s">
        <v>16124</v>
      </c>
      <c r="C16125" s="3">
        <v>4</v>
      </c>
    </row>
    <row r="16126" spans="1:3" x14ac:dyDescent="0.25">
      <c r="A16126" s="1" t="s">
        <v>16125</v>
      </c>
      <c r="C16126" s="3">
        <v>4</v>
      </c>
    </row>
    <row r="16127" spans="1:3" x14ac:dyDescent="0.25">
      <c r="A16127" s="1" t="s">
        <v>16126</v>
      </c>
      <c r="C16127" s="3">
        <v>4</v>
      </c>
    </row>
    <row r="16128" spans="1:3" x14ac:dyDescent="0.25">
      <c r="A16128" s="1" t="s">
        <v>16127</v>
      </c>
      <c r="C16128" s="3">
        <v>4</v>
      </c>
    </row>
    <row r="16129" spans="1:3" x14ac:dyDescent="0.25">
      <c r="A16129" s="1" t="s">
        <v>16128</v>
      </c>
      <c r="C16129" s="3">
        <v>4</v>
      </c>
    </row>
    <row r="16130" spans="1:3" x14ac:dyDescent="0.25">
      <c r="A16130" s="1" t="s">
        <v>16129</v>
      </c>
      <c r="C16130" s="3">
        <v>4</v>
      </c>
    </row>
    <row r="16131" spans="1:3" x14ac:dyDescent="0.25">
      <c r="A16131" s="1" t="s">
        <v>16130</v>
      </c>
      <c r="C16131" s="3">
        <v>4</v>
      </c>
    </row>
    <row r="16132" spans="1:3" x14ac:dyDescent="0.25">
      <c r="A16132" s="1" t="s">
        <v>16131</v>
      </c>
      <c r="C16132" s="3">
        <v>4</v>
      </c>
    </row>
    <row r="16133" spans="1:3" x14ac:dyDescent="0.25">
      <c r="A16133" s="1" t="s">
        <v>16132</v>
      </c>
      <c r="C16133" s="3">
        <v>4</v>
      </c>
    </row>
    <row r="16134" spans="1:3" x14ac:dyDescent="0.25">
      <c r="A16134" s="1" t="s">
        <v>16133</v>
      </c>
      <c r="C16134" s="3">
        <v>4</v>
      </c>
    </row>
    <row r="16135" spans="1:3" x14ac:dyDescent="0.25">
      <c r="A16135" s="1" t="s">
        <v>16134</v>
      </c>
      <c r="C16135" s="3">
        <v>4</v>
      </c>
    </row>
    <row r="16136" spans="1:3" x14ac:dyDescent="0.25">
      <c r="A16136" s="1" t="s">
        <v>16135</v>
      </c>
      <c r="C16136" s="3">
        <v>4</v>
      </c>
    </row>
    <row r="16137" spans="1:3" x14ac:dyDescent="0.25">
      <c r="A16137" s="1" t="s">
        <v>16136</v>
      </c>
      <c r="C16137" s="3">
        <v>4</v>
      </c>
    </row>
    <row r="16138" spans="1:3" x14ac:dyDescent="0.25">
      <c r="A16138" s="1" t="s">
        <v>16137</v>
      </c>
      <c r="C16138" s="3">
        <v>4</v>
      </c>
    </row>
    <row r="16139" spans="1:3" x14ac:dyDescent="0.25">
      <c r="A16139" s="1" t="s">
        <v>16138</v>
      </c>
      <c r="C16139" s="3">
        <v>4</v>
      </c>
    </row>
    <row r="16140" spans="1:3" x14ac:dyDescent="0.25">
      <c r="A16140" s="1" t="s">
        <v>16139</v>
      </c>
      <c r="C16140" s="3">
        <v>4</v>
      </c>
    </row>
    <row r="16141" spans="1:3" x14ac:dyDescent="0.25">
      <c r="A16141" s="1" t="s">
        <v>16140</v>
      </c>
      <c r="C16141" s="3">
        <v>4</v>
      </c>
    </row>
    <row r="16142" spans="1:3" x14ac:dyDescent="0.25">
      <c r="A16142" s="1" t="s">
        <v>16141</v>
      </c>
      <c r="C16142" s="3">
        <v>4</v>
      </c>
    </row>
    <row r="16143" spans="1:3" x14ac:dyDescent="0.25">
      <c r="A16143" s="1" t="s">
        <v>16142</v>
      </c>
      <c r="C16143" s="3">
        <v>4</v>
      </c>
    </row>
    <row r="16144" spans="1:3" x14ac:dyDescent="0.25">
      <c r="A16144" s="1" t="s">
        <v>16143</v>
      </c>
      <c r="C16144" s="3">
        <v>4</v>
      </c>
    </row>
    <row r="16145" spans="1:3" x14ac:dyDescent="0.25">
      <c r="A16145" s="1" t="s">
        <v>16144</v>
      </c>
      <c r="C16145" s="3">
        <v>4</v>
      </c>
    </row>
    <row r="16146" spans="1:3" x14ac:dyDescent="0.25">
      <c r="A16146" s="1" t="s">
        <v>16145</v>
      </c>
      <c r="C16146" s="3">
        <v>4</v>
      </c>
    </row>
    <row r="16147" spans="1:3" x14ac:dyDescent="0.25">
      <c r="A16147" s="1" t="s">
        <v>16146</v>
      </c>
      <c r="C16147" s="3">
        <v>4</v>
      </c>
    </row>
    <row r="16148" spans="1:3" x14ac:dyDescent="0.25">
      <c r="A16148" s="1" t="s">
        <v>16147</v>
      </c>
      <c r="C16148" s="3">
        <v>4</v>
      </c>
    </row>
    <row r="16149" spans="1:3" x14ac:dyDescent="0.25">
      <c r="A16149" s="1" t="s">
        <v>16148</v>
      </c>
      <c r="C16149" s="3">
        <v>4</v>
      </c>
    </row>
    <row r="16150" spans="1:3" x14ac:dyDescent="0.25">
      <c r="A16150" s="1" t="s">
        <v>16149</v>
      </c>
      <c r="C16150" s="3">
        <v>4</v>
      </c>
    </row>
    <row r="16151" spans="1:3" x14ac:dyDescent="0.25">
      <c r="A16151" s="1" t="s">
        <v>16150</v>
      </c>
      <c r="C16151" s="3">
        <v>4</v>
      </c>
    </row>
    <row r="16152" spans="1:3" x14ac:dyDescent="0.25">
      <c r="A16152" s="1" t="s">
        <v>16151</v>
      </c>
      <c r="C16152" s="3">
        <v>4</v>
      </c>
    </row>
    <row r="16153" spans="1:3" x14ac:dyDescent="0.25">
      <c r="A16153" s="1" t="s">
        <v>16152</v>
      </c>
      <c r="C16153" s="3">
        <v>4</v>
      </c>
    </row>
    <row r="16154" spans="1:3" x14ac:dyDescent="0.25">
      <c r="A16154" s="1" t="s">
        <v>16153</v>
      </c>
      <c r="C16154" s="3">
        <v>4</v>
      </c>
    </row>
    <row r="16155" spans="1:3" x14ac:dyDescent="0.25">
      <c r="A16155" s="1" t="s">
        <v>16154</v>
      </c>
      <c r="C16155" s="3">
        <v>4</v>
      </c>
    </row>
    <row r="16156" spans="1:3" x14ac:dyDescent="0.25">
      <c r="A16156" s="1" t="s">
        <v>16155</v>
      </c>
      <c r="C16156" s="3">
        <v>4</v>
      </c>
    </row>
    <row r="16157" spans="1:3" x14ac:dyDescent="0.25">
      <c r="A16157" s="1" t="s">
        <v>16156</v>
      </c>
      <c r="C16157" s="3">
        <v>4</v>
      </c>
    </row>
    <row r="16158" spans="1:3" x14ac:dyDescent="0.25">
      <c r="A16158" s="1" t="s">
        <v>16157</v>
      </c>
      <c r="C16158" s="3">
        <v>4</v>
      </c>
    </row>
    <row r="16159" spans="1:3" x14ac:dyDescent="0.25">
      <c r="A16159" s="1" t="s">
        <v>16158</v>
      </c>
      <c r="C16159" s="3">
        <v>4</v>
      </c>
    </row>
    <row r="16160" spans="1:3" x14ac:dyDescent="0.25">
      <c r="A16160" s="1" t="s">
        <v>16159</v>
      </c>
      <c r="C16160" s="3">
        <v>4</v>
      </c>
    </row>
    <row r="16161" spans="1:3" x14ac:dyDescent="0.25">
      <c r="A16161" s="1" t="s">
        <v>16160</v>
      </c>
      <c r="C16161" s="3">
        <v>4</v>
      </c>
    </row>
    <row r="16162" spans="1:3" x14ac:dyDescent="0.25">
      <c r="A16162" s="1" t="s">
        <v>16161</v>
      </c>
      <c r="C16162" s="3">
        <v>4</v>
      </c>
    </row>
    <row r="16163" spans="1:3" x14ac:dyDescent="0.25">
      <c r="A16163" s="1" t="s">
        <v>16162</v>
      </c>
      <c r="C16163" s="3">
        <v>4</v>
      </c>
    </row>
    <row r="16164" spans="1:3" x14ac:dyDescent="0.25">
      <c r="A16164" s="1" t="s">
        <v>16163</v>
      </c>
      <c r="C16164" s="3">
        <v>4</v>
      </c>
    </row>
    <row r="16165" spans="1:3" x14ac:dyDescent="0.25">
      <c r="A16165" s="1" t="s">
        <v>16164</v>
      </c>
      <c r="C16165" s="3">
        <v>4</v>
      </c>
    </row>
    <row r="16166" spans="1:3" x14ac:dyDescent="0.25">
      <c r="A16166" s="1" t="s">
        <v>16165</v>
      </c>
      <c r="C16166" s="3">
        <v>4</v>
      </c>
    </row>
    <row r="16167" spans="1:3" x14ac:dyDescent="0.25">
      <c r="A16167" s="1" t="s">
        <v>16166</v>
      </c>
      <c r="C16167" s="3">
        <v>4</v>
      </c>
    </row>
    <row r="16168" spans="1:3" x14ac:dyDescent="0.25">
      <c r="A16168" s="1" t="s">
        <v>16167</v>
      </c>
      <c r="C16168" s="3">
        <v>4</v>
      </c>
    </row>
    <row r="16169" spans="1:3" x14ac:dyDescent="0.25">
      <c r="A16169" s="1" t="s">
        <v>16168</v>
      </c>
      <c r="C16169" s="3">
        <v>4</v>
      </c>
    </row>
    <row r="16170" spans="1:3" x14ac:dyDescent="0.25">
      <c r="A16170" s="1" t="s">
        <v>16169</v>
      </c>
      <c r="C16170" s="3">
        <v>4</v>
      </c>
    </row>
    <row r="16171" spans="1:3" x14ac:dyDescent="0.25">
      <c r="A16171" s="1" t="s">
        <v>16170</v>
      </c>
      <c r="C16171" s="3">
        <v>4</v>
      </c>
    </row>
    <row r="16172" spans="1:3" x14ac:dyDescent="0.25">
      <c r="A16172" s="1" t="s">
        <v>16171</v>
      </c>
      <c r="C16172" s="3">
        <v>4</v>
      </c>
    </row>
    <row r="16173" spans="1:3" x14ac:dyDescent="0.25">
      <c r="A16173" s="1" t="s">
        <v>16172</v>
      </c>
      <c r="C16173" s="3">
        <v>4</v>
      </c>
    </row>
    <row r="16174" spans="1:3" x14ac:dyDescent="0.25">
      <c r="A16174" s="1" t="s">
        <v>16173</v>
      </c>
      <c r="C16174" s="3">
        <v>4</v>
      </c>
    </row>
    <row r="16175" spans="1:3" x14ac:dyDescent="0.25">
      <c r="A16175" s="1" t="s">
        <v>16174</v>
      </c>
      <c r="C16175" s="3">
        <v>4</v>
      </c>
    </row>
    <row r="16176" spans="1:3" x14ac:dyDescent="0.25">
      <c r="A16176" s="1" t="s">
        <v>16175</v>
      </c>
      <c r="C16176" s="3">
        <v>4</v>
      </c>
    </row>
    <row r="16177" spans="1:3" x14ac:dyDescent="0.25">
      <c r="A16177" s="1" t="s">
        <v>16176</v>
      </c>
      <c r="C16177" s="3">
        <v>4</v>
      </c>
    </row>
    <row r="16178" spans="1:3" x14ac:dyDescent="0.25">
      <c r="A16178" s="1" t="s">
        <v>16177</v>
      </c>
      <c r="C16178" s="3">
        <v>4</v>
      </c>
    </row>
    <row r="16179" spans="1:3" x14ac:dyDescent="0.25">
      <c r="A16179" s="1" t="s">
        <v>16178</v>
      </c>
      <c r="C16179" s="3">
        <v>4</v>
      </c>
    </row>
    <row r="16180" spans="1:3" x14ac:dyDescent="0.25">
      <c r="A16180" s="1" t="s">
        <v>16179</v>
      </c>
      <c r="C16180" s="3">
        <v>4</v>
      </c>
    </row>
    <row r="16181" spans="1:3" x14ac:dyDescent="0.25">
      <c r="A16181" s="1" t="s">
        <v>16180</v>
      </c>
      <c r="C16181" s="3">
        <v>4</v>
      </c>
    </row>
    <row r="16182" spans="1:3" x14ac:dyDescent="0.25">
      <c r="A16182" s="1" t="s">
        <v>16181</v>
      </c>
      <c r="C16182" s="3">
        <v>4</v>
      </c>
    </row>
    <row r="16183" spans="1:3" x14ac:dyDescent="0.25">
      <c r="A16183" s="1" t="s">
        <v>16182</v>
      </c>
      <c r="C16183" s="3">
        <v>4</v>
      </c>
    </row>
    <row r="16184" spans="1:3" x14ac:dyDescent="0.25">
      <c r="A16184" s="1" t="s">
        <v>16183</v>
      </c>
      <c r="C16184" s="3">
        <v>4</v>
      </c>
    </row>
    <row r="16185" spans="1:3" x14ac:dyDescent="0.25">
      <c r="A16185" s="1" t="s">
        <v>16184</v>
      </c>
      <c r="C16185" s="3">
        <v>4</v>
      </c>
    </row>
    <row r="16186" spans="1:3" x14ac:dyDescent="0.25">
      <c r="A16186" s="1" t="s">
        <v>16185</v>
      </c>
      <c r="C16186" s="3">
        <v>4</v>
      </c>
    </row>
    <row r="16187" spans="1:3" x14ac:dyDescent="0.25">
      <c r="A16187" s="1" t="s">
        <v>16186</v>
      </c>
      <c r="C16187" s="3">
        <v>4</v>
      </c>
    </row>
    <row r="16188" spans="1:3" x14ac:dyDescent="0.25">
      <c r="A16188" s="1" t="s">
        <v>16187</v>
      </c>
      <c r="C16188" s="3">
        <v>4</v>
      </c>
    </row>
    <row r="16189" spans="1:3" x14ac:dyDescent="0.25">
      <c r="A16189" s="1" t="s">
        <v>16188</v>
      </c>
      <c r="C16189" s="3">
        <v>4</v>
      </c>
    </row>
    <row r="16190" spans="1:3" x14ac:dyDescent="0.25">
      <c r="A16190" s="1" t="s">
        <v>16189</v>
      </c>
      <c r="C16190" s="3">
        <v>4</v>
      </c>
    </row>
    <row r="16191" spans="1:3" x14ac:dyDescent="0.25">
      <c r="A16191" s="1" t="s">
        <v>16190</v>
      </c>
      <c r="C16191" s="3">
        <v>4</v>
      </c>
    </row>
    <row r="16192" spans="1:3" x14ac:dyDescent="0.25">
      <c r="A16192" s="1" t="s">
        <v>16191</v>
      </c>
      <c r="C16192" s="3">
        <v>4</v>
      </c>
    </row>
    <row r="16193" spans="1:3" x14ac:dyDescent="0.25">
      <c r="A16193" s="1" t="s">
        <v>16192</v>
      </c>
      <c r="C16193" s="3">
        <v>4</v>
      </c>
    </row>
    <row r="16194" spans="1:3" x14ac:dyDescent="0.25">
      <c r="A16194" s="1" t="s">
        <v>16193</v>
      </c>
      <c r="C16194" s="3">
        <v>4</v>
      </c>
    </row>
    <row r="16195" spans="1:3" x14ac:dyDescent="0.25">
      <c r="A16195" s="1" t="s">
        <v>16194</v>
      </c>
      <c r="C16195" s="3">
        <v>4</v>
      </c>
    </row>
    <row r="16196" spans="1:3" x14ac:dyDescent="0.25">
      <c r="A16196" s="1" t="s">
        <v>16195</v>
      </c>
      <c r="C16196" s="3">
        <v>4</v>
      </c>
    </row>
    <row r="16197" spans="1:3" x14ac:dyDescent="0.25">
      <c r="A16197" s="1" t="s">
        <v>16196</v>
      </c>
      <c r="C16197" s="3">
        <v>4</v>
      </c>
    </row>
    <row r="16198" spans="1:3" x14ac:dyDescent="0.25">
      <c r="A16198" s="1" t="s">
        <v>16197</v>
      </c>
      <c r="C16198" s="3">
        <v>4</v>
      </c>
    </row>
    <row r="16199" spans="1:3" x14ac:dyDescent="0.25">
      <c r="A16199" s="1" t="s">
        <v>16198</v>
      </c>
      <c r="C16199" s="3">
        <v>4</v>
      </c>
    </row>
    <row r="16200" spans="1:3" x14ac:dyDescent="0.25">
      <c r="A16200" s="1" t="s">
        <v>16199</v>
      </c>
      <c r="C16200" s="3">
        <v>4</v>
      </c>
    </row>
    <row r="16201" spans="1:3" x14ac:dyDescent="0.25">
      <c r="A16201" s="1" t="s">
        <v>16200</v>
      </c>
      <c r="C16201" s="3">
        <v>4</v>
      </c>
    </row>
    <row r="16202" spans="1:3" x14ac:dyDescent="0.25">
      <c r="A16202" s="1" t="s">
        <v>16201</v>
      </c>
      <c r="C16202" s="3">
        <v>4</v>
      </c>
    </row>
    <row r="16203" spans="1:3" x14ac:dyDescent="0.25">
      <c r="A16203" s="1" t="s">
        <v>16202</v>
      </c>
      <c r="C16203" s="3">
        <v>4</v>
      </c>
    </row>
    <row r="16204" spans="1:3" x14ac:dyDescent="0.25">
      <c r="A16204" s="1" t="s">
        <v>16203</v>
      </c>
      <c r="C16204" s="3">
        <v>4</v>
      </c>
    </row>
    <row r="16205" spans="1:3" x14ac:dyDescent="0.25">
      <c r="A16205" s="1" t="s">
        <v>16204</v>
      </c>
      <c r="C16205" s="3">
        <v>4</v>
      </c>
    </row>
    <row r="16206" spans="1:3" x14ac:dyDescent="0.25">
      <c r="A16206" s="1" t="s">
        <v>16205</v>
      </c>
      <c r="C16206" s="3">
        <v>4</v>
      </c>
    </row>
    <row r="16207" spans="1:3" x14ac:dyDescent="0.25">
      <c r="A16207" s="1" t="s">
        <v>16206</v>
      </c>
      <c r="C16207" s="3">
        <v>4</v>
      </c>
    </row>
    <row r="16208" spans="1:3" x14ac:dyDescent="0.25">
      <c r="A16208" s="1" t="s">
        <v>16207</v>
      </c>
      <c r="C16208" s="3">
        <v>4</v>
      </c>
    </row>
    <row r="16209" spans="1:3" x14ac:dyDescent="0.25">
      <c r="A16209" s="1" t="s">
        <v>16208</v>
      </c>
      <c r="C16209" s="3">
        <v>4</v>
      </c>
    </row>
    <row r="16210" spans="1:3" x14ac:dyDescent="0.25">
      <c r="A16210" s="1" t="s">
        <v>16209</v>
      </c>
      <c r="C16210" s="3">
        <v>4</v>
      </c>
    </row>
    <row r="16211" spans="1:3" x14ac:dyDescent="0.25">
      <c r="A16211" s="1" t="s">
        <v>16210</v>
      </c>
      <c r="C16211" s="3">
        <v>4</v>
      </c>
    </row>
    <row r="16212" spans="1:3" x14ac:dyDescent="0.25">
      <c r="A16212" s="1" t="s">
        <v>16211</v>
      </c>
      <c r="C16212" s="3">
        <v>4</v>
      </c>
    </row>
    <row r="16213" spans="1:3" x14ac:dyDescent="0.25">
      <c r="A16213" s="1" t="s">
        <v>16212</v>
      </c>
      <c r="C16213" s="3">
        <v>4</v>
      </c>
    </row>
    <row r="16214" spans="1:3" x14ac:dyDescent="0.25">
      <c r="A16214" s="1" t="s">
        <v>16213</v>
      </c>
      <c r="C16214" s="3">
        <v>4</v>
      </c>
    </row>
    <row r="16215" spans="1:3" x14ac:dyDescent="0.25">
      <c r="A16215" s="1" t="s">
        <v>16214</v>
      </c>
      <c r="C16215" s="3">
        <v>4</v>
      </c>
    </row>
    <row r="16216" spans="1:3" x14ac:dyDescent="0.25">
      <c r="A16216" s="1" t="s">
        <v>16215</v>
      </c>
      <c r="C16216" s="3">
        <v>4</v>
      </c>
    </row>
    <row r="16217" spans="1:3" x14ac:dyDescent="0.25">
      <c r="A16217" s="1" t="s">
        <v>16216</v>
      </c>
      <c r="C16217" s="3">
        <v>4</v>
      </c>
    </row>
    <row r="16218" spans="1:3" x14ac:dyDescent="0.25">
      <c r="A16218" s="1" t="s">
        <v>16217</v>
      </c>
      <c r="C16218" s="3">
        <v>4</v>
      </c>
    </row>
    <row r="16219" spans="1:3" x14ac:dyDescent="0.25">
      <c r="A16219" s="1" t="s">
        <v>16218</v>
      </c>
      <c r="C16219" s="3">
        <v>4</v>
      </c>
    </row>
    <row r="16220" spans="1:3" x14ac:dyDescent="0.25">
      <c r="A16220" s="1" t="s">
        <v>16219</v>
      </c>
      <c r="C16220" s="3">
        <v>4</v>
      </c>
    </row>
    <row r="16221" spans="1:3" x14ac:dyDescent="0.25">
      <c r="A16221" s="1" t="s">
        <v>16220</v>
      </c>
      <c r="C16221" s="3">
        <v>4</v>
      </c>
    </row>
    <row r="16222" spans="1:3" x14ac:dyDescent="0.25">
      <c r="A16222" s="1" t="s">
        <v>16221</v>
      </c>
      <c r="C16222" s="3">
        <v>4</v>
      </c>
    </row>
    <row r="16223" spans="1:3" x14ac:dyDescent="0.25">
      <c r="A16223" s="1" t="s">
        <v>16222</v>
      </c>
      <c r="C16223" s="3">
        <v>4</v>
      </c>
    </row>
    <row r="16224" spans="1:3" x14ac:dyDescent="0.25">
      <c r="A16224" s="1" t="s">
        <v>16223</v>
      </c>
      <c r="C16224" s="3">
        <v>4</v>
      </c>
    </row>
    <row r="16225" spans="1:3" x14ac:dyDescent="0.25">
      <c r="A16225" s="1" t="s">
        <v>16224</v>
      </c>
      <c r="C16225" s="3">
        <v>4</v>
      </c>
    </row>
    <row r="16226" spans="1:3" x14ac:dyDescent="0.25">
      <c r="A16226" s="1" t="s">
        <v>16225</v>
      </c>
      <c r="C16226" s="3">
        <v>4</v>
      </c>
    </row>
    <row r="16227" spans="1:3" x14ac:dyDescent="0.25">
      <c r="A16227" s="1" t="s">
        <v>16226</v>
      </c>
      <c r="C16227" s="3">
        <v>4</v>
      </c>
    </row>
    <row r="16228" spans="1:3" x14ac:dyDescent="0.25">
      <c r="A16228" s="1" t="s">
        <v>16227</v>
      </c>
      <c r="C16228" s="3">
        <v>4</v>
      </c>
    </row>
    <row r="16229" spans="1:3" x14ac:dyDescent="0.25">
      <c r="A16229" s="1" t="s">
        <v>16228</v>
      </c>
      <c r="C16229" s="3">
        <v>4</v>
      </c>
    </row>
    <row r="16230" spans="1:3" x14ac:dyDescent="0.25">
      <c r="A16230" s="1" t="s">
        <v>16229</v>
      </c>
      <c r="C16230" s="3">
        <v>4</v>
      </c>
    </row>
    <row r="16231" spans="1:3" x14ac:dyDescent="0.25">
      <c r="A16231" s="1" t="s">
        <v>16230</v>
      </c>
      <c r="C16231" s="3">
        <v>4</v>
      </c>
    </row>
    <row r="16232" spans="1:3" x14ac:dyDescent="0.25">
      <c r="A16232" s="1" t="s">
        <v>16231</v>
      </c>
      <c r="C16232" s="3">
        <v>4</v>
      </c>
    </row>
    <row r="16233" spans="1:3" x14ac:dyDescent="0.25">
      <c r="A16233" s="1" t="s">
        <v>16232</v>
      </c>
      <c r="C16233" s="3">
        <v>4</v>
      </c>
    </row>
    <row r="16234" spans="1:3" x14ac:dyDescent="0.25">
      <c r="A16234" s="1" t="s">
        <v>16233</v>
      </c>
      <c r="C16234" s="3">
        <v>4</v>
      </c>
    </row>
    <row r="16235" spans="1:3" x14ac:dyDescent="0.25">
      <c r="A16235" s="1" t="s">
        <v>16234</v>
      </c>
      <c r="C16235" s="3">
        <v>4</v>
      </c>
    </row>
    <row r="16236" spans="1:3" x14ac:dyDescent="0.25">
      <c r="A16236" s="1" t="s">
        <v>16235</v>
      </c>
      <c r="C16236" s="3">
        <v>4</v>
      </c>
    </row>
    <row r="16237" spans="1:3" x14ac:dyDescent="0.25">
      <c r="A16237" s="1" t="s">
        <v>16236</v>
      </c>
      <c r="C16237" s="3">
        <v>4</v>
      </c>
    </row>
    <row r="16238" spans="1:3" x14ac:dyDescent="0.25">
      <c r="A16238" s="1" t="s">
        <v>16237</v>
      </c>
      <c r="C16238" s="3">
        <v>4</v>
      </c>
    </row>
    <row r="16239" spans="1:3" x14ac:dyDescent="0.25">
      <c r="A16239" s="1" t="s">
        <v>16238</v>
      </c>
      <c r="C16239" s="3">
        <v>4</v>
      </c>
    </row>
    <row r="16240" spans="1:3" x14ac:dyDescent="0.25">
      <c r="A16240" s="1" t="s">
        <v>16239</v>
      </c>
      <c r="C16240" s="3">
        <v>4</v>
      </c>
    </row>
    <row r="16241" spans="1:3" x14ac:dyDescent="0.25">
      <c r="A16241" s="1" t="s">
        <v>16240</v>
      </c>
      <c r="C16241" s="3">
        <v>4</v>
      </c>
    </row>
    <row r="16242" spans="1:3" x14ac:dyDescent="0.25">
      <c r="A16242" s="1" t="s">
        <v>16241</v>
      </c>
      <c r="C16242" s="3">
        <v>4</v>
      </c>
    </row>
    <row r="16243" spans="1:3" x14ac:dyDescent="0.25">
      <c r="A16243" s="1" t="s">
        <v>16242</v>
      </c>
      <c r="C16243" s="3">
        <v>4</v>
      </c>
    </row>
    <row r="16244" spans="1:3" x14ac:dyDescent="0.25">
      <c r="A16244" s="1" t="s">
        <v>16243</v>
      </c>
      <c r="C16244" s="3">
        <v>4</v>
      </c>
    </row>
    <row r="16245" spans="1:3" x14ac:dyDescent="0.25">
      <c r="A16245" s="1" t="s">
        <v>16244</v>
      </c>
      <c r="C16245" s="3">
        <v>4</v>
      </c>
    </row>
    <row r="16246" spans="1:3" x14ac:dyDescent="0.25">
      <c r="A16246" s="1" t="s">
        <v>16245</v>
      </c>
      <c r="C16246" s="3">
        <v>4</v>
      </c>
    </row>
    <row r="16247" spans="1:3" x14ac:dyDescent="0.25">
      <c r="A16247" s="1" t="s">
        <v>16246</v>
      </c>
      <c r="C16247" s="3">
        <v>4</v>
      </c>
    </row>
    <row r="16248" spans="1:3" x14ac:dyDescent="0.25">
      <c r="A16248" s="1" t="s">
        <v>16247</v>
      </c>
      <c r="C16248" s="3">
        <v>4</v>
      </c>
    </row>
    <row r="16249" spans="1:3" x14ac:dyDescent="0.25">
      <c r="A16249" s="1" t="s">
        <v>16248</v>
      </c>
      <c r="C16249" s="3">
        <v>4</v>
      </c>
    </row>
    <row r="16250" spans="1:3" x14ac:dyDescent="0.25">
      <c r="A16250" s="1" t="s">
        <v>16249</v>
      </c>
      <c r="C16250" s="3">
        <v>4</v>
      </c>
    </row>
    <row r="16251" spans="1:3" x14ac:dyDescent="0.25">
      <c r="A16251" s="1" t="s">
        <v>16250</v>
      </c>
      <c r="C16251" s="3">
        <v>4</v>
      </c>
    </row>
    <row r="16252" spans="1:3" x14ac:dyDescent="0.25">
      <c r="A16252" s="1" t="s">
        <v>16251</v>
      </c>
      <c r="C16252" s="3">
        <v>4</v>
      </c>
    </row>
    <row r="16253" spans="1:3" x14ac:dyDescent="0.25">
      <c r="A16253" s="1" t="s">
        <v>16252</v>
      </c>
      <c r="C16253" s="3">
        <v>4</v>
      </c>
    </row>
    <row r="16254" spans="1:3" x14ac:dyDescent="0.25">
      <c r="A16254" s="1" t="s">
        <v>16253</v>
      </c>
      <c r="C16254" s="3">
        <v>4</v>
      </c>
    </row>
    <row r="16255" spans="1:3" x14ac:dyDescent="0.25">
      <c r="A16255" s="1" t="s">
        <v>16254</v>
      </c>
      <c r="C16255" s="3">
        <v>4</v>
      </c>
    </row>
    <row r="16256" spans="1:3" x14ac:dyDescent="0.25">
      <c r="A16256" s="1" t="s">
        <v>16255</v>
      </c>
      <c r="C16256" s="3">
        <v>4</v>
      </c>
    </row>
    <row r="16257" spans="1:3" x14ac:dyDescent="0.25">
      <c r="A16257" s="1" t="s">
        <v>16256</v>
      </c>
      <c r="C16257" s="3">
        <v>4</v>
      </c>
    </row>
    <row r="16258" spans="1:3" x14ac:dyDescent="0.25">
      <c r="A16258" s="1" t="s">
        <v>16257</v>
      </c>
      <c r="C16258" s="3">
        <v>4</v>
      </c>
    </row>
    <row r="16259" spans="1:3" x14ac:dyDescent="0.25">
      <c r="A16259" s="1" t="s">
        <v>16258</v>
      </c>
      <c r="C16259" s="3">
        <v>4</v>
      </c>
    </row>
    <row r="16260" spans="1:3" x14ac:dyDescent="0.25">
      <c r="A16260" s="1" t="s">
        <v>16259</v>
      </c>
      <c r="C16260" s="3">
        <v>4</v>
      </c>
    </row>
    <row r="16261" spans="1:3" x14ac:dyDescent="0.25">
      <c r="A16261" s="1" t="s">
        <v>16260</v>
      </c>
      <c r="C16261" s="3">
        <v>4</v>
      </c>
    </row>
    <row r="16262" spans="1:3" x14ac:dyDescent="0.25">
      <c r="A16262" s="1" t="s">
        <v>16261</v>
      </c>
      <c r="C16262" s="3">
        <v>4</v>
      </c>
    </row>
    <row r="16263" spans="1:3" x14ac:dyDescent="0.25">
      <c r="A16263" s="1" t="s">
        <v>16262</v>
      </c>
      <c r="C16263" s="3">
        <v>4</v>
      </c>
    </row>
    <row r="16264" spans="1:3" x14ac:dyDescent="0.25">
      <c r="A16264" s="1" t="s">
        <v>16263</v>
      </c>
      <c r="C16264" s="3">
        <v>4</v>
      </c>
    </row>
    <row r="16265" spans="1:3" x14ac:dyDescent="0.25">
      <c r="A16265" s="1" t="s">
        <v>16264</v>
      </c>
      <c r="C16265" s="3">
        <v>4</v>
      </c>
    </row>
    <row r="16266" spans="1:3" x14ac:dyDescent="0.25">
      <c r="A16266" s="1" t="s">
        <v>16265</v>
      </c>
      <c r="C16266" s="3">
        <v>4</v>
      </c>
    </row>
    <row r="16267" spans="1:3" x14ac:dyDescent="0.25">
      <c r="A16267" s="1" t="s">
        <v>16266</v>
      </c>
      <c r="C16267" s="3">
        <v>4</v>
      </c>
    </row>
    <row r="16268" spans="1:3" x14ac:dyDescent="0.25">
      <c r="A16268" s="1" t="s">
        <v>16267</v>
      </c>
      <c r="C16268" s="3">
        <v>4</v>
      </c>
    </row>
    <row r="16269" spans="1:3" x14ac:dyDescent="0.25">
      <c r="A16269" s="1" t="s">
        <v>16268</v>
      </c>
      <c r="C16269" s="3">
        <v>4</v>
      </c>
    </row>
    <row r="16270" spans="1:3" x14ac:dyDescent="0.25">
      <c r="A16270" s="1" t="s">
        <v>16269</v>
      </c>
      <c r="C16270" s="3">
        <v>4</v>
      </c>
    </row>
    <row r="16271" spans="1:3" x14ac:dyDescent="0.25">
      <c r="A16271" s="1" t="s">
        <v>16270</v>
      </c>
      <c r="C16271" s="3">
        <v>4</v>
      </c>
    </row>
    <row r="16272" spans="1:3" x14ac:dyDescent="0.25">
      <c r="A16272" s="1" t="s">
        <v>16271</v>
      </c>
      <c r="C16272" s="3">
        <v>4</v>
      </c>
    </row>
    <row r="16273" spans="1:3" x14ac:dyDescent="0.25">
      <c r="A16273" s="1" t="s">
        <v>16272</v>
      </c>
      <c r="C16273" s="3">
        <v>4</v>
      </c>
    </row>
    <row r="16274" spans="1:3" x14ac:dyDescent="0.25">
      <c r="A16274" s="1" t="s">
        <v>16273</v>
      </c>
      <c r="C16274" s="3">
        <v>4</v>
      </c>
    </row>
    <row r="16275" spans="1:3" x14ac:dyDescent="0.25">
      <c r="A16275" s="1" t="s">
        <v>16274</v>
      </c>
      <c r="C16275" s="3">
        <v>4</v>
      </c>
    </row>
    <row r="16276" spans="1:3" x14ac:dyDescent="0.25">
      <c r="A16276" s="1" t="s">
        <v>16275</v>
      </c>
      <c r="C16276" s="3">
        <v>4</v>
      </c>
    </row>
    <row r="16277" spans="1:3" x14ac:dyDescent="0.25">
      <c r="A16277" s="1" t="s">
        <v>16276</v>
      </c>
      <c r="C16277" s="3">
        <v>4</v>
      </c>
    </row>
    <row r="16278" spans="1:3" x14ac:dyDescent="0.25">
      <c r="A16278" s="1" t="s">
        <v>16277</v>
      </c>
      <c r="C16278" s="3">
        <v>4</v>
      </c>
    </row>
    <row r="16279" spans="1:3" x14ac:dyDescent="0.25">
      <c r="A16279" s="1" t="s">
        <v>16278</v>
      </c>
      <c r="C16279" s="3">
        <v>4</v>
      </c>
    </row>
    <row r="16280" spans="1:3" x14ac:dyDescent="0.25">
      <c r="A16280" s="1" t="s">
        <v>16279</v>
      </c>
      <c r="C16280" s="3">
        <v>4</v>
      </c>
    </row>
    <row r="16281" spans="1:3" x14ac:dyDescent="0.25">
      <c r="A16281" s="1" t="s">
        <v>16280</v>
      </c>
      <c r="C16281" s="3">
        <v>4</v>
      </c>
    </row>
    <row r="16282" spans="1:3" x14ac:dyDescent="0.25">
      <c r="A16282" s="1" t="s">
        <v>16281</v>
      </c>
      <c r="C16282" s="3">
        <v>4</v>
      </c>
    </row>
    <row r="16283" spans="1:3" x14ac:dyDescent="0.25">
      <c r="A16283" s="1" t="s">
        <v>16282</v>
      </c>
      <c r="C16283" s="3">
        <v>4</v>
      </c>
    </row>
    <row r="16284" spans="1:3" x14ac:dyDescent="0.25">
      <c r="A16284" s="1" t="s">
        <v>16283</v>
      </c>
      <c r="C16284" s="3">
        <v>4</v>
      </c>
    </row>
    <row r="16285" spans="1:3" x14ac:dyDescent="0.25">
      <c r="A16285" s="1" t="s">
        <v>16284</v>
      </c>
      <c r="C16285" s="3">
        <v>4</v>
      </c>
    </row>
    <row r="16286" spans="1:3" x14ac:dyDescent="0.25">
      <c r="A16286" s="1" t="s">
        <v>16285</v>
      </c>
      <c r="C16286" s="3">
        <v>4</v>
      </c>
    </row>
    <row r="16287" spans="1:3" x14ac:dyDescent="0.25">
      <c r="A16287" s="1" t="s">
        <v>16286</v>
      </c>
      <c r="C16287" s="3">
        <v>4</v>
      </c>
    </row>
    <row r="16288" spans="1:3" x14ac:dyDescent="0.25">
      <c r="A16288" s="1" t="s">
        <v>16287</v>
      </c>
      <c r="C16288" s="3">
        <v>4</v>
      </c>
    </row>
    <row r="16289" spans="1:3" x14ac:dyDescent="0.25">
      <c r="A16289" s="1" t="s">
        <v>16288</v>
      </c>
      <c r="C16289" s="3">
        <v>4</v>
      </c>
    </row>
    <row r="16290" spans="1:3" x14ac:dyDescent="0.25">
      <c r="A16290" s="1" t="s">
        <v>16289</v>
      </c>
      <c r="C16290" s="3">
        <v>4</v>
      </c>
    </row>
    <row r="16291" spans="1:3" x14ac:dyDescent="0.25">
      <c r="A16291" s="1" t="s">
        <v>16290</v>
      </c>
      <c r="C16291" s="3">
        <v>4</v>
      </c>
    </row>
    <row r="16292" spans="1:3" x14ac:dyDescent="0.25">
      <c r="A16292" s="1" t="s">
        <v>16291</v>
      </c>
      <c r="C16292" s="3">
        <v>4</v>
      </c>
    </row>
    <row r="16293" spans="1:3" x14ac:dyDescent="0.25">
      <c r="A16293" s="1" t="s">
        <v>16292</v>
      </c>
      <c r="C16293" s="3">
        <v>4</v>
      </c>
    </row>
    <row r="16294" spans="1:3" x14ac:dyDescent="0.25">
      <c r="A16294" s="1" t="s">
        <v>16293</v>
      </c>
      <c r="C16294" s="3">
        <v>4</v>
      </c>
    </row>
    <row r="16295" spans="1:3" x14ac:dyDescent="0.25">
      <c r="A16295" s="1" t="s">
        <v>16294</v>
      </c>
      <c r="C16295" s="3">
        <v>4</v>
      </c>
    </row>
    <row r="16296" spans="1:3" x14ac:dyDescent="0.25">
      <c r="A16296" s="1" t="s">
        <v>16295</v>
      </c>
      <c r="C16296" s="3">
        <v>4</v>
      </c>
    </row>
    <row r="16297" spans="1:3" x14ac:dyDescent="0.25">
      <c r="A16297" s="1" t="s">
        <v>16296</v>
      </c>
      <c r="C16297" s="3">
        <v>4</v>
      </c>
    </row>
    <row r="16298" spans="1:3" x14ac:dyDescent="0.25">
      <c r="A16298" s="1" t="s">
        <v>16297</v>
      </c>
      <c r="C16298" s="3">
        <v>4</v>
      </c>
    </row>
    <row r="16299" spans="1:3" x14ac:dyDescent="0.25">
      <c r="A16299" s="1" t="s">
        <v>16298</v>
      </c>
      <c r="C16299" s="3">
        <v>4</v>
      </c>
    </row>
    <row r="16300" spans="1:3" x14ac:dyDescent="0.25">
      <c r="A16300" s="1" t="s">
        <v>16299</v>
      </c>
      <c r="C16300" s="3">
        <v>4</v>
      </c>
    </row>
    <row r="16301" spans="1:3" x14ac:dyDescent="0.25">
      <c r="A16301" s="1" t="s">
        <v>16300</v>
      </c>
      <c r="C16301" s="3">
        <v>4</v>
      </c>
    </row>
    <row r="16302" spans="1:3" x14ac:dyDescent="0.25">
      <c r="A16302" s="1" t="s">
        <v>16301</v>
      </c>
      <c r="C16302" s="3">
        <v>4</v>
      </c>
    </row>
    <row r="16303" spans="1:3" x14ac:dyDescent="0.25">
      <c r="A16303" s="1" t="s">
        <v>16302</v>
      </c>
      <c r="C16303" s="3">
        <v>4</v>
      </c>
    </row>
    <row r="16304" spans="1:3" x14ac:dyDescent="0.25">
      <c r="A16304" s="1" t="s">
        <v>16303</v>
      </c>
      <c r="C16304" s="3">
        <v>4</v>
      </c>
    </row>
    <row r="16305" spans="1:3" x14ac:dyDescent="0.25">
      <c r="A16305" s="1" t="s">
        <v>16304</v>
      </c>
      <c r="C16305" s="3">
        <v>4</v>
      </c>
    </row>
    <row r="16306" spans="1:3" x14ac:dyDescent="0.25">
      <c r="A16306" s="1" t="s">
        <v>16305</v>
      </c>
      <c r="C16306" s="3">
        <v>4</v>
      </c>
    </row>
    <row r="16307" spans="1:3" x14ac:dyDescent="0.25">
      <c r="A16307" s="1" t="s">
        <v>16306</v>
      </c>
      <c r="C16307" s="3">
        <v>4</v>
      </c>
    </row>
    <row r="16308" spans="1:3" x14ac:dyDescent="0.25">
      <c r="A16308" s="1" t="s">
        <v>16307</v>
      </c>
      <c r="C16308" s="3">
        <v>4</v>
      </c>
    </row>
    <row r="16309" spans="1:3" x14ac:dyDescent="0.25">
      <c r="A16309" s="1" t="s">
        <v>16308</v>
      </c>
      <c r="C16309" s="3">
        <v>4</v>
      </c>
    </row>
    <row r="16310" spans="1:3" x14ac:dyDescent="0.25">
      <c r="A16310" s="1" t="s">
        <v>16309</v>
      </c>
      <c r="C16310" s="3">
        <v>4</v>
      </c>
    </row>
    <row r="16311" spans="1:3" x14ac:dyDescent="0.25">
      <c r="A16311" s="1" t="s">
        <v>16310</v>
      </c>
      <c r="C16311" s="3">
        <v>4</v>
      </c>
    </row>
    <row r="16312" spans="1:3" x14ac:dyDescent="0.25">
      <c r="A16312" s="1" t="s">
        <v>16311</v>
      </c>
      <c r="C16312" s="3">
        <v>4</v>
      </c>
    </row>
    <row r="16313" spans="1:3" x14ac:dyDescent="0.25">
      <c r="A16313" s="1" t="s">
        <v>16312</v>
      </c>
      <c r="C16313" s="3">
        <v>4</v>
      </c>
    </row>
    <row r="16314" spans="1:3" x14ac:dyDescent="0.25">
      <c r="A16314" s="1" t="s">
        <v>16313</v>
      </c>
      <c r="C16314" s="3">
        <v>4</v>
      </c>
    </row>
    <row r="16315" spans="1:3" x14ac:dyDescent="0.25">
      <c r="A16315" s="1" t="s">
        <v>16314</v>
      </c>
      <c r="C16315" s="3">
        <v>4</v>
      </c>
    </row>
    <row r="16316" spans="1:3" x14ac:dyDescent="0.25">
      <c r="A16316" s="1" t="s">
        <v>16315</v>
      </c>
      <c r="C16316" s="3">
        <v>4</v>
      </c>
    </row>
    <row r="16317" spans="1:3" x14ac:dyDescent="0.25">
      <c r="A16317" s="1" t="s">
        <v>16316</v>
      </c>
      <c r="C16317" s="3">
        <v>4</v>
      </c>
    </row>
    <row r="16318" spans="1:3" x14ac:dyDescent="0.25">
      <c r="A16318" s="1" t="s">
        <v>16317</v>
      </c>
      <c r="C16318" s="3">
        <v>4</v>
      </c>
    </row>
    <row r="16319" spans="1:3" x14ac:dyDescent="0.25">
      <c r="A16319" s="1" t="s">
        <v>16318</v>
      </c>
      <c r="C16319" s="3">
        <v>4</v>
      </c>
    </row>
    <row r="16320" spans="1:3" x14ac:dyDescent="0.25">
      <c r="A16320" s="1" t="s">
        <v>16319</v>
      </c>
      <c r="C16320" s="3">
        <v>4</v>
      </c>
    </row>
    <row r="16321" spans="1:3" x14ac:dyDescent="0.25">
      <c r="A16321" s="1" t="s">
        <v>16320</v>
      </c>
      <c r="C16321" s="3">
        <v>4</v>
      </c>
    </row>
    <row r="16322" spans="1:3" x14ac:dyDescent="0.25">
      <c r="A16322" s="1" t="s">
        <v>16321</v>
      </c>
      <c r="C16322" s="3">
        <v>4</v>
      </c>
    </row>
    <row r="16323" spans="1:3" x14ac:dyDescent="0.25">
      <c r="A16323" s="1" t="s">
        <v>16322</v>
      </c>
      <c r="C16323" s="3">
        <v>4</v>
      </c>
    </row>
    <row r="16324" spans="1:3" x14ac:dyDescent="0.25">
      <c r="A16324" s="1" t="s">
        <v>16323</v>
      </c>
      <c r="C16324" s="3">
        <v>4</v>
      </c>
    </row>
    <row r="16325" spans="1:3" x14ac:dyDescent="0.25">
      <c r="A16325" s="1" t="s">
        <v>16324</v>
      </c>
      <c r="C16325" s="3">
        <v>4</v>
      </c>
    </row>
    <row r="16326" spans="1:3" x14ac:dyDescent="0.25">
      <c r="A16326" s="1" t="s">
        <v>16325</v>
      </c>
      <c r="C16326" s="3">
        <v>4</v>
      </c>
    </row>
    <row r="16327" spans="1:3" x14ac:dyDescent="0.25">
      <c r="A16327" s="1" t="s">
        <v>16326</v>
      </c>
      <c r="C16327" s="3">
        <v>4</v>
      </c>
    </row>
    <row r="16328" spans="1:3" x14ac:dyDescent="0.25">
      <c r="A16328" s="1" t="s">
        <v>16327</v>
      </c>
      <c r="C16328" s="3">
        <v>4</v>
      </c>
    </row>
    <row r="16329" spans="1:3" x14ac:dyDescent="0.25">
      <c r="A16329" s="1" t="s">
        <v>16328</v>
      </c>
      <c r="C16329" s="3">
        <v>4</v>
      </c>
    </row>
    <row r="16330" spans="1:3" x14ac:dyDescent="0.25">
      <c r="A16330" s="1" t="s">
        <v>16329</v>
      </c>
      <c r="C16330" s="3">
        <v>4</v>
      </c>
    </row>
    <row r="16331" spans="1:3" x14ac:dyDescent="0.25">
      <c r="A16331" s="1" t="s">
        <v>16330</v>
      </c>
      <c r="C16331" s="3">
        <v>4</v>
      </c>
    </row>
    <row r="16332" spans="1:3" x14ac:dyDescent="0.25">
      <c r="A16332" s="1" t="s">
        <v>16331</v>
      </c>
      <c r="C16332" s="3">
        <v>4</v>
      </c>
    </row>
    <row r="16333" spans="1:3" x14ac:dyDescent="0.25">
      <c r="A16333" s="1" t="s">
        <v>16332</v>
      </c>
      <c r="C16333" s="3">
        <v>4</v>
      </c>
    </row>
    <row r="16334" spans="1:3" x14ac:dyDescent="0.25">
      <c r="A16334" s="1" t="s">
        <v>16333</v>
      </c>
      <c r="C16334" s="3">
        <v>4</v>
      </c>
    </row>
    <row r="16335" spans="1:3" x14ac:dyDescent="0.25">
      <c r="A16335" s="1" t="s">
        <v>16334</v>
      </c>
      <c r="C16335" s="3">
        <v>4</v>
      </c>
    </row>
    <row r="16336" spans="1:3" x14ac:dyDescent="0.25">
      <c r="A16336" s="1" t="s">
        <v>16335</v>
      </c>
      <c r="C16336" s="3">
        <v>4</v>
      </c>
    </row>
    <row r="16337" spans="1:3" x14ac:dyDescent="0.25">
      <c r="A16337" s="1" t="s">
        <v>16336</v>
      </c>
      <c r="C16337" s="3">
        <v>4</v>
      </c>
    </row>
    <row r="16338" spans="1:3" x14ac:dyDescent="0.25">
      <c r="A16338" s="1" t="s">
        <v>16337</v>
      </c>
      <c r="C16338" s="3">
        <v>4</v>
      </c>
    </row>
    <row r="16339" spans="1:3" x14ac:dyDescent="0.25">
      <c r="A16339" s="1" t="s">
        <v>16338</v>
      </c>
      <c r="C16339" s="3">
        <v>4</v>
      </c>
    </row>
    <row r="16340" spans="1:3" x14ac:dyDescent="0.25">
      <c r="A16340" s="1" t="s">
        <v>16339</v>
      </c>
      <c r="C16340" s="3">
        <v>4</v>
      </c>
    </row>
    <row r="16341" spans="1:3" x14ac:dyDescent="0.25">
      <c r="A16341" s="1" t="s">
        <v>16340</v>
      </c>
      <c r="C16341" s="3">
        <v>4</v>
      </c>
    </row>
    <row r="16342" spans="1:3" x14ac:dyDescent="0.25">
      <c r="A16342" s="1" t="s">
        <v>16341</v>
      </c>
      <c r="C16342" s="3">
        <v>4</v>
      </c>
    </row>
    <row r="16343" spans="1:3" x14ac:dyDescent="0.25">
      <c r="A16343" s="1" t="s">
        <v>16342</v>
      </c>
      <c r="C16343" s="3">
        <v>4</v>
      </c>
    </row>
    <row r="16344" spans="1:3" x14ac:dyDescent="0.25">
      <c r="A16344" s="1" t="s">
        <v>16343</v>
      </c>
      <c r="C16344" s="3">
        <v>4</v>
      </c>
    </row>
    <row r="16345" spans="1:3" x14ac:dyDescent="0.25">
      <c r="A16345" s="1" t="s">
        <v>16344</v>
      </c>
      <c r="C16345" s="3">
        <v>4</v>
      </c>
    </row>
    <row r="16346" spans="1:3" x14ac:dyDescent="0.25">
      <c r="A16346" s="1" t="s">
        <v>16345</v>
      </c>
      <c r="C16346" s="3">
        <v>4</v>
      </c>
    </row>
    <row r="16347" spans="1:3" x14ac:dyDescent="0.25">
      <c r="A16347" s="1" t="s">
        <v>16346</v>
      </c>
      <c r="C16347" s="3">
        <v>4</v>
      </c>
    </row>
    <row r="16348" spans="1:3" x14ac:dyDescent="0.25">
      <c r="A16348" s="1" t="s">
        <v>16347</v>
      </c>
      <c r="C16348" s="3">
        <v>4</v>
      </c>
    </row>
    <row r="16349" spans="1:3" x14ac:dyDescent="0.25">
      <c r="A16349" s="1" t="s">
        <v>16348</v>
      </c>
      <c r="C16349" s="3">
        <v>4</v>
      </c>
    </row>
    <row r="16350" spans="1:3" x14ac:dyDescent="0.25">
      <c r="A16350" s="1" t="s">
        <v>16349</v>
      </c>
      <c r="C16350" s="3">
        <v>4</v>
      </c>
    </row>
    <row r="16351" spans="1:3" x14ac:dyDescent="0.25">
      <c r="A16351" s="1" t="s">
        <v>16350</v>
      </c>
      <c r="C16351" s="3">
        <v>4</v>
      </c>
    </row>
    <row r="16352" spans="1:3" x14ac:dyDescent="0.25">
      <c r="A16352" s="1" t="s">
        <v>16351</v>
      </c>
      <c r="C16352" s="3">
        <v>4</v>
      </c>
    </row>
    <row r="16353" spans="1:3" x14ac:dyDescent="0.25">
      <c r="A16353" s="1" t="s">
        <v>16352</v>
      </c>
      <c r="C16353" s="3">
        <v>4</v>
      </c>
    </row>
    <row r="16354" spans="1:3" x14ac:dyDescent="0.25">
      <c r="A16354" s="1" t="s">
        <v>16353</v>
      </c>
      <c r="C16354" s="3">
        <v>4</v>
      </c>
    </row>
    <row r="16355" spans="1:3" x14ac:dyDescent="0.25">
      <c r="A16355" s="1" t="s">
        <v>16354</v>
      </c>
      <c r="C16355" s="3">
        <v>4</v>
      </c>
    </row>
    <row r="16356" spans="1:3" x14ac:dyDescent="0.25">
      <c r="A16356" s="1" t="s">
        <v>16355</v>
      </c>
      <c r="C16356" s="3">
        <v>4</v>
      </c>
    </row>
    <row r="16357" spans="1:3" x14ac:dyDescent="0.25">
      <c r="A16357" s="1" t="s">
        <v>16356</v>
      </c>
      <c r="C16357" s="3">
        <v>4</v>
      </c>
    </row>
    <row r="16358" spans="1:3" x14ac:dyDescent="0.25">
      <c r="A16358" s="1" t="s">
        <v>16357</v>
      </c>
      <c r="C16358" s="3">
        <v>4</v>
      </c>
    </row>
    <row r="16359" spans="1:3" x14ac:dyDescent="0.25">
      <c r="A16359" s="1" t="s">
        <v>16358</v>
      </c>
      <c r="C16359" s="3">
        <v>4</v>
      </c>
    </row>
    <row r="16360" spans="1:3" x14ac:dyDescent="0.25">
      <c r="A16360" s="1" t="s">
        <v>16359</v>
      </c>
      <c r="C16360" s="3">
        <v>4</v>
      </c>
    </row>
    <row r="16361" spans="1:3" x14ac:dyDescent="0.25">
      <c r="A16361" s="1" t="s">
        <v>16360</v>
      </c>
      <c r="C16361" s="3">
        <v>4</v>
      </c>
    </row>
    <row r="16362" spans="1:3" x14ac:dyDescent="0.25">
      <c r="A16362" s="1" t="s">
        <v>16361</v>
      </c>
      <c r="C16362" s="3">
        <v>4</v>
      </c>
    </row>
    <row r="16363" spans="1:3" x14ac:dyDescent="0.25">
      <c r="A16363" s="1" t="s">
        <v>16362</v>
      </c>
      <c r="C16363" s="3">
        <v>4</v>
      </c>
    </row>
    <row r="16364" spans="1:3" x14ac:dyDescent="0.25">
      <c r="A16364" s="1" t="s">
        <v>16363</v>
      </c>
      <c r="C16364" s="3">
        <v>4</v>
      </c>
    </row>
    <row r="16365" spans="1:3" x14ac:dyDescent="0.25">
      <c r="A16365" s="1" t="s">
        <v>16364</v>
      </c>
      <c r="C16365" s="3">
        <v>4</v>
      </c>
    </row>
    <row r="16366" spans="1:3" x14ac:dyDescent="0.25">
      <c r="A16366" s="1" t="s">
        <v>16365</v>
      </c>
      <c r="C16366" s="3">
        <v>4</v>
      </c>
    </row>
    <row r="16367" spans="1:3" x14ac:dyDescent="0.25">
      <c r="A16367" s="1" t="s">
        <v>16366</v>
      </c>
      <c r="C16367" s="3">
        <v>4</v>
      </c>
    </row>
    <row r="16368" spans="1:3" x14ac:dyDescent="0.25">
      <c r="A16368" s="1" t="s">
        <v>16367</v>
      </c>
      <c r="C16368" s="3">
        <v>4</v>
      </c>
    </row>
    <row r="16369" spans="1:3" x14ac:dyDescent="0.25">
      <c r="A16369" s="1" t="s">
        <v>16368</v>
      </c>
      <c r="C16369" s="3">
        <v>4</v>
      </c>
    </row>
    <row r="16370" spans="1:3" x14ac:dyDescent="0.25">
      <c r="A16370" s="1" t="s">
        <v>16369</v>
      </c>
      <c r="C16370" s="3">
        <v>4</v>
      </c>
    </row>
    <row r="16371" spans="1:3" x14ac:dyDescent="0.25">
      <c r="A16371" s="1" t="s">
        <v>16370</v>
      </c>
      <c r="C16371" s="3">
        <v>4</v>
      </c>
    </row>
    <row r="16372" spans="1:3" x14ac:dyDescent="0.25">
      <c r="A16372" s="1" t="s">
        <v>16371</v>
      </c>
      <c r="C16372" s="3">
        <v>4</v>
      </c>
    </row>
    <row r="16373" spans="1:3" x14ac:dyDescent="0.25">
      <c r="A16373" s="1" t="s">
        <v>16372</v>
      </c>
      <c r="C16373" s="3">
        <v>4</v>
      </c>
    </row>
    <row r="16374" spans="1:3" x14ac:dyDescent="0.25">
      <c r="A16374" s="1" t="s">
        <v>16373</v>
      </c>
      <c r="C16374" s="3">
        <v>4</v>
      </c>
    </row>
    <row r="16375" spans="1:3" x14ac:dyDescent="0.25">
      <c r="A16375" s="1" t="s">
        <v>16374</v>
      </c>
      <c r="C16375" s="3">
        <v>4</v>
      </c>
    </row>
    <row r="16376" spans="1:3" x14ac:dyDescent="0.25">
      <c r="A16376" s="1" t="s">
        <v>16375</v>
      </c>
      <c r="C16376" s="3">
        <v>4</v>
      </c>
    </row>
    <row r="16377" spans="1:3" x14ac:dyDescent="0.25">
      <c r="A16377" s="1" t="s">
        <v>16376</v>
      </c>
      <c r="C16377" s="3">
        <v>4</v>
      </c>
    </row>
    <row r="16378" spans="1:3" x14ac:dyDescent="0.25">
      <c r="A16378" s="1" t="s">
        <v>16377</v>
      </c>
      <c r="C16378" s="3">
        <v>4</v>
      </c>
    </row>
    <row r="16379" spans="1:3" x14ac:dyDescent="0.25">
      <c r="A16379" s="1" t="s">
        <v>16378</v>
      </c>
      <c r="C16379" s="3">
        <v>4</v>
      </c>
    </row>
    <row r="16380" spans="1:3" x14ac:dyDescent="0.25">
      <c r="A16380" s="1" t="s">
        <v>16379</v>
      </c>
      <c r="C16380" s="3">
        <v>4</v>
      </c>
    </row>
    <row r="16381" spans="1:3" x14ac:dyDescent="0.25">
      <c r="A16381" s="1" t="s">
        <v>16380</v>
      </c>
      <c r="C16381" s="3">
        <v>4</v>
      </c>
    </row>
    <row r="16382" spans="1:3" x14ac:dyDescent="0.25">
      <c r="A16382" s="1" t="s">
        <v>16381</v>
      </c>
      <c r="C16382" s="3">
        <v>4</v>
      </c>
    </row>
    <row r="16383" spans="1:3" x14ac:dyDescent="0.25">
      <c r="A16383" s="1" t="s">
        <v>16382</v>
      </c>
      <c r="C16383" s="3">
        <v>4</v>
      </c>
    </row>
    <row r="16384" spans="1:3" x14ac:dyDescent="0.25">
      <c r="A16384" s="1" t="s">
        <v>16383</v>
      </c>
      <c r="C16384" s="3">
        <v>4</v>
      </c>
    </row>
    <row r="16385" spans="1:3" x14ac:dyDescent="0.25">
      <c r="A16385" s="1" t="s">
        <v>16384</v>
      </c>
      <c r="C16385" s="3">
        <v>4</v>
      </c>
    </row>
    <row r="16386" spans="1:3" x14ac:dyDescent="0.25">
      <c r="A16386" s="1" t="s">
        <v>16385</v>
      </c>
      <c r="C16386" s="3">
        <v>4</v>
      </c>
    </row>
    <row r="16387" spans="1:3" x14ac:dyDescent="0.25">
      <c r="A16387" s="1" t="s">
        <v>16386</v>
      </c>
      <c r="C16387" s="3">
        <v>4</v>
      </c>
    </row>
    <row r="16388" spans="1:3" x14ac:dyDescent="0.25">
      <c r="A16388" s="1" t="s">
        <v>16387</v>
      </c>
      <c r="C16388" s="3">
        <v>4</v>
      </c>
    </row>
    <row r="16389" spans="1:3" x14ac:dyDescent="0.25">
      <c r="A16389" s="1" t="s">
        <v>16388</v>
      </c>
      <c r="C16389" s="3">
        <v>4</v>
      </c>
    </row>
    <row r="16390" spans="1:3" x14ac:dyDescent="0.25">
      <c r="A16390" s="1" t="s">
        <v>16389</v>
      </c>
      <c r="C16390" s="3">
        <v>4</v>
      </c>
    </row>
    <row r="16391" spans="1:3" x14ac:dyDescent="0.25">
      <c r="A16391" s="1" t="s">
        <v>16390</v>
      </c>
      <c r="C16391" s="3">
        <v>4</v>
      </c>
    </row>
    <row r="16392" spans="1:3" x14ac:dyDescent="0.25">
      <c r="A16392" s="1" t="s">
        <v>16391</v>
      </c>
      <c r="C16392" s="3">
        <v>4</v>
      </c>
    </row>
    <row r="16393" spans="1:3" x14ac:dyDescent="0.25">
      <c r="A16393" s="1" t="s">
        <v>16392</v>
      </c>
      <c r="C16393" s="3">
        <v>4</v>
      </c>
    </row>
    <row r="16394" spans="1:3" x14ac:dyDescent="0.25">
      <c r="A16394" s="1" t="s">
        <v>16393</v>
      </c>
      <c r="C16394" s="3">
        <v>4</v>
      </c>
    </row>
    <row r="16395" spans="1:3" x14ac:dyDescent="0.25">
      <c r="A16395" s="1" t="s">
        <v>16394</v>
      </c>
      <c r="C16395" s="3">
        <v>4</v>
      </c>
    </row>
    <row r="16396" spans="1:3" x14ac:dyDescent="0.25">
      <c r="A16396" s="1" t="s">
        <v>16395</v>
      </c>
      <c r="C16396" s="3">
        <v>4</v>
      </c>
    </row>
    <row r="16397" spans="1:3" x14ac:dyDescent="0.25">
      <c r="A16397" s="1" t="s">
        <v>16396</v>
      </c>
      <c r="C16397" s="3">
        <v>4</v>
      </c>
    </row>
    <row r="16398" spans="1:3" x14ac:dyDescent="0.25">
      <c r="A16398" s="1" t="s">
        <v>16397</v>
      </c>
      <c r="C16398" s="3">
        <v>4</v>
      </c>
    </row>
    <row r="16399" spans="1:3" x14ac:dyDescent="0.25">
      <c r="A16399" s="1" t="s">
        <v>16398</v>
      </c>
      <c r="C16399" s="3">
        <v>4</v>
      </c>
    </row>
    <row r="16400" spans="1:3" x14ac:dyDescent="0.25">
      <c r="A16400" s="1" t="s">
        <v>16399</v>
      </c>
      <c r="C16400" s="3">
        <v>4</v>
      </c>
    </row>
    <row r="16401" spans="1:3" x14ac:dyDescent="0.25">
      <c r="A16401" s="1" t="s">
        <v>16400</v>
      </c>
      <c r="C16401" s="3">
        <v>4</v>
      </c>
    </row>
    <row r="16402" spans="1:3" x14ac:dyDescent="0.25">
      <c r="A16402" s="1" t="s">
        <v>16401</v>
      </c>
      <c r="C16402" s="3">
        <v>4</v>
      </c>
    </row>
    <row r="16403" spans="1:3" x14ac:dyDescent="0.25">
      <c r="A16403" s="1" t="s">
        <v>16402</v>
      </c>
      <c r="C16403" s="3">
        <v>4</v>
      </c>
    </row>
    <row r="16404" spans="1:3" x14ac:dyDescent="0.25">
      <c r="A16404" s="1" t="s">
        <v>16403</v>
      </c>
      <c r="C16404" s="3">
        <v>4</v>
      </c>
    </row>
    <row r="16405" spans="1:3" x14ac:dyDescent="0.25">
      <c r="A16405" s="1" t="s">
        <v>16404</v>
      </c>
      <c r="C16405" s="3">
        <v>4</v>
      </c>
    </row>
    <row r="16406" spans="1:3" x14ac:dyDescent="0.25">
      <c r="A16406" s="1" t="s">
        <v>16405</v>
      </c>
      <c r="C16406" s="3">
        <v>4</v>
      </c>
    </row>
    <row r="16407" spans="1:3" x14ac:dyDescent="0.25">
      <c r="A16407" s="1" t="s">
        <v>16406</v>
      </c>
      <c r="C16407" s="3">
        <v>4</v>
      </c>
    </row>
    <row r="16408" spans="1:3" x14ac:dyDescent="0.25">
      <c r="A16408" s="1" t="s">
        <v>16407</v>
      </c>
      <c r="C16408" s="3">
        <v>4</v>
      </c>
    </row>
    <row r="16409" spans="1:3" x14ac:dyDescent="0.25">
      <c r="A16409" s="1" t="s">
        <v>16408</v>
      </c>
      <c r="C16409" s="3">
        <v>4</v>
      </c>
    </row>
    <row r="16410" spans="1:3" x14ac:dyDescent="0.25">
      <c r="A16410" s="1" t="s">
        <v>16409</v>
      </c>
      <c r="C16410" s="3">
        <v>4</v>
      </c>
    </row>
    <row r="16411" spans="1:3" x14ac:dyDescent="0.25">
      <c r="A16411" s="1" t="s">
        <v>16410</v>
      </c>
      <c r="C16411" s="3">
        <v>4</v>
      </c>
    </row>
    <row r="16412" spans="1:3" x14ac:dyDescent="0.25">
      <c r="A16412" s="1" t="s">
        <v>16411</v>
      </c>
      <c r="C16412" s="3">
        <v>4</v>
      </c>
    </row>
    <row r="16413" spans="1:3" x14ac:dyDescent="0.25">
      <c r="A16413" s="1" t="s">
        <v>16412</v>
      </c>
      <c r="C16413" s="3">
        <v>4</v>
      </c>
    </row>
    <row r="16414" spans="1:3" x14ac:dyDescent="0.25">
      <c r="A16414" s="1" t="s">
        <v>16413</v>
      </c>
      <c r="C16414" s="3">
        <v>4</v>
      </c>
    </row>
    <row r="16415" spans="1:3" x14ac:dyDescent="0.25">
      <c r="A16415" s="1" t="s">
        <v>16414</v>
      </c>
      <c r="C16415" s="3">
        <v>4</v>
      </c>
    </row>
    <row r="16416" spans="1:3" x14ac:dyDescent="0.25">
      <c r="A16416" s="1" t="s">
        <v>16415</v>
      </c>
      <c r="C16416" s="3">
        <v>4</v>
      </c>
    </row>
    <row r="16417" spans="1:3" x14ac:dyDescent="0.25">
      <c r="A16417" s="1" t="s">
        <v>16416</v>
      </c>
      <c r="C16417" s="3">
        <v>4</v>
      </c>
    </row>
    <row r="16418" spans="1:3" x14ac:dyDescent="0.25">
      <c r="A16418" s="1" t="s">
        <v>16417</v>
      </c>
      <c r="C16418" s="3">
        <v>4</v>
      </c>
    </row>
    <row r="16419" spans="1:3" x14ac:dyDescent="0.25">
      <c r="A16419" s="1" t="s">
        <v>16418</v>
      </c>
      <c r="C16419" s="3">
        <v>4</v>
      </c>
    </row>
    <row r="16420" spans="1:3" x14ac:dyDescent="0.25">
      <c r="A16420" s="1" t="s">
        <v>16419</v>
      </c>
      <c r="C16420" s="3">
        <v>4</v>
      </c>
    </row>
    <row r="16421" spans="1:3" x14ac:dyDescent="0.25">
      <c r="A16421" s="1" t="s">
        <v>16420</v>
      </c>
      <c r="C16421" s="3">
        <v>4</v>
      </c>
    </row>
    <row r="16422" spans="1:3" x14ac:dyDescent="0.25">
      <c r="A16422" s="1" t="s">
        <v>16421</v>
      </c>
      <c r="C16422" s="3">
        <v>4</v>
      </c>
    </row>
    <row r="16423" spans="1:3" x14ac:dyDescent="0.25">
      <c r="A16423" s="1" t="s">
        <v>16422</v>
      </c>
      <c r="C16423" s="3">
        <v>4</v>
      </c>
    </row>
    <row r="16424" spans="1:3" x14ac:dyDescent="0.25">
      <c r="A16424" s="1" t="s">
        <v>16423</v>
      </c>
      <c r="C16424" s="3">
        <v>4</v>
      </c>
    </row>
    <row r="16425" spans="1:3" x14ac:dyDescent="0.25">
      <c r="A16425" s="1" t="s">
        <v>16424</v>
      </c>
      <c r="C16425" s="3">
        <v>4</v>
      </c>
    </row>
    <row r="16426" spans="1:3" x14ac:dyDescent="0.25">
      <c r="A16426" s="1" t="s">
        <v>16425</v>
      </c>
      <c r="C16426" s="3">
        <v>4</v>
      </c>
    </row>
    <row r="16427" spans="1:3" x14ac:dyDescent="0.25">
      <c r="A16427" s="1" t="s">
        <v>16426</v>
      </c>
      <c r="C16427" s="3">
        <v>4</v>
      </c>
    </row>
    <row r="16428" spans="1:3" x14ac:dyDescent="0.25">
      <c r="A16428" s="1" t="s">
        <v>16427</v>
      </c>
      <c r="C16428" s="3">
        <v>4</v>
      </c>
    </row>
    <row r="16429" spans="1:3" x14ac:dyDescent="0.25">
      <c r="A16429" s="1" t="s">
        <v>16428</v>
      </c>
      <c r="C16429" s="3">
        <v>4</v>
      </c>
    </row>
    <row r="16430" spans="1:3" x14ac:dyDescent="0.25">
      <c r="A16430" s="1" t="s">
        <v>16429</v>
      </c>
      <c r="C16430" s="3">
        <v>4</v>
      </c>
    </row>
    <row r="16431" spans="1:3" x14ac:dyDescent="0.25">
      <c r="A16431" s="1" t="s">
        <v>16430</v>
      </c>
      <c r="C16431" s="3">
        <v>4</v>
      </c>
    </row>
    <row r="16432" spans="1:3" x14ac:dyDescent="0.25">
      <c r="A16432" s="1" t="s">
        <v>16431</v>
      </c>
      <c r="C16432" s="3">
        <v>4</v>
      </c>
    </row>
    <row r="16433" spans="1:3" x14ac:dyDescent="0.25">
      <c r="A16433" s="1" t="s">
        <v>16432</v>
      </c>
      <c r="C16433" s="3">
        <v>4</v>
      </c>
    </row>
    <row r="16434" spans="1:3" x14ac:dyDescent="0.25">
      <c r="A16434" s="1" t="s">
        <v>16433</v>
      </c>
      <c r="C16434" s="3">
        <v>4</v>
      </c>
    </row>
    <row r="16435" spans="1:3" x14ac:dyDescent="0.25">
      <c r="A16435" s="1" t="s">
        <v>16434</v>
      </c>
      <c r="C16435" s="3">
        <v>4</v>
      </c>
    </row>
    <row r="16436" spans="1:3" x14ac:dyDescent="0.25">
      <c r="A16436" s="1" t="s">
        <v>16435</v>
      </c>
      <c r="C16436" s="3">
        <v>4</v>
      </c>
    </row>
    <row r="16437" spans="1:3" x14ac:dyDescent="0.25">
      <c r="A16437" s="1" t="s">
        <v>16436</v>
      </c>
      <c r="C16437" s="3">
        <v>4</v>
      </c>
    </row>
    <row r="16438" spans="1:3" x14ac:dyDescent="0.25">
      <c r="A16438" s="1" t="s">
        <v>16437</v>
      </c>
      <c r="C16438" s="3">
        <v>4</v>
      </c>
    </row>
    <row r="16439" spans="1:3" x14ac:dyDescent="0.25">
      <c r="A16439" s="1" t="s">
        <v>16438</v>
      </c>
      <c r="C16439" s="3">
        <v>4</v>
      </c>
    </row>
    <row r="16440" spans="1:3" x14ac:dyDescent="0.25">
      <c r="A16440" s="1" t="s">
        <v>16439</v>
      </c>
      <c r="C16440" s="3">
        <v>4</v>
      </c>
    </row>
    <row r="16441" spans="1:3" x14ac:dyDescent="0.25">
      <c r="A16441" s="1" t="s">
        <v>16440</v>
      </c>
      <c r="C16441" s="3">
        <v>4</v>
      </c>
    </row>
    <row r="16442" spans="1:3" x14ac:dyDescent="0.25">
      <c r="A16442" s="1" t="s">
        <v>16441</v>
      </c>
      <c r="C16442" s="3">
        <v>4</v>
      </c>
    </row>
    <row r="16443" spans="1:3" x14ac:dyDescent="0.25">
      <c r="A16443" s="1" t="s">
        <v>16442</v>
      </c>
      <c r="C16443" s="3">
        <v>4</v>
      </c>
    </row>
    <row r="16444" spans="1:3" x14ac:dyDescent="0.25">
      <c r="A16444" s="1" t="s">
        <v>16443</v>
      </c>
      <c r="C16444" s="3">
        <v>4</v>
      </c>
    </row>
    <row r="16445" spans="1:3" x14ac:dyDescent="0.25">
      <c r="A16445" s="1" t="s">
        <v>16444</v>
      </c>
      <c r="C16445" s="3">
        <v>4</v>
      </c>
    </row>
    <row r="16446" spans="1:3" x14ac:dyDescent="0.25">
      <c r="A16446" s="1" t="s">
        <v>16445</v>
      </c>
      <c r="C16446" s="3">
        <v>4</v>
      </c>
    </row>
    <row r="16447" spans="1:3" x14ac:dyDescent="0.25">
      <c r="A16447" s="1" t="s">
        <v>16446</v>
      </c>
      <c r="C16447" s="3">
        <v>4</v>
      </c>
    </row>
    <row r="16448" spans="1:3" x14ac:dyDescent="0.25">
      <c r="A16448" s="1" t="s">
        <v>16447</v>
      </c>
      <c r="C16448" s="3">
        <v>4</v>
      </c>
    </row>
    <row r="16449" spans="1:3" x14ac:dyDescent="0.25">
      <c r="A16449" s="1" t="s">
        <v>16448</v>
      </c>
      <c r="C16449" s="3">
        <v>4</v>
      </c>
    </row>
    <row r="16450" spans="1:3" x14ac:dyDescent="0.25">
      <c r="A16450" s="1" t="s">
        <v>16449</v>
      </c>
      <c r="C16450" s="3">
        <v>4</v>
      </c>
    </row>
    <row r="16451" spans="1:3" x14ac:dyDescent="0.25">
      <c r="A16451" s="1" t="s">
        <v>16450</v>
      </c>
      <c r="C16451" s="3">
        <v>4</v>
      </c>
    </row>
    <row r="16452" spans="1:3" x14ac:dyDescent="0.25">
      <c r="A16452" s="1" t="s">
        <v>16451</v>
      </c>
      <c r="C16452" s="3">
        <v>4</v>
      </c>
    </row>
    <row r="16453" spans="1:3" x14ac:dyDescent="0.25">
      <c r="A16453" s="1" t="s">
        <v>16452</v>
      </c>
      <c r="C16453" s="3">
        <v>4</v>
      </c>
    </row>
    <row r="16454" spans="1:3" x14ac:dyDescent="0.25">
      <c r="A16454" s="1" t="s">
        <v>16453</v>
      </c>
      <c r="C16454" s="3">
        <v>4</v>
      </c>
    </row>
    <row r="16455" spans="1:3" x14ac:dyDescent="0.25">
      <c r="A16455" s="1" t="s">
        <v>16454</v>
      </c>
      <c r="C16455" s="3">
        <v>4</v>
      </c>
    </row>
    <row r="16456" spans="1:3" x14ac:dyDescent="0.25">
      <c r="A16456" s="1" t="s">
        <v>16455</v>
      </c>
      <c r="C16456" s="3">
        <v>4</v>
      </c>
    </row>
    <row r="16457" spans="1:3" x14ac:dyDescent="0.25">
      <c r="A16457" s="1" t="s">
        <v>16456</v>
      </c>
      <c r="C16457" s="3">
        <v>4</v>
      </c>
    </row>
    <row r="16458" spans="1:3" x14ac:dyDescent="0.25">
      <c r="A16458" s="1" t="s">
        <v>16457</v>
      </c>
      <c r="C16458" s="3">
        <v>4</v>
      </c>
    </row>
    <row r="16459" spans="1:3" x14ac:dyDescent="0.25">
      <c r="A16459" s="1" t="s">
        <v>16458</v>
      </c>
      <c r="C16459" s="3">
        <v>4</v>
      </c>
    </row>
    <row r="16460" spans="1:3" x14ac:dyDescent="0.25">
      <c r="A16460" s="1" t="s">
        <v>16459</v>
      </c>
      <c r="C16460" s="3">
        <v>4</v>
      </c>
    </row>
    <row r="16461" spans="1:3" x14ac:dyDescent="0.25">
      <c r="A16461" s="1" t="s">
        <v>16460</v>
      </c>
      <c r="C16461" s="3">
        <v>4</v>
      </c>
    </row>
    <row r="16462" spans="1:3" x14ac:dyDescent="0.25">
      <c r="A16462" s="1" t="s">
        <v>16461</v>
      </c>
      <c r="C16462" s="3">
        <v>4</v>
      </c>
    </row>
    <row r="16463" spans="1:3" x14ac:dyDescent="0.25">
      <c r="A16463" s="1" t="s">
        <v>16462</v>
      </c>
      <c r="C16463" s="3">
        <v>4</v>
      </c>
    </row>
    <row r="16464" spans="1:3" x14ac:dyDescent="0.25">
      <c r="A16464" s="1" t="s">
        <v>16463</v>
      </c>
      <c r="C16464" s="3">
        <v>4</v>
      </c>
    </row>
    <row r="16465" spans="1:3" x14ac:dyDescent="0.25">
      <c r="A16465" s="1" t="s">
        <v>16464</v>
      </c>
      <c r="C16465" s="3">
        <v>4</v>
      </c>
    </row>
    <row r="16466" spans="1:3" x14ac:dyDescent="0.25">
      <c r="A16466" s="1" t="s">
        <v>16465</v>
      </c>
      <c r="C16466" s="3">
        <v>4</v>
      </c>
    </row>
    <row r="16467" spans="1:3" x14ac:dyDescent="0.25">
      <c r="A16467" s="1" t="s">
        <v>16466</v>
      </c>
      <c r="C16467" s="3">
        <v>4</v>
      </c>
    </row>
    <row r="16468" spans="1:3" x14ac:dyDescent="0.25">
      <c r="A16468" s="1" t="s">
        <v>16467</v>
      </c>
      <c r="C16468" s="3">
        <v>4</v>
      </c>
    </row>
    <row r="16469" spans="1:3" x14ac:dyDescent="0.25">
      <c r="A16469" s="1" t="s">
        <v>16468</v>
      </c>
      <c r="C16469" s="3">
        <v>4</v>
      </c>
    </row>
    <row r="16470" spans="1:3" x14ac:dyDescent="0.25">
      <c r="A16470" s="1" t="s">
        <v>16469</v>
      </c>
      <c r="C16470" s="3">
        <v>4</v>
      </c>
    </row>
    <row r="16471" spans="1:3" x14ac:dyDescent="0.25">
      <c r="A16471" s="1" t="s">
        <v>16470</v>
      </c>
      <c r="C16471" s="3">
        <v>4</v>
      </c>
    </row>
    <row r="16472" spans="1:3" x14ac:dyDescent="0.25">
      <c r="A16472" s="1" t="s">
        <v>16471</v>
      </c>
      <c r="C16472" s="3">
        <v>4</v>
      </c>
    </row>
    <row r="16473" spans="1:3" x14ac:dyDescent="0.25">
      <c r="A16473" s="1" t="s">
        <v>16472</v>
      </c>
      <c r="C16473" s="3">
        <v>4</v>
      </c>
    </row>
    <row r="16474" spans="1:3" x14ac:dyDescent="0.25">
      <c r="A16474" s="1" t="s">
        <v>16473</v>
      </c>
      <c r="C16474" s="3">
        <v>4</v>
      </c>
    </row>
    <row r="16475" spans="1:3" x14ac:dyDescent="0.25">
      <c r="A16475" s="1" t="s">
        <v>16474</v>
      </c>
      <c r="C16475" s="3">
        <v>4</v>
      </c>
    </row>
    <row r="16476" spans="1:3" x14ac:dyDescent="0.25">
      <c r="A16476" s="1" t="s">
        <v>16475</v>
      </c>
      <c r="C16476" s="3">
        <v>4</v>
      </c>
    </row>
    <row r="16477" spans="1:3" x14ac:dyDescent="0.25">
      <c r="A16477" s="1" t="s">
        <v>16476</v>
      </c>
      <c r="C16477" s="3">
        <v>4</v>
      </c>
    </row>
    <row r="16478" spans="1:3" x14ac:dyDescent="0.25">
      <c r="A16478" s="1" t="s">
        <v>16477</v>
      </c>
      <c r="C16478" s="3">
        <v>4</v>
      </c>
    </row>
    <row r="16479" spans="1:3" x14ac:dyDescent="0.25">
      <c r="A16479" s="1" t="s">
        <v>16478</v>
      </c>
      <c r="C16479" s="3">
        <v>4</v>
      </c>
    </row>
    <row r="16480" spans="1:3" x14ac:dyDescent="0.25">
      <c r="A16480" s="1" t="s">
        <v>16479</v>
      </c>
      <c r="C16480" s="3">
        <v>4</v>
      </c>
    </row>
    <row r="16481" spans="1:3" x14ac:dyDescent="0.25">
      <c r="A16481" s="1" t="s">
        <v>16480</v>
      </c>
      <c r="C16481" s="3">
        <v>4</v>
      </c>
    </row>
    <row r="16482" spans="1:3" x14ac:dyDescent="0.25">
      <c r="A16482" s="1" t="s">
        <v>16481</v>
      </c>
      <c r="C16482" s="3">
        <v>4</v>
      </c>
    </row>
    <row r="16483" spans="1:3" x14ac:dyDescent="0.25">
      <c r="A16483" s="1" t="s">
        <v>16482</v>
      </c>
      <c r="C16483" s="3">
        <v>4</v>
      </c>
    </row>
    <row r="16484" spans="1:3" x14ac:dyDescent="0.25">
      <c r="A16484" s="1" t="s">
        <v>16483</v>
      </c>
      <c r="C16484" s="3">
        <v>4</v>
      </c>
    </row>
    <row r="16485" spans="1:3" x14ac:dyDescent="0.25">
      <c r="A16485" s="1" t="s">
        <v>16484</v>
      </c>
      <c r="C16485" s="3">
        <v>4</v>
      </c>
    </row>
    <row r="16486" spans="1:3" x14ac:dyDescent="0.25">
      <c r="A16486" s="1" t="s">
        <v>16485</v>
      </c>
      <c r="C16486" s="3">
        <v>4</v>
      </c>
    </row>
    <row r="16487" spans="1:3" x14ac:dyDescent="0.25">
      <c r="A16487" s="1" t="s">
        <v>16486</v>
      </c>
      <c r="C16487" s="3">
        <v>4</v>
      </c>
    </row>
    <row r="16488" spans="1:3" x14ac:dyDescent="0.25">
      <c r="A16488" s="1" t="s">
        <v>16487</v>
      </c>
      <c r="C16488" s="3">
        <v>4</v>
      </c>
    </row>
    <row r="16489" spans="1:3" x14ac:dyDescent="0.25">
      <c r="A16489" s="1" t="s">
        <v>16488</v>
      </c>
      <c r="C16489" s="3">
        <v>4</v>
      </c>
    </row>
    <row r="16490" spans="1:3" x14ac:dyDescent="0.25">
      <c r="A16490" s="1" t="s">
        <v>16489</v>
      </c>
      <c r="C16490" s="3">
        <v>4</v>
      </c>
    </row>
    <row r="16491" spans="1:3" x14ac:dyDescent="0.25">
      <c r="A16491" s="1" t="s">
        <v>16490</v>
      </c>
      <c r="C16491" s="3">
        <v>4</v>
      </c>
    </row>
    <row r="16492" spans="1:3" x14ac:dyDescent="0.25">
      <c r="A16492" s="1" t="s">
        <v>16491</v>
      </c>
      <c r="C16492" s="3">
        <v>4</v>
      </c>
    </row>
    <row r="16493" spans="1:3" x14ac:dyDescent="0.25">
      <c r="A16493" s="1" t="s">
        <v>16492</v>
      </c>
      <c r="C16493" s="3">
        <v>4</v>
      </c>
    </row>
    <row r="16494" spans="1:3" x14ac:dyDescent="0.25">
      <c r="A16494" s="1" t="s">
        <v>16493</v>
      </c>
      <c r="C16494" s="3">
        <v>4</v>
      </c>
    </row>
    <row r="16495" spans="1:3" x14ac:dyDescent="0.25">
      <c r="A16495" s="1" t="s">
        <v>16494</v>
      </c>
      <c r="C16495" s="3">
        <v>4</v>
      </c>
    </row>
    <row r="16496" spans="1:3" x14ac:dyDescent="0.25">
      <c r="A16496" s="1" t="s">
        <v>16495</v>
      </c>
      <c r="C16496" s="3">
        <v>4</v>
      </c>
    </row>
    <row r="16497" spans="1:3" x14ac:dyDescent="0.25">
      <c r="A16497" s="1" t="s">
        <v>16496</v>
      </c>
      <c r="C16497" s="3">
        <v>4</v>
      </c>
    </row>
    <row r="16498" spans="1:3" x14ac:dyDescent="0.25">
      <c r="A16498" s="1" t="s">
        <v>16497</v>
      </c>
      <c r="C16498" s="3">
        <v>4</v>
      </c>
    </row>
    <row r="16499" spans="1:3" x14ac:dyDescent="0.25">
      <c r="A16499" s="1" t="s">
        <v>16498</v>
      </c>
      <c r="C16499" s="3">
        <v>4</v>
      </c>
    </row>
    <row r="16500" spans="1:3" x14ac:dyDescent="0.25">
      <c r="A16500" s="1" t="s">
        <v>16499</v>
      </c>
      <c r="C16500" s="3">
        <v>4</v>
      </c>
    </row>
    <row r="16501" spans="1:3" x14ac:dyDescent="0.25">
      <c r="A16501" s="1" t="s">
        <v>16500</v>
      </c>
      <c r="C16501" s="3">
        <v>4</v>
      </c>
    </row>
    <row r="16502" spans="1:3" x14ac:dyDescent="0.25">
      <c r="A16502" s="1" t="s">
        <v>16501</v>
      </c>
      <c r="C16502" s="3">
        <v>4</v>
      </c>
    </row>
    <row r="16503" spans="1:3" x14ac:dyDescent="0.25">
      <c r="A16503" s="1" t="s">
        <v>16502</v>
      </c>
      <c r="C16503" s="3">
        <v>4</v>
      </c>
    </row>
    <row r="16504" spans="1:3" x14ac:dyDescent="0.25">
      <c r="A16504" s="1" t="s">
        <v>16503</v>
      </c>
      <c r="C16504" s="3">
        <v>4</v>
      </c>
    </row>
    <row r="16505" spans="1:3" x14ac:dyDescent="0.25">
      <c r="A16505" s="1" t="s">
        <v>16504</v>
      </c>
      <c r="C16505" s="3">
        <v>4</v>
      </c>
    </row>
    <row r="16506" spans="1:3" x14ac:dyDescent="0.25">
      <c r="A16506" s="1" t="s">
        <v>16505</v>
      </c>
      <c r="C16506" s="3">
        <v>4</v>
      </c>
    </row>
    <row r="16507" spans="1:3" x14ac:dyDescent="0.25">
      <c r="A16507" s="1" t="s">
        <v>16506</v>
      </c>
      <c r="C16507" s="3">
        <v>4</v>
      </c>
    </row>
    <row r="16508" spans="1:3" x14ac:dyDescent="0.25">
      <c r="A16508" s="1" t="s">
        <v>16507</v>
      </c>
      <c r="C16508" s="3">
        <v>4</v>
      </c>
    </row>
    <row r="16509" spans="1:3" x14ac:dyDescent="0.25">
      <c r="A16509" s="1" t="s">
        <v>16508</v>
      </c>
      <c r="C16509" s="3">
        <v>4</v>
      </c>
    </row>
    <row r="16510" spans="1:3" x14ac:dyDescent="0.25">
      <c r="A16510" s="1" t="s">
        <v>16509</v>
      </c>
      <c r="C16510" s="3">
        <v>4</v>
      </c>
    </row>
    <row r="16511" spans="1:3" x14ac:dyDescent="0.25">
      <c r="A16511" s="1" t="s">
        <v>16510</v>
      </c>
      <c r="C16511" s="3">
        <v>4</v>
      </c>
    </row>
    <row r="16512" spans="1:3" x14ac:dyDescent="0.25">
      <c r="A16512" s="1" t="s">
        <v>16511</v>
      </c>
      <c r="C16512" s="3">
        <v>4</v>
      </c>
    </row>
    <row r="16513" spans="1:3" x14ac:dyDescent="0.25">
      <c r="A16513" s="1" t="s">
        <v>16512</v>
      </c>
      <c r="C16513" s="3">
        <v>4</v>
      </c>
    </row>
    <row r="16514" spans="1:3" x14ac:dyDescent="0.25">
      <c r="A16514" s="1" t="s">
        <v>16513</v>
      </c>
      <c r="C16514" s="3">
        <v>4</v>
      </c>
    </row>
    <row r="16515" spans="1:3" x14ac:dyDescent="0.25">
      <c r="A16515" s="1" t="s">
        <v>16514</v>
      </c>
      <c r="C16515" s="3">
        <v>4</v>
      </c>
    </row>
    <row r="16516" spans="1:3" x14ac:dyDescent="0.25">
      <c r="A16516" s="1" t="s">
        <v>16515</v>
      </c>
      <c r="C16516" s="3">
        <v>4</v>
      </c>
    </row>
    <row r="16517" spans="1:3" x14ac:dyDescent="0.25">
      <c r="A16517" s="1" t="s">
        <v>16516</v>
      </c>
      <c r="C16517" s="3">
        <v>4</v>
      </c>
    </row>
    <row r="16518" spans="1:3" x14ac:dyDescent="0.25">
      <c r="A16518" s="1" t="s">
        <v>16517</v>
      </c>
      <c r="C16518" s="3">
        <v>4</v>
      </c>
    </row>
    <row r="16519" spans="1:3" x14ac:dyDescent="0.25">
      <c r="A16519" s="1" t="s">
        <v>16518</v>
      </c>
      <c r="C16519" s="3">
        <v>4</v>
      </c>
    </row>
    <row r="16520" spans="1:3" x14ac:dyDescent="0.25">
      <c r="A16520" s="1" t="s">
        <v>16519</v>
      </c>
      <c r="C16520" s="3">
        <v>4</v>
      </c>
    </row>
    <row r="16521" spans="1:3" x14ac:dyDescent="0.25">
      <c r="A16521" s="1" t="s">
        <v>16520</v>
      </c>
      <c r="C16521" s="3">
        <v>4</v>
      </c>
    </row>
    <row r="16522" spans="1:3" x14ac:dyDescent="0.25">
      <c r="A16522" s="1" t="s">
        <v>16521</v>
      </c>
      <c r="C16522" s="3">
        <v>4</v>
      </c>
    </row>
    <row r="16523" spans="1:3" x14ac:dyDescent="0.25">
      <c r="A16523" s="1" t="s">
        <v>16522</v>
      </c>
      <c r="C16523" s="3">
        <v>4</v>
      </c>
    </row>
    <row r="16524" spans="1:3" x14ac:dyDescent="0.25">
      <c r="A16524" s="1" t="s">
        <v>16523</v>
      </c>
      <c r="C16524" s="3">
        <v>4</v>
      </c>
    </row>
    <row r="16525" spans="1:3" x14ac:dyDescent="0.25">
      <c r="A16525" s="1" t="s">
        <v>16524</v>
      </c>
      <c r="C16525" s="3">
        <v>4</v>
      </c>
    </row>
    <row r="16526" spans="1:3" x14ac:dyDescent="0.25">
      <c r="A16526" s="1" t="s">
        <v>16525</v>
      </c>
      <c r="C16526" s="3">
        <v>4</v>
      </c>
    </row>
    <row r="16527" spans="1:3" x14ac:dyDescent="0.25">
      <c r="A16527" s="1" t="s">
        <v>16526</v>
      </c>
      <c r="C16527" s="3">
        <v>4</v>
      </c>
    </row>
    <row r="16528" spans="1:3" x14ac:dyDescent="0.25">
      <c r="A16528" s="1" t="s">
        <v>16527</v>
      </c>
      <c r="C16528" s="3">
        <v>4</v>
      </c>
    </row>
    <row r="16529" spans="1:3" x14ac:dyDescent="0.25">
      <c r="A16529" s="1" t="s">
        <v>16528</v>
      </c>
      <c r="C16529" s="3">
        <v>4</v>
      </c>
    </row>
    <row r="16530" spans="1:3" x14ac:dyDescent="0.25">
      <c r="A16530" s="1" t="s">
        <v>16529</v>
      </c>
      <c r="C16530" s="3">
        <v>4</v>
      </c>
    </row>
    <row r="16531" spans="1:3" x14ac:dyDescent="0.25">
      <c r="A16531" s="1" t="s">
        <v>16530</v>
      </c>
      <c r="C16531" s="3">
        <v>4</v>
      </c>
    </row>
    <row r="16532" spans="1:3" x14ac:dyDescent="0.25">
      <c r="A16532" s="1" t="s">
        <v>16531</v>
      </c>
      <c r="C16532" s="3">
        <v>4</v>
      </c>
    </row>
    <row r="16533" spans="1:3" x14ac:dyDescent="0.25">
      <c r="A16533" s="1" t="s">
        <v>16532</v>
      </c>
      <c r="C16533" s="3">
        <v>4</v>
      </c>
    </row>
    <row r="16534" spans="1:3" x14ac:dyDescent="0.25">
      <c r="A16534" s="1" t="s">
        <v>16533</v>
      </c>
      <c r="C16534" s="3">
        <v>4</v>
      </c>
    </row>
    <row r="16535" spans="1:3" x14ac:dyDescent="0.25">
      <c r="A16535" s="1" t="s">
        <v>16534</v>
      </c>
      <c r="C16535" s="3">
        <v>4</v>
      </c>
    </row>
    <row r="16536" spans="1:3" x14ac:dyDescent="0.25">
      <c r="A16536" s="1" t="s">
        <v>16535</v>
      </c>
      <c r="C16536" s="3">
        <v>4</v>
      </c>
    </row>
    <row r="16537" spans="1:3" x14ac:dyDescent="0.25">
      <c r="A16537" s="1" t="s">
        <v>16536</v>
      </c>
      <c r="C16537" s="3">
        <v>4</v>
      </c>
    </row>
    <row r="16538" spans="1:3" x14ac:dyDescent="0.25">
      <c r="A16538" s="1" t="s">
        <v>16537</v>
      </c>
      <c r="C16538" s="3">
        <v>4</v>
      </c>
    </row>
    <row r="16539" spans="1:3" x14ac:dyDescent="0.25">
      <c r="A16539" s="1" t="s">
        <v>16538</v>
      </c>
      <c r="C16539" s="3">
        <v>4</v>
      </c>
    </row>
    <row r="16540" spans="1:3" x14ac:dyDescent="0.25">
      <c r="A16540" s="1" t="s">
        <v>16539</v>
      </c>
      <c r="C16540" s="3">
        <v>4</v>
      </c>
    </row>
    <row r="16541" spans="1:3" x14ac:dyDescent="0.25">
      <c r="A16541" s="1" t="s">
        <v>16540</v>
      </c>
      <c r="C16541" s="3">
        <v>4</v>
      </c>
    </row>
    <row r="16542" spans="1:3" x14ac:dyDescent="0.25">
      <c r="A16542" s="1" t="s">
        <v>16541</v>
      </c>
      <c r="C16542" s="3">
        <v>4</v>
      </c>
    </row>
    <row r="16543" spans="1:3" x14ac:dyDescent="0.25">
      <c r="A16543" s="1" t="s">
        <v>16542</v>
      </c>
      <c r="C16543" s="3">
        <v>4</v>
      </c>
    </row>
    <row r="16544" spans="1:3" x14ac:dyDescent="0.25">
      <c r="A16544" s="1" t="s">
        <v>16543</v>
      </c>
      <c r="C16544" s="3">
        <v>4</v>
      </c>
    </row>
    <row r="16545" spans="1:3" x14ac:dyDescent="0.25">
      <c r="A16545" s="1" t="s">
        <v>16544</v>
      </c>
      <c r="C16545" s="3">
        <v>4</v>
      </c>
    </row>
    <row r="16546" spans="1:3" x14ac:dyDescent="0.25">
      <c r="A16546" s="1" t="s">
        <v>16545</v>
      </c>
      <c r="C16546" s="3">
        <v>4</v>
      </c>
    </row>
    <row r="16547" spans="1:3" x14ac:dyDescent="0.25">
      <c r="A16547" s="1" t="s">
        <v>16546</v>
      </c>
      <c r="C16547" s="3">
        <v>4</v>
      </c>
    </row>
    <row r="16548" spans="1:3" x14ac:dyDescent="0.25">
      <c r="A16548" s="1" t="s">
        <v>16547</v>
      </c>
      <c r="C16548" s="3">
        <v>4</v>
      </c>
    </row>
    <row r="16549" spans="1:3" x14ac:dyDescent="0.25">
      <c r="A16549" s="1" t="s">
        <v>16548</v>
      </c>
      <c r="C16549" s="3">
        <v>4</v>
      </c>
    </row>
    <row r="16550" spans="1:3" x14ac:dyDescent="0.25">
      <c r="A16550" s="1" t="s">
        <v>16549</v>
      </c>
      <c r="C16550" s="3">
        <v>4</v>
      </c>
    </row>
    <row r="16551" spans="1:3" x14ac:dyDescent="0.25">
      <c r="A16551" s="1" t="s">
        <v>16550</v>
      </c>
      <c r="C16551" s="3">
        <v>4</v>
      </c>
    </row>
    <row r="16552" spans="1:3" x14ac:dyDescent="0.25">
      <c r="A16552" s="1" t="s">
        <v>16551</v>
      </c>
      <c r="C16552" s="3">
        <v>4</v>
      </c>
    </row>
    <row r="16553" spans="1:3" x14ac:dyDescent="0.25">
      <c r="A16553" s="1" t="s">
        <v>16552</v>
      </c>
      <c r="C16553" s="3">
        <v>4</v>
      </c>
    </row>
    <row r="16554" spans="1:3" x14ac:dyDescent="0.25">
      <c r="A16554" s="1" t="s">
        <v>16553</v>
      </c>
      <c r="C16554" s="3">
        <v>4</v>
      </c>
    </row>
    <row r="16555" spans="1:3" x14ac:dyDescent="0.25">
      <c r="A16555" s="1" t="s">
        <v>16554</v>
      </c>
      <c r="C16555" s="3">
        <v>4</v>
      </c>
    </row>
    <row r="16556" spans="1:3" x14ac:dyDescent="0.25">
      <c r="A16556" s="1" t="s">
        <v>16555</v>
      </c>
      <c r="C16556" s="3">
        <v>4</v>
      </c>
    </row>
    <row r="16557" spans="1:3" x14ac:dyDescent="0.25">
      <c r="A16557" s="1" t="s">
        <v>16556</v>
      </c>
      <c r="C16557" s="3">
        <v>4</v>
      </c>
    </row>
    <row r="16558" spans="1:3" x14ac:dyDescent="0.25">
      <c r="A16558" s="1" t="s">
        <v>16557</v>
      </c>
      <c r="C16558" s="3">
        <v>4</v>
      </c>
    </row>
    <row r="16559" spans="1:3" x14ac:dyDescent="0.25">
      <c r="A16559" s="1" t="s">
        <v>16558</v>
      </c>
      <c r="C16559" s="3">
        <v>4</v>
      </c>
    </row>
    <row r="16560" spans="1:3" x14ac:dyDescent="0.25">
      <c r="A16560" s="1" t="s">
        <v>16559</v>
      </c>
      <c r="C16560" s="3">
        <v>4</v>
      </c>
    </row>
    <row r="16561" spans="1:3" x14ac:dyDescent="0.25">
      <c r="A16561" s="1" t="s">
        <v>16560</v>
      </c>
      <c r="C16561" s="3">
        <v>4</v>
      </c>
    </row>
    <row r="16562" spans="1:3" x14ac:dyDescent="0.25">
      <c r="A16562" s="1" t="s">
        <v>16561</v>
      </c>
      <c r="C16562" s="3">
        <v>4</v>
      </c>
    </row>
    <row r="16563" spans="1:3" x14ac:dyDescent="0.25">
      <c r="A16563" s="1" t="s">
        <v>16562</v>
      </c>
      <c r="C16563" s="3">
        <v>4</v>
      </c>
    </row>
    <row r="16564" spans="1:3" x14ac:dyDescent="0.25">
      <c r="A16564" s="1" t="s">
        <v>16563</v>
      </c>
      <c r="C16564" s="3">
        <v>4</v>
      </c>
    </row>
    <row r="16565" spans="1:3" x14ac:dyDescent="0.25">
      <c r="A16565" s="1" t="s">
        <v>16564</v>
      </c>
      <c r="C16565" s="3">
        <v>4</v>
      </c>
    </row>
    <row r="16566" spans="1:3" x14ac:dyDescent="0.25">
      <c r="A16566" s="1" t="s">
        <v>16565</v>
      </c>
      <c r="C16566" s="3">
        <v>4</v>
      </c>
    </row>
    <row r="16567" spans="1:3" x14ac:dyDescent="0.25">
      <c r="A16567" s="1" t="s">
        <v>16566</v>
      </c>
      <c r="C16567" s="3">
        <v>4</v>
      </c>
    </row>
    <row r="16568" spans="1:3" x14ac:dyDescent="0.25">
      <c r="A16568" s="1" t="s">
        <v>16567</v>
      </c>
      <c r="C16568" s="3">
        <v>4</v>
      </c>
    </row>
    <row r="16569" spans="1:3" x14ac:dyDescent="0.25">
      <c r="A16569" s="1" t="s">
        <v>16568</v>
      </c>
      <c r="C16569" s="3">
        <v>4</v>
      </c>
    </row>
    <row r="16570" spans="1:3" x14ac:dyDescent="0.25">
      <c r="A16570" s="1" t="s">
        <v>16569</v>
      </c>
      <c r="C16570" s="3">
        <v>4</v>
      </c>
    </row>
    <row r="16571" spans="1:3" x14ac:dyDescent="0.25">
      <c r="A16571" s="1" t="s">
        <v>16570</v>
      </c>
      <c r="C16571" s="3">
        <v>4</v>
      </c>
    </row>
    <row r="16572" spans="1:3" x14ac:dyDescent="0.25">
      <c r="A16572" s="1" t="s">
        <v>16571</v>
      </c>
      <c r="C16572" s="3">
        <v>4</v>
      </c>
    </row>
    <row r="16573" spans="1:3" x14ac:dyDescent="0.25">
      <c r="A16573" s="1" t="s">
        <v>16572</v>
      </c>
      <c r="C16573" s="3">
        <v>4</v>
      </c>
    </row>
    <row r="16574" spans="1:3" x14ac:dyDescent="0.25">
      <c r="A16574" s="1" t="s">
        <v>16573</v>
      </c>
      <c r="C16574" s="3">
        <v>4</v>
      </c>
    </row>
    <row r="16575" spans="1:3" x14ac:dyDescent="0.25">
      <c r="A16575" s="1" t="s">
        <v>16574</v>
      </c>
      <c r="C16575" s="3">
        <v>4</v>
      </c>
    </row>
    <row r="16576" spans="1:3" x14ac:dyDescent="0.25">
      <c r="A16576" s="1" t="s">
        <v>16575</v>
      </c>
      <c r="C16576" s="3">
        <v>4</v>
      </c>
    </row>
    <row r="16577" spans="1:3" x14ac:dyDescent="0.25">
      <c r="A16577" s="1" t="s">
        <v>16576</v>
      </c>
      <c r="C16577" s="3">
        <v>4</v>
      </c>
    </row>
    <row r="16578" spans="1:3" x14ac:dyDescent="0.25">
      <c r="A16578" s="1" t="s">
        <v>16577</v>
      </c>
      <c r="C16578" s="3">
        <v>4</v>
      </c>
    </row>
    <row r="16579" spans="1:3" x14ac:dyDescent="0.25">
      <c r="A16579" s="1" t="s">
        <v>16578</v>
      </c>
      <c r="C16579" s="3">
        <v>4</v>
      </c>
    </row>
    <row r="16580" spans="1:3" x14ac:dyDescent="0.25">
      <c r="A16580" s="1" t="s">
        <v>16579</v>
      </c>
      <c r="C16580" s="3">
        <v>4</v>
      </c>
    </row>
    <row r="16581" spans="1:3" x14ac:dyDescent="0.25">
      <c r="A16581" s="1" t="s">
        <v>16580</v>
      </c>
      <c r="C16581" s="3">
        <v>4</v>
      </c>
    </row>
    <row r="16582" spans="1:3" x14ac:dyDescent="0.25">
      <c r="A16582" s="1" t="s">
        <v>16581</v>
      </c>
      <c r="C16582" s="3">
        <v>4</v>
      </c>
    </row>
    <row r="16583" spans="1:3" x14ac:dyDescent="0.25">
      <c r="A16583" s="1" t="s">
        <v>16582</v>
      </c>
      <c r="C16583" s="3">
        <v>4</v>
      </c>
    </row>
    <row r="16584" spans="1:3" x14ac:dyDescent="0.25">
      <c r="A16584" s="1" t="s">
        <v>16583</v>
      </c>
      <c r="C16584" s="3">
        <v>4</v>
      </c>
    </row>
    <row r="16585" spans="1:3" x14ac:dyDescent="0.25">
      <c r="A16585" s="1" t="s">
        <v>16584</v>
      </c>
      <c r="C16585" s="3">
        <v>4</v>
      </c>
    </row>
    <row r="16586" spans="1:3" x14ac:dyDescent="0.25">
      <c r="A16586" s="1" t="s">
        <v>16585</v>
      </c>
      <c r="C16586" s="3">
        <v>4</v>
      </c>
    </row>
    <row r="16587" spans="1:3" x14ac:dyDescent="0.25">
      <c r="A16587" s="1" t="s">
        <v>16586</v>
      </c>
      <c r="C16587" s="3">
        <v>4</v>
      </c>
    </row>
    <row r="16588" spans="1:3" x14ac:dyDescent="0.25">
      <c r="A16588" s="1" t="s">
        <v>16587</v>
      </c>
      <c r="C16588" s="3">
        <v>4</v>
      </c>
    </row>
    <row r="16589" spans="1:3" x14ac:dyDescent="0.25">
      <c r="A16589" s="1" t="s">
        <v>16588</v>
      </c>
      <c r="C16589" s="3">
        <v>4</v>
      </c>
    </row>
    <row r="16590" spans="1:3" x14ac:dyDescent="0.25">
      <c r="A16590" s="1" t="s">
        <v>16589</v>
      </c>
      <c r="C16590" s="3">
        <v>4</v>
      </c>
    </row>
    <row r="16591" spans="1:3" x14ac:dyDescent="0.25">
      <c r="A16591" s="1" t="s">
        <v>16590</v>
      </c>
      <c r="C16591" s="3">
        <v>4</v>
      </c>
    </row>
    <row r="16592" spans="1:3" x14ac:dyDescent="0.25">
      <c r="A16592" s="1" t="s">
        <v>16591</v>
      </c>
      <c r="C16592" s="3">
        <v>4</v>
      </c>
    </row>
    <row r="16593" spans="1:3" x14ac:dyDescent="0.25">
      <c r="A16593" s="1" t="s">
        <v>16592</v>
      </c>
      <c r="C16593" s="3">
        <v>4</v>
      </c>
    </row>
    <row r="16594" spans="1:3" x14ac:dyDescent="0.25">
      <c r="A16594" s="1" t="s">
        <v>16593</v>
      </c>
      <c r="C16594" s="3">
        <v>4</v>
      </c>
    </row>
    <row r="16595" spans="1:3" x14ac:dyDescent="0.25">
      <c r="A16595" s="1" t="s">
        <v>16594</v>
      </c>
      <c r="C16595" s="3">
        <v>4</v>
      </c>
    </row>
    <row r="16596" spans="1:3" x14ac:dyDescent="0.25">
      <c r="A16596" s="1" t="s">
        <v>16595</v>
      </c>
      <c r="C16596" s="3">
        <v>4</v>
      </c>
    </row>
    <row r="16597" spans="1:3" x14ac:dyDescent="0.25">
      <c r="A16597" s="1" t="s">
        <v>16596</v>
      </c>
      <c r="C16597" s="3">
        <v>4</v>
      </c>
    </row>
    <row r="16598" spans="1:3" x14ac:dyDescent="0.25">
      <c r="A16598" s="1" t="s">
        <v>16597</v>
      </c>
      <c r="C16598" s="3">
        <v>4</v>
      </c>
    </row>
    <row r="16599" spans="1:3" x14ac:dyDescent="0.25">
      <c r="A16599" s="1" t="s">
        <v>16598</v>
      </c>
      <c r="C16599" s="3">
        <v>4</v>
      </c>
    </row>
    <row r="16600" spans="1:3" x14ac:dyDescent="0.25">
      <c r="A16600" s="1" t="s">
        <v>16599</v>
      </c>
      <c r="C16600" s="3">
        <v>4</v>
      </c>
    </row>
    <row r="16601" spans="1:3" x14ac:dyDescent="0.25">
      <c r="A16601" s="1" t="s">
        <v>16600</v>
      </c>
      <c r="C16601" s="3">
        <v>4</v>
      </c>
    </row>
    <row r="16602" spans="1:3" x14ac:dyDescent="0.25">
      <c r="A16602" s="1" t="s">
        <v>16601</v>
      </c>
      <c r="C16602" s="3">
        <v>4</v>
      </c>
    </row>
    <row r="16603" spans="1:3" x14ac:dyDescent="0.25">
      <c r="A16603" s="1" t="s">
        <v>16602</v>
      </c>
      <c r="C16603" s="3">
        <v>4</v>
      </c>
    </row>
    <row r="16604" spans="1:3" x14ac:dyDescent="0.25">
      <c r="A16604" s="1" t="s">
        <v>16603</v>
      </c>
      <c r="C16604" s="3">
        <v>4</v>
      </c>
    </row>
    <row r="16605" spans="1:3" x14ac:dyDescent="0.25">
      <c r="A16605" s="1" t="s">
        <v>16604</v>
      </c>
      <c r="C16605" s="3">
        <v>4</v>
      </c>
    </row>
    <row r="16606" spans="1:3" x14ac:dyDescent="0.25">
      <c r="A16606" s="1" t="s">
        <v>16605</v>
      </c>
      <c r="C16606" s="3">
        <v>4</v>
      </c>
    </row>
    <row r="16607" spans="1:3" x14ac:dyDescent="0.25">
      <c r="A16607" s="1" t="s">
        <v>16606</v>
      </c>
      <c r="C16607" s="3">
        <v>4</v>
      </c>
    </row>
    <row r="16608" spans="1:3" x14ac:dyDescent="0.25">
      <c r="A16608" s="1" t="s">
        <v>16607</v>
      </c>
      <c r="C16608" s="3">
        <v>4</v>
      </c>
    </row>
    <row r="16609" spans="1:3" x14ac:dyDescent="0.25">
      <c r="A16609" s="1" t="s">
        <v>16608</v>
      </c>
      <c r="C16609" s="3">
        <v>4</v>
      </c>
    </row>
    <row r="16610" spans="1:3" x14ac:dyDescent="0.25">
      <c r="A16610" s="1" t="s">
        <v>16609</v>
      </c>
      <c r="C16610" s="3">
        <v>4</v>
      </c>
    </row>
    <row r="16611" spans="1:3" x14ac:dyDescent="0.25">
      <c r="A16611" s="1" t="s">
        <v>16610</v>
      </c>
      <c r="C16611" s="3">
        <v>4</v>
      </c>
    </row>
    <row r="16612" spans="1:3" x14ac:dyDescent="0.25">
      <c r="A16612" s="1" t="s">
        <v>16611</v>
      </c>
      <c r="C16612" s="3">
        <v>4</v>
      </c>
    </row>
    <row r="16613" spans="1:3" x14ac:dyDescent="0.25">
      <c r="A16613" s="1" t="s">
        <v>16612</v>
      </c>
      <c r="C16613" s="3">
        <v>4</v>
      </c>
    </row>
    <row r="16614" spans="1:3" x14ac:dyDescent="0.25">
      <c r="A16614" s="1" t="s">
        <v>16613</v>
      </c>
      <c r="C16614" s="3">
        <v>4</v>
      </c>
    </row>
    <row r="16615" spans="1:3" x14ac:dyDescent="0.25">
      <c r="A16615" s="1" t="s">
        <v>16614</v>
      </c>
      <c r="C16615" s="3">
        <v>4</v>
      </c>
    </row>
    <row r="16616" spans="1:3" x14ac:dyDescent="0.25">
      <c r="A16616" s="1" t="s">
        <v>16615</v>
      </c>
      <c r="C16616" s="3">
        <v>4</v>
      </c>
    </row>
    <row r="16617" spans="1:3" x14ac:dyDescent="0.25">
      <c r="A16617" s="1" t="s">
        <v>16616</v>
      </c>
      <c r="C16617" s="3">
        <v>4</v>
      </c>
    </row>
    <row r="16618" spans="1:3" x14ac:dyDescent="0.25">
      <c r="A16618" s="1" t="s">
        <v>16617</v>
      </c>
      <c r="C16618" s="3">
        <v>4</v>
      </c>
    </row>
    <row r="16619" spans="1:3" x14ac:dyDescent="0.25">
      <c r="A16619" s="1" t="s">
        <v>16618</v>
      </c>
      <c r="C16619" s="3">
        <v>4</v>
      </c>
    </row>
    <row r="16620" spans="1:3" x14ac:dyDescent="0.25">
      <c r="A16620" s="1" t="s">
        <v>16619</v>
      </c>
      <c r="C16620" s="3">
        <v>4</v>
      </c>
    </row>
    <row r="16621" spans="1:3" x14ac:dyDescent="0.25">
      <c r="A16621" s="1" t="s">
        <v>16620</v>
      </c>
      <c r="C16621" s="3">
        <v>4</v>
      </c>
    </row>
    <row r="16622" spans="1:3" x14ac:dyDescent="0.25">
      <c r="A16622" s="1" t="s">
        <v>16621</v>
      </c>
      <c r="C16622" s="3">
        <v>4</v>
      </c>
    </row>
    <row r="16623" spans="1:3" x14ac:dyDescent="0.25">
      <c r="A16623" s="1" t="s">
        <v>16622</v>
      </c>
      <c r="C16623" s="3">
        <v>4</v>
      </c>
    </row>
    <row r="16624" spans="1:3" x14ac:dyDescent="0.25">
      <c r="A16624" s="1" t="s">
        <v>16623</v>
      </c>
      <c r="C16624" s="3">
        <v>4</v>
      </c>
    </row>
    <row r="16625" spans="1:3" x14ac:dyDescent="0.25">
      <c r="A16625" s="1" t="s">
        <v>16624</v>
      </c>
      <c r="C16625" s="3">
        <v>4</v>
      </c>
    </row>
    <row r="16626" spans="1:3" x14ac:dyDescent="0.25">
      <c r="A16626" s="1" t="s">
        <v>16625</v>
      </c>
      <c r="C16626" s="3">
        <v>4</v>
      </c>
    </row>
    <row r="16627" spans="1:3" x14ac:dyDescent="0.25">
      <c r="A16627" s="1" t="s">
        <v>16626</v>
      </c>
      <c r="C16627" s="3">
        <v>4</v>
      </c>
    </row>
    <row r="16628" spans="1:3" x14ac:dyDescent="0.25">
      <c r="A16628" s="1" t="s">
        <v>16627</v>
      </c>
      <c r="C16628" s="3">
        <v>4</v>
      </c>
    </row>
    <row r="16629" spans="1:3" x14ac:dyDescent="0.25">
      <c r="A16629" s="1" t="s">
        <v>16628</v>
      </c>
      <c r="C16629" s="3">
        <v>4</v>
      </c>
    </row>
    <row r="16630" spans="1:3" x14ac:dyDescent="0.25">
      <c r="A16630" s="1" t="s">
        <v>16629</v>
      </c>
      <c r="C16630" s="3">
        <v>4</v>
      </c>
    </row>
    <row r="16631" spans="1:3" x14ac:dyDescent="0.25">
      <c r="A16631" s="1" t="s">
        <v>16630</v>
      </c>
      <c r="C16631" s="3">
        <v>4</v>
      </c>
    </row>
    <row r="16632" spans="1:3" x14ac:dyDescent="0.25">
      <c r="A16632" s="1" t="s">
        <v>16631</v>
      </c>
      <c r="C16632" s="3">
        <v>4</v>
      </c>
    </row>
    <row r="16633" spans="1:3" x14ac:dyDescent="0.25">
      <c r="A16633" s="1" t="s">
        <v>16632</v>
      </c>
      <c r="C16633" s="3">
        <v>4</v>
      </c>
    </row>
    <row r="16634" spans="1:3" x14ac:dyDescent="0.25">
      <c r="A16634" s="1" t="s">
        <v>16633</v>
      </c>
      <c r="C16634" s="3">
        <v>4</v>
      </c>
    </row>
    <row r="16635" spans="1:3" x14ac:dyDescent="0.25">
      <c r="A16635" s="1" t="s">
        <v>16634</v>
      </c>
      <c r="C16635" s="3">
        <v>4</v>
      </c>
    </row>
    <row r="16636" spans="1:3" x14ac:dyDescent="0.25">
      <c r="A16636" s="1" t="s">
        <v>16635</v>
      </c>
      <c r="C16636" s="3">
        <v>4</v>
      </c>
    </row>
    <row r="16637" spans="1:3" x14ac:dyDescent="0.25">
      <c r="A16637" s="1" t="s">
        <v>16636</v>
      </c>
      <c r="C16637" s="3">
        <v>4</v>
      </c>
    </row>
    <row r="16638" spans="1:3" x14ac:dyDescent="0.25">
      <c r="A16638" s="1" t="s">
        <v>16637</v>
      </c>
      <c r="C16638" s="3">
        <v>4</v>
      </c>
    </row>
    <row r="16639" spans="1:3" x14ac:dyDescent="0.25">
      <c r="A16639" s="1" t="s">
        <v>16638</v>
      </c>
      <c r="C16639" s="3">
        <v>4</v>
      </c>
    </row>
    <row r="16640" spans="1:3" x14ac:dyDescent="0.25">
      <c r="A16640" s="1" t="s">
        <v>16639</v>
      </c>
      <c r="C16640" s="3">
        <v>4</v>
      </c>
    </row>
    <row r="16641" spans="1:3" x14ac:dyDescent="0.25">
      <c r="A16641" s="1" t="s">
        <v>16640</v>
      </c>
      <c r="C16641" s="3">
        <v>4</v>
      </c>
    </row>
    <row r="16642" spans="1:3" x14ac:dyDescent="0.25">
      <c r="A16642" s="1" t="s">
        <v>16641</v>
      </c>
      <c r="C16642" s="3">
        <v>4</v>
      </c>
    </row>
    <row r="16643" spans="1:3" x14ac:dyDescent="0.25">
      <c r="A16643" s="1" t="s">
        <v>16642</v>
      </c>
      <c r="C16643" s="3">
        <v>4</v>
      </c>
    </row>
    <row r="16644" spans="1:3" x14ac:dyDescent="0.25">
      <c r="A16644" s="1" t="s">
        <v>16643</v>
      </c>
      <c r="C16644" s="3">
        <v>4</v>
      </c>
    </row>
    <row r="16645" spans="1:3" x14ac:dyDescent="0.25">
      <c r="A16645" s="1" t="s">
        <v>16644</v>
      </c>
      <c r="C16645" s="3">
        <v>4</v>
      </c>
    </row>
    <row r="16646" spans="1:3" x14ac:dyDescent="0.25">
      <c r="A16646" s="1" t="s">
        <v>16645</v>
      </c>
      <c r="C16646" s="3">
        <v>4</v>
      </c>
    </row>
    <row r="16647" spans="1:3" x14ac:dyDescent="0.25">
      <c r="A16647" s="1" t="s">
        <v>16646</v>
      </c>
      <c r="C16647" s="3">
        <v>4</v>
      </c>
    </row>
    <row r="16648" spans="1:3" x14ac:dyDescent="0.25">
      <c r="A16648" s="1" t="s">
        <v>16647</v>
      </c>
      <c r="C16648" s="3">
        <v>4</v>
      </c>
    </row>
    <row r="16649" spans="1:3" x14ac:dyDescent="0.25">
      <c r="A16649" s="1" t="s">
        <v>16648</v>
      </c>
      <c r="C16649" s="3">
        <v>4</v>
      </c>
    </row>
    <row r="16650" spans="1:3" x14ac:dyDescent="0.25">
      <c r="A16650" s="1" t="s">
        <v>16649</v>
      </c>
      <c r="C16650" s="3">
        <v>4</v>
      </c>
    </row>
    <row r="16651" spans="1:3" x14ac:dyDescent="0.25">
      <c r="A16651" s="1" t="s">
        <v>16650</v>
      </c>
      <c r="C16651" s="3">
        <v>4</v>
      </c>
    </row>
    <row r="16652" spans="1:3" x14ac:dyDescent="0.25">
      <c r="A16652" s="1" t="s">
        <v>16651</v>
      </c>
      <c r="C16652" s="3">
        <v>4</v>
      </c>
    </row>
    <row r="16653" spans="1:3" x14ac:dyDescent="0.25">
      <c r="A16653" s="1" t="s">
        <v>16652</v>
      </c>
      <c r="C16653" s="3">
        <v>4</v>
      </c>
    </row>
    <row r="16654" spans="1:3" x14ac:dyDescent="0.25">
      <c r="A16654" s="1" t="s">
        <v>16653</v>
      </c>
      <c r="C16654" s="3">
        <v>4</v>
      </c>
    </row>
    <row r="16655" spans="1:3" x14ac:dyDescent="0.25">
      <c r="A16655" s="1" t="s">
        <v>16654</v>
      </c>
      <c r="C16655" s="3">
        <v>4</v>
      </c>
    </row>
    <row r="16656" spans="1:3" x14ac:dyDescent="0.25">
      <c r="A16656" s="1" t="s">
        <v>16655</v>
      </c>
      <c r="C16656" s="3">
        <v>4</v>
      </c>
    </row>
    <row r="16657" spans="1:3" x14ac:dyDescent="0.25">
      <c r="A16657" s="1" t="s">
        <v>16656</v>
      </c>
      <c r="C16657" s="3">
        <v>4</v>
      </c>
    </row>
    <row r="16658" spans="1:3" x14ac:dyDescent="0.25">
      <c r="A16658" s="1" t="s">
        <v>16657</v>
      </c>
      <c r="C16658" s="3">
        <v>4</v>
      </c>
    </row>
    <row r="16659" spans="1:3" x14ac:dyDescent="0.25">
      <c r="A16659" s="1" t="s">
        <v>16658</v>
      </c>
      <c r="C16659" s="3">
        <v>4</v>
      </c>
    </row>
    <row r="16660" spans="1:3" x14ac:dyDescent="0.25">
      <c r="A16660" s="1" t="s">
        <v>16659</v>
      </c>
      <c r="C16660" s="3">
        <v>4</v>
      </c>
    </row>
    <row r="16661" spans="1:3" x14ac:dyDescent="0.25">
      <c r="A16661" s="1" t="s">
        <v>16660</v>
      </c>
      <c r="C16661" s="3">
        <v>4</v>
      </c>
    </row>
    <row r="16662" spans="1:3" x14ac:dyDescent="0.25">
      <c r="A16662" s="1" t="s">
        <v>16661</v>
      </c>
      <c r="C16662" s="3">
        <v>4</v>
      </c>
    </row>
    <row r="16663" spans="1:3" x14ac:dyDescent="0.25">
      <c r="A16663" s="1" t="s">
        <v>16662</v>
      </c>
      <c r="C16663" s="3">
        <v>4</v>
      </c>
    </row>
    <row r="16664" spans="1:3" x14ac:dyDescent="0.25">
      <c r="A16664" s="1" t="s">
        <v>16663</v>
      </c>
      <c r="C16664" s="3">
        <v>4</v>
      </c>
    </row>
    <row r="16665" spans="1:3" x14ac:dyDescent="0.25">
      <c r="A16665" s="1" t="s">
        <v>16664</v>
      </c>
      <c r="C16665" s="3">
        <v>4</v>
      </c>
    </row>
    <row r="16666" spans="1:3" x14ac:dyDescent="0.25">
      <c r="A16666" s="1" t="s">
        <v>16665</v>
      </c>
      <c r="C16666" s="3">
        <v>4</v>
      </c>
    </row>
    <row r="16667" spans="1:3" x14ac:dyDescent="0.25">
      <c r="A16667" s="1" t="s">
        <v>16666</v>
      </c>
      <c r="C16667" s="3">
        <v>4</v>
      </c>
    </row>
    <row r="16668" spans="1:3" x14ac:dyDescent="0.25">
      <c r="A16668" s="1" t="s">
        <v>16667</v>
      </c>
      <c r="C16668" s="3">
        <v>4</v>
      </c>
    </row>
    <row r="16669" spans="1:3" x14ac:dyDescent="0.25">
      <c r="A16669" s="1" t="s">
        <v>16668</v>
      </c>
      <c r="C16669" s="3">
        <v>4</v>
      </c>
    </row>
    <row r="16670" spans="1:3" x14ac:dyDescent="0.25">
      <c r="A16670" s="1" t="s">
        <v>16669</v>
      </c>
      <c r="C16670" s="3">
        <v>4</v>
      </c>
    </row>
    <row r="16671" spans="1:3" x14ac:dyDescent="0.25">
      <c r="A16671" s="1" t="s">
        <v>16670</v>
      </c>
      <c r="C16671" s="3">
        <v>4</v>
      </c>
    </row>
    <row r="16672" spans="1:3" x14ac:dyDescent="0.25">
      <c r="A16672" s="1" t="s">
        <v>16671</v>
      </c>
      <c r="C16672" s="3">
        <v>4</v>
      </c>
    </row>
    <row r="16673" spans="1:3" x14ac:dyDescent="0.25">
      <c r="A16673" s="1" t="s">
        <v>16672</v>
      </c>
      <c r="C16673" s="3">
        <v>4</v>
      </c>
    </row>
    <row r="16674" spans="1:3" x14ac:dyDescent="0.25">
      <c r="A16674" s="1" t="s">
        <v>16673</v>
      </c>
      <c r="C16674" s="3">
        <v>4</v>
      </c>
    </row>
    <row r="16675" spans="1:3" x14ac:dyDescent="0.25">
      <c r="A16675" s="1" t="s">
        <v>16674</v>
      </c>
      <c r="C16675" s="3">
        <v>4</v>
      </c>
    </row>
    <row r="16676" spans="1:3" x14ac:dyDescent="0.25">
      <c r="A16676" s="1" t="s">
        <v>16675</v>
      </c>
      <c r="C16676" s="3">
        <v>4</v>
      </c>
    </row>
    <row r="16677" spans="1:3" x14ac:dyDescent="0.25">
      <c r="A16677" s="1" t="s">
        <v>16676</v>
      </c>
      <c r="C16677" s="3">
        <v>4</v>
      </c>
    </row>
    <row r="16678" spans="1:3" x14ac:dyDescent="0.25">
      <c r="A16678" s="1" t="s">
        <v>16677</v>
      </c>
      <c r="C16678" s="3">
        <v>4</v>
      </c>
    </row>
    <row r="16679" spans="1:3" x14ac:dyDescent="0.25">
      <c r="A16679" s="1" t="s">
        <v>16678</v>
      </c>
      <c r="C16679" s="3">
        <v>4</v>
      </c>
    </row>
    <row r="16680" spans="1:3" x14ac:dyDescent="0.25">
      <c r="A16680" s="1" t="s">
        <v>16679</v>
      </c>
      <c r="C16680" s="3">
        <v>4</v>
      </c>
    </row>
    <row r="16681" spans="1:3" x14ac:dyDescent="0.25">
      <c r="A16681" s="1" t="s">
        <v>16680</v>
      </c>
      <c r="C16681" s="3">
        <v>4</v>
      </c>
    </row>
    <row r="16682" spans="1:3" x14ac:dyDescent="0.25">
      <c r="A16682" s="1" t="s">
        <v>16681</v>
      </c>
      <c r="C16682" s="3">
        <v>4</v>
      </c>
    </row>
    <row r="16683" spans="1:3" x14ac:dyDescent="0.25">
      <c r="A16683" s="1" t="s">
        <v>16682</v>
      </c>
      <c r="C16683" s="3">
        <v>4</v>
      </c>
    </row>
    <row r="16684" spans="1:3" x14ac:dyDescent="0.25">
      <c r="A16684" s="1" t="s">
        <v>16683</v>
      </c>
      <c r="C16684" s="3">
        <v>4</v>
      </c>
    </row>
    <row r="16685" spans="1:3" x14ac:dyDescent="0.25">
      <c r="A16685" s="1" t="s">
        <v>16684</v>
      </c>
      <c r="C16685" s="3">
        <v>4</v>
      </c>
    </row>
    <row r="16686" spans="1:3" x14ac:dyDescent="0.25">
      <c r="A16686" s="1" t="s">
        <v>16685</v>
      </c>
      <c r="C16686" s="3">
        <v>4</v>
      </c>
    </row>
    <row r="16687" spans="1:3" x14ac:dyDescent="0.25">
      <c r="A16687" s="1" t="s">
        <v>16686</v>
      </c>
      <c r="C16687" s="3">
        <v>4</v>
      </c>
    </row>
    <row r="16688" spans="1:3" x14ac:dyDescent="0.25">
      <c r="A16688" s="1" t="s">
        <v>16687</v>
      </c>
      <c r="C16688" s="3">
        <v>4</v>
      </c>
    </row>
    <row r="16689" spans="1:3" x14ac:dyDescent="0.25">
      <c r="A16689" s="1" t="s">
        <v>16688</v>
      </c>
      <c r="C16689" s="3">
        <v>4</v>
      </c>
    </row>
    <row r="16690" spans="1:3" x14ac:dyDescent="0.25">
      <c r="A16690" s="1" t="s">
        <v>16689</v>
      </c>
      <c r="C16690" s="3">
        <v>4</v>
      </c>
    </row>
    <row r="16691" spans="1:3" x14ac:dyDescent="0.25">
      <c r="A16691" s="1" t="s">
        <v>16690</v>
      </c>
      <c r="C16691" s="3">
        <v>4</v>
      </c>
    </row>
    <row r="16692" spans="1:3" x14ac:dyDescent="0.25">
      <c r="A16692" s="1" t="s">
        <v>16691</v>
      </c>
      <c r="C16692" s="3">
        <v>4</v>
      </c>
    </row>
    <row r="16693" spans="1:3" x14ac:dyDescent="0.25">
      <c r="A16693" s="1" t="s">
        <v>16692</v>
      </c>
      <c r="C16693" s="3">
        <v>4</v>
      </c>
    </row>
    <row r="16694" spans="1:3" x14ac:dyDescent="0.25">
      <c r="A16694" s="1" t="s">
        <v>16693</v>
      </c>
      <c r="C16694" s="3">
        <v>4</v>
      </c>
    </row>
    <row r="16695" spans="1:3" x14ac:dyDescent="0.25">
      <c r="A16695" s="1" t="s">
        <v>16694</v>
      </c>
      <c r="C16695" s="3">
        <v>4</v>
      </c>
    </row>
    <row r="16696" spans="1:3" x14ac:dyDescent="0.25">
      <c r="A16696" s="1" t="s">
        <v>16695</v>
      </c>
      <c r="C16696" s="3">
        <v>4</v>
      </c>
    </row>
    <row r="16697" spans="1:3" x14ac:dyDescent="0.25">
      <c r="A16697" s="1" t="s">
        <v>16696</v>
      </c>
      <c r="C16697" s="3">
        <v>4</v>
      </c>
    </row>
    <row r="16698" spans="1:3" x14ac:dyDescent="0.25">
      <c r="A16698" s="1" t="s">
        <v>16697</v>
      </c>
      <c r="C16698" s="3">
        <v>4</v>
      </c>
    </row>
    <row r="16699" spans="1:3" x14ac:dyDescent="0.25">
      <c r="A16699" s="1" t="s">
        <v>16698</v>
      </c>
      <c r="C16699" s="3">
        <v>4</v>
      </c>
    </row>
    <row r="16700" spans="1:3" x14ac:dyDescent="0.25">
      <c r="A16700" s="1" t="s">
        <v>16699</v>
      </c>
      <c r="C16700" s="3">
        <v>4</v>
      </c>
    </row>
    <row r="16701" spans="1:3" x14ac:dyDescent="0.25">
      <c r="A16701" s="1" t="s">
        <v>16700</v>
      </c>
      <c r="C16701" s="3">
        <v>4</v>
      </c>
    </row>
    <row r="16702" spans="1:3" x14ac:dyDescent="0.25">
      <c r="A16702" s="1" t="s">
        <v>16701</v>
      </c>
      <c r="C16702" s="3">
        <v>4</v>
      </c>
    </row>
    <row r="16703" spans="1:3" x14ac:dyDescent="0.25">
      <c r="A16703" s="1" t="s">
        <v>16702</v>
      </c>
      <c r="C16703" s="3">
        <v>4</v>
      </c>
    </row>
    <row r="16704" spans="1:3" x14ac:dyDescent="0.25">
      <c r="A16704" s="1" t="s">
        <v>16703</v>
      </c>
      <c r="C16704" s="3">
        <v>4</v>
      </c>
    </row>
    <row r="16705" spans="1:3" x14ac:dyDescent="0.25">
      <c r="A16705" s="1" t="s">
        <v>16704</v>
      </c>
      <c r="C16705" s="3">
        <v>4</v>
      </c>
    </row>
    <row r="16706" spans="1:3" x14ac:dyDescent="0.25">
      <c r="A16706" s="1" t="s">
        <v>16705</v>
      </c>
      <c r="C16706" s="3">
        <v>4</v>
      </c>
    </row>
    <row r="16707" spans="1:3" x14ac:dyDescent="0.25">
      <c r="A16707" s="1" t="s">
        <v>16706</v>
      </c>
      <c r="C16707" s="3">
        <v>4</v>
      </c>
    </row>
    <row r="16708" spans="1:3" x14ac:dyDescent="0.25">
      <c r="A16708" s="1" t="s">
        <v>16707</v>
      </c>
      <c r="C16708" s="3">
        <v>4</v>
      </c>
    </row>
    <row r="16709" spans="1:3" x14ac:dyDescent="0.25">
      <c r="A16709" s="1" t="s">
        <v>16708</v>
      </c>
      <c r="C16709" s="3">
        <v>4</v>
      </c>
    </row>
    <row r="16710" spans="1:3" x14ac:dyDescent="0.25">
      <c r="A16710" s="1" t="s">
        <v>16709</v>
      </c>
      <c r="C16710" s="3">
        <v>4</v>
      </c>
    </row>
    <row r="16711" spans="1:3" x14ac:dyDescent="0.25">
      <c r="A16711" s="1" t="s">
        <v>16710</v>
      </c>
      <c r="C16711" s="3">
        <v>4</v>
      </c>
    </row>
    <row r="16712" spans="1:3" x14ac:dyDescent="0.25">
      <c r="A16712" s="1" t="s">
        <v>16711</v>
      </c>
      <c r="C16712" s="3">
        <v>4</v>
      </c>
    </row>
    <row r="16713" spans="1:3" x14ac:dyDescent="0.25">
      <c r="A16713" s="1" t="s">
        <v>16712</v>
      </c>
      <c r="C16713" s="3">
        <v>4</v>
      </c>
    </row>
    <row r="16714" spans="1:3" x14ac:dyDescent="0.25">
      <c r="A16714" s="1" t="s">
        <v>16713</v>
      </c>
      <c r="C16714" s="3">
        <v>4</v>
      </c>
    </row>
    <row r="16715" spans="1:3" x14ac:dyDescent="0.25">
      <c r="A16715" s="1" t="s">
        <v>16714</v>
      </c>
      <c r="C16715" s="3">
        <v>4</v>
      </c>
    </row>
    <row r="16716" spans="1:3" x14ac:dyDescent="0.25">
      <c r="A16716" s="1" t="s">
        <v>16715</v>
      </c>
      <c r="C16716" s="3">
        <v>4</v>
      </c>
    </row>
    <row r="16717" spans="1:3" x14ac:dyDescent="0.25">
      <c r="A16717" s="1" t="s">
        <v>16716</v>
      </c>
      <c r="C16717" s="3">
        <v>4</v>
      </c>
    </row>
    <row r="16718" spans="1:3" x14ac:dyDescent="0.25">
      <c r="A16718" s="1" t="s">
        <v>16717</v>
      </c>
      <c r="C16718" s="3">
        <v>4</v>
      </c>
    </row>
    <row r="16719" spans="1:3" x14ac:dyDescent="0.25">
      <c r="A16719" s="1" t="s">
        <v>16718</v>
      </c>
      <c r="C16719" s="3">
        <v>4</v>
      </c>
    </row>
    <row r="16720" spans="1:3" x14ac:dyDescent="0.25">
      <c r="A16720" s="1" t="s">
        <v>16719</v>
      </c>
      <c r="C16720" s="3">
        <v>4</v>
      </c>
    </row>
    <row r="16721" spans="1:3" x14ac:dyDescent="0.25">
      <c r="A16721" s="1" t="s">
        <v>16720</v>
      </c>
      <c r="C16721" s="3">
        <v>4</v>
      </c>
    </row>
    <row r="16722" spans="1:3" x14ac:dyDescent="0.25">
      <c r="A16722" s="1" t="s">
        <v>16721</v>
      </c>
      <c r="C16722" s="3">
        <v>4</v>
      </c>
    </row>
    <row r="16723" spans="1:3" x14ac:dyDescent="0.25">
      <c r="A16723" s="1" t="s">
        <v>16722</v>
      </c>
      <c r="C16723" s="3">
        <v>4</v>
      </c>
    </row>
    <row r="16724" spans="1:3" x14ac:dyDescent="0.25">
      <c r="A16724" s="1" t="s">
        <v>16723</v>
      </c>
      <c r="C16724" s="3">
        <v>4</v>
      </c>
    </row>
    <row r="16725" spans="1:3" x14ac:dyDescent="0.25">
      <c r="A16725" s="1" t="s">
        <v>16724</v>
      </c>
      <c r="C16725" s="3">
        <v>4</v>
      </c>
    </row>
    <row r="16726" spans="1:3" x14ac:dyDescent="0.25">
      <c r="A16726" s="1" t="s">
        <v>16725</v>
      </c>
      <c r="C16726" s="3">
        <v>4</v>
      </c>
    </row>
    <row r="16727" spans="1:3" x14ac:dyDescent="0.25">
      <c r="A16727" s="1" t="s">
        <v>16726</v>
      </c>
      <c r="C16727" s="3">
        <v>4</v>
      </c>
    </row>
    <row r="16728" spans="1:3" x14ac:dyDescent="0.25">
      <c r="A16728" s="1" t="s">
        <v>16727</v>
      </c>
      <c r="C16728" s="3">
        <v>4</v>
      </c>
    </row>
    <row r="16729" spans="1:3" x14ac:dyDescent="0.25">
      <c r="A16729" s="1" t="s">
        <v>16728</v>
      </c>
      <c r="C16729" s="3">
        <v>4</v>
      </c>
    </row>
    <row r="16730" spans="1:3" x14ac:dyDescent="0.25">
      <c r="A16730" s="1" t="s">
        <v>16729</v>
      </c>
      <c r="C16730" s="3">
        <v>4</v>
      </c>
    </row>
    <row r="16731" spans="1:3" x14ac:dyDescent="0.25">
      <c r="A16731" s="1" t="s">
        <v>16730</v>
      </c>
      <c r="C16731" s="3">
        <v>4</v>
      </c>
    </row>
    <row r="16732" spans="1:3" x14ac:dyDescent="0.25">
      <c r="A16732" s="1" t="s">
        <v>16731</v>
      </c>
      <c r="C16732" s="3">
        <v>4</v>
      </c>
    </row>
    <row r="16733" spans="1:3" x14ac:dyDescent="0.25">
      <c r="A16733" s="1" t="s">
        <v>16732</v>
      </c>
      <c r="C16733" s="3">
        <v>4</v>
      </c>
    </row>
    <row r="16734" spans="1:3" x14ac:dyDescent="0.25">
      <c r="A16734" s="1" t="s">
        <v>16733</v>
      </c>
      <c r="C16734" s="3">
        <v>4</v>
      </c>
    </row>
    <row r="16735" spans="1:3" x14ac:dyDescent="0.25">
      <c r="A16735" s="1" t="s">
        <v>16734</v>
      </c>
      <c r="C16735" s="3">
        <v>4</v>
      </c>
    </row>
    <row r="16736" spans="1:3" x14ac:dyDescent="0.25">
      <c r="A16736" s="1" t="s">
        <v>16735</v>
      </c>
      <c r="C16736" s="3">
        <v>4</v>
      </c>
    </row>
    <row r="16737" spans="1:3" x14ac:dyDescent="0.25">
      <c r="A16737" s="1" t="s">
        <v>16736</v>
      </c>
      <c r="C16737" s="3">
        <v>4</v>
      </c>
    </row>
    <row r="16738" spans="1:3" x14ac:dyDescent="0.25">
      <c r="A16738" s="1" t="s">
        <v>16737</v>
      </c>
      <c r="C16738" s="3">
        <v>4</v>
      </c>
    </row>
    <row r="16739" spans="1:3" x14ac:dyDescent="0.25">
      <c r="A16739" s="1" t="s">
        <v>16738</v>
      </c>
      <c r="C16739" s="3">
        <v>4</v>
      </c>
    </row>
    <row r="16740" spans="1:3" x14ac:dyDescent="0.25">
      <c r="A16740" s="1" t="s">
        <v>16739</v>
      </c>
      <c r="C16740" s="3">
        <v>4</v>
      </c>
    </row>
    <row r="16741" spans="1:3" x14ac:dyDescent="0.25">
      <c r="A16741" s="1" t="s">
        <v>16740</v>
      </c>
      <c r="C16741" s="3">
        <v>4</v>
      </c>
    </row>
    <row r="16742" spans="1:3" x14ac:dyDescent="0.25">
      <c r="A16742" s="1" t="s">
        <v>16741</v>
      </c>
      <c r="C16742" s="3">
        <v>4</v>
      </c>
    </row>
    <row r="16743" spans="1:3" x14ac:dyDescent="0.25">
      <c r="A16743" s="1" t="s">
        <v>16742</v>
      </c>
      <c r="C16743" s="3">
        <v>4</v>
      </c>
    </row>
    <row r="16744" spans="1:3" x14ac:dyDescent="0.25">
      <c r="A16744" s="1" t="s">
        <v>16743</v>
      </c>
      <c r="C16744" s="3">
        <v>4</v>
      </c>
    </row>
    <row r="16745" spans="1:3" x14ac:dyDescent="0.25">
      <c r="A16745" s="1" t="s">
        <v>16744</v>
      </c>
      <c r="C16745" s="3">
        <v>4</v>
      </c>
    </row>
    <row r="16746" spans="1:3" x14ac:dyDescent="0.25">
      <c r="A16746" s="1" t="s">
        <v>16745</v>
      </c>
      <c r="C16746" s="3">
        <v>4</v>
      </c>
    </row>
    <row r="16747" spans="1:3" x14ac:dyDescent="0.25">
      <c r="A16747" s="1" t="s">
        <v>16746</v>
      </c>
      <c r="C16747" s="3">
        <v>4</v>
      </c>
    </row>
    <row r="16748" spans="1:3" x14ac:dyDescent="0.25">
      <c r="A16748" s="1" t="s">
        <v>16747</v>
      </c>
      <c r="C16748" s="3">
        <v>4</v>
      </c>
    </row>
    <row r="16749" spans="1:3" x14ac:dyDescent="0.25">
      <c r="A16749" s="1" t="s">
        <v>16748</v>
      </c>
      <c r="C16749" s="3">
        <v>4</v>
      </c>
    </row>
    <row r="16750" spans="1:3" x14ac:dyDescent="0.25">
      <c r="A16750" s="1" t="s">
        <v>16749</v>
      </c>
      <c r="C16750" s="3">
        <v>4</v>
      </c>
    </row>
    <row r="16751" spans="1:3" x14ac:dyDescent="0.25">
      <c r="A16751" s="1" t="s">
        <v>16750</v>
      </c>
      <c r="C16751" s="3">
        <v>4</v>
      </c>
    </row>
    <row r="16752" spans="1:3" x14ac:dyDescent="0.25">
      <c r="A16752" s="1" t="s">
        <v>16751</v>
      </c>
      <c r="C16752" s="3">
        <v>4</v>
      </c>
    </row>
    <row r="16753" spans="1:3" x14ac:dyDescent="0.25">
      <c r="A16753" s="1" t="s">
        <v>16752</v>
      </c>
      <c r="C16753" s="3">
        <v>4</v>
      </c>
    </row>
    <row r="16754" spans="1:3" x14ac:dyDescent="0.25">
      <c r="A16754" s="1" t="s">
        <v>16753</v>
      </c>
      <c r="C16754" s="3">
        <v>4</v>
      </c>
    </row>
    <row r="16755" spans="1:3" x14ac:dyDescent="0.25">
      <c r="A16755" s="1" t="s">
        <v>16754</v>
      </c>
      <c r="C16755" s="3">
        <v>4</v>
      </c>
    </row>
    <row r="16756" spans="1:3" x14ac:dyDescent="0.25">
      <c r="A16756" s="1" t="s">
        <v>16755</v>
      </c>
      <c r="C16756" s="3">
        <v>4</v>
      </c>
    </row>
    <row r="16757" spans="1:3" x14ac:dyDescent="0.25">
      <c r="A16757" s="1" t="s">
        <v>16756</v>
      </c>
      <c r="C16757" s="3">
        <v>4</v>
      </c>
    </row>
    <row r="16758" spans="1:3" x14ac:dyDescent="0.25">
      <c r="A16758" s="1" t="s">
        <v>16757</v>
      </c>
      <c r="C16758" s="3">
        <v>4</v>
      </c>
    </row>
    <row r="16759" spans="1:3" x14ac:dyDescent="0.25">
      <c r="A16759" s="1" t="s">
        <v>16758</v>
      </c>
      <c r="C16759" s="3">
        <v>4</v>
      </c>
    </row>
    <row r="16760" spans="1:3" x14ac:dyDescent="0.25">
      <c r="A16760" s="1" t="s">
        <v>16759</v>
      </c>
      <c r="C16760" s="3">
        <v>4</v>
      </c>
    </row>
    <row r="16761" spans="1:3" x14ac:dyDescent="0.25">
      <c r="A16761" s="1" t="s">
        <v>16760</v>
      </c>
      <c r="C16761" s="3">
        <v>4</v>
      </c>
    </row>
    <row r="16762" spans="1:3" x14ac:dyDescent="0.25">
      <c r="A16762" s="1" t="s">
        <v>16761</v>
      </c>
      <c r="C16762" s="3">
        <v>4</v>
      </c>
    </row>
    <row r="16763" spans="1:3" x14ac:dyDescent="0.25">
      <c r="A16763" s="1" t="s">
        <v>16762</v>
      </c>
      <c r="C16763" s="3">
        <v>4</v>
      </c>
    </row>
    <row r="16764" spans="1:3" x14ac:dyDescent="0.25">
      <c r="A16764" s="1" t="s">
        <v>16763</v>
      </c>
      <c r="C16764" s="3">
        <v>4</v>
      </c>
    </row>
    <row r="16765" spans="1:3" x14ac:dyDescent="0.25">
      <c r="A16765" s="1" t="s">
        <v>16764</v>
      </c>
      <c r="C16765" s="3">
        <v>4</v>
      </c>
    </row>
    <row r="16766" spans="1:3" x14ac:dyDescent="0.25">
      <c r="A16766" s="1" t="s">
        <v>16765</v>
      </c>
      <c r="C16766" s="3">
        <v>4</v>
      </c>
    </row>
    <row r="16767" spans="1:3" x14ac:dyDescent="0.25">
      <c r="A16767" s="1" t="s">
        <v>16766</v>
      </c>
      <c r="C16767" s="3">
        <v>4</v>
      </c>
    </row>
    <row r="16768" spans="1:3" x14ac:dyDescent="0.25">
      <c r="A16768" s="1" t="s">
        <v>16767</v>
      </c>
      <c r="C16768" s="3">
        <v>4</v>
      </c>
    </row>
    <row r="16769" spans="1:3" x14ac:dyDescent="0.25">
      <c r="A16769" s="1" t="s">
        <v>16768</v>
      </c>
      <c r="C16769" s="3">
        <v>4</v>
      </c>
    </row>
    <row r="16770" spans="1:3" x14ac:dyDescent="0.25">
      <c r="A16770" s="1" t="s">
        <v>16769</v>
      </c>
      <c r="C16770" s="3">
        <v>4</v>
      </c>
    </row>
    <row r="16771" spans="1:3" x14ac:dyDescent="0.25">
      <c r="A16771" s="1" t="s">
        <v>16770</v>
      </c>
      <c r="C16771" s="3">
        <v>4</v>
      </c>
    </row>
    <row r="16772" spans="1:3" x14ac:dyDescent="0.25">
      <c r="A16772" s="1" t="s">
        <v>16771</v>
      </c>
      <c r="C16772" s="3">
        <v>4</v>
      </c>
    </row>
    <row r="16773" spans="1:3" x14ac:dyDescent="0.25">
      <c r="A16773" s="1" t="s">
        <v>16772</v>
      </c>
      <c r="C16773" s="3">
        <v>4</v>
      </c>
    </row>
    <row r="16774" spans="1:3" x14ac:dyDescent="0.25">
      <c r="A16774" s="1" t="s">
        <v>16773</v>
      </c>
      <c r="C16774" s="3">
        <v>4</v>
      </c>
    </row>
    <row r="16775" spans="1:3" x14ac:dyDescent="0.25">
      <c r="A16775" s="1" t="s">
        <v>16774</v>
      </c>
      <c r="C16775" s="3">
        <v>4</v>
      </c>
    </row>
    <row r="16776" spans="1:3" x14ac:dyDescent="0.25">
      <c r="A16776" s="1" t="s">
        <v>16775</v>
      </c>
      <c r="C16776" s="3">
        <v>4</v>
      </c>
    </row>
    <row r="16777" spans="1:3" x14ac:dyDescent="0.25">
      <c r="A16777" s="1" t="s">
        <v>16776</v>
      </c>
      <c r="C16777" s="3">
        <v>4</v>
      </c>
    </row>
    <row r="16778" spans="1:3" x14ac:dyDescent="0.25">
      <c r="A16778" s="1" t="s">
        <v>16777</v>
      </c>
      <c r="C16778" s="3">
        <v>4</v>
      </c>
    </row>
    <row r="16779" spans="1:3" x14ac:dyDescent="0.25">
      <c r="A16779" s="1" t="s">
        <v>16778</v>
      </c>
      <c r="C16779" s="3">
        <v>4</v>
      </c>
    </row>
    <row r="16780" spans="1:3" x14ac:dyDescent="0.25">
      <c r="A16780" s="1" t="s">
        <v>16779</v>
      </c>
      <c r="C16780" s="3">
        <v>4</v>
      </c>
    </row>
    <row r="16781" spans="1:3" x14ac:dyDescent="0.25">
      <c r="A16781" s="1" t="s">
        <v>16780</v>
      </c>
      <c r="C16781" s="3">
        <v>4</v>
      </c>
    </row>
    <row r="16782" spans="1:3" x14ac:dyDescent="0.25">
      <c r="A16782" s="1" t="s">
        <v>16781</v>
      </c>
      <c r="C16782" s="3">
        <v>4</v>
      </c>
    </row>
    <row r="16783" spans="1:3" x14ac:dyDescent="0.25">
      <c r="A16783" s="1" t="s">
        <v>16782</v>
      </c>
      <c r="C16783" s="3">
        <v>4</v>
      </c>
    </row>
    <row r="16784" spans="1:3" x14ac:dyDescent="0.25">
      <c r="A16784" s="1" t="s">
        <v>16783</v>
      </c>
      <c r="C16784" s="3">
        <v>4</v>
      </c>
    </row>
    <row r="16785" spans="1:3" x14ac:dyDescent="0.25">
      <c r="A16785" s="1" t="s">
        <v>16784</v>
      </c>
      <c r="C16785" s="3">
        <v>4</v>
      </c>
    </row>
    <row r="16786" spans="1:3" x14ac:dyDescent="0.25">
      <c r="A16786" s="1" t="s">
        <v>16785</v>
      </c>
      <c r="C16786" s="3">
        <v>3</v>
      </c>
    </row>
    <row r="16787" spans="1:3" x14ac:dyDescent="0.25">
      <c r="A16787" s="1" t="s">
        <v>16786</v>
      </c>
      <c r="C16787" s="3">
        <v>3</v>
      </c>
    </row>
    <row r="16788" spans="1:3" x14ac:dyDescent="0.25">
      <c r="A16788" s="1" t="s">
        <v>16787</v>
      </c>
      <c r="C16788" s="3">
        <v>3</v>
      </c>
    </row>
    <row r="16789" spans="1:3" x14ac:dyDescent="0.25">
      <c r="A16789" s="1" t="s">
        <v>16788</v>
      </c>
      <c r="C16789" s="3">
        <v>3</v>
      </c>
    </row>
    <row r="16790" spans="1:3" x14ac:dyDescent="0.25">
      <c r="A16790" s="1" t="s">
        <v>16789</v>
      </c>
      <c r="C16790" s="3">
        <v>3</v>
      </c>
    </row>
    <row r="16791" spans="1:3" x14ac:dyDescent="0.25">
      <c r="A16791" s="1" t="s">
        <v>16790</v>
      </c>
      <c r="C16791" s="3">
        <v>3</v>
      </c>
    </row>
    <row r="16792" spans="1:3" x14ac:dyDescent="0.25">
      <c r="A16792" s="1" t="s">
        <v>16791</v>
      </c>
      <c r="C16792" s="3">
        <v>3</v>
      </c>
    </row>
    <row r="16793" spans="1:3" x14ac:dyDescent="0.25">
      <c r="A16793" s="1" t="s">
        <v>16792</v>
      </c>
      <c r="C16793" s="3">
        <v>3</v>
      </c>
    </row>
    <row r="16794" spans="1:3" x14ac:dyDescent="0.25">
      <c r="A16794" s="1" t="s">
        <v>16793</v>
      </c>
      <c r="C16794" s="3">
        <v>3</v>
      </c>
    </row>
    <row r="16795" spans="1:3" x14ac:dyDescent="0.25">
      <c r="A16795" s="1" t="s">
        <v>16794</v>
      </c>
      <c r="C16795" s="3">
        <v>3</v>
      </c>
    </row>
    <row r="16796" spans="1:3" x14ac:dyDescent="0.25">
      <c r="A16796" s="1" t="s">
        <v>16795</v>
      </c>
      <c r="C16796" s="3">
        <v>3</v>
      </c>
    </row>
    <row r="16797" spans="1:3" x14ac:dyDescent="0.25">
      <c r="A16797" s="1" t="s">
        <v>16796</v>
      </c>
      <c r="C16797" s="3">
        <v>3</v>
      </c>
    </row>
    <row r="16798" spans="1:3" x14ac:dyDescent="0.25">
      <c r="A16798" s="1" t="s">
        <v>16797</v>
      </c>
      <c r="C16798" s="3">
        <v>3</v>
      </c>
    </row>
    <row r="16799" spans="1:3" x14ac:dyDescent="0.25">
      <c r="A16799" s="1" t="s">
        <v>16798</v>
      </c>
      <c r="C16799" s="3">
        <v>3</v>
      </c>
    </row>
    <row r="16800" spans="1:3" x14ac:dyDescent="0.25">
      <c r="A16800" s="1" t="s">
        <v>16799</v>
      </c>
      <c r="C16800" s="3">
        <v>3</v>
      </c>
    </row>
    <row r="16801" spans="1:3" x14ac:dyDescent="0.25">
      <c r="A16801" s="1" t="s">
        <v>16800</v>
      </c>
      <c r="C16801" s="3">
        <v>3</v>
      </c>
    </row>
    <row r="16802" spans="1:3" x14ac:dyDescent="0.25">
      <c r="A16802" s="1" t="s">
        <v>16801</v>
      </c>
      <c r="C16802" s="3">
        <v>3</v>
      </c>
    </row>
    <row r="16803" spans="1:3" x14ac:dyDescent="0.25">
      <c r="A16803" s="1" t="s">
        <v>16802</v>
      </c>
      <c r="C16803" s="3">
        <v>3</v>
      </c>
    </row>
    <row r="16804" spans="1:3" x14ac:dyDescent="0.25">
      <c r="A16804" s="1" t="s">
        <v>16803</v>
      </c>
      <c r="C16804" s="3">
        <v>3</v>
      </c>
    </row>
    <row r="16805" spans="1:3" x14ac:dyDescent="0.25">
      <c r="A16805" s="1" t="s">
        <v>16804</v>
      </c>
      <c r="C16805" s="3">
        <v>3</v>
      </c>
    </row>
    <row r="16806" spans="1:3" x14ac:dyDescent="0.25">
      <c r="A16806" s="1" t="s">
        <v>16805</v>
      </c>
      <c r="C16806" s="3">
        <v>3</v>
      </c>
    </row>
    <row r="16807" spans="1:3" x14ac:dyDescent="0.25">
      <c r="A16807" s="1" t="s">
        <v>16806</v>
      </c>
      <c r="C16807" s="3">
        <v>3</v>
      </c>
    </row>
    <row r="16808" spans="1:3" x14ac:dyDescent="0.25">
      <c r="A16808" s="1" t="s">
        <v>16807</v>
      </c>
      <c r="C16808" s="3">
        <v>3</v>
      </c>
    </row>
    <row r="16809" spans="1:3" x14ac:dyDescent="0.25">
      <c r="A16809" s="1" t="s">
        <v>16808</v>
      </c>
      <c r="C16809" s="3">
        <v>3</v>
      </c>
    </row>
    <row r="16810" spans="1:3" x14ac:dyDescent="0.25">
      <c r="A16810" s="1" t="s">
        <v>16809</v>
      </c>
      <c r="C16810" s="3">
        <v>3</v>
      </c>
    </row>
    <row r="16811" spans="1:3" x14ac:dyDescent="0.25">
      <c r="A16811" s="1" t="s">
        <v>16810</v>
      </c>
      <c r="C16811" s="3">
        <v>3</v>
      </c>
    </row>
    <row r="16812" spans="1:3" x14ac:dyDescent="0.25">
      <c r="A16812" s="1" t="s">
        <v>16811</v>
      </c>
      <c r="C16812" s="3">
        <v>3</v>
      </c>
    </row>
    <row r="16813" spans="1:3" x14ac:dyDescent="0.25">
      <c r="A16813" s="1" t="s">
        <v>16812</v>
      </c>
      <c r="C16813" s="3">
        <v>3</v>
      </c>
    </row>
    <row r="16814" spans="1:3" x14ac:dyDescent="0.25">
      <c r="A16814" s="1" t="s">
        <v>16813</v>
      </c>
      <c r="C16814" s="3">
        <v>3</v>
      </c>
    </row>
    <row r="16815" spans="1:3" x14ac:dyDescent="0.25">
      <c r="A16815" s="1" t="s">
        <v>16814</v>
      </c>
      <c r="C16815" s="3">
        <v>3</v>
      </c>
    </row>
    <row r="16816" spans="1:3" x14ac:dyDescent="0.25">
      <c r="A16816" s="1" t="s">
        <v>16815</v>
      </c>
      <c r="C16816" s="3">
        <v>3</v>
      </c>
    </row>
    <row r="16817" spans="1:3" x14ac:dyDescent="0.25">
      <c r="A16817" s="1" t="s">
        <v>16816</v>
      </c>
      <c r="C16817" s="3">
        <v>3</v>
      </c>
    </row>
    <row r="16818" spans="1:3" x14ac:dyDescent="0.25">
      <c r="A16818" s="1" t="s">
        <v>16817</v>
      </c>
      <c r="C16818" s="3">
        <v>3</v>
      </c>
    </row>
    <row r="16819" spans="1:3" x14ac:dyDescent="0.25">
      <c r="A16819" s="1" t="s">
        <v>16818</v>
      </c>
      <c r="C16819" s="3">
        <v>3</v>
      </c>
    </row>
    <row r="16820" spans="1:3" x14ac:dyDescent="0.25">
      <c r="A16820" s="1" t="s">
        <v>16819</v>
      </c>
      <c r="C16820" s="3">
        <v>3</v>
      </c>
    </row>
    <row r="16821" spans="1:3" x14ac:dyDescent="0.25">
      <c r="A16821" s="1" t="s">
        <v>16820</v>
      </c>
      <c r="C16821" s="3">
        <v>3</v>
      </c>
    </row>
    <row r="16822" spans="1:3" x14ac:dyDescent="0.25">
      <c r="A16822" s="1" t="s">
        <v>16821</v>
      </c>
      <c r="C16822" s="3">
        <v>3</v>
      </c>
    </row>
    <row r="16823" spans="1:3" x14ac:dyDescent="0.25">
      <c r="A16823" s="1" t="s">
        <v>16822</v>
      </c>
      <c r="C16823" s="3">
        <v>3</v>
      </c>
    </row>
    <row r="16824" spans="1:3" x14ac:dyDescent="0.25">
      <c r="A16824" s="1" t="s">
        <v>16823</v>
      </c>
      <c r="C16824" s="3">
        <v>3</v>
      </c>
    </row>
    <row r="16825" spans="1:3" x14ac:dyDescent="0.25">
      <c r="A16825" s="1" t="s">
        <v>16824</v>
      </c>
      <c r="C16825" s="3">
        <v>3</v>
      </c>
    </row>
    <row r="16826" spans="1:3" x14ac:dyDescent="0.25">
      <c r="A16826" s="1" t="s">
        <v>16825</v>
      </c>
      <c r="C16826" s="3">
        <v>3</v>
      </c>
    </row>
    <row r="16827" spans="1:3" x14ac:dyDescent="0.25">
      <c r="A16827" s="1" t="s">
        <v>16826</v>
      </c>
      <c r="C16827" s="3">
        <v>3</v>
      </c>
    </row>
    <row r="16828" spans="1:3" x14ac:dyDescent="0.25">
      <c r="A16828" s="1" t="s">
        <v>16827</v>
      </c>
      <c r="C16828" s="3">
        <v>3</v>
      </c>
    </row>
    <row r="16829" spans="1:3" x14ac:dyDescent="0.25">
      <c r="A16829" s="1" t="s">
        <v>16828</v>
      </c>
      <c r="C16829" s="3">
        <v>3</v>
      </c>
    </row>
    <row r="16830" spans="1:3" x14ac:dyDescent="0.25">
      <c r="A16830" s="1" t="s">
        <v>16829</v>
      </c>
      <c r="C16830" s="3">
        <v>3</v>
      </c>
    </row>
    <row r="16831" spans="1:3" x14ac:dyDescent="0.25">
      <c r="A16831" s="1" t="s">
        <v>16830</v>
      </c>
      <c r="C16831" s="3">
        <v>3</v>
      </c>
    </row>
    <row r="16832" spans="1:3" x14ac:dyDescent="0.25">
      <c r="A16832" s="1" t="s">
        <v>16831</v>
      </c>
      <c r="C16832" s="3">
        <v>3</v>
      </c>
    </row>
    <row r="16833" spans="1:3" x14ac:dyDescent="0.25">
      <c r="A16833" s="1" t="s">
        <v>16832</v>
      </c>
      <c r="C16833" s="3">
        <v>3</v>
      </c>
    </row>
    <row r="16834" spans="1:3" x14ac:dyDescent="0.25">
      <c r="A16834" s="1" t="s">
        <v>16833</v>
      </c>
      <c r="C16834" s="3">
        <v>3</v>
      </c>
    </row>
    <row r="16835" spans="1:3" x14ac:dyDescent="0.25">
      <c r="A16835" s="1" t="s">
        <v>16834</v>
      </c>
      <c r="C16835" s="3">
        <v>3</v>
      </c>
    </row>
    <row r="16836" spans="1:3" x14ac:dyDescent="0.25">
      <c r="A16836" s="1" t="s">
        <v>16835</v>
      </c>
      <c r="C16836" s="3">
        <v>3</v>
      </c>
    </row>
    <row r="16837" spans="1:3" x14ac:dyDescent="0.25">
      <c r="A16837" s="1" t="s">
        <v>16836</v>
      </c>
      <c r="C16837" s="3">
        <v>3</v>
      </c>
    </row>
    <row r="16838" spans="1:3" x14ac:dyDescent="0.25">
      <c r="A16838" s="1" t="s">
        <v>16837</v>
      </c>
      <c r="C16838" s="3">
        <v>3</v>
      </c>
    </row>
    <row r="16839" spans="1:3" x14ac:dyDescent="0.25">
      <c r="A16839" s="1" t="s">
        <v>16838</v>
      </c>
      <c r="C16839" s="3">
        <v>3</v>
      </c>
    </row>
    <row r="16840" spans="1:3" x14ac:dyDescent="0.25">
      <c r="A16840" s="1" t="s">
        <v>16839</v>
      </c>
      <c r="C16840" s="3">
        <v>3</v>
      </c>
    </row>
    <row r="16841" spans="1:3" x14ac:dyDescent="0.25">
      <c r="A16841" s="1" t="s">
        <v>16840</v>
      </c>
      <c r="C16841" s="3">
        <v>3</v>
      </c>
    </row>
    <row r="16842" spans="1:3" x14ac:dyDescent="0.25">
      <c r="A16842" s="1" t="s">
        <v>16841</v>
      </c>
      <c r="C16842" s="3">
        <v>3</v>
      </c>
    </row>
    <row r="16843" spans="1:3" x14ac:dyDescent="0.25">
      <c r="A16843" s="1" t="s">
        <v>16842</v>
      </c>
      <c r="C16843" s="3">
        <v>3</v>
      </c>
    </row>
    <row r="16844" spans="1:3" x14ac:dyDescent="0.25">
      <c r="A16844" s="1" t="s">
        <v>16843</v>
      </c>
      <c r="C16844" s="3">
        <v>3</v>
      </c>
    </row>
    <row r="16845" spans="1:3" x14ac:dyDescent="0.25">
      <c r="A16845" s="1" t="s">
        <v>16844</v>
      </c>
      <c r="C16845" s="3">
        <v>3</v>
      </c>
    </row>
    <row r="16846" spans="1:3" x14ac:dyDescent="0.25">
      <c r="A16846" s="1" t="s">
        <v>16845</v>
      </c>
      <c r="C16846" s="3">
        <v>3</v>
      </c>
    </row>
    <row r="16847" spans="1:3" x14ac:dyDescent="0.25">
      <c r="A16847" s="1" t="s">
        <v>16846</v>
      </c>
      <c r="C16847" s="3">
        <v>3</v>
      </c>
    </row>
    <row r="16848" spans="1:3" x14ac:dyDescent="0.25">
      <c r="A16848" s="1" t="s">
        <v>16847</v>
      </c>
      <c r="C16848" s="3">
        <v>3</v>
      </c>
    </row>
    <row r="16849" spans="1:3" x14ac:dyDescent="0.25">
      <c r="A16849" s="1" t="s">
        <v>16848</v>
      </c>
      <c r="C16849" s="3">
        <v>3</v>
      </c>
    </row>
    <row r="16850" spans="1:3" x14ac:dyDescent="0.25">
      <c r="A16850" s="1" t="s">
        <v>16849</v>
      </c>
      <c r="C16850" s="3">
        <v>3</v>
      </c>
    </row>
    <row r="16851" spans="1:3" x14ac:dyDescent="0.25">
      <c r="A16851" s="1" t="s">
        <v>16850</v>
      </c>
      <c r="C16851" s="3">
        <v>3</v>
      </c>
    </row>
    <row r="16852" spans="1:3" x14ac:dyDescent="0.25">
      <c r="A16852" s="1" t="s">
        <v>16851</v>
      </c>
      <c r="C16852" s="3">
        <v>3</v>
      </c>
    </row>
    <row r="16853" spans="1:3" x14ac:dyDescent="0.25">
      <c r="A16853" s="1" t="s">
        <v>16852</v>
      </c>
      <c r="C16853" s="3">
        <v>3</v>
      </c>
    </row>
    <row r="16854" spans="1:3" x14ac:dyDescent="0.25">
      <c r="A16854" s="1" t="s">
        <v>16853</v>
      </c>
      <c r="C16854" s="3">
        <v>3</v>
      </c>
    </row>
    <row r="16855" spans="1:3" x14ac:dyDescent="0.25">
      <c r="A16855" s="1" t="s">
        <v>16854</v>
      </c>
      <c r="C16855" s="3">
        <v>3</v>
      </c>
    </row>
    <row r="16856" spans="1:3" x14ac:dyDescent="0.25">
      <c r="A16856" s="1" t="s">
        <v>16855</v>
      </c>
      <c r="C16856" s="3">
        <v>3</v>
      </c>
    </row>
    <row r="16857" spans="1:3" x14ac:dyDescent="0.25">
      <c r="A16857" s="1" t="s">
        <v>16856</v>
      </c>
      <c r="C16857" s="3">
        <v>3</v>
      </c>
    </row>
    <row r="16858" spans="1:3" x14ac:dyDescent="0.25">
      <c r="A16858" s="1" t="s">
        <v>16857</v>
      </c>
      <c r="C16858" s="3">
        <v>3</v>
      </c>
    </row>
    <row r="16859" spans="1:3" x14ac:dyDescent="0.25">
      <c r="A16859" s="1" t="s">
        <v>16858</v>
      </c>
      <c r="C16859" s="3">
        <v>3</v>
      </c>
    </row>
    <row r="16860" spans="1:3" x14ac:dyDescent="0.25">
      <c r="A16860" s="1" t="s">
        <v>16859</v>
      </c>
      <c r="C16860" s="3">
        <v>3</v>
      </c>
    </row>
    <row r="16861" spans="1:3" x14ac:dyDescent="0.25">
      <c r="A16861" s="1" t="s">
        <v>16860</v>
      </c>
      <c r="C16861" s="3">
        <v>3</v>
      </c>
    </row>
    <row r="16862" spans="1:3" x14ac:dyDescent="0.25">
      <c r="A16862" s="1" t="s">
        <v>16861</v>
      </c>
      <c r="C16862" s="3">
        <v>3</v>
      </c>
    </row>
    <row r="16863" spans="1:3" x14ac:dyDescent="0.25">
      <c r="A16863" s="1" t="s">
        <v>16862</v>
      </c>
      <c r="C16863" s="3">
        <v>3</v>
      </c>
    </row>
    <row r="16864" spans="1:3" x14ac:dyDescent="0.25">
      <c r="A16864" s="1" t="s">
        <v>16863</v>
      </c>
      <c r="C16864" s="3">
        <v>3</v>
      </c>
    </row>
    <row r="16865" spans="1:3" x14ac:dyDescent="0.25">
      <c r="A16865" s="1" t="s">
        <v>16864</v>
      </c>
      <c r="C16865" s="3">
        <v>3</v>
      </c>
    </row>
    <row r="16866" spans="1:3" x14ac:dyDescent="0.25">
      <c r="A16866" s="1" t="s">
        <v>16865</v>
      </c>
      <c r="C16866" s="3">
        <v>3</v>
      </c>
    </row>
    <row r="16867" spans="1:3" x14ac:dyDescent="0.25">
      <c r="A16867" s="1" t="s">
        <v>16866</v>
      </c>
      <c r="C16867" s="3">
        <v>3</v>
      </c>
    </row>
    <row r="16868" spans="1:3" x14ac:dyDescent="0.25">
      <c r="A16868" s="1" t="s">
        <v>16867</v>
      </c>
      <c r="C16868" s="3">
        <v>3</v>
      </c>
    </row>
    <row r="16869" spans="1:3" x14ac:dyDescent="0.25">
      <c r="A16869" s="1" t="s">
        <v>16868</v>
      </c>
      <c r="C16869" s="3">
        <v>3</v>
      </c>
    </row>
    <row r="16870" spans="1:3" x14ac:dyDescent="0.25">
      <c r="A16870" s="1" t="s">
        <v>16869</v>
      </c>
      <c r="C16870" s="3">
        <v>3</v>
      </c>
    </row>
    <row r="16871" spans="1:3" x14ac:dyDescent="0.25">
      <c r="A16871" s="1" t="s">
        <v>16870</v>
      </c>
      <c r="C16871" s="3">
        <v>3</v>
      </c>
    </row>
    <row r="16872" spans="1:3" x14ac:dyDescent="0.25">
      <c r="A16872" s="1" t="s">
        <v>16871</v>
      </c>
      <c r="C16872" s="3">
        <v>3</v>
      </c>
    </row>
    <row r="16873" spans="1:3" x14ac:dyDescent="0.25">
      <c r="A16873" s="1" t="s">
        <v>16872</v>
      </c>
      <c r="C16873" s="3">
        <v>3</v>
      </c>
    </row>
    <row r="16874" spans="1:3" x14ac:dyDescent="0.25">
      <c r="A16874" s="1" t="s">
        <v>16873</v>
      </c>
      <c r="C16874" s="3">
        <v>3</v>
      </c>
    </row>
    <row r="16875" spans="1:3" x14ac:dyDescent="0.25">
      <c r="A16875" s="1" t="s">
        <v>16874</v>
      </c>
      <c r="C16875" s="3">
        <v>3</v>
      </c>
    </row>
    <row r="16876" spans="1:3" x14ac:dyDescent="0.25">
      <c r="A16876" s="1" t="s">
        <v>16875</v>
      </c>
      <c r="C16876" s="3">
        <v>3</v>
      </c>
    </row>
    <row r="16877" spans="1:3" x14ac:dyDescent="0.25">
      <c r="A16877" s="1" t="s">
        <v>16876</v>
      </c>
      <c r="C16877" s="3">
        <v>3</v>
      </c>
    </row>
    <row r="16878" spans="1:3" x14ac:dyDescent="0.25">
      <c r="A16878" s="1" t="s">
        <v>16877</v>
      </c>
      <c r="C16878" s="3">
        <v>3</v>
      </c>
    </row>
    <row r="16879" spans="1:3" x14ac:dyDescent="0.25">
      <c r="A16879" s="1" t="s">
        <v>16878</v>
      </c>
      <c r="C16879" s="3">
        <v>3</v>
      </c>
    </row>
    <row r="16880" spans="1:3" x14ac:dyDescent="0.25">
      <c r="A16880" s="1" t="s">
        <v>16879</v>
      </c>
      <c r="C16880" s="3">
        <v>3</v>
      </c>
    </row>
    <row r="16881" spans="1:3" x14ac:dyDescent="0.25">
      <c r="A16881" s="1" t="s">
        <v>16880</v>
      </c>
      <c r="C16881" s="3">
        <v>3</v>
      </c>
    </row>
    <row r="16882" spans="1:3" x14ac:dyDescent="0.25">
      <c r="A16882" s="1" t="s">
        <v>16881</v>
      </c>
      <c r="C16882" s="3">
        <v>3</v>
      </c>
    </row>
    <row r="16883" spans="1:3" x14ac:dyDescent="0.25">
      <c r="A16883" s="1" t="s">
        <v>16882</v>
      </c>
      <c r="C16883" s="3">
        <v>3</v>
      </c>
    </row>
    <row r="16884" spans="1:3" x14ac:dyDescent="0.25">
      <c r="A16884" s="1" t="s">
        <v>16883</v>
      </c>
      <c r="C16884" s="3">
        <v>3</v>
      </c>
    </row>
    <row r="16885" spans="1:3" x14ac:dyDescent="0.25">
      <c r="A16885" s="1" t="s">
        <v>16884</v>
      </c>
      <c r="C16885" s="3">
        <v>3</v>
      </c>
    </row>
    <row r="16886" spans="1:3" x14ac:dyDescent="0.25">
      <c r="A16886" s="1" t="s">
        <v>16885</v>
      </c>
      <c r="C16886" s="3">
        <v>3</v>
      </c>
    </row>
    <row r="16887" spans="1:3" x14ac:dyDescent="0.25">
      <c r="A16887" s="1" t="s">
        <v>16886</v>
      </c>
      <c r="C16887" s="3">
        <v>3</v>
      </c>
    </row>
    <row r="16888" spans="1:3" x14ac:dyDescent="0.25">
      <c r="A16888" s="1" t="s">
        <v>16887</v>
      </c>
      <c r="C16888" s="3">
        <v>3</v>
      </c>
    </row>
    <row r="16889" spans="1:3" x14ac:dyDescent="0.25">
      <c r="A16889" s="1" t="s">
        <v>16888</v>
      </c>
      <c r="C16889" s="3">
        <v>3</v>
      </c>
    </row>
    <row r="16890" spans="1:3" x14ac:dyDescent="0.25">
      <c r="A16890" s="1" t="s">
        <v>16889</v>
      </c>
      <c r="C16890" s="3">
        <v>3</v>
      </c>
    </row>
    <row r="16891" spans="1:3" x14ac:dyDescent="0.25">
      <c r="A16891" s="1" t="s">
        <v>16890</v>
      </c>
      <c r="C16891" s="3">
        <v>3</v>
      </c>
    </row>
    <row r="16892" spans="1:3" x14ac:dyDescent="0.25">
      <c r="A16892" s="1" t="s">
        <v>16891</v>
      </c>
      <c r="C16892" s="3">
        <v>3</v>
      </c>
    </row>
    <row r="16893" spans="1:3" x14ac:dyDescent="0.25">
      <c r="A16893" s="1" t="s">
        <v>16892</v>
      </c>
      <c r="C16893" s="3">
        <v>3</v>
      </c>
    </row>
    <row r="16894" spans="1:3" x14ac:dyDescent="0.25">
      <c r="A16894" s="1" t="s">
        <v>16893</v>
      </c>
      <c r="C16894" s="3">
        <v>3</v>
      </c>
    </row>
    <row r="16895" spans="1:3" x14ac:dyDescent="0.25">
      <c r="A16895" s="1" t="s">
        <v>16894</v>
      </c>
      <c r="C16895" s="3">
        <v>3</v>
      </c>
    </row>
    <row r="16896" spans="1:3" x14ac:dyDescent="0.25">
      <c r="A16896" s="1" t="s">
        <v>16895</v>
      </c>
      <c r="C16896" s="3">
        <v>3</v>
      </c>
    </row>
    <row r="16897" spans="1:3" x14ac:dyDescent="0.25">
      <c r="A16897" s="1" t="s">
        <v>16896</v>
      </c>
      <c r="C16897" s="3">
        <v>3</v>
      </c>
    </row>
    <row r="16898" spans="1:3" x14ac:dyDescent="0.25">
      <c r="A16898" s="1" t="s">
        <v>16897</v>
      </c>
      <c r="C16898" s="3">
        <v>3</v>
      </c>
    </row>
    <row r="16899" spans="1:3" x14ac:dyDescent="0.25">
      <c r="A16899" s="1" t="s">
        <v>16898</v>
      </c>
      <c r="C16899" s="3">
        <v>3</v>
      </c>
    </row>
    <row r="16900" spans="1:3" x14ac:dyDescent="0.25">
      <c r="A16900" s="1" t="s">
        <v>16899</v>
      </c>
      <c r="C16900" s="3">
        <v>3</v>
      </c>
    </row>
    <row r="16901" spans="1:3" x14ac:dyDescent="0.25">
      <c r="A16901" s="1" t="s">
        <v>16900</v>
      </c>
      <c r="C16901" s="3">
        <v>3</v>
      </c>
    </row>
    <row r="16902" spans="1:3" x14ac:dyDescent="0.25">
      <c r="A16902" s="1" t="s">
        <v>16901</v>
      </c>
      <c r="C16902" s="3">
        <v>3</v>
      </c>
    </row>
    <row r="16903" spans="1:3" x14ac:dyDescent="0.25">
      <c r="A16903" s="1" t="s">
        <v>16902</v>
      </c>
      <c r="C16903" s="3">
        <v>3</v>
      </c>
    </row>
    <row r="16904" spans="1:3" x14ac:dyDescent="0.25">
      <c r="A16904" s="1" t="s">
        <v>16903</v>
      </c>
      <c r="C16904" s="3">
        <v>3</v>
      </c>
    </row>
    <row r="16905" spans="1:3" x14ac:dyDescent="0.25">
      <c r="A16905" s="1" t="s">
        <v>16904</v>
      </c>
      <c r="C16905" s="3">
        <v>3</v>
      </c>
    </row>
    <row r="16906" spans="1:3" x14ac:dyDescent="0.25">
      <c r="A16906" s="1" t="s">
        <v>16905</v>
      </c>
      <c r="C16906" s="3">
        <v>3</v>
      </c>
    </row>
    <row r="16907" spans="1:3" x14ac:dyDescent="0.25">
      <c r="A16907" s="1" t="s">
        <v>16906</v>
      </c>
      <c r="C16907" s="3">
        <v>3</v>
      </c>
    </row>
    <row r="16908" spans="1:3" x14ac:dyDescent="0.25">
      <c r="A16908" s="1" t="s">
        <v>16907</v>
      </c>
      <c r="C16908" s="3">
        <v>3</v>
      </c>
    </row>
    <row r="16909" spans="1:3" x14ac:dyDescent="0.25">
      <c r="A16909" s="1" t="s">
        <v>16908</v>
      </c>
      <c r="C16909" s="3">
        <v>3</v>
      </c>
    </row>
    <row r="16910" spans="1:3" x14ac:dyDescent="0.25">
      <c r="A16910" s="1" t="s">
        <v>16909</v>
      </c>
      <c r="C16910" s="3">
        <v>3</v>
      </c>
    </row>
    <row r="16911" spans="1:3" x14ac:dyDescent="0.25">
      <c r="A16911" s="1" t="s">
        <v>16910</v>
      </c>
      <c r="C16911" s="3">
        <v>3</v>
      </c>
    </row>
    <row r="16912" spans="1:3" x14ac:dyDescent="0.25">
      <c r="A16912" s="1" t="s">
        <v>16911</v>
      </c>
      <c r="C16912" s="3">
        <v>3</v>
      </c>
    </row>
    <row r="16913" spans="1:3" x14ac:dyDescent="0.25">
      <c r="A16913" s="1" t="s">
        <v>16912</v>
      </c>
      <c r="C16913" s="3">
        <v>3</v>
      </c>
    </row>
    <row r="16914" spans="1:3" x14ac:dyDescent="0.25">
      <c r="A16914" s="1" t="s">
        <v>16913</v>
      </c>
      <c r="C16914" s="3">
        <v>3</v>
      </c>
    </row>
    <row r="16915" spans="1:3" x14ac:dyDescent="0.25">
      <c r="A16915" s="1" t="s">
        <v>16914</v>
      </c>
      <c r="C16915" s="3">
        <v>3</v>
      </c>
    </row>
    <row r="16916" spans="1:3" x14ac:dyDescent="0.25">
      <c r="A16916" s="1" t="s">
        <v>16915</v>
      </c>
      <c r="C16916" s="3">
        <v>3</v>
      </c>
    </row>
    <row r="16917" spans="1:3" x14ac:dyDescent="0.25">
      <c r="A16917" s="1" t="s">
        <v>16916</v>
      </c>
      <c r="C16917" s="3">
        <v>3</v>
      </c>
    </row>
    <row r="16918" spans="1:3" x14ac:dyDescent="0.25">
      <c r="A16918" s="1" t="s">
        <v>16917</v>
      </c>
      <c r="C16918" s="3">
        <v>3</v>
      </c>
    </row>
    <row r="16919" spans="1:3" x14ac:dyDescent="0.25">
      <c r="A16919" s="1" t="s">
        <v>16918</v>
      </c>
      <c r="C16919" s="3">
        <v>3</v>
      </c>
    </row>
    <row r="16920" spans="1:3" x14ac:dyDescent="0.25">
      <c r="A16920" s="1" t="s">
        <v>16919</v>
      </c>
      <c r="C16920" s="3">
        <v>3</v>
      </c>
    </row>
    <row r="16921" spans="1:3" x14ac:dyDescent="0.25">
      <c r="A16921" s="1" t="s">
        <v>16920</v>
      </c>
      <c r="C16921" s="3">
        <v>3</v>
      </c>
    </row>
    <row r="16922" spans="1:3" x14ac:dyDescent="0.25">
      <c r="A16922" s="1" t="s">
        <v>16921</v>
      </c>
      <c r="C16922" s="3">
        <v>3</v>
      </c>
    </row>
    <row r="16923" spans="1:3" x14ac:dyDescent="0.25">
      <c r="A16923" s="1" t="s">
        <v>16922</v>
      </c>
      <c r="C16923" s="3">
        <v>3</v>
      </c>
    </row>
    <row r="16924" spans="1:3" x14ac:dyDescent="0.25">
      <c r="A16924" s="1" t="s">
        <v>16923</v>
      </c>
      <c r="C16924" s="3">
        <v>3</v>
      </c>
    </row>
    <row r="16925" spans="1:3" x14ac:dyDescent="0.25">
      <c r="A16925" s="1" t="s">
        <v>16924</v>
      </c>
      <c r="C16925" s="3">
        <v>3</v>
      </c>
    </row>
    <row r="16926" spans="1:3" x14ac:dyDescent="0.25">
      <c r="A16926" s="1" t="s">
        <v>16925</v>
      </c>
      <c r="C16926" s="3">
        <v>3</v>
      </c>
    </row>
    <row r="16927" spans="1:3" x14ac:dyDescent="0.25">
      <c r="A16927" s="1" t="s">
        <v>16926</v>
      </c>
      <c r="C16927" s="3">
        <v>3</v>
      </c>
    </row>
    <row r="16928" spans="1:3" x14ac:dyDescent="0.25">
      <c r="A16928" s="1" t="s">
        <v>16927</v>
      </c>
      <c r="C16928" s="3">
        <v>3</v>
      </c>
    </row>
    <row r="16929" spans="1:3" x14ac:dyDescent="0.25">
      <c r="A16929" s="1" t="s">
        <v>16928</v>
      </c>
      <c r="C16929" s="3">
        <v>3</v>
      </c>
    </row>
    <row r="16930" spans="1:3" x14ac:dyDescent="0.25">
      <c r="A16930" s="1" t="s">
        <v>16929</v>
      </c>
      <c r="C16930" s="3">
        <v>3</v>
      </c>
    </row>
    <row r="16931" spans="1:3" x14ac:dyDescent="0.25">
      <c r="A16931" s="1" t="s">
        <v>16930</v>
      </c>
      <c r="C16931" s="3">
        <v>3</v>
      </c>
    </row>
    <row r="16932" spans="1:3" x14ac:dyDescent="0.25">
      <c r="A16932" s="1" t="s">
        <v>16931</v>
      </c>
      <c r="C16932" s="3">
        <v>3</v>
      </c>
    </row>
    <row r="16933" spans="1:3" x14ac:dyDescent="0.25">
      <c r="A16933" s="1" t="s">
        <v>16932</v>
      </c>
      <c r="C16933" s="3">
        <v>3</v>
      </c>
    </row>
    <row r="16934" spans="1:3" x14ac:dyDescent="0.25">
      <c r="A16934" s="1" t="s">
        <v>16933</v>
      </c>
      <c r="C16934" s="3">
        <v>3</v>
      </c>
    </row>
    <row r="16935" spans="1:3" x14ac:dyDescent="0.25">
      <c r="A16935" s="1" t="s">
        <v>16934</v>
      </c>
      <c r="C16935" s="3">
        <v>3</v>
      </c>
    </row>
    <row r="16936" spans="1:3" x14ac:dyDescent="0.25">
      <c r="A16936" s="1" t="s">
        <v>16935</v>
      </c>
      <c r="C16936" s="3">
        <v>3</v>
      </c>
    </row>
    <row r="16937" spans="1:3" x14ac:dyDescent="0.25">
      <c r="A16937" s="1" t="s">
        <v>16936</v>
      </c>
      <c r="C16937" s="3">
        <v>3</v>
      </c>
    </row>
    <row r="16938" spans="1:3" x14ac:dyDescent="0.25">
      <c r="A16938" s="1" t="s">
        <v>16937</v>
      </c>
      <c r="C16938" s="3">
        <v>3</v>
      </c>
    </row>
    <row r="16939" spans="1:3" x14ac:dyDescent="0.25">
      <c r="A16939" s="1" t="s">
        <v>16938</v>
      </c>
      <c r="C16939" s="3">
        <v>3</v>
      </c>
    </row>
    <row r="16940" spans="1:3" x14ac:dyDescent="0.25">
      <c r="A16940" s="1" t="s">
        <v>16939</v>
      </c>
      <c r="C16940" s="3">
        <v>3</v>
      </c>
    </row>
    <row r="16941" spans="1:3" x14ac:dyDescent="0.25">
      <c r="A16941" s="1" t="s">
        <v>16940</v>
      </c>
      <c r="C16941" s="3">
        <v>3</v>
      </c>
    </row>
    <row r="16942" spans="1:3" x14ac:dyDescent="0.25">
      <c r="A16942" s="1" t="s">
        <v>16941</v>
      </c>
      <c r="C16942" s="3">
        <v>3</v>
      </c>
    </row>
    <row r="16943" spans="1:3" x14ac:dyDescent="0.25">
      <c r="A16943" s="1" t="s">
        <v>16942</v>
      </c>
      <c r="C16943" s="3">
        <v>3</v>
      </c>
    </row>
    <row r="16944" spans="1:3" x14ac:dyDescent="0.25">
      <c r="A16944" s="1" t="s">
        <v>16943</v>
      </c>
      <c r="C16944" s="3">
        <v>3</v>
      </c>
    </row>
    <row r="16945" spans="1:3" x14ac:dyDescent="0.25">
      <c r="A16945" s="1" t="s">
        <v>16944</v>
      </c>
      <c r="C16945" s="3">
        <v>3</v>
      </c>
    </row>
    <row r="16946" spans="1:3" x14ac:dyDescent="0.25">
      <c r="A16946" s="1" t="s">
        <v>16945</v>
      </c>
      <c r="C16946" s="3">
        <v>3</v>
      </c>
    </row>
    <row r="16947" spans="1:3" x14ac:dyDescent="0.25">
      <c r="A16947" s="1" t="s">
        <v>16946</v>
      </c>
      <c r="C16947" s="3">
        <v>3</v>
      </c>
    </row>
    <row r="16948" spans="1:3" x14ac:dyDescent="0.25">
      <c r="A16948" s="1" t="s">
        <v>16947</v>
      </c>
      <c r="C16948" s="3">
        <v>3</v>
      </c>
    </row>
    <row r="16949" spans="1:3" x14ac:dyDescent="0.25">
      <c r="A16949" s="1" t="s">
        <v>16948</v>
      </c>
      <c r="C16949" s="3">
        <v>3</v>
      </c>
    </row>
    <row r="16950" spans="1:3" x14ac:dyDescent="0.25">
      <c r="A16950" s="1" t="s">
        <v>16949</v>
      </c>
      <c r="C16950" s="3">
        <v>3</v>
      </c>
    </row>
    <row r="16951" spans="1:3" x14ac:dyDescent="0.25">
      <c r="A16951" s="1" t="s">
        <v>16950</v>
      </c>
      <c r="C16951" s="3">
        <v>3</v>
      </c>
    </row>
    <row r="16952" spans="1:3" x14ac:dyDescent="0.25">
      <c r="A16952" s="1" t="s">
        <v>16951</v>
      </c>
      <c r="C16952" s="3">
        <v>3</v>
      </c>
    </row>
    <row r="16953" spans="1:3" x14ac:dyDescent="0.25">
      <c r="A16953" s="1" t="s">
        <v>16952</v>
      </c>
      <c r="C16953" s="3">
        <v>3</v>
      </c>
    </row>
    <row r="16954" spans="1:3" x14ac:dyDescent="0.25">
      <c r="A16954" s="1" t="s">
        <v>16953</v>
      </c>
      <c r="C16954" s="3">
        <v>3</v>
      </c>
    </row>
    <row r="16955" spans="1:3" x14ac:dyDescent="0.25">
      <c r="A16955" s="1" t="s">
        <v>16954</v>
      </c>
      <c r="C16955" s="3">
        <v>3</v>
      </c>
    </row>
    <row r="16956" spans="1:3" x14ac:dyDescent="0.25">
      <c r="A16956" s="1" t="s">
        <v>16955</v>
      </c>
      <c r="C16956" s="3">
        <v>3</v>
      </c>
    </row>
    <row r="16957" spans="1:3" x14ac:dyDescent="0.25">
      <c r="A16957" s="1" t="s">
        <v>16956</v>
      </c>
      <c r="C16957" s="3">
        <v>3</v>
      </c>
    </row>
    <row r="16958" spans="1:3" x14ac:dyDescent="0.25">
      <c r="A16958" s="1" t="s">
        <v>16957</v>
      </c>
      <c r="C16958" s="3">
        <v>3</v>
      </c>
    </row>
    <row r="16959" spans="1:3" x14ac:dyDescent="0.25">
      <c r="A16959" s="1" t="s">
        <v>16958</v>
      </c>
      <c r="C16959" s="3">
        <v>3</v>
      </c>
    </row>
    <row r="16960" spans="1:3" x14ac:dyDescent="0.25">
      <c r="A16960" s="1" t="s">
        <v>16959</v>
      </c>
      <c r="C16960" s="3">
        <v>3</v>
      </c>
    </row>
    <row r="16961" spans="1:3" x14ac:dyDescent="0.25">
      <c r="A16961" s="1" t="s">
        <v>16960</v>
      </c>
      <c r="C16961" s="3">
        <v>3</v>
      </c>
    </row>
    <row r="16962" spans="1:3" x14ac:dyDescent="0.25">
      <c r="A16962" s="1" t="s">
        <v>16961</v>
      </c>
      <c r="C16962" s="3">
        <v>3</v>
      </c>
    </row>
    <row r="16963" spans="1:3" x14ac:dyDescent="0.25">
      <c r="A16963" s="1" t="s">
        <v>16962</v>
      </c>
      <c r="C16963" s="3">
        <v>3</v>
      </c>
    </row>
    <row r="16964" spans="1:3" x14ac:dyDescent="0.25">
      <c r="A16964" s="1" t="s">
        <v>16963</v>
      </c>
      <c r="C16964" s="3">
        <v>3</v>
      </c>
    </row>
    <row r="16965" spans="1:3" x14ac:dyDescent="0.25">
      <c r="A16965" s="1" t="s">
        <v>16964</v>
      </c>
      <c r="C16965" s="3">
        <v>3</v>
      </c>
    </row>
    <row r="16966" spans="1:3" x14ac:dyDescent="0.25">
      <c r="A16966" s="1" t="s">
        <v>16965</v>
      </c>
      <c r="C16966" s="3">
        <v>3</v>
      </c>
    </row>
    <row r="16967" spans="1:3" x14ac:dyDescent="0.25">
      <c r="A16967" s="1" t="s">
        <v>16966</v>
      </c>
      <c r="C16967" s="3">
        <v>3</v>
      </c>
    </row>
    <row r="16968" spans="1:3" x14ac:dyDescent="0.25">
      <c r="A16968" s="1" t="s">
        <v>16967</v>
      </c>
      <c r="C16968" s="3">
        <v>3</v>
      </c>
    </row>
    <row r="16969" spans="1:3" x14ac:dyDescent="0.25">
      <c r="A16969" s="1" t="s">
        <v>16968</v>
      </c>
      <c r="C16969" s="3">
        <v>3</v>
      </c>
    </row>
    <row r="16970" spans="1:3" x14ac:dyDescent="0.25">
      <c r="A16970" s="1" t="s">
        <v>16969</v>
      </c>
      <c r="C16970" s="3">
        <v>3</v>
      </c>
    </row>
    <row r="16971" spans="1:3" x14ac:dyDescent="0.25">
      <c r="A16971" s="1" t="s">
        <v>16970</v>
      </c>
      <c r="C16971" s="3">
        <v>3</v>
      </c>
    </row>
    <row r="16972" spans="1:3" x14ac:dyDescent="0.25">
      <c r="A16972" s="1" t="s">
        <v>16971</v>
      </c>
      <c r="C16972" s="3">
        <v>3</v>
      </c>
    </row>
    <row r="16973" spans="1:3" x14ac:dyDescent="0.25">
      <c r="A16973" s="1" t="s">
        <v>16972</v>
      </c>
      <c r="C16973" s="3">
        <v>3</v>
      </c>
    </row>
    <row r="16974" spans="1:3" x14ac:dyDescent="0.25">
      <c r="A16974" s="1" t="s">
        <v>16973</v>
      </c>
      <c r="C16974" s="3">
        <v>3</v>
      </c>
    </row>
    <row r="16975" spans="1:3" x14ac:dyDescent="0.25">
      <c r="A16975" s="1" t="s">
        <v>16974</v>
      </c>
      <c r="C16975" s="3">
        <v>3</v>
      </c>
    </row>
    <row r="16976" spans="1:3" x14ac:dyDescent="0.25">
      <c r="A16976" s="1" t="s">
        <v>16975</v>
      </c>
      <c r="C16976" s="3">
        <v>3</v>
      </c>
    </row>
    <row r="16977" spans="1:3" x14ac:dyDescent="0.25">
      <c r="A16977" s="1" t="s">
        <v>16976</v>
      </c>
      <c r="C16977" s="3">
        <v>3</v>
      </c>
    </row>
    <row r="16978" spans="1:3" x14ac:dyDescent="0.25">
      <c r="A16978" s="1" t="s">
        <v>16977</v>
      </c>
      <c r="C16978" s="3">
        <v>3</v>
      </c>
    </row>
    <row r="16979" spans="1:3" x14ac:dyDescent="0.25">
      <c r="A16979" s="1" t="s">
        <v>16978</v>
      </c>
      <c r="C16979" s="3">
        <v>3</v>
      </c>
    </row>
    <row r="16980" spans="1:3" x14ac:dyDescent="0.25">
      <c r="A16980" s="1" t="s">
        <v>16979</v>
      </c>
      <c r="C16980" s="3">
        <v>3</v>
      </c>
    </row>
    <row r="16981" spans="1:3" x14ac:dyDescent="0.25">
      <c r="A16981" s="1" t="s">
        <v>16980</v>
      </c>
      <c r="C16981" s="3">
        <v>3</v>
      </c>
    </row>
    <row r="16982" spans="1:3" x14ac:dyDescent="0.25">
      <c r="A16982" s="1" t="s">
        <v>16981</v>
      </c>
      <c r="C16982" s="3">
        <v>3</v>
      </c>
    </row>
    <row r="16983" spans="1:3" x14ac:dyDescent="0.25">
      <c r="A16983" s="1" t="s">
        <v>16982</v>
      </c>
      <c r="C16983" s="3">
        <v>3</v>
      </c>
    </row>
    <row r="16984" spans="1:3" x14ac:dyDescent="0.25">
      <c r="A16984" s="1" t="s">
        <v>16983</v>
      </c>
      <c r="C16984" s="3">
        <v>3</v>
      </c>
    </row>
    <row r="16985" spans="1:3" x14ac:dyDescent="0.25">
      <c r="A16985" s="1" t="s">
        <v>16984</v>
      </c>
      <c r="C16985" s="3">
        <v>3</v>
      </c>
    </row>
    <row r="16986" spans="1:3" x14ac:dyDescent="0.25">
      <c r="A16986" s="1" t="s">
        <v>16985</v>
      </c>
      <c r="C16986" s="3">
        <v>3</v>
      </c>
    </row>
    <row r="16987" spans="1:3" x14ac:dyDescent="0.25">
      <c r="A16987" s="1" t="s">
        <v>16986</v>
      </c>
      <c r="C16987" s="3">
        <v>3</v>
      </c>
    </row>
    <row r="16988" spans="1:3" x14ac:dyDescent="0.25">
      <c r="A16988" s="1" t="s">
        <v>16987</v>
      </c>
      <c r="C16988" s="3">
        <v>3</v>
      </c>
    </row>
    <row r="16989" spans="1:3" x14ac:dyDescent="0.25">
      <c r="A16989" s="1" t="s">
        <v>16988</v>
      </c>
      <c r="C16989" s="3">
        <v>3</v>
      </c>
    </row>
    <row r="16990" spans="1:3" x14ac:dyDescent="0.25">
      <c r="A16990" s="1" t="s">
        <v>16989</v>
      </c>
      <c r="C16990" s="3">
        <v>3</v>
      </c>
    </row>
    <row r="16991" spans="1:3" x14ac:dyDescent="0.25">
      <c r="A16991" s="1" t="s">
        <v>16990</v>
      </c>
      <c r="C16991" s="3">
        <v>3</v>
      </c>
    </row>
    <row r="16992" spans="1:3" x14ac:dyDescent="0.25">
      <c r="A16992" s="1" t="s">
        <v>16991</v>
      </c>
      <c r="C16992" s="3">
        <v>3</v>
      </c>
    </row>
    <row r="16993" spans="1:3" x14ac:dyDescent="0.25">
      <c r="A16993" s="1" t="s">
        <v>16992</v>
      </c>
      <c r="C16993" s="3">
        <v>3</v>
      </c>
    </row>
    <row r="16994" spans="1:3" x14ac:dyDescent="0.25">
      <c r="A16994" s="1" t="s">
        <v>16993</v>
      </c>
      <c r="C16994" s="3">
        <v>3</v>
      </c>
    </row>
    <row r="16995" spans="1:3" x14ac:dyDescent="0.25">
      <c r="A16995" s="1" t="s">
        <v>16994</v>
      </c>
      <c r="C16995" s="3">
        <v>3</v>
      </c>
    </row>
    <row r="16996" spans="1:3" x14ac:dyDescent="0.25">
      <c r="A16996" s="1" t="s">
        <v>16995</v>
      </c>
      <c r="C16996" s="3">
        <v>3</v>
      </c>
    </row>
    <row r="16997" spans="1:3" x14ac:dyDescent="0.25">
      <c r="A16997" s="1" t="s">
        <v>16996</v>
      </c>
      <c r="C16997" s="3">
        <v>3</v>
      </c>
    </row>
    <row r="16998" spans="1:3" x14ac:dyDescent="0.25">
      <c r="A16998" s="1" t="s">
        <v>16997</v>
      </c>
      <c r="C16998" s="3">
        <v>3</v>
      </c>
    </row>
    <row r="16999" spans="1:3" x14ac:dyDescent="0.25">
      <c r="A16999" s="1" t="s">
        <v>16998</v>
      </c>
      <c r="C16999" s="3">
        <v>3</v>
      </c>
    </row>
    <row r="17000" spans="1:3" x14ac:dyDescent="0.25">
      <c r="A17000" s="1" t="s">
        <v>16999</v>
      </c>
      <c r="C17000" s="3">
        <v>3</v>
      </c>
    </row>
    <row r="17001" spans="1:3" x14ac:dyDescent="0.25">
      <c r="A17001" s="1" t="s">
        <v>17000</v>
      </c>
      <c r="C17001" s="3">
        <v>3</v>
      </c>
    </row>
    <row r="17002" spans="1:3" x14ac:dyDescent="0.25">
      <c r="A17002" s="1" t="s">
        <v>17001</v>
      </c>
      <c r="C17002" s="3">
        <v>3</v>
      </c>
    </row>
    <row r="17003" spans="1:3" x14ac:dyDescent="0.25">
      <c r="A17003" s="1" t="s">
        <v>17002</v>
      </c>
      <c r="C17003" s="3">
        <v>3</v>
      </c>
    </row>
    <row r="17004" spans="1:3" x14ac:dyDescent="0.25">
      <c r="A17004" s="1" t="s">
        <v>17003</v>
      </c>
      <c r="C17004" s="3">
        <v>3</v>
      </c>
    </row>
    <row r="17005" spans="1:3" x14ac:dyDescent="0.25">
      <c r="A17005" s="1" t="s">
        <v>17004</v>
      </c>
      <c r="C17005" s="3">
        <v>3</v>
      </c>
    </row>
    <row r="17006" spans="1:3" x14ac:dyDescent="0.25">
      <c r="A17006" s="1" t="s">
        <v>17005</v>
      </c>
      <c r="C17006" s="3">
        <v>3</v>
      </c>
    </row>
    <row r="17007" spans="1:3" x14ac:dyDescent="0.25">
      <c r="A17007" s="1" t="s">
        <v>17006</v>
      </c>
      <c r="C17007" s="3">
        <v>3</v>
      </c>
    </row>
    <row r="17008" spans="1:3" x14ac:dyDescent="0.25">
      <c r="A17008" s="1" t="s">
        <v>17007</v>
      </c>
      <c r="C17008" s="3">
        <v>3</v>
      </c>
    </row>
    <row r="17009" spans="1:3" x14ac:dyDescent="0.25">
      <c r="A17009" s="1" t="s">
        <v>17008</v>
      </c>
      <c r="C17009" s="3">
        <v>3</v>
      </c>
    </row>
    <row r="17010" spans="1:3" x14ac:dyDescent="0.25">
      <c r="A17010" s="1" t="s">
        <v>17009</v>
      </c>
      <c r="C17010" s="3">
        <v>3</v>
      </c>
    </row>
    <row r="17011" spans="1:3" x14ac:dyDescent="0.25">
      <c r="A17011" s="1" t="s">
        <v>17010</v>
      </c>
      <c r="C17011" s="3">
        <v>3</v>
      </c>
    </row>
    <row r="17012" spans="1:3" x14ac:dyDescent="0.25">
      <c r="A17012" s="1" t="s">
        <v>17011</v>
      </c>
      <c r="C17012" s="3">
        <v>3</v>
      </c>
    </row>
    <row r="17013" spans="1:3" x14ac:dyDescent="0.25">
      <c r="A17013" s="1" t="s">
        <v>17012</v>
      </c>
      <c r="C17013" s="3">
        <v>3</v>
      </c>
    </row>
    <row r="17014" spans="1:3" x14ac:dyDescent="0.25">
      <c r="A17014" s="1" t="s">
        <v>17013</v>
      </c>
      <c r="C17014" s="3">
        <v>3</v>
      </c>
    </row>
    <row r="17015" spans="1:3" x14ac:dyDescent="0.25">
      <c r="A17015" s="1" t="s">
        <v>17014</v>
      </c>
      <c r="C17015" s="3">
        <v>3</v>
      </c>
    </row>
    <row r="17016" spans="1:3" x14ac:dyDescent="0.25">
      <c r="A17016" s="1" t="s">
        <v>17015</v>
      </c>
      <c r="C17016" s="3">
        <v>3</v>
      </c>
    </row>
    <row r="17017" spans="1:3" x14ac:dyDescent="0.25">
      <c r="A17017" s="1" t="s">
        <v>17016</v>
      </c>
      <c r="C17017" s="3">
        <v>3</v>
      </c>
    </row>
    <row r="17018" spans="1:3" x14ac:dyDescent="0.25">
      <c r="A17018" s="1" t="s">
        <v>17017</v>
      </c>
      <c r="C17018" s="3">
        <v>3</v>
      </c>
    </row>
    <row r="17019" spans="1:3" x14ac:dyDescent="0.25">
      <c r="A17019" s="1" t="s">
        <v>17018</v>
      </c>
      <c r="C17019" s="3">
        <v>3</v>
      </c>
    </row>
    <row r="17020" spans="1:3" x14ac:dyDescent="0.25">
      <c r="A17020" s="1" t="s">
        <v>17019</v>
      </c>
      <c r="C17020" s="3">
        <v>3</v>
      </c>
    </row>
    <row r="17021" spans="1:3" x14ac:dyDescent="0.25">
      <c r="A17021" s="1" t="s">
        <v>17020</v>
      </c>
      <c r="C17021" s="3">
        <v>3</v>
      </c>
    </row>
    <row r="17022" spans="1:3" x14ac:dyDescent="0.25">
      <c r="A17022" s="1" t="s">
        <v>17021</v>
      </c>
      <c r="C17022" s="3">
        <v>3</v>
      </c>
    </row>
    <row r="17023" spans="1:3" x14ac:dyDescent="0.25">
      <c r="A17023" s="1" t="s">
        <v>17022</v>
      </c>
      <c r="C17023" s="3">
        <v>3</v>
      </c>
    </row>
    <row r="17024" spans="1:3" x14ac:dyDescent="0.25">
      <c r="A17024" s="1" t="s">
        <v>17023</v>
      </c>
      <c r="C17024" s="3">
        <v>3</v>
      </c>
    </row>
    <row r="17025" spans="1:3" x14ac:dyDescent="0.25">
      <c r="A17025" s="1" t="s">
        <v>17024</v>
      </c>
      <c r="C17025" s="3">
        <v>3</v>
      </c>
    </row>
    <row r="17026" spans="1:3" x14ac:dyDescent="0.25">
      <c r="A17026" s="1" t="s">
        <v>17025</v>
      </c>
      <c r="C17026" s="3">
        <v>3</v>
      </c>
    </row>
    <row r="17027" spans="1:3" x14ac:dyDescent="0.25">
      <c r="A17027" s="1" t="s">
        <v>17026</v>
      </c>
      <c r="C17027" s="3">
        <v>3</v>
      </c>
    </row>
    <row r="17028" spans="1:3" x14ac:dyDescent="0.25">
      <c r="A17028" s="1" t="s">
        <v>17027</v>
      </c>
      <c r="C17028" s="3">
        <v>3</v>
      </c>
    </row>
    <row r="17029" spans="1:3" x14ac:dyDescent="0.25">
      <c r="A17029" s="1" t="s">
        <v>17028</v>
      </c>
      <c r="C17029" s="3">
        <v>3</v>
      </c>
    </row>
    <row r="17030" spans="1:3" x14ac:dyDescent="0.25">
      <c r="A17030" s="1" t="s">
        <v>17029</v>
      </c>
      <c r="C17030" s="3">
        <v>3</v>
      </c>
    </row>
    <row r="17031" spans="1:3" x14ac:dyDescent="0.25">
      <c r="A17031" s="1" t="s">
        <v>17030</v>
      </c>
      <c r="C17031" s="3">
        <v>3</v>
      </c>
    </row>
    <row r="17032" spans="1:3" x14ac:dyDescent="0.25">
      <c r="A17032" s="1" t="s">
        <v>17031</v>
      </c>
      <c r="C17032" s="3">
        <v>3</v>
      </c>
    </row>
    <row r="17033" spans="1:3" x14ac:dyDescent="0.25">
      <c r="A17033" s="1" t="s">
        <v>17032</v>
      </c>
      <c r="C17033" s="3">
        <v>3</v>
      </c>
    </row>
    <row r="17034" spans="1:3" x14ac:dyDescent="0.25">
      <c r="A17034" s="1" t="s">
        <v>17033</v>
      </c>
      <c r="C17034" s="3">
        <v>3</v>
      </c>
    </row>
    <row r="17035" spans="1:3" x14ac:dyDescent="0.25">
      <c r="A17035" s="1" t="s">
        <v>17034</v>
      </c>
      <c r="C17035" s="3">
        <v>3</v>
      </c>
    </row>
    <row r="17036" spans="1:3" x14ac:dyDescent="0.25">
      <c r="A17036" s="1" t="s">
        <v>17035</v>
      </c>
      <c r="C17036" s="3">
        <v>3</v>
      </c>
    </row>
    <row r="17037" spans="1:3" x14ac:dyDescent="0.25">
      <c r="A17037" s="1" t="s">
        <v>17036</v>
      </c>
      <c r="C17037" s="3">
        <v>3</v>
      </c>
    </row>
    <row r="17038" spans="1:3" x14ac:dyDescent="0.25">
      <c r="A17038" s="1" t="s">
        <v>17037</v>
      </c>
      <c r="C17038" s="3">
        <v>3</v>
      </c>
    </row>
    <row r="17039" spans="1:3" x14ac:dyDescent="0.25">
      <c r="A17039" s="1" t="s">
        <v>17038</v>
      </c>
      <c r="C17039" s="3">
        <v>3</v>
      </c>
    </row>
    <row r="17040" spans="1:3" x14ac:dyDescent="0.25">
      <c r="A17040" s="1" t="s">
        <v>17039</v>
      </c>
      <c r="C17040" s="3">
        <v>3</v>
      </c>
    </row>
    <row r="17041" spans="1:3" x14ac:dyDescent="0.25">
      <c r="A17041" s="1" t="s">
        <v>17040</v>
      </c>
      <c r="C17041" s="3">
        <v>3</v>
      </c>
    </row>
    <row r="17042" spans="1:3" x14ac:dyDescent="0.25">
      <c r="A17042" s="1" t="s">
        <v>17041</v>
      </c>
      <c r="C17042" s="3">
        <v>3</v>
      </c>
    </row>
    <row r="17043" spans="1:3" x14ac:dyDescent="0.25">
      <c r="A17043" s="1" t="s">
        <v>17042</v>
      </c>
      <c r="C17043" s="3">
        <v>3</v>
      </c>
    </row>
    <row r="17044" spans="1:3" x14ac:dyDescent="0.25">
      <c r="A17044" s="1" t="s">
        <v>17043</v>
      </c>
      <c r="C17044" s="3">
        <v>3</v>
      </c>
    </row>
    <row r="17045" spans="1:3" x14ac:dyDescent="0.25">
      <c r="A17045" s="1" t="s">
        <v>17044</v>
      </c>
      <c r="C17045" s="3">
        <v>3</v>
      </c>
    </row>
    <row r="17046" spans="1:3" x14ac:dyDescent="0.25">
      <c r="A17046" s="1" t="s">
        <v>17045</v>
      </c>
      <c r="C17046" s="3">
        <v>3</v>
      </c>
    </row>
    <row r="17047" spans="1:3" x14ac:dyDescent="0.25">
      <c r="A17047" s="1" t="s">
        <v>17046</v>
      </c>
      <c r="C17047" s="3">
        <v>3</v>
      </c>
    </row>
    <row r="17048" spans="1:3" x14ac:dyDescent="0.25">
      <c r="A17048" s="1" t="s">
        <v>17047</v>
      </c>
      <c r="C17048" s="3">
        <v>3</v>
      </c>
    </row>
    <row r="17049" spans="1:3" x14ac:dyDescent="0.25">
      <c r="A17049" s="1" t="s">
        <v>17048</v>
      </c>
      <c r="C17049" s="3">
        <v>3</v>
      </c>
    </row>
    <row r="17050" spans="1:3" x14ac:dyDescent="0.25">
      <c r="A17050" s="1" t="s">
        <v>17049</v>
      </c>
      <c r="C17050" s="3">
        <v>3</v>
      </c>
    </row>
    <row r="17051" spans="1:3" x14ac:dyDescent="0.25">
      <c r="A17051" s="1" t="s">
        <v>17050</v>
      </c>
      <c r="C17051" s="3">
        <v>3</v>
      </c>
    </row>
    <row r="17052" spans="1:3" x14ac:dyDescent="0.25">
      <c r="A17052" s="1" t="s">
        <v>17051</v>
      </c>
      <c r="C17052" s="3">
        <v>3</v>
      </c>
    </row>
    <row r="17053" spans="1:3" x14ac:dyDescent="0.25">
      <c r="A17053" s="1" t="s">
        <v>17052</v>
      </c>
      <c r="C17053" s="3">
        <v>3</v>
      </c>
    </row>
    <row r="17054" spans="1:3" x14ac:dyDescent="0.25">
      <c r="A17054" s="1" t="s">
        <v>17053</v>
      </c>
      <c r="C17054" s="3">
        <v>3</v>
      </c>
    </row>
    <row r="17055" spans="1:3" x14ac:dyDescent="0.25">
      <c r="A17055" s="1" t="s">
        <v>17054</v>
      </c>
      <c r="C17055" s="3">
        <v>3</v>
      </c>
    </row>
    <row r="17056" spans="1:3" x14ac:dyDescent="0.25">
      <c r="A17056" s="1" t="s">
        <v>17055</v>
      </c>
      <c r="C17056" s="3">
        <v>3</v>
      </c>
    </row>
    <row r="17057" spans="1:3" x14ac:dyDescent="0.25">
      <c r="A17057" s="1" t="s">
        <v>17056</v>
      </c>
      <c r="C17057" s="3">
        <v>3</v>
      </c>
    </row>
    <row r="17058" spans="1:3" x14ac:dyDescent="0.25">
      <c r="A17058" s="1" t="s">
        <v>17057</v>
      </c>
      <c r="C17058" s="3">
        <v>3</v>
      </c>
    </row>
    <row r="17059" spans="1:3" x14ac:dyDescent="0.25">
      <c r="A17059" s="1" t="s">
        <v>17058</v>
      </c>
      <c r="C17059" s="3">
        <v>3</v>
      </c>
    </row>
    <row r="17060" spans="1:3" x14ac:dyDescent="0.25">
      <c r="A17060" s="1" t="s">
        <v>17059</v>
      </c>
      <c r="C17060" s="3">
        <v>3</v>
      </c>
    </row>
    <row r="17061" spans="1:3" x14ac:dyDescent="0.25">
      <c r="A17061" s="1" t="s">
        <v>17060</v>
      </c>
      <c r="C17061" s="3">
        <v>3</v>
      </c>
    </row>
    <row r="17062" spans="1:3" x14ac:dyDescent="0.25">
      <c r="A17062" s="1" t="s">
        <v>17061</v>
      </c>
      <c r="C17062" s="3">
        <v>3</v>
      </c>
    </row>
    <row r="17063" spans="1:3" x14ac:dyDescent="0.25">
      <c r="A17063" s="1" t="s">
        <v>17062</v>
      </c>
      <c r="C17063" s="3">
        <v>3</v>
      </c>
    </row>
    <row r="17064" spans="1:3" x14ac:dyDescent="0.25">
      <c r="A17064" s="1" t="s">
        <v>17063</v>
      </c>
      <c r="C17064" s="3">
        <v>3</v>
      </c>
    </row>
    <row r="17065" spans="1:3" x14ac:dyDescent="0.25">
      <c r="A17065" s="1" t="s">
        <v>17064</v>
      </c>
      <c r="C17065" s="3">
        <v>3</v>
      </c>
    </row>
    <row r="17066" spans="1:3" x14ac:dyDescent="0.25">
      <c r="A17066" s="1" t="s">
        <v>17065</v>
      </c>
      <c r="C17066" s="3">
        <v>3</v>
      </c>
    </row>
    <row r="17067" spans="1:3" x14ac:dyDescent="0.25">
      <c r="A17067" s="1" t="s">
        <v>17066</v>
      </c>
      <c r="C17067" s="3">
        <v>3</v>
      </c>
    </row>
    <row r="17068" spans="1:3" x14ac:dyDescent="0.25">
      <c r="A17068" s="1" t="s">
        <v>17067</v>
      </c>
      <c r="C17068" s="3">
        <v>3</v>
      </c>
    </row>
    <row r="17069" spans="1:3" x14ac:dyDescent="0.25">
      <c r="A17069" s="1" t="s">
        <v>17068</v>
      </c>
      <c r="C17069" s="3">
        <v>3</v>
      </c>
    </row>
    <row r="17070" spans="1:3" x14ac:dyDescent="0.25">
      <c r="A17070" s="1" t="s">
        <v>17069</v>
      </c>
      <c r="C17070" s="3">
        <v>3</v>
      </c>
    </row>
    <row r="17071" spans="1:3" x14ac:dyDescent="0.25">
      <c r="A17071" s="1" t="s">
        <v>17070</v>
      </c>
      <c r="C17071" s="3">
        <v>3</v>
      </c>
    </row>
    <row r="17072" spans="1:3" x14ac:dyDescent="0.25">
      <c r="A17072" s="1" t="s">
        <v>17071</v>
      </c>
      <c r="C17072" s="3">
        <v>3</v>
      </c>
    </row>
    <row r="17073" spans="1:3" x14ac:dyDescent="0.25">
      <c r="A17073" s="1" t="s">
        <v>17072</v>
      </c>
      <c r="C17073" s="3">
        <v>3</v>
      </c>
    </row>
    <row r="17074" spans="1:3" x14ac:dyDescent="0.25">
      <c r="A17074" s="1" t="s">
        <v>17073</v>
      </c>
      <c r="C17074" s="3">
        <v>3</v>
      </c>
    </row>
    <row r="17075" spans="1:3" x14ac:dyDescent="0.25">
      <c r="A17075" s="1" t="s">
        <v>17074</v>
      </c>
      <c r="C17075" s="3">
        <v>3</v>
      </c>
    </row>
    <row r="17076" spans="1:3" x14ac:dyDescent="0.25">
      <c r="A17076" s="1" t="s">
        <v>17075</v>
      </c>
      <c r="C17076" s="3">
        <v>3</v>
      </c>
    </row>
    <row r="17077" spans="1:3" x14ac:dyDescent="0.25">
      <c r="A17077" s="1" t="s">
        <v>17076</v>
      </c>
      <c r="C17077" s="3">
        <v>3</v>
      </c>
    </row>
    <row r="17078" spans="1:3" x14ac:dyDescent="0.25">
      <c r="A17078" s="1" t="s">
        <v>17077</v>
      </c>
      <c r="C17078" s="3">
        <v>3</v>
      </c>
    </row>
    <row r="17079" spans="1:3" x14ac:dyDescent="0.25">
      <c r="A17079" s="1" t="s">
        <v>17078</v>
      </c>
      <c r="C17079" s="3">
        <v>3</v>
      </c>
    </row>
    <row r="17080" spans="1:3" x14ac:dyDescent="0.25">
      <c r="A17080" s="1" t="s">
        <v>17079</v>
      </c>
      <c r="C17080" s="3">
        <v>3</v>
      </c>
    </row>
    <row r="17081" spans="1:3" x14ac:dyDescent="0.25">
      <c r="A17081" s="1" t="s">
        <v>17080</v>
      </c>
      <c r="C17081" s="3">
        <v>3</v>
      </c>
    </row>
    <row r="17082" spans="1:3" x14ac:dyDescent="0.25">
      <c r="A17082" s="1" t="s">
        <v>17081</v>
      </c>
      <c r="C17082" s="3">
        <v>3</v>
      </c>
    </row>
    <row r="17083" spans="1:3" x14ac:dyDescent="0.25">
      <c r="A17083" s="1" t="s">
        <v>17082</v>
      </c>
      <c r="C17083" s="3">
        <v>3</v>
      </c>
    </row>
    <row r="17084" spans="1:3" x14ac:dyDescent="0.25">
      <c r="A17084" s="1" t="s">
        <v>17083</v>
      </c>
      <c r="C17084" s="3">
        <v>3</v>
      </c>
    </row>
    <row r="17085" spans="1:3" x14ac:dyDescent="0.25">
      <c r="A17085" s="1" t="s">
        <v>17084</v>
      </c>
      <c r="C17085" s="3">
        <v>3</v>
      </c>
    </row>
    <row r="17086" spans="1:3" x14ac:dyDescent="0.25">
      <c r="A17086" s="1" t="s">
        <v>17085</v>
      </c>
      <c r="C17086" s="3">
        <v>3</v>
      </c>
    </row>
    <row r="17087" spans="1:3" x14ac:dyDescent="0.25">
      <c r="A17087" s="1" t="s">
        <v>17086</v>
      </c>
      <c r="C17087" s="3">
        <v>3</v>
      </c>
    </row>
    <row r="17088" spans="1:3" x14ac:dyDescent="0.25">
      <c r="A17088" s="1" t="s">
        <v>17087</v>
      </c>
      <c r="C17088" s="3">
        <v>3</v>
      </c>
    </row>
    <row r="17089" spans="1:3" x14ac:dyDescent="0.25">
      <c r="A17089" s="1" t="s">
        <v>17088</v>
      </c>
      <c r="C17089" s="3">
        <v>3</v>
      </c>
    </row>
    <row r="17090" spans="1:3" x14ac:dyDescent="0.25">
      <c r="A17090" s="1" t="s">
        <v>17089</v>
      </c>
      <c r="C17090" s="3">
        <v>3</v>
      </c>
    </row>
    <row r="17091" spans="1:3" x14ac:dyDescent="0.25">
      <c r="A17091" s="1" t="s">
        <v>17090</v>
      </c>
      <c r="C17091" s="3">
        <v>3</v>
      </c>
    </row>
    <row r="17092" spans="1:3" x14ac:dyDescent="0.25">
      <c r="A17092" s="1" t="s">
        <v>17091</v>
      </c>
      <c r="C17092" s="3">
        <v>3</v>
      </c>
    </row>
    <row r="17093" spans="1:3" x14ac:dyDescent="0.25">
      <c r="A17093" s="1" t="s">
        <v>17092</v>
      </c>
      <c r="C17093" s="3">
        <v>3</v>
      </c>
    </row>
    <row r="17094" spans="1:3" x14ac:dyDescent="0.25">
      <c r="A17094" s="1" t="s">
        <v>17093</v>
      </c>
      <c r="C17094" s="3">
        <v>3</v>
      </c>
    </row>
    <row r="17095" spans="1:3" x14ac:dyDescent="0.25">
      <c r="A17095" s="1" t="s">
        <v>17094</v>
      </c>
      <c r="C17095" s="3">
        <v>3</v>
      </c>
    </row>
    <row r="17096" spans="1:3" x14ac:dyDescent="0.25">
      <c r="A17096" s="1" t="s">
        <v>17095</v>
      </c>
      <c r="C17096" s="3">
        <v>3</v>
      </c>
    </row>
    <row r="17097" spans="1:3" x14ac:dyDescent="0.25">
      <c r="A17097" s="1" t="s">
        <v>17096</v>
      </c>
      <c r="C17097" s="3">
        <v>3</v>
      </c>
    </row>
    <row r="17098" spans="1:3" x14ac:dyDescent="0.25">
      <c r="A17098" s="1" t="s">
        <v>17097</v>
      </c>
      <c r="C17098" s="3">
        <v>3</v>
      </c>
    </row>
    <row r="17099" spans="1:3" x14ac:dyDescent="0.25">
      <c r="A17099" s="1" t="s">
        <v>17098</v>
      </c>
      <c r="C17099" s="3">
        <v>3</v>
      </c>
    </row>
    <row r="17100" spans="1:3" x14ac:dyDescent="0.25">
      <c r="A17100" s="1" t="s">
        <v>17099</v>
      </c>
      <c r="C17100" s="3">
        <v>3</v>
      </c>
    </row>
    <row r="17101" spans="1:3" x14ac:dyDescent="0.25">
      <c r="A17101" s="1" t="s">
        <v>17100</v>
      </c>
      <c r="C17101" s="3">
        <v>3</v>
      </c>
    </row>
    <row r="17102" spans="1:3" x14ac:dyDescent="0.25">
      <c r="A17102" s="1" t="s">
        <v>17101</v>
      </c>
      <c r="C17102" s="3">
        <v>3</v>
      </c>
    </row>
    <row r="17103" spans="1:3" x14ac:dyDescent="0.25">
      <c r="A17103" s="1" t="s">
        <v>17102</v>
      </c>
      <c r="C17103" s="3">
        <v>3</v>
      </c>
    </row>
    <row r="17104" spans="1:3" x14ac:dyDescent="0.25">
      <c r="A17104" s="1" t="s">
        <v>17103</v>
      </c>
      <c r="C17104" s="3">
        <v>3</v>
      </c>
    </row>
    <row r="17105" spans="1:3" x14ac:dyDescent="0.25">
      <c r="A17105" s="1" t="s">
        <v>17104</v>
      </c>
      <c r="C17105" s="3">
        <v>3</v>
      </c>
    </row>
    <row r="17106" spans="1:3" x14ac:dyDescent="0.25">
      <c r="A17106" s="1" t="s">
        <v>17105</v>
      </c>
      <c r="C17106" s="3">
        <v>3</v>
      </c>
    </row>
    <row r="17107" spans="1:3" x14ac:dyDescent="0.25">
      <c r="A17107" s="1" t="s">
        <v>17106</v>
      </c>
      <c r="C17107" s="3">
        <v>3</v>
      </c>
    </row>
    <row r="17108" spans="1:3" x14ac:dyDescent="0.25">
      <c r="A17108" s="1" t="s">
        <v>17107</v>
      </c>
      <c r="C17108" s="3">
        <v>3</v>
      </c>
    </row>
    <row r="17109" spans="1:3" x14ac:dyDescent="0.25">
      <c r="A17109" s="1" t="s">
        <v>17108</v>
      </c>
      <c r="C17109" s="3">
        <v>3</v>
      </c>
    </row>
    <row r="17110" spans="1:3" x14ac:dyDescent="0.25">
      <c r="A17110" s="1" t="s">
        <v>17109</v>
      </c>
      <c r="C17110" s="3">
        <v>3</v>
      </c>
    </row>
    <row r="17111" spans="1:3" x14ac:dyDescent="0.25">
      <c r="A17111" s="1" t="s">
        <v>17110</v>
      </c>
      <c r="C17111" s="3">
        <v>3</v>
      </c>
    </row>
    <row r="17112" spans="1:3" x14ac:dyDescent="0.25">
      <c r="A17112" s="1" t="s">
        <v>17111</v>
      </c>
      <c r="C17112" s="3">
        <v>3</v>
      </c>
    </row>
    <row r="17113" spans="1:3" x14ac:dyDescent="0.25">
      <c r="A17113" s="1" t="s">
        <v>17112</v>
      </c>
      <c r="C17113" s="3">
        <v>3</v>
      </c>
    </row>
    <row r="17114" spans="1:3" x14ac:dyDescent="0.25">
      <c r="A17114" s="1" t="s">
        <v>17113</v>
      </c>
      <c r="C17114" s="3">
        <v>3</v>
      </c>
    </row>
    <row r="17115" spans="1:3" x14ac:dyDescent="0.25">
      <c r="A17115" s="1" t="s">
        <v>17114</v>
      </c>
      <c r="C17115" s="3">
        <v>3</v>
      </c>
    </row>
    <row r="17116" spans="1:3" x14ac:dyDescent="0.25">
      <c r="A17116" s="1" t="s">
        <v>17115</v>
      </c>
      <c r="C17116" s="3">
        <v>3</v>
      </c>
    </row>
    <row r="17117" spans="1:3" x14ac:dyDescent="0.25">
      <c r="A17117" s="1" t="s">
        <v>17116</v>
      </c>
      <c r="C17117" s="3">
        <v>3</v>
      </c>
    </row>
    <row r="17118" spans="1:3" x14ac:dyDescent="0.25">
      <c r="A17118" s="1" t="s">
        <v>17117</v>
      </c>
      <c r="C17118" s="3">
        <v>3</v>
      </c>
    </row>
    <row r="17119" spans="1:3" x14ac:dyDescent="0.25">
      <c r="A17119" s="1" t="s">
        <v>17118</v>
      </c>
      <c r="C17119" s="3">
        <v>3</v>
      </c>
    </row>
    <row r="17120" spans="1:3" x14ac:dyDescent="0.25">
      <c r="A17120" s="1" t="s">
        <v>17119</v>
      </c>
      <c r="C17120" s="3">
        <v>3</v>
      </c>
    </row>
    <row r="17121" spans="1:3" x14ac:dyDescent="0.25">
      <c r="A17121" s="1" t="s">
        <v>17120</v>
      </c>
      <c r="C17121" s="3">
        <v>3</v>
      </c>
    </row>
    <row r="17122" spans="1:3" x14ac:dyDescent="0.25">
      <c r="A17122" s="1" t="s">
        <v>17121</v>
      </c>
      <c r="C17122" s="3">
        <v>3</v>
      </c>
    </row>
    <row r="17123" spans="1:3" x14ac:dyDescent="0.25">
      <c r="A17123" s="1" t="s">
        <v>17122</v>
      </c>
      <c r="C17123" s="3">
        <v>3</v>
      </c>
    </row>
    <row r="17124" spans="1:3" x14ac:dyDescent="0.25">
      <c r="A17124" s="1" t="s">
        <v>17123</v>
      </c>
      <c r="C17124" s="3">
        <v>3</v>
      </c>
    </row>
    <row r="17125" spans="1:3" x14ac:dyDescent="0.25">
      <c r="A17125" s="1" t="s">
        <v>17124</v>
      </c>
      <c r="C17125" s="3">
        <v>3</v>
      </c>
    </row>
    <row r="17126" spans="1:3" x14ac:dyDescent="0.25">
      <c r="A17126" s="1" t="s">
        <v>17125</v>
      </c>
      <c r="C17126" s="3">
        <v>3</v>
      </c>
    </row>
    <row r="17127" spans="1:3" x14ac:dyDescent="0.25">
      <c r="A17127" s="1" t="s">
        <v>17126</v>
      </c>
      <c r="C17127" s="3">
        <v>3</v>
      </c>
    </row>
    <row r="17128" spans="1:3" x14ac:dyDescent="0.25">
      <c r="A17128" s="1" t="s">
        <v>17127</v>
      </c>
      <c r="C17128" s="3">
        <v>3</v>
      </c>
    </row>
    <row r="17129" spans="1:3" x14ac:dyDescent="0.25">
      <c r="A17129" s="1" t="s">
        <v>17128</v>
      </c>
      <c r="C17129" s="3">
        <v>3</v>
      </c>
    </row>
    <row r="17130" spans="1:3" x14ac:dyDescent="0.25">
      <c r="A17130" s="1" t="s">
        <v>17129</v>
      </c>
      <c r="C17130" s="3">
        <v>3</v>
      </c>
    </row>
    <row r="17131" spans="1:3" x14ac:dyDescent="0.25">
      <c r="A17131" s="1" t="s">
        <v>17130</v>
      </c>
      <c r="C17131" s="3">
        <v>3</v>
      </c>
    </row>
    <row r="17132" spans="1:3" x14ac:dyDescent="0.25">
      <c r="A17132" s="1" t="s">
        <v>17131</v>
      </c>
      <c r="C17132" s="3">
        <v>3</v>
      </c>
    </row>
    <row r="17133" spans="1:3" x14ac:dyDescent="0.25">
      <c r="A17133" s="1" t="s">
        <v>17132</v>
      </c>
      <c r="C17133" s="3">
        <v>3</v>
      </c>
    </row>
    <row r="17134" spans="1:3" x14ac:dyDescent="0.25">
      <c r="A17134" s="1" t="s">
        <v>17133</v>
      </c>
      <c r="C17134" s="3">
        <v>3</v>
      </c>
    </row>
    <row r="17135" spans="1:3" x14ac:dyDescent="0.25">
      <c r="A17135" s="1" t="s">
        <v>17134</v>
      </c>
      <c r="C17135" s="3">
        <v>3</v>
      </c>
    </row>
    <row r="17136" spans="1:3" x14ac:dyDescent="0.25">
      <c r="A17136" s="1" t="s">
        <v>17135</v>
      </c>
      <c r="C17136" s="3">
        <v>3</v>
      </c>
    </row>
    <row r="17137" spans="1:3" x14ac:dyDescent="0.25">
      <c r="A17137" s="1" t="s">
        <v>17136</v>
      </c>
      <c r="C17137" s="3">
        <v>3</v>
      </c>
    </row>
    <row r="17138" spans="1:3" x14ac:dyDescent="0.25">
      <c r="A17138" s="1" t="s">
        <v>17137</v>
      </c>
      <c r="C17138" s="3">
        <v>3</v>
      </c>
    </row>
    <row r="17139" spans="1:3" x14ac:dyDescent="0.25">
      <c r="A17139" s="1" t="s">
        <v>17138</v>
      </c>
      <c r="C17139" s="3">
        <v>3</v>
      </c>
    </row>
    <row r="17140" spans="1:3" x14ac:dyDescent="0.25">
      <c r="A17140" s="1" t="s">
        <v>17139</v>
      </c>
      <c r="C17140" s="3">
        <v>3</v>
      </c>
    </row>
    <row r="17141" spans="1:3" x14ac:dyDescent="0.25">
      <c r="A17141" s="1" t="s">
        <v>17140</v>
      </c>
      <c r="C17141" s="3">
        <v>3</v>
      </c>
    </row>
    <row r="17142" spans="1:3" x14ac:dyDescent="0.25">
      <c r="A17142" s="1" t="s">
        <v>17141</v>
      </c>
      <c r="C17142" s="3">
        <v>3</v>
      </c>
    </row>
    <row r="17143" spans="1:3" x14ac:dyDescent="0.25">
      <c r="A17143" s="1" t="s">
        <v>17142</v>
      </c>
      <c r="C17143" s="3">
        <v>3</v>
      </c>
    </row>
    <row r="17144" spans="1:3" x14ac:dyDescent="0.25">
      <c r="A17144" s="1" t="s">
        <v>17143</v>
      </c>
      <c r="C17144" s="3">
        <v>3</v>
      </c>
    </row>
    <row r="17145" spans="1:3" x14ac:dyDescent="0.25">
      <c r="A17145" s="1" t="s">
        <v>17144</v>
      </c>
      <c r="C17145" s="3">
        <v>3</v>
      </c>
    </row>
    <row r="17146" spans="1:3" x14ac:dyDescent="0.25">
      <c r="A17146" s="1" t="s">
        <v>17145</v>
      </c>
      <c r="C17146" s="3">
        <v>3</v>
      </c>
    </row>
    <row r="17147" spans="1:3" x14ac:dyDescent="0.25">
      <c r="A17147" s="1" t="s">
        <v>17146</v>
      </c>
      <c r="C17147" s="3">
        <v>3</v>
      </c>
    </row>
    <row r="17148" spans="1:3" x14ac:dyDescent="0.25">
      <c r="A17148" s="1" t="s">
        <v>17147</v>
      </c>
      <c r="C17148" s="3">
        <v>3</v>
      </c>
    </row>
    <row r="17149" spans="1:3" x14ac:dyDescent="0.25">
      <c r="A17149" s="1" t="s">
        <v>17148</v>
      </c>
      <c r="C17149" s="3">
        <v>3</v>
      </c>
    </row>
    <row r="17150" spans="1:3" x14ac:dyDescent="0.25">
      <c r="A17150" s="1" t="s">
        <v>17149</v>
      </c>
      <c r="C17150" s="3">
        <v>3</v>
      </c>
    </row>
    <row r="17151" spans="1:3" x14ac:dyDescent="0.25">
      <c r="A17151" s="1" t="s">
        <v>17150</v>
      </c>
      <c r="C17151" s="3">
        <v>3</v>
      </c>
    </row>
    <row r="17152" spans="1:3" x14ac:dyDescent="0.25">
      <c r="A17152" s="1" t="s">
        <v>17151</v>
      </c>
      <c r="C17152" s="3">
        <v>3</v>
      </c>
    </row>
    <row r="17153" spans="1:3" x14ac:dyDescent="0.25">
      <c r="A17153" s="1" t="s">
        <v>17152</v>
      </c>
      <c r="C17153" s="3">
        <v>3</v>
      </c>
    </row>
    <row r="17154" spans="1:3" x14ac:dyDescent="0.25">
      <c r="A17154" s="1" t="s">
        <v>17153</v>
      </c>
      <c r="C17154" s="3">
        <v>3</v>
      </c>
    </row>
    <row r="17155" spans="1:3" x14ac:dyDescent="0.25">
      <c r="A17155" s="1" t="s">
        <v>17154</v>
      </c>
      <c r="C17155" s="3">
        <v>3</v>
      </c>
    </row>
    <row r="17156" spans="1:3" x14ac:dyDescent="0.25">
      <c r="A17156" s="1" t="s">
        <v>17155</v>
      </c>
      <c r="C17156" s="3">
        <v>3</v>
      </c>
    </row>
    <row r="17157" spans="1:3" x14ac:dyDescent="0.25">
      <c r="A17157" s="1" t="s">
        <v>17156</v>
      </c>
      <c r="C17157" s="3">
        <v>3</v>
      </c>
    </row>
    <row r="17158" spans="1:3" x14ac:dyDescent="0.25">
      <c r="A17158" s="1" t="s">
        <v>17157</v>
      </c>
      <c r="C17158" s="3">
        <v>3</v>
      </c>
    </row>
    <row r="17159" spans="1:3" x14ac:dyDescent="0.25">
      <c r="A17159" s="1" t="s">
        <v>17158</v>
      </c>
      <c r="C17159" s="3">
        <v>3</v>
      </c>
    </row>
    <row r="17160" spans="1:3" x14ac:dyDescent="0.25">
      <c r="A17160" s="1" t="s">
        <v>17159</v>
      </c>
      <c r="C17160" s="3">
        <v>3</v>
      </c>
    </row>
    <row r="17161" spans="1:3" x14ac:dyDescent="0.25">
      <c r="A17161" s="1" t="s">
        <v>17160</v>
      </c>
      <c r="C17161" s="3">
        <v>3</v>
      </c>
    </row>
    <row r="17162" spans="1:3" x14ac:dyDescent="0.25">
      <c r="A17162" s="1" t="s">
        <v>17161</v>
      </c>
      <c r="C17162" s="3">
        <v>3</v>
      </c>
    </row>
    <row r="17163" spans="1:3" x14ac:dyDescent="0.25">
      <c r="A17163" s="1" t="s">
        <v>17162</v>
      </c>
      <c r="C17163" s="3">
        <v>3</v>
      </c>
    </row>
    <row r="17164" spans="1:3" x14ac:dyDescent="0.25">
      <c r="A17164" s="1" t="s">
        <v>17163</v>
      </c>
      <c r="C17164" s="3">
        <v>3</v>
      </c>
    </row>
    <row r="17165" spans="1:3" x14ac:dyDescent="0.25">
      <c r="A17165" s="1" t="s">
        <v>17164</v>
      </c>
      <c r="C17165" s="3">
        <v>3</v>
      </c>
    </row>
    <row r="17166" spans="1:3" x14ac:dyDescent="0.25">
      <c r="A17166" s="1" t="s">
        <v>17165</v>
      </c>
      <c r="C17166" s="3">
        <v>3</v>
      </c>
    </row>
    <row r="17167" spans="1:3" x14ac:dyDescent="0.25">
      <c r="A17167" s="1" t="s">
        <v>17166</v>
      </c>
      <c r="C17167" s="3">
        <v>3</v>
      </c>
    </row>
    <row r="17168" spans="1:3" x14ac:dyDescent="0.25">
      <c r="A17168" s="1" t="s">
        <v>17167</v>
      </c>
      <c r="C17168" s="3">
        <v>3</v>
      </c>
    </row>
    <row r="17169" spans="1:3" x14ac:dyDescent="0.25">
      <c r="A17169" s="1" t="s">
        <v>17168</v>
      </c>
      <c r="C17169" s="3">
        <v>3</v>
      </c>
    </row>
    <row r="17170" spans="1:3" x14ac:dyDescent="0.25">
      <c r="A17170" s="1" t="s">
        <v>17169</v>
      </c>
      <c r="C17170" s="3">
        <v>3</v>
      </c>
    </row>
    <row r="17171" spans="1:3" x14ac:dyDescent="0.25">
      <c r="A17171" s="1" t="s">
        <v>17170</v>
      </c>
      <c r="C17171" s="3">
        <v>3</v>
      </c>
    </row>
    <row r="17172" spans="1:3" x14ac:dyDescent="0.25">
      <c r="A17172" s="1" t="s">
        <v>17171</v>
      </c>
      <c r="C17172" s="3">
        <v>3</v>
      </c>
    </row>
    <row r="17173" spans="1:3" x14ac:dyDescent="0.25">
      <c r="A17173" s="1" t="s">
        <v>17172</v>
      </c>
      <c r="C17173" s="3">
        <v>3</v>
      </c>
    </row>
    <row r="17174" spans="1:3" x14ac:dyDescent="0.25">
      <c r="A17174" s="1" t="s">
        <v>17173</v>
      </c>
      <c r="C17174" s="3">
        <v>3</v>
      </c>
    </row>
    <row r="17175" spans="1:3" x14ac:dyDescent="0.25">
      <c r="A17175" s="1" t="s">
        <v>17174</v>
      </c>
      <c r="C17175" s="3">
        <v>3</v>
      </c>
    </row>
    <row r="17176" spans="1:3" x14ac:dyDescent="0.25">
      <c r="A17176" s="1" t="s">
        <v>17175</v>
      </c>
      <c r="C17176" s="3">
        <v>3</v>
      </c>
    </row>
    <row r="17177" spans="1:3" x14ac:dyDescent="0.25">
      <c r="A17177" s="1" t="s">
        <v>17176</v>
      </c>
      <c r="C17177" s="3">
        <v>3</v>
      </c>
    </row>
    <row r="17178" spans="1:3" x14ac:dyDescent="0.25">
      <c r="A17178" s="1" t="s">
        <v>17177</v>
      </c>
      <c r="C17178" s="3">
        <v>3</v>
      </c>
    </row>
    <row r="17179" spans="1:3" x14ac:dyDescent="0.25">
      <c r="A17179" s="1" t="s">
        <v>17178</v>
      </c>
      <c r="C17179" s="3">
        <v>3</v>
      </c>
    </row>
    <row r="17180" spans="1:3" x14ac:dyDescent="0.25">
      <c r="A17180" s="1" t="s">
        <v>17179</v>
      </c>
      <c r="C17180" s="3">
        <v>3</v>
      </c>
    </row>
    <row r="17181" spans="1:3" x14ac:dyDescent="0.25">
      <c r="A17181" s="1" t="s">
        <v>17180</v>
      </c>
      <c r="C17181" s="3">
        <v>3</v>
      </c>
    </row>
    <row r="17182" spans="1:3" x14ac:dyDescent="0.25">
      <c r="A17182" s="1" t="s">
        <v>17181</v>
      </c>
      <c r="C17182" s="3">
        <v>3</v>
      </c>
    </row>
    <row r="17183" spans="1:3" x14ac:dyDescent="0.25">
      <c r="A17183" s="1" t="s">
        <v>17182</v>
      </c>
      <c r="C17183" s="3">
        <v>3</v>
      </c>
    </row>
    <row r="17184" spans="1:3" x14ac:dyDescent="0.25">
      <c r="A17184" s="1" t="s">
        <v>17183</v>
      </c>
      <c r="C17184" s="3">
        <v>3</v>
      </c>
    </row>
    <row r="17185" spans="1:3" x14ac:dyDescent="0.25">
      <c r="A17185" s="1" t="s">
        <v>17184</v>
      </c>
      <c r="C17185" s="3">
        <v>3</v>
      </c>
    </row>
    <row r="17186" spans="1:3" x14ac:dyDescent="0.25">
      <c r="A17186" s="1" t="s">
        <v>17185</v>
      </c>
      <c r="C17186" s="3">
        <v>3</v>
      </c>
    </row>
    <row r="17187" spans="1:3" x14ac:dyDescent="0.25">
      <c r="A17187" s="1" t="s">
        <v>17186</v>
      </c>
      <c r="C17187" s="3">
        <v>3</v>
      </c>
    </row>
    <row r="17188" spans="1:3" x14ac:dyDescent="0.25">
      <c r="A17188" s="1" t="s">
        <v>17187</v>
      </c>
      <c r="C17188" s="3">
        <v>3</v>
      </c>
    </row>
    <row r="17189" spans="1:3" x14ac:dyDescent="0.25">
      <c r="A17189" s="1" t="s">
        <v>17188</v>
      </c>
      <c r="C17189" s="3">
        <v>3</v>
      </c>
    </row>
    <row r="17190" spans="1:3" x14ac:dyDescent="0.25">
      <c r="A17190" s="1" t="s">
        <v>17189</v>
      </c>
      <c r="C17190" s="3">
        <v>3</v>
      </c>
    </row>
    <row r="17191" spans="1:3" x14ac:dyDescent="0.25">
      <c r="A17191" s="1" t="s">
        <v>17190</v>
      </c>
      <c r="C17191" s="3">
        <v>3</v>
      </c>
    </row>
    <row r="17192" spans="1:3" x14ac:dyDescent="0.25">
      <c r="A17192" s="1" t="s">
        <v>17191</v>
      </c>
      <c r="C17192" s="3">
        <v>3</v>
      </c>
    </row>
    <row r="17193" spans="1:3" x14ac:dyDescent="0.25">
      <c r="A17193" s="1" t="s">
        <v>17192</v>
      </c>
      <c r="C17193" s="3">
        <v>3</v>
      </c>
    </row>
    <row r="17194" spans="1:3" x14ac:dyDescent="0.25">
      <c r="A17194" s="1" t="s">
        <v>17193</v>
      </c>
      <c r="C17194" s="3">
        <v>3</v>
      </c>
    </row>
    <row r="17195" spans="1:3" x14ac:dyDescent="0.25">
      <c r="A17195" s="1" t="s">
        <v>17194</v>
      </c>
      <c r="C17195" s="3">
        <v>3</v>
      </c>
    </row>
    <row r="17196" spans="1:3" x14ac:dyDescent="0.25">
      <c r="A17196" s="1" t="s">
        <v>17195</v>
      </c>
      <c r="C17196" s="3">
        <v>3</v>
      </c>
    </row>
    <row r="17197" spans="1:3" x14ac:dyDescent="0.25">
      <c r="A17197" s="1" t="s">
        <v>17196</v>
      </c>
      <c r="C17197" s="3">
        <v>3</v>
      </c>
    </row>
    <row r="17198" spans="1:3" x14ac:dyDescent="0.25">
      <c r="A17198" s="1" t="s">
        <v>17197</v>
      </c>
      <c r="C17198" s="3">
        <v>3</v>
      </c>
    </row>
    <row r="17199" spans="1:3" x14ac:dyDescent="0.25">
      <c r="A17199" s="1" t="s">
        <v>17198</v>
      </c>
      <c r="C17199" s="3">
        <v>3</v>
      </c>
    </row>
    <row r="17200" spans="1:3" x14ac:dyDescent="0.25">
      <c r="A17200" s="1" t="s">
        <v>17199</v>
      </c>
      <c r="C17200" s="3">
        <v>3</v>
      </c>
    </row>
    <row r="17201" spans="1:3" x14ac:dyDescent="0.25">
      <c r="A17201" s="1" t="s">
        <v>17200</v>
      </c>
      <c r="C17201" s="3">
        <v>3</v>
      </c>
    </row>
    <row r="17202" spans="1:3" x14ac:dyDescent="0.25">
      <c r="A17202" s="1" t="s">
        <v>17201</v>
      </c>
      <c r="C17202" s="3">
        <v>3</v>
      </c>
    </row>
    <row r="17203" spans="1:3" x14ac:dyDescent="0.25">
      <c r="A17203" s="1" t="s">
        <v>17202</v>
      </c>
      <c r="C17203" s="3">
        <v>3</v>
      </c>
    </row>
    <row r="17204" spans="1:3" x14ac:dyDescent="0.25">
      <c r="A17204" s="1" t="s">
        <v>17203</v>
      </c>
      <c r="C17204" s="3">
        <v>3</v>
      </c>
    </row>
    <row r="17205" spans="1:3" x14ac:dyDescent="0.25">
      <c r="A17205" s="1" t="s">
        <v>17204</v>
      </c>
      <c r="C17205" s="3">
        <v>3</v>
      </c>
    </row>
    <row r="17206" spans="1:3" x14ac:dyDescent="0.25">
      <c r="A17206" s="1" t="s">
        <v>17205</v>
      </c>
      <c r="C17206" s="3">
        <v>3</v>
      </c>
    </row>
    <row r="17207" spans="1:3" x14ac:dyDescent="0.25">
      <c r="A17207" s="1" t="s">
        <v>17206</v>
      </c>
      <c r="C17207" s="3">
        <v>3</v>
      </c>
    </row>
    <row r="17208" spans="1:3" x14ac:dyDescent="0.25">
      <c r="A17208" s="1" t="s">
        <v>17207</v>
      </c>
      <c r="C17208" s="3">
        <v>3</v>
      </c>
    </row>
    <row r="17209" spans="1:3" x14ac:dyDescent="0.25">
      <c r="A17209" s="1" t="s">
        <v>17208</v>
      </c>
      <c r="C17209" s="3">
        <v>3</v>
      </c>
    </row>
    <row r="17210" spans="1:3" x14ac:dyDescent="0.25">
      <c r="A17210" s="1" t="s">
        <v>17209</v>
      </c>
      <c r="C17210" s="3">
        <v>3</v>
      </c>
    </row>
    <row r="17211" spans="1:3" x14ac:dyDescent="0.25">
      <c r="A17211" s="1" t="s">
        <v>17210</v>
      </c>
      <c r="C17211" s="3">
        <v>3</v>
      </c>
    </row>
    <row r="17212" spans="1:3" x14ac:dyDescent="0.25">
      <c r="A17212" s="1" t="s">
        <v>17211</v>
      </c>
      <c r="C17212" s="3">
        <v>3</v>
      </c>
    </row>
    <row r="17213" spans="1:3" x14ac:dyDescent="0.25">
      <c r="A17213" s="1" t="s">
        <v>17212</v>
      </c>
      <c r="C17213" s="3">
        <v>3</v>
      </c>
    </row>
    <row r="17214" spans="1:3" x14ac:dyDescent="0.25">
      <c r="A17214" s="1" t="s">
        <v>17213</v>
      </c>
      <c r="C17214" s="3">
        <v>3</v>
      </c>
    </row>
    <row r="17215" spans="1:3" x14ac:dyDescent="0.25">
      <c r="A17215" s="1" t="s">
        <v>17214</v>
      </c>
      <c r="C17215" s="3">
        <v>3</v>
      </c>
    </row>
    <row r="17216" spans="1:3" x14ac:dyDescent="0.25">
      <c r="A17216" s="1" t="s">
        <v>17215</v>
      </c>
      <c r="C17216" s="3">
        <v>3</v>
      </c>
    </row>
    <row r="17217" spans="1:3" x14ac:dyDescent="0.25">
      <c r="A17217" s="1" t="s">
        <v>17216</v>
      </c>
      <c r="C17217" s="3">
        <v>3</v>
      </c>
    </row>
    <row r="17218" spans="1:3" x14ac:dyDescent="0.25">
      <c r="A17218" s="1" t="s">
        <v>17217</v>
      </c>
      <c r="C17218" s="3">
        <v>3</v>
      </c>
    </row>
    <row r="17219" spans="1:3" x14ac:dyDescent="0.25">
      <c r="A17219" s="1" t="s">
        <v>17218</v>
      </c>
      <c r="C17219" s="3">
        <v>3</v>
      </c>
    </row>
    <row r="17220" spans="1:3" x14ac:dyDescent="0.25">
      <c r="A17220" s="1" t="s">
        <v>17219</v>
      </c>
      <c r="C17220" s="3">
        <v>3</v>
      </c>
    </row>
    <row r="17221" spans="1:3" x14ac:dyDescent="0.25">
      <c r="A17221" s="1" t="s">
        <v>17220</v>
      </c>
      <c r="C17221" s="3">
        <v>3</v>
      </c>
    </row>
    <row r="17222" spans="1:3" x14ac:dyDescent="0.25">
      <c r="A17222" s="1" t="s">
        <v>17221</v>
      </c>
      <c r="C17222" s="3">
        <v>3</v>
      </c>
    </row>
    <row r="17223" spans="1:3" x14ac:dyDescent="0.25">
      <c r="A17223" s="1" t="s">
        <v>17222</v>
      </c>
      <c r="C17223" s="3">
        <v>3</v>
      </c>
    </row>
    <row r="17224" spans="1:3" x14ac:dyDescent="0.25">
      <c r="A17224" s="1" t="s">
        <v>17223</v>
      </c>
      <c r="C17224" s="3">
        <v>3</v>
      </c>
    </row>
    <row r="17225" spans="1:3" x14ac:dyDescent="0.25">
      <c r="A17225" s="1" t="s">
        <v>17224</v>
      </c>
      <c r="C17225" s="3">
        <v>3</v>
      </c>
    </row>
    <row r="17226" spans="1:3" x14ac:dyDescent="0.25">
      <c r="A17226" s="1" t="s">
        <v>17225</v>
      </c>
      <c r="C17226" s="3">
        <v>3</v>
      </c>
    </row>
    <row r="17227" spans="1:3" x14ac:dyDescent="0.25">
      <c r="A17227" s="1" t="s">
        <v>17226</v>
      </c>
      <c r="C17227" s="3">
        <v>3</v>
      </c>
    </row>
    <row r="17228" spans="1:3" x14ac:dyDescent="0.25">
      <c r="A17228" s="1" t="s">
        <v>17227</v>
      </c>
      <c r="C17228" s="3">
        <v>3</v>
      </c>
    </row>
    <row r="17229" spans="1:3" x14ac:dyDescent="0.25">
      <c r="A17229" s="1" t="s">
        <v>17228</v>
      </c>
      <c r="C17229" s="3">
        <v>3</v>
      </c>
    </row>
    <row r="17230" spans="1:3" x14ac:dyDescent="0.25">
      <c r="A17230" s="1" t="s">
        <v>17229</v>
      </c>
      <c r="C17230" s="3">
        <v>3</v>
      </c>
    </row>
    <row r="17231" spans="1:3" x14ac:dyDescent="0.25">
      <c r="A17231" s="1" t="s">
        <v>17230</v>
      </c>
      <c r="C17231" s="3">
        <v>3</v>
      </c>
    </row>
    <row r="17232" spans="1:3" x14ac:dyDescent="0.25">
      <c r="A17232" s="1" t="s">
        <v>17231</v>
      </c>
      <c r="C17232" s="3">
        <v>3</v>
      </c>
    </row>
    <row r="17233" spans="1:3" x14ac:dyDescent="0.25">
      <c r="A17233" s="1" t="s">
        <v>17232</v>
      </c>
      <c r="C17233" s="3">
        <v>3</v>
      </c>
    </row>
    <row r="17234" spans="1:3" x14ac:dyDescent="0.25">
      <c r="A17234" s="1" t="s">
        <v>17233</v>
      </c>
      <c r="C17234" s="3">
        <v>3</v>
      </c>
    </row>
    <row r="17235" spans="1:3" x14ac:dyDescent="0.25">
      <c r="A17235" s="1" t="s">
        <v>17234</v>
      </c>
      <c r="C17235" s="3">
        <v>3</v>
      </c>
    </row>
    <row r="17236" spans="1:3" x14ac:dyDescent="0.25">
      <c r="A17236" s="1" t="s">
        <v>17235</v>
      </c>
      <c r="C17236" s="3">
        <v>3</v>
      </c>
    </row>
    <row r="17237" spans="1:3" x14ac:dyDescent="0.25">
      <c r="A17237" s="1" t="s">
        <v>17236</v>
      </c>
      <c r="C17237" s="3">
        <v>3</v>
      </c>
    </row>
    <row r="17238" spans="1:3" x14ac:dyDescent="0.25">
      <c r="A17238" s="1" t="s">
        <v>17237</v>
      </c>
      <c r="C17238" s="3">
        <v>3</v>
      </c>
    </row>
    <row r="17239" spans="1:3" x14ac:dyDescent="0.25">
      <c r="A17239" s="1" t="s">
        <v>17238</v>
      </c>
      <c r="C17239" s="3">
        <v>3</v>
      </c>
    </row>
    <row r="17240" spans="1:3" x14ac:dyDescent="0.25">
      <c r="A17240" s="1" t="s">
        <v>17239</v>
      </c>
      <c r="C17240" s="3">
        <v>3</v>
      </c>
    </row>
    <row r="17241" spans="1:3" x14ac:dyDescent="0.25">
      <c r="A17241" s="1" t="s">
        <v>17240</v>
      </c>
      <c r="C17241" s="3">
        <v>3</v>
      </c>
    </row>
    <row r="17242" spans="1:3" x14ac:dyDescent="0.25">
      <c r="A17242" s="1" t="s">
        <v>17241</v>
      </c>
      <c r="C17242" s="3">
        <v>3</v>
      </c>
    </row>
    <row r="17243" spans="1:3" x14ac:dyDescent="0.25">
      <c r="A17243" s="1" t="s">
        <v>17242</v>
      </c>
      <c r="C17243" s="3">
        <v>3</v>
      </c>
    </row>
    <row r="17244" spans="1:3" x14ac:dyDescent="0.25">
      <c r="A17244" s="1" t="s">
        <v>17243</v>
      </c>
      <c r="C17244" s="3">
        <v>3</v>
      </c>
    </row>
    <row r="17245" spans="1:3" x14ac:dyDescent="0.25">
      <c r="A17245" s="1" t="s">
        <v>17244</v>
      </c>
      <c r="C17245" s="3">
        <v>3</v>
      </c>
    </row>
    <row r="17246" spans="1:3" x14ac:dyDescent="0.25">
      <c r="A17246" s="1" t="s">
        <v>17245</v>
      </c>
      <c r="C17246" s="3">
        <v>3</v>
      </c>
    </row>
    <row r="17247" spans="1:3" x14ac:dyDescent="0.25">
      <c r="A17247" s="1" t="s">
        <v>17246</v>
      </c>
      <c r="C17247" s="3">
        <v>3</v>
      </c>
    </row>
    <row r="17248" spans="1:3" x14ac:dyDescent="0.25">
      <c r="A17248" s="1" t="s">
        <v>17247</v>
      </c>
      <c r="C17248" s="3">
        <v>3</v>
      </c>
    </row>
    <row r="17249" spans="1:3" x14ac:dyDescent="0.25">
      <c r="A17249" s="1" t="s">
        <v>17248</v>
      </c>
      <c r="C17249" s="3">
        <v>3</v>
      </c>
    </row>
    <row r="17250" spans="1:3" x14ac:dyDescent="0.25">
      <c r="A17250" s="1" t="s">
        <v>17249</v>
      </c>
      <c r="C17250" s="3">
        <v>3</v>
      </c>
    </row>
    <row r="17251" spans="1:3" x14ac:dyDescent="0.25">
      <c r="A17251" s="1" t="s">
        <v>17250</v>
      </c>
      <c r="C17251" s="3">
        <v>3</v>
      </c>
    </row>
    <row r="17252" spans="1:3" x14ac:dyDescent="0.25">
      <c r="A17252" s="1" t="s">
        <v>17251</v>
      </c>
      <c r="C17252" s="3">
        <v>3</v>
      </c>
    </row>
    <row r="17253" spans="1:3" x14ac:dyDescent="0.25">
      <c r="A17253" s="1" t="s">
        <v>17252</v>
      </c>
      <c r="C17253" s="3">
        <v>3</v>
      </c>
    </row>
    <row r="17254" spans="1:3" x14ac:dyDescent="0.25">
      <c r="A17254" s="1" t="s">
        <v>17253</v>
      </c>
      <c r="C17254" s="3">
        <v>3</v>
      </c>
    </row>
    <row r="17255" spans="1:3" x14ac:dyDescent="0.25">
      <c r="A17255" s="1" t="s">
        <v>17254</v>
      </c>
      <c r="C17255" s="3">
        <v>3</v>
      </c>
    </row>
    <row r="17256" spans="1:3" x14ac:dyDescent="0.25">
      <c r="A17256" s="1" t="s">
        <v>17255</v>
      </c>
      <c r="C17256" s="3">
        <v>3</v>
      </c>
    </row>
    <row r="17257" spans="1:3" x14ac:dyDescent="0.25">
      <c r="A17257" s="1" t="s">
        <v>17256</v>
      </c>
      <c r="C17257" s="3">
        <v>3</v>
      </c>
    </row>
    <row r="17258" spans="1:3" x14ac:dyDescent="0.25">
      <c r="A17258" s="1" t="s">
        <v>17257</v>
      </c>
      <c r="C17258" s="3">
        <v>3</v>
      </c>
    </row>
    <row r="17259" spans="1:3" x14ac:dyDescent="0.25">
      <c r="A17259" s="1" t="s">
        <v>17258</v>
      </c>
      <c r="C17259" s="3">
        <v>3</v>
      </c>
    </row>
    <row r="17260" spans="1:3" x14ac:dyDescent="0.25">
      <c r="A17260" s="1" t="s">
        <v>17259</v>
      </c>
      <c r="C17260" s="3">
        <v>3</v>
      </c>
    </row>
    <row r="17261" spans="1:3" x14ac:dyDescent="0.25">
      <c r="A17261" s="1" t="s">
        <v>17260</v>
      </c>
      <c r="C17261" s="3">
        <v>3</v>
      </c>
    </row>
    <row r="17262" spans="1:3" x14ac:dyDescent="0.25">
      <c r="A17262" s="1" t="s">
        <v>17261</v>
      </c>
      <c r="C17262" s="3">
        <v>3</v>
      </c>
    </row>
    <row r="17263" spans="1:3" x14ac:dyDescent="0.25">
      <c r="A17263" s="1" t="s">
        <v>17262</v>
      </c>
      <c r="C17263" s="3">
        <v>3</v>
      </c>
    </row>
    <row r="17264" spans="1:3" x14ac:dyDescent="0.25">
      <c r="A17264" s="1" t="s">
        <v>17263</v>
      </c>
      <c r="C17264" s="3">
        <v>3</v>
      </c>
    </row>
    <row r="17265" spans="1:3" x14ac:dyDescent="0.25">
      <c r="A17265" s="1" t="s">
        <v>17264</v>
      </c>
      <c r="C17265" s="3">
        <v>3</v>
      </c>
    </row>
    <row r="17266" spans="1:3" x14ac:dyDescent="0.25">
      <c r="A17266" s="1" t="s">
        <v>17265</v>
      </c>
      <c r="C17266" s="3">
        <v>3</v>
      </c>
    </row>
    <row r="17267" spans="1:3" x14ac:dyDescent="0.25">
      <c r="A17267" s="1" t="s">
        <v>17266</v>
      </c>
      <c r="C17267" s="3">
        <v>3</v>
      </c>
    </row>
    <row r="17268" spans="1:3" x14ac:dyDescent="0.25">
      <c r="A17268" s="1" t="s">
        <v>17267</v>
      </c>
      <c r="C17268" s="3">
        <v>3</v>
      </c>
    </row>
    <row r="17269" spans="1:3" x14ac:dyDescent="0.25">
      <c r="A17269" s="1" t="s">
        <v>17268</v>
      </c>
      <c r="C17269" s="3">
        <v>3</v>
      </c>
    </row>
    <row r="17270" spans="1:3" x14ac:dyDescent="0.25">
      <c r="A17270" s="1" t="s">
        <v>17269</v>
      </c>
      <c r="C17270" s="3">
        <v>3</v>
      </c>
    </row>
    <row r="17271" spans="1:3" x14ac:dyDescent="0.25">
      <c r="A17271" s="1" t="s">
        <v>17270</v>
      </c>
      <c r="C17271" s="3">
        <v>3</v>
      </c>
    </row>
    <row r="17272" spans="1:3" x14ac:dyDescent="0.25">
      <c r="A17272" s="1" t="s">
        <v>17271</v>
      </c>
      <c r="C17272" s="3">
        <v>3</v>
      </c>
    </row>
    <row r="17273" spans="1:3" x14ac:dyDescent="0.25">
      <c r="A17273" s="1" t="s">
        <v>17272</v>
      </c>
      <c r="C17273" s="3">
        <v>3</v>
      </c>
    </row>
    <row r="17274" spans="1:3" x14ac:dyDescent="0.25">
      <c r="A17274" s="1" t="s">
        <v>17273</v>
      </c>
      <c r="C17274" s="3">
        <v>3</v>
      </c>
    </row>
    <row r="17275" spans="1:3" x14ac:dyDescent="0.25">
      <c r="A17275" s="1" t="s">
        <v>17274</v>
      </c>
      <c r="C17275" s="3">
        <v>3</v>
      </c>
    </row>
    <row r="17276" spans="1:3" x14ac:dyDescent="0.25">
      <c r="A17276" s="1" t="s">
        <v>17275</v>
      </c>
      <c r="C17276" s="3">
        <v>3</v>
      </c>
    </row>
    <row r="17277" spans="1:3" x14ac:dyDescent="0.25">
      <c r="A17277" s="1" t="s">
        <v>17276</v>
      </c>
      <c r="C17277" s="3">
        <v>3</v>
      </c>
    </row>
    <row r="17278" spans="1:3" x14ac:dyDescent="0.25">
      <c r="A17278" s="1" t="s">
        <v>17277</v>
      </c>
      <c r="C17278" s="3">
        <v>3</v>
      </c>
    </row>
    <row r="17279" spans="1:3" x14ac:dyDescent="0.25">
      <c r="A17279" s="1" t="s">
        <v>17278</v>
      </c>
      <c r="C17279" s="3">
        <v>3</v>
      </c>
    </row>
    <row r="17280" spans="1:3" x14ac:dyDescent="0.25">
      <c r="A17280" s="1" t="s">
        <v>17279</v>
      </c>
      <c r="C17280" s="3">
        <v>3</v>
      </c>
    </row>
    <row r="17281" spans="1:3" x14ac:dyDescent="0.25">
      <c r="A17281" s="1" t="s">
        <v>17280</v>
      </c>
      <c r="C17281" s="3">
        <v>3</v>
      </c>
    </row>
    <row r="17282" spans="1:3" x14ac:dyDescent="0.25">
      <c r="A17282" s="1" t="s">
        <v>17281</v>
      </c>
      <c r="C17282" s="3">
        <v>3</v>
      </c>
    </row>
    <row r="17283" spans="1:3" x14ac:dyDescent="0.25">
      <c r="A17283" s="1" t="s">
        <v>17282</v>
      </c>
      <c r="C17283" s="3">
        <v>3</v>
      </c>
    </row>
    <row r="17284" spans="1:3" x14ac:dyDescent="0.25">
      <c r="A17284" s="1" t="s">
        <v>17283</v>
      </c>
      <c r="C17284" s="3">
        <v>3</v>
      </c>
    </row>
    <row r="17285" spans="1:3" x14ac:dyDescent="0.25">
      <c r="A17285" s="1" t="s">
        <v>17284</v>
      </c>
      <c r="C17285" s="3">
        <v>3</v>
      </c>
    </row>
    <row r="17286" spans="1:3" x14ac:dyDescent="0.25">
      <c r="A17286" s="1" t="s">
        <v>17285</v>
      </c>
      <c r="C17286" s="3">
        <v>3</v>
      </c>
    </row>
    <row r="17287" spans="1:3" x14ac:dyDescent="0.25">
      <c r="A17287" s="1" t="s">
        <v>17286</v>
      </c>
      <c r="C17287" s="3">
        <v>3</v>
      </c>
    </row>
    <row r="17288" spans="1:3" x14ac:dyDescent="0.25">
      <c r="A17288" s="1" t="s">
        <v>17287</v>
      </c>
      <c r="C17288" s="3">
        <v>3</v>
      </c>
    </row>
    <row r="17289" spans="1:3" x14ac:dyDescent="0.25">
      <c r="A17289" s="1" t="s">
        <v>17288</v>
      </c>
      <c r="C17289" s="3">
        <v>3</v>
      </c>
    </row>
    <row r="17290" spans="1:3" x14ac:dyDescent="0.25">
      <c r="A17290" s="1" t="s">
        <v>17289</v>
      </c>
      <c r="C17290" s="3">
        <v>3</v>
      </c>
    </row>
    <row r="17291" spans="1:3" x14ac:dyDescent="0.25">
      <c r="A17291" s="1" t="s">
        <v>17290</v>
      </c>
      <c r="C17291" s="3">
        <v>3</v>
      </c>
    </row>
    <row r="17292" spans="1:3" x14ac:dyDescent="0.25">
      <c r="A17292" s="1" t="s">
        <v>17291</v>
      </c>
      <c r="C17292" s="3">
        <v>3</v>
      </c>
    </row>
    <row r="17293" spans="1:3" x14ac:dyDescent="0.25">
      <c r="A17293" s="1" t="s">
        <v>17292</v>
      </c>
      <c r="C17293" s="3">
        <v>3</v>
      </c>
    </row>
    <row r="17294" spans="1:3" x14ac:dyDescent="0.25">
      <c r="A17294" s="1" t="s">
        <v>17293</v>
      </c>
      <c r="C17294" s="3">
        <v>3</v>
      </c>
    </row>
    <row r="17295" spans="1:3" x14ac:dyDescent="0.25">
      <c r="A17295" s="1" t="s">
        <v>17294</v>
      </c>
      <c r="C17295" s="3">
        <v>3</v>
      </c>
    </row>
    <row r="17296" spans="1:3" x14ac:dyDescent="0.25">
      <c r="A17296" s="1" t="s">
        <v>17295</v>
      </c>
      <c r="C17296" s="3">
        <v>3</v>
      </c>
    </row>
    <row r="17297" spans="1:3" x14ac:dyDescent="0.25">
      <c r="A17297" s="1" t="s">
        <v>17296</v>
      </c>
      <c r="C17297" s="3">
        <v>3</v>
      </c>
    </row>
    <row r="17298" spans="1:3" x14ac:dyDescent="0.25">
      <c r="A17298" s="1" t="s">
        <v>17297</v>
      </c>
      <c r="C17298" s="3">
        <v>3</v>
      </c>
    </row>
    <row r="17299" spans="1:3" x14ac:dyDescent="0.25">
      <c r="A17299" s="1" t="s">
        <v>17298</v>
      </c>
      <c r="C17299" s="3">
        <v>3</v>
      </c>
    </row>
    <row r="17300" spans="1:3" x14ac:dyDescent="0.25">
      <c r="A17300" s="1" t="s">
        <v>17299</v>
      </c>
      <c r="C17300" s="3">
        <v>3</v>
      </c>
    </row>
    <row r="17301" spans="1:3" x14ac:dyDescent="0.25">
      <c r="A17301" s="1" t="s">
        <v>17300</v>
      </c>
      <c r="C17301" s="3">
        <v>3</v>
      </c>
    </row>
    <row r="17302" spans="1:3" x14ac:dyDescent="0.25">
      <c r="A17302" s="1" t="s">
        <v>17301</v>
      </c>
      <c r="C17302" s="3">
        <v>3</v>
      </c>
    </row>
    <row r="17303" spans="1:3" x14ac:dyDescent="0.25">
      <c r="A17303" s="1" t="s">
        <v>17302</v>
      </c>
      <c r="C17303" s="3">
        <v>3</v>
      </c>
    </row>
    <row r="17304" spans="1:3" x14ac:dyDescent="0.25">
      <c r="A17304" s="1" t="s">
        <v>17303</v>
      </c>
      <c r="C17304" s="3">
        <v>3</v>
      </c>
    </row>
    <row r="17305" spans="1:3" x14ac:dyDescent="0.25">
      <c r="A17305" s="1" t="s">
        <v>17304</v>
      </c>
      <c r="C17305" s="3">
        <v>3</v>
      </c>
    </row>
    <row r="17306" spans="1:3" x14ac:dyDescent="0.25">
      <c r="A17306" s="1" t="s">
        <v>17305</v>
      </c>
      <c r="C17306" s="3">
        <v>3</v>
      </c>
    </row>
    <row r="17307" spans="1:3" x14ac:dyDescent="0.25">
      <c r="A17307" s="1" t="s">
        <v>17306</v>
      </c>
      <c r="C17307" s="3">
        <v>3</v>
      </c>
    </row>
    <row r="17308" spans="1:3" x14ac:dyDescent="0.25">
      <c r="A17308" s="1" t="s">
        <v>17307</v>
      </c>
      <c r="C17308" s="3">
        <v>3</v>
      </c>
    </row>
    <row r="17309" spans="1:3" x14ac:dyDescent="0.25">
      <c r="A17309" s="1" t="s">
        <v>17308</v>
      </c>
      <c r="C17309" s="3">
        <v>3</v>
      </c>
    </row>
    <row r="17310" spans="1:3" x14ac:dyDescent="0.25">
      <c r="A17310" s="1" t="s">
        <v>17309</v>
      </c>
      <c r="C17310" s="3">
        <v>3</v>
      </c>
    </row>
    <row r="17311" spans="1:3" x14ac:dyDescent="0.25">
      <c r="A17311" s="1" t="s">
        <v>17310</v>
      </c>
      <c r="C17311" s="3">
        <v>3</v>
      </c>
    </row>
    <row r="17312" spans="1:3" x14ac:dyDescent="0.25">
      <c r="A17312" s="1" t="s">
        <v>17311</v>
      </c>
      <c r="C17312" s="3">
        <v>3</v>
      </c>
    </row>
    <row r="17313" spans="1:3" x14ac:dyDescent="0.25">
      <c r="A17313" s="1" t="s">
        <v>17312</v>
      </c>
      <c r="C17313" s="3">
        <v>3</v>
      </c>
    </row>
    <row r="17314" spans="1:3" x14ac:dyDescent="0.25">
      <c r="A17314" s="1" t="s">
        <v>17313</v>
      </c>
      <c r="C17314" s="3">
        <v>3</v>
      </c>
    </row>
    <row r="17315" spans="1:3" x14ac:dyDescent="0.25">
      <c r="A17315" s="1" t="s">
        <v>17314</v>
      </c>
      <c r="C17315" s="3">
        <v>3</v>
      </c>
    </row>
    <row r="17316" spans="1:3" x14ac:dyDescent="0.25">
      <c r="A17316" s="1" t="s">
        <v>17315</v>
      </c>
      <c r="C17316" s="3">
        <v>3</v>
      </c>
    </row>
    <row r="17317" spans="1:3" x14ac:dyDescent="0.25">
      <c r="A17317" s="1" t="s">
        <v>17316</v>
      </c>
      <c r="C17317" s="3">
        <v>3</v>
      </c>
    </row>
    <row r="17318" spans="1:3" x14ac:dyDescent="0.25">
      <c r="A17318" s="1" t="s">
        <v>17317</v>
      </c>
      <c r="C17318" s="3">
        <v>3</v>
      </c>
    </row>
    <row r="17319" spans="1:3" x14ac:dyDescent="0.25">
      <c r="A17319" s="1" t="s">
        <v>17318</v>
      </c>
      <c r="C17319" s="3">
        <v>3</v>
      </c>
    </row>
    <row r="17320" spans="1:3" x14ac:dyDescent="0.25">
      <c r="A17320" s="1" t="s">
        <v>17319</v>
      </c>
      <c r="C17320" s="3">
        <v>3</v>
      </c>
    </row>
    <row r="17321" spans="1:3" x14ac:dyDescent="0.25">
      <c r="A17321" s="1" t="s">
        <v>17320</v>
      </c>
      <c r="C17321" s="3">
        <v>3</v>
      </c>
    </row>
    <row r="17322" spans="1:3" x14ac:dyDescent="0.25">
      <c r="A17322" s="1" t="s">
        <v>17321</v>
      </c>
      <c r="C17322" s="3">
        <v>3</v>
      </c>
    </row>
    <row r="17323" spans="1:3" x14ac:dyDescent="0.25">
      <c r="A17323" s="1" t="s">
        <v>17322</v>
      </c>
      <c r="C17323" s="3">
        <v>3</v>
      </c>
    </row>
    <row r="17324" spans="1:3" x14ac:dyDescent="0.25">
      <c r="A17324" s="1" t="s">
        <v>17323</v>
      </c>
      <c r="C17324" s="3">
        <v>3</v>
      </c>
    </row>
    <row r="17325" spans="1:3" x14ac:dyDescent="0.25">
      <c r="A17325" s="1" t="s">
        <v>17324</v>
      </c>
      <c r="C17325" s="3">
        <v>3</v>
      </c>
    </row>
    <row r="17326" spans="1:3" x14ac:dyDescent="0.25">
      <c r="A17326" s="1" t="s">
        <v>17325</v>
      </c>
      <c r="C17326" s="3">
        <v>3</v>
      </c>
    </row>
    <row r="17327" spans="1:3" x14ac:dyDescent="0.25">
      <c r="A17327" s="1" t="s">
        <v>17326</v>
      </c>
      <c r="C17327" s="3">
        <v>3</v>
      </c>
    </row>
    <row r="17328" spans="1:3" x14ac:dyDescent="0.25">
      <c r="A17328" s="1" t="s">
        <v>17327</v>
      </c>
      <c r="C17328" s="3">
        <v>3</v>
      </c>
    </row>
    <row r="17329" spans="1:3" x14ac:dyDescent="0.25">
      <c r="A17329" s="1" t="s">
        <v>17328</v>
      </c>
      <c r="C17329" s="3">
        <v>3</v>
      </c>
    </row>
    <row r="17330" spans="1:3" x14ac:dyDescent="0.25">
      <c r="A17330" s="1" t="s">
        <v>17329</v>
      </c>
      <c r="C17330" s="3">
        <v>3</v>
      </c>
    </row>
    <row r="17331" spans="1:3" x14ac:dyDescent="0.25">
      <c r="A17331" s="1" t="s">
        <v>17330</v>
      </c>
      <c r="C17331" s="3">
        <v>3</v>
      </c>
    </row>
    <row r="17332" spans="1:3" x14ac:dyDescent="0.25">
      <c r="A17332" s="1" t="s">
        <v>17331</v>
      </c>
      <c r="C17332" s="3">
        <v>3</v>
      </c>
    </row>
    <row r="17333" spans="1:3" x14ac:dyDescent="0.25">
      <c r="A17333" s="1" t="s">
        <v>17332</v>
      </c>
      <c r="C17333" s="3">
        <v>3</v>
      </c>
    </row>
    <row r="17334" spans="1:3" x14ac:dyDescent="0.25">
      <c r="A17334" s="1" t="s">
        <v>17333</v>
      </c>
      <c r="C17334" s="3">
        <v>3</v>
      </c>
    </row>
    <row r="17335" spans="1:3" x14ac:dyDescent="0.25">
      <c r="A17335" s="1" t="s">
        <v>17334</v>
      </c>
      <c r="C17335" s="3">
        <v>3</v>
      </c>
    </row>
    <row r="17336" spans="1:3" x14ac:dyDescent="0.25">
      <c r="A17336" s="1" t="s">
        <v>17335</v>
      </c>
      <c r="C17336" s="3">
        <v>3</v>
      </c>
    </row>
    <row r="17337" spans="1:3" x14ac:dyDescent="0.25">
      <c r="A17337" s="1" t="s">
        <v>17336</v>
      </c>
      <c r="C17337" s="3">
        <v>3</v>
      </c>
    </row>
    <row r="17338" spans="1:3" x14ac:dyDescent="0.25">
      <c r="A17338" s="1" t="s">
        <v>17337</v>
      </c>
      <c r="C17338" s="3">
        <v>3</v>
      </c>
    </row>
    <row r="17339" spans="1:3" x14ac:dyDescent="0.25">
      <c r="A17339" s="1" t="s">
        <v>17338</v>
      </c>
      <c r="C17339" s="3">
        <v>3</v>
      </c>
    </row>
    <row r="17340" spans="1:3" x14ac:dyDescent="0.25">
      <c r="A17340" s="1" t="s">
        <v>17339</v>
      </c>
      <c r="C17340" s="3">
        <v>3</v>
      </c>
    </row>
    <row r="17341" spans="1:3" x14ac:dyDescent="0.25">
      <c r="A17341" s="1" t="s">
        <v>17340</v>
      </c>
      <c r="C17341" s="3">
        <v>3</v>
      </c>
    </row>
    <row r="17342" spans="1:3" x14ac:dyDescent="0.25">
      <c r="A17342" s="1" t="s">
        <v>17341</v>
      </c>
      <c r="C17342" s="3">
        <v>3</v>
      </c>
    </row>
    <row r="17343" spans="1:3" x14ac:dyDescent="0.25">
      <c r="A17343" s="1" t="s">
        <v>17342</v>
      </c>
      <c r="C17343" s="3">
        <v>3</v>
      </c>
    </row>
    <row r="17344" spans="1:3" x14ac:dyDescent="0.25">
      <c r="A17344" s="1" t="s">
        <v>17343</v>
      </c>
      <c r="C17344" s="3">
        <v>3</v>
      </c>
    </row>
    <row r="17345" spans="1:3" x14ac:dyDescent="0.25">
      <c r="A17345" s="1" t="s">
        <v>17344</v>
      </c>
      <c r="C17345" s="3">
        <v>3</v>
      </c>
    </row>
    <row r="17346" spans="1:3" x14ac:dyDescent="0.25">
      <c r="A17346" s="1" t="s">
        <v>17345</v>
      </c>
      <c r="C17346" s="3">
        <v>3</v>
      </c>
    </row>
    <row r="17347" spans="1:3" x14ac:dyDescent="0.25">
      <c r="A17347" s="1" t="s">
        <v>17346</v>
      </c>
      <c r="C17347" s="3">
        <v>3</v>
      </c>
    </row>
    <row r="17348" spans="1:3" x14ac:dyDescent="0.25">
      <c r="A17348" s="1" t="s">
        <v>17347</v>
      </c>
      <c r="C17348" s="3">
        <v>3</v>
      </c>
    </row>
    <row r="17349" spans="1:3" x14ac:dyDescent="0.25">
      <c r="A17349" s="1" t="s">
        <v>17348</v>
      </c>
      <c r="C17349" s="3">
        <v>3</v>
      </c>
    </row>
    <row r="17350" spans="1:3" x14ac:dyDescent="0.25">
      <c r="A17350" s="1" t="s">
        <v>17349</v>
      </c>
      <c r="C17350" s="3">
        <v>3</v>
      </c>
    </row>
    <row r="17351" spans="1:3" x14ac:dyDescent="0.25">
      <c r="A17351" s="1" t="s">
        <v>17350</v>
      </c>
      <c r="C17351" s="3">
        <v>3</v>
      </c>
    </row>
    <row r="17352" spans="1:3" x14ac:dyDescent="0.25">
      <c r="A17352" s="1" t="s">
        <v>17351</v>
      </c>
      <c r="C17352" s="3">
        <v>3</v>
      </c>
    </row>
    <row r="17353" spans="1:3" x14ac:dyDescent="0.25">
      <c r="A17353" s="1" t="s">
        <v>17352</v>
      </c>
      <c r="C17353" s="3">
        <v>3</v>
      </c>
    </row>
    <row r="17354" spans="1:3" x14ac:dyDescent="0.25">
      <c r="A17354" s="1" t="s">
        <v>17353</v>
      </c>
      <c r="C17354" s="3">
        <v>3</v>
      </c>
    </row>
    <row r="17355" spans="1:3" x14ac:dyDescent="0.25">
      <c r="A17355" s="1" t="s">
        <v>17354</v>
      </c>
      <c r="C17355" s="3">
        <v>3</v>
      </c>
    </row>
    <row r="17356" spans="1:3" x14ac:dyDescent="0.25">
      <c r="A17356" s="1" t="s">
        <v>17355</v>
      </c>
      <c r="C17356" s="3">
        <v>3</v>
      </c>
    </row>
    <row r="17357" spans="1:3" x14ac:dyDescent="0.25">
      <c r="A17357" s="1" t="s">
        <v>17356</v>
      </c>
      <c r="C17357" s="3">
        <v>3</v>
      </c>
    </row>
    <row r="17358" spans="1:3" x14ac:dyDescent="0.25">
      <c r="A17358" s="1" t="s">
        <v>17357</v>
      </c>
      <c r="C17358" s="3">
        <v>3</v>
      </c>
    </row>
    <row r="17359" spans="1:3" x14ac:dyDescent="0.25">
      <c r="A17359" s="1" t="s">
        <v>17358</v>
      </c>
      <c r="C17359" s="3">
        <v>3</v>
      </c>
    </row>
    <row r="17360" spans="1:3" x14ac:dyDescent="0.25">
      <c r="A17360" s="1" t="s">
        <v>17359</v>
      </c>
      <c r="C17360" s="3">
        <v>3</v>
      </c>
    </row>
    <row r="17361" spans="1:3" x14ac:dyDescent="0.25">
      <c r="A17361" s="1" t="s">
        <v>17360</v>
      </c>
      <c r="C17361" s="3">
        <v>3</v>
      </c>
    </row>
    <row r="17362" spans="1:3" x14ac:dyDescent="0.25">
      <c r="A17362" s="1" t="s">
        <v>17361</v>
      </c>
      <c r="C17362" s="3">
        <v>3</v>
      </c>
    </row>
    <row r="17363" spans="1:3" x14ac:dyDescent="0.25">
      <c r="A17363" s="1" t="s">
        <v>17362</v>
      </c>
      <c r="C17363" s="3">
        <v>3</v>
      </c>
    </row>
    <row r="17364" spans="1:3" x14ac:dyDescent="0.25">
      <c r="A17364" s="1" t="s">
        <v>17363</v>
      </c>
      <c r="C17364" s="3">
        <v>3</v>
      </c>
    </row>
    <row r="17365" spans="1:3" x14ac:dyDescent="0.25">
      <c r="A17365" s="1" t="s">
        <v>17364</v>
      </c>
      <c r="C17365" s="3">
        <v>3</v>
      </c>
    </row>
    <row r="17366" spans="1:3" x14ac:dyDescent="0.25">
      <c r="A17366" s="1" t="s">
        <v>17365</v>
      </c>
      <c r="C17366" s="3">
        <v>3</v>
      </c>
    </row>
    <row r="17367" spans="1:3" x14ac:dyDescent="0.25">
      <c r="A17367" s="1" t="s">
        <v>17366</v>
      </c>
      <c r="C17367" s="3">
        <v>3</v>
      </c>
    </row>
    <row r="17368" spans="1:3" x14ac:dyDescent="0.25">
      <c r="A17368" s="1" t="s">
        <v>17367</v>
      </c>
      <c r="C17368" s="3">
        <v>3</v>
      </c>
    </row>
    <row r="17369" spans="1:3" x14ac:dyDescent="0.25">
      <c r="A17369" s="1" t="s">
        <v>17368</v>
      </c>
      <c r="C17369" s="3">
        <v>3</v>
      </c>
    </row>
    <row r="17370" spans="1:3" x14ac:dyDescent="0.25">
      <c r="A17370" s="1" t="s">
        <v>17369</v>
      </c>
      <c r="C17370" s="3">
        <v>3</v>
      </c>
    </row>
    <row r="17371" spans="1:3" x14ac:dyDescent="0.25">
      <c r="A17371" s="1" t="s">
        <v>17370</v>
      </c>
      <c r="C17371" s="3">
        <v>3</v>
      </c>
    </row>
    <row r="17372" spans="1:3" x14ac:dyDescent="0.25">
      <c r="A17372" s="1" t="s">
        <v>17371</v>
      </c>
      <c r="C17372" s="3">
        <v>3</v>
      </c>
    </row>
    <row r="17373" spans="1:3" x14ac:dyDescent="0.25">
      <c r="A17373" s="1" t="s">
        <v>17372</v>
      </c>
      <c r="C17373" s="3">
        <v>3</v>
      </c>
    </row>
    <row r="17374" spans="1:3" x14ac:dyDescent="0.25">
      <c r="A17374" s="1" t="s">
        <v>17373</v>
      </c>
      <c r="C17374" s="3">
        <v>3</v>
      </c>
    </row>
    <row r="17375" spans="1:3" x14ac:dyDescent="0.25">
      <c r="A17375" s="1" t="s">
        <v>17374</v>
      </c>
      <c r="C17375" s="3">
        <v>3</v>
      </c>
    </row>
    <row r="17376" spans="1:3" x14ac:dyDescent="0.25">
      <c r="A17376" s="1" t="s">
        <v>17375</v>
      </c>
      <c r="C17376" s="3">
        <v>3</v>
      </c>
    </row>
    <row r="17377" spans="1:3" x14ac:dyDescent="0.25">
      <c r="A17377" s="1" t="s">
        <v>17376</v>
      </c>
      <c r="C17377" s="3">
        <v>3</v>
      </c>
    </row>
    <row r="17378" spans="1:3" x14ac:dyDescent="0.25">
      <c r="A17378" s="1" t="s">
        <v>17377</v>
      </c>
      <c r="C17378" s="3">
        <v>3</v>
      </c>
    </row>
    <row r="17379" spans="1:3" x14ac:dyDescent="0.25">
      <c r="A17379" s="1" t="s">
        <v>17378</v>
      </c>
      <c r="C17379" s="3">
        <v>3</v>
      </c>
    </row>
    <row r="17380" spans="1:3" x14ac:dyDescent="0.25">
      <c r="A17380" s="1" t="s">
        <v>17379</v>
      </c>
      <c r="C17380" s="3">
        <v>3</v>
      </c>
    </row>
    <row r="17381" spans="1:3" x14ac:dyDescent="0.25">
      <c r="A17381" s="1" t="s">
        <v>17380</v>
      </c>
      <c r="C17381" s="3">
        <v>3</v>
      </c>
    </row>
    <row r="17382" spans="1:3" x14ac:dyDescent="0.25">
      <c r="A17382" s="1" t="s">
        <v>17381</v>
      </c>
      <c r="C17382" s="3">
        <v>3</v>
      </c>
    </row>
    <row r="17383" spans="1:3" x14ac:dyDescent="0.25">
      <c r="A17383" s="1" t="s">
        <v>17382</v>
      </c>
      <c r="C17383" s="3">
        <v>3</v>
      </c>
    </row>
    <row r="17384" spans="1:3" x14ac:dyDescent="0.25">
      <c r="A17384" s="1" t="s">
        <v>17383</v>
      </c>
      <c r="C17384" s="3">
        <v>3</v>
      </c>
    </row>
    <row r="17385" spans="1:3" x14ac:dyDescent="0.25">
      <c r="A17385" s="1" t="s">
        <v>17384</v>
      </c>
      <c r="C17385" s="3">
        <v>3</v>
      </c>
    </row>
    <row r="17386" spans="1:3" x14ac:dyDescent="0.25">
      <c r="A17386" s="1" t="s">
        <v>17385</v>
      </c>
      <c r="C17386" s="3">
        <v>3</v>
      </c>
    </row>
    <row r="17387" spans="1:3" x14ac:dyDescent="0.25">
      <c r="A17387" s="1" t="s">
        <v>17386</v>
      </c>
      <c r="C17387" s="3">
        <v>3</v>
      </c>
    </row>
    <row r="17388" spans="1:3" x14ac:dyDescent="0.25">
      <c r="A17388" s="1" t="s">
        <v>17387</v>
      </c>
      <c r="C17388" s="3">
        <v>3</v>
      </c>
    </row>
    <row r="17389" spans="1:3" x14ac:dyDescent="0.25">
      <c r="A17389" s="1" t="s">
        <v>17388</v>
      </c>
      <c r="C17389" s="3">
        <v>3</v>
      </c>
    </row>
    <row r="17390" spans="1:3" x14ac:dyDescent="0.25">
      <c r="A17390" s="1" t="s">
        <v>17389</v>
      </c>
      <c r="C17390" s="3">
        <v>3</v>
      </c>
    </row>
    <row r="17391" spans="1:3" x14ac:dyDescent="0.25">
      <c r="A17391" s="1" t="s">
        <v>17390</v>
      </c>
      <c r="C17391" s="3">
        <v>3</v>
      </c>
    </row>
    <row r="17392" spans="1:3" x14ac:dyDescent="0.25">
      <c r="A17392" s="1" t="s">
        <v>17391</v>
      </c>
      <c r="C17392" s="3">
        <v>3</v>
      </c>
    </row>
    <row r="17393" spans="1:3" x14ac:dyDescent="0.25">
      <c r="A17393" s="1" t="s">
        <v>17392</v>
      </c>
      <c r="C17393" s="3">
        <v>3</v>
      </c>
    </row>
    <row r="17394" spans="1:3" x14ac:dyDescent="0.25">
      <c r="A17394" s="1" t="s">
        <v>17393</v>
      </c>
      <c r="C17394" s="3">
        <v>3</v>
      </c>
    </row>
    <row r="17395" spans="1:3" x14ac:dyDescent="0.25">
      <c r="A17395" s="1" t="s">
        <v>17394</v>
      </c>
      <c r="C17395" s="3">
        <v>3</v>
      </c>
    </row>
    <row r="17396" spans="1:3" x14ac:dyDescent="0.25">
      <c r="A17396" s="1" t="s">
        <v>17395</v>
      </c>
      <c r="C17396" s="3">
        <v>3</v>
      </c>
    </row>
    <row r="17397" spans="1:3" x14ac:dyDescent="0.25">
      <c r="A17397" s="1" t="s">
        <v>17396</v>
      </c>
      <c r="C17397" s="3">
        <v>3</v>
      </c>
    </row>
    <row r="17398" spans="1:3" x14ac:dyDescent="0.25">
      <c r="A17398" s="1" t="s">
        <v>17397</v>
      </c>
      <c r="C17398" s="3">
        <v>3</v>
      </c>
    </row>
    <row r="17399" spans="1:3" x14ac:dyDescent="0.25">
      <c r="A17399" s="1" t="s">
        <v>17398</v>
      </c>
      <c r="C17399" s="3">
        <v>3</v>
      </c>
    </row>
    <row r="17400" spans="1:3" x14ac:dyDescent="0.25">
      <c r="A17400" s="1" t="s">
        <v>17399</v>
      </c>
      <c r="C17400" s="3">
        <v>3</v>
      </c>
    </row>
    <row r="17401" spans="1:3" x14ac:dyDescent="0.25">
      <c r="A17401" s="1" t="s">
        <v>17400</v>
      </c>
      <c r="C17401" s="3">
        <v>3</v>
      </c>
    </row>
    <row r="17402" spans="1:3" x14ac:dyDescent="0.25">
      <c r="A17402" s="1" t="s">
        <v>17401</v>
      </c>
      <c r="C17402" s="3">
        <v>3</v>
      </c>
    </row>
    <row r="17403" spans="1:3" x14ac:dyDescent="0.25">
      <c r="A17403" s="1" t="s">
        <v>17402</v>
      </c>
      <c r="C17403" s="3">
        <v>3</v>
      </c>
    </row>
    <row r="17404" spans="1:3" x14ac:dyDescent="0.25">
      <c r="A17404" s="1" t="s">
        <v>17403</v>
      </c>
      <c r="C17404" s="3">
        <v>3</v>
      </c>
    </row>
    <row r="17405" spans="1:3" x14ac:dyDescent="0.25">
      <c r="A17405" s="1" t="s">
        <v>17404</v>
      </c>
      <c r="C17405" s="3">
        <v>3</v>
      </c>
    </row>
    <row r="17406" spans="1:3" x14ac:dyDescent="0.25">
      <c r="A17406" s="1" t="s">
        <v>17405</v>
      </c>
      <c r="C17406" s="3">
        <v>3</v>
      </c>
    </row>
    <row r="17407" spans="1:3" x14ac:dyDescent="0.25">
      <c r="A17407" s="1" t="s">
        <v>17406</v>
      </c>
      <c r="C17407" s="3">
        <v>3</v>
      </c>
    </row>
    <row r="17408" spans="1:3" x14ac:dyDescent="0.25">
      <c r="A17408" s="1" t="s">
        <v>17407</v>
      </c>
      <c r="C17408" s="3">
        <v>3</v>
      </c>
    </row>
    <row r="17409" spans="1:3" x14ac:dyDescent="0.25">
      <c r="A17409" s="1" t="s">
        <v>17408</v>
      </c>
      <c r="C17409" s="3">
        <v>3</v>
      </c>
    </row>
    <row r="17410" spans="1:3" x14ac:dyDescent="0.25">
      <c r="A17410" s="1" t="s">
        <v>17409</v>
      </c>
      <c r="C17410" s="3">
        <v>3</v>
      </c>
    </row>
    <row r="17411" spans="1:3" x14ac:dyDescent="0.25">
      <c r="A17411" s="1" t="s">
        <v>17410</v>
      </c>
      <c r="C17411" s="3">
        <v>3</v>
      </c>
    </row>
    <row r="17412" spans="1:3" x14ac:dyDescent="0.25">
      <c r="A17412" s="1" t="s">
        <v>17411</v>
      </c>
      <c r="C17412" s="3">
        <v>3</v>
      </c>
    </row>
    <row r="17413" spans="1:3" x14ac:dyDescent="0.25">
      <c r="A17413" s="1" t="s">
        <v>17412</v>
      </c>
      <c r="C17413" s="3">
        <v>3</v>
      </c>
    </row>
    <row r="17414" spans="1:3" x14ac:dyDescent="0.25">
      <c r="A17414" s="1" t="s">
        <v>17413</v>
      </c>
      <c r="C17414" s="3">
        <v>3</v>
      </c>
    </row>
    <row r="17415" spans="1:3" x14ac:dyDescent="0.25">
      <c r="A17415" s="1" t="s">
        <v>17414</v>
      </c>
      <c r="C17415" s="3">
        <v>3</v>
      </c>
    </row>
    <row r="17416" spans="1:3" x14ac:dyDescent="0.25">
      <c r="A17416" s="1" t="s">
        <v>17415</v>
      </c>
      <c r="C17416" s="3">
        <v>3</v>
      </c>
    </row>
    <row r="17417" spans="1:3" x14ac:dyDescent="0.25">
      <c r="A17417" s="1" t="s">
        <v>17416</v>
      </c>
      <c r="C17417" s="3">
        <v>3</v>
      </c>
    </row>
    <row r="17418" spans="1:3" x14ac:dyDescent="0.25">
      <c r="A17418" s="1" t="s">
        <v>17417</v>
      </c>
      <c r="C17418" s="3">
        <v>3</v>
      </c>
    </row>
    <row r="17419" spans="1:3" x14ac:dyDescent="0.25">
      <c r="A17419" s="1" t="s">
        <v>17418</v>
      </c>
      <c r="C17419" s="3">
        <v>3</v>
      </c>
    </row>
    <row r="17420" spans="1:3" x14ac:dyDescent="0.25">
      <c r="A17420" s="1" t="s">
        <v>17419</v>
      </c>
      <c r="C17420" s="3">
        <v>3</v>
      </c>
    </row>
    <row r="17421" spans="1:3" x14ac:dyDescent="0.25">
      <c r="A17421" s="1" t="s">
        <v>17420</v>
      </c>
      <c r="C17421" s="3">
        <v>3</v>
      </c>
    </row>
    <row r="17422" spans="1:3" x14ac:dyDescent="0.25">
      <c r="A17422" s="1" t="s">
        <v>17421</v>
      </c>
      <c r="C17422" s="3">
        <v>3</v>
      </c>
    </row>
    <row r="17423" spans="1:3" x14ac:dyDescent="0.25">
      <c r="A17423" s="1" t="s">
        <v>17422</v>
      </c>
      <c r="C17423" s="3">
        <v>3</v>
      </c>
    </row>
    <row r="17424" spans="1:3" x14ac:dyDescent="0.25">
      <c r="A17424" s="1" t="s">
        <v>17423</v>
      </c>
      <c r="C17424" s="3">
        <v>3</v>
      </c>
    </row>
    <row r="17425" spans="1:3" x14ac:dyDescent="0.25">
      <c r="A17425" s="1" t="s">
        <v>17424</v>
      </c>
      <c r="C17425" s="3">
        <v>3</v>
      </c>
    </row>
    <row r="17426" spans="1:3" x14ac:dyDescent="0.25">
      <c r="A17426" s="1" t="s">
        <v>17425</v>
      </c>
      <c r="C17426" s="3">
        <v>3</v>
      </c>
    </row>
    <row r="17427" spans="1:3" x14ac:dyDescent="0.25">
      <c r="A17427" s="1" t="s">
        <v>17426</v>
      </c>
      <c r="C17427" s="3">
        <v>3</v>
      </c>
    </row>
    <row r="17428" spans="1:3" x14ac:dyDescent="0.25">
      <c r="A17428" s="1" t="s">
        <v>17427</v>
      </c>
      <c r="C17428" s="3">
        <v>3</v>
      </c>
    </row>
    <row r="17429" spans="1:3" x14ac:dyDescent="0.25">
      <c r="A17429" s="1" t="s">
        <v>17428</v>
      </c>
      <c r="C17429" s="3">
        <v>3</v>
      </c>
    </row>
    <row r="17430" spans="1:3" x14ac:dyDescent="0.25">
      <c r="A17430" s="1" t="s">
        <v>17429</v>
      </c>
      <c r="C17430" s="3">
        <v>3</v>
      </c>
    </row>
    <row r="17431" spans="1:3" x14ac:dyDescent="0.25">
      <c r="A17431" s="1" t="s">
        <v>17430</v>
      </c>
      <c r="C17431" s="3">
        <v>3</v>
      </c>
    </row>
    <row r="17432" spans="1:3" x14ac:dyDescent="0.25">
      <c r="A17432" s="1" t="s">
        <v>17431</v>
      </c>
      <c r="C17432" s="3">
        <v>3</v>
      </c>
    </row>
    <row r="17433" spans="1:3" x14ac:dyDescent="0.25">
      <c r="A17433" s="1" t="s">
        <v>17432</v>
      </c>
      <c r="C17433" s="3">
        <v>3</v>
      </c>
    </row>
    <row r="17434" spans="1:3" x14ac:dyDescent="0.25">
      <c r="A17434" s="1" t="s">
        <v>17433</v>
      </c>
      <c r="C17434" s="3">
        <v>3</v>
      </c>
    </row>
    <row r="17435" spans="1:3" x14ac:dyDescent="0.25">
      <c r="A17435" s="1" t="s">
        <v>17434</v>
      </c>
      <c r="C17435" s="3">
        <v>3</v>
      </c>
    </row>
    <row r="17436" spans="1:3" x14ac:dyDescent="0.25">
      <c r="A17436" s="1" t="s">
        <v>17435</v>
      </c>
      <c r="C17436" s="3">
        <v>3</v>
      </c>
    </row>
    <row r="17437" spans="1:3" x14ac:dyDescent="0.25">
      <c r="A17437" s="1" t="s">
        <v>17436</v>
      </c>
      <c r="C17437" s="3">
        <v>3</v>
      </c>
    </row>
    <row r="17438" spans="1:3" x14ac:dyDescent="0.25">
      <c r="A17438" s="1" t="s">
        <v>17437</v>
      </c>
      <c r="C17438" s="3">
        <v>3</v>
      </c>
    </row>
    <row r="17439" spans="1:3" x14ac:dyDescent="0.25">
      <c r="A17439" s="1" t="s">
        <v>17438</v>
      </c>
      <c r="C17439" s="3">
        <v>3</v>
      </c>
    </row>
    <row r="17440" spans="1:3" x14ac:dyDescent="0.25">
      <c r="A17440" s="1" t="s">
        <v>17439</v>
      </c>
      <c r="C17440" s="3">
        <v>3</v>
      </c>
    </row>
    <row r="17441" spans="1:3" x14ac:dyDescent="0.25">
      <c r="A17441" s="1" t="s">
        <v>17440</v>
      </c>
      <c r="C17441" s="3">
        <v>3</v>
      </c>
    </row>
    <row r="17442" spans="1:3" x14ac:dyDescent="0.25">
      <c r="A17442" s="1" t="s">
        <v>17441</v>
      </c>
      <c r="C17442" s="3">
        <v>3</v>
      </c>
    </row>
    <row r="17443" spans="1:3" x14ac:dyDescent="0.25">
      <c r="A17443" s="1" t="s">
        <v>17442</v>
      </c>
      <c r="C17443" s="3">
        <v>3</v>
      </c>
    </row>
    <row r="17444" spans="1:3" x14ac:dyDescent="0.25">
      <c r="A17444" s="1" t="s">
        <v>17443</v>
      </c>
      <c r="C17444" s="3">
        <v>3</v>
      </c>
    </row>
    <row r="17445" spans="1:3" x14ac:dyDescent="0.25">
      <c r="A17445" s="1" t="s">
        <v>17444</v>
      </c>
      <c r="C17445" s="3">
        <v>3</v>
      </c>
    </row>
    <row r="17446" spans="1:3" x14ac:dyDescent="0.25">
      <c r="A17446" s="1" t="s">
        <v>17445</v>
      </c>
      <c r="C17446" s="3">
        <v>3</v>
      </c>
    </row>
    <row r="17447" spans="1:3" x14ac:dyDescent="0.25">
      <c r="A17447" s="1" t="s">
        <v>17446</v>
      </c>
      <c r="C17447" s="3">
        <v>3</v>
      </c>
    </row>
    <row r="17448" spans="1:3" x14ac:dyDescent="0.25">
      <c r="A17448" s="1" t="s">
        <v>17447</v>
      </c>
      <c r="C17448" s="3">
        <v>3</v>
      </c>
    </row>
    <row r="17449" spans="1:3" x14ac:dyDescent="0.25">
      <c r="A17449" s="1" t="s">
        <v>17448</v>
      </c>
      <c r="C17449" s="3">
        <v>3</v>
      </c>
    </row>
    <row r="17450" spans="1:3" x14ac:dyDescent="0.25">
      <c r="A17450" s="1" t="s">
        <v>17449</v>
      </c>
      <c r="C17450" s="3">
        <v>3</v>
      </c>
    </row>
    <row r="17451" spans="1:3" x14ac:dyDescent="0.25">
      <c r="A17451" s="1" t="s">
        <v>17450</v>
      </c>
      <c r="C17451" s="3">
        <v>3</v>
      </c>
    </row>
    <row r="17452" spans="1:3" x14ac:dyDescent="0.25">
      <c r="A17452" s="1" t="s">
        <v>17451</v>
      </c>
      <c r="C17452" s="3">
        <v>3</v>
      </c>
    </row>
    <row r="17453" spans="1:3" x14ac:dyDescent="0.25">
      <c r="A17453" s="1" t="s">
        <v>17452</v>
      </c>
      <c r="C17453" s="3">
        <v>3</v>
      </c>
    </row>
    <row r="17454" spans="1:3" x14ac:dyDescent="0.25">
      <c r="A17454" s="1" t="s">
        <v>17453</v>
      </c>
      <c r="C17454" s="3">
        <v>3</v>
      </c>
    </row>
    <row r="17455" spans="1:3" x14ac:dyDescent="0.25">
      <c r="A17455" s="1" t="s">
        <v>17454</v>
      </c>
      <c r="C17455" s="3">
        <v>3</v>
      </c>
    </row>
    <row r="17456" spans="1:3" x14ac:dyDescent="0.25">
      <c r="A17456" s="1" t="s">
        <v>17455</v>
      </c>
      <c r="C17456" s="3">
        <v>3</v>
      </c>
    </row>
    <row r="17457" spans="1:3" x14ac:dyDescent="0.25">
      <c r="A17457" s="1" t="s">
        <v>17456</v>
      </c>
      <c r="C17457" s="3">
        <v>3</v>
      </c>
    </row>
    <row r="17458" spans="1:3" x14ac:dyDescent="0.25">
      <c r="A17458" s="1" t="s">
        <v>17457</v>
      </c>
      <c r="C17458" s="3">
        <v>3</v>
      </c>
    </row>
    <row r="17459" spans="1:3" x14ac:dyDescent="0.25">
      <c r="A17459" s="1" t="s">
        <v>17458</v>
      </c>
      <c r="C17459" s="3">
        <v>3</v>
      </c>
    </row>
    <row r="17460" spans="1:3" x14ac:dyDescent="0.25">
      <c r="A17460" s="1" t="s">
        <v>17459</v>
      </c>
      <c r="C17460" s="3">
        <v>3</v>
      </c>
    </row>
    <row r="17461" spans="1:3" x14ac:dyDescent="0.25">
      <c r="A17461" s="1" t="s">
        <v>17460</v>
      </c>
      <c r="C17461" s="3">
        <v>3</v>
      </c>
    </row>
    <row r="17462" spans="1:3" x14ac:dyDescent="0.25">
      <c r="A17462" s="1" t="s">
        <v>17461</v>
      </c>
      <c r="C17462" s="3">
        <v>3</v>
      </c>
    </row>
    <row r="17463" spans="1:3" x14ac:dyDescent="0.25">
      <c r="A17463" s="1" t="s">
        <v>17462</v>
      </c>
      <c r="C17463" s="3">
        <v>3</v>
      </c>
    </row>
    <row r="17464" spans="1:3" x14ac:dyDescent="0.25">
      <c r="A17464" s="1" t="s">
        <v>17463</v>
      </c>
      <c r="C17464" s="3">
        <v>3</v>
      </c>
    </row>
    <row r="17465" spans="1:3" x14ac:dyDescent="0.25">
      <c r="A17465" s="1" t="s">
        <v>17464</v>
      </c>
      <c r="C17465" s="3">
        <v>3</v>
      </c>
    </row>
    <row r="17466" spans="1:3" x14ac:dyDescent="0.25">
      <c r="A17466" s="1" t="s">
        <v>17465</v>
      </c>
      <c r="C17466" s="3">
        <v>3</v>
      </c>
    </row>
    <row r="17467" spans="1:3" x14ac:dyDescent="0.25">
      <c r="A17467" s="1" t="s">
        <v>17466</v>
      </c>
      <c r="C17467" s="3">
        <v>3</v>
      </c>
    </row>
    <row r="17468" spans="1:3" x14ac:dyDescent="0.25">
      <c r="A17468" s="1" t="s">
        <v>17467</v>
      </c>
      <c r="C17468" s="3">
        <v>3</v>
      </c>
    </row>
    <row r="17469" spans="1:3" x14ac:dyDescent="0.25">
      <c r="A17469" s="1" t="s">
        <v>17468</v>
      </c>
      <c r="C17469" s="3">
        <v>3</v>
      </c>
    </row>
    <row r="17470" spans="1:3" x14ac:dyDescent="0.25">
      <c r="A17470" s="1" t="s">
        <v>17469</v>
      </c>
      <c r="C17470" s="3">
        <v>3</v>
      </c>
    </row>
    <row r="17471" spans="1:3" x14ac:dyDescent="0.25">
      <c r="A17471" s="1" t="s">
        <v>17470</v>
      </c>
      <c r="C17471" s="3">
        <v>3</v>
      </c>
    </row>
    <row r="17472" spans="1:3" x14ac:dyDescent="0.25">
      <c r="A17472" s="1" t="s">
        <v>17471</v>
      </c>
      <c r="C17472" s="3">
        <v>3</v>
      </c>
    </row>
    <row r="17473" spans="1:3" x14ac:dyDescent="0.25">
      <c r="A17473" s="1" t="s">
        <v>17472</v>
      </c>
      <c r="C17473" s="3">
        <v>3</v>
      </c>
    </row>
    <row r="17474" spans="1:3" x14ac:dyDescent="0.25">
      <c r="A17474" s="1" t="s">
        <v>17473</v>
      </c>
      <c r="C17474" s="3">
        <v>3</v>
      </c>
    </row>
    <row r="17475" spans="1:3" x14ac:dyDescent="0.25">
      <c r="A17475" s="1" t="s">
        <v>17474</v>
      </c>
      <c r="C17475" s="3">
        <v>3</v>
      </c>
    </row>
    <row r="17476" spans="1:3" x14ac:dyDescent="0.25">
      <c r="A17476" s="1" t="s">
        <v>17475</v>
      </c>
      <c r="C17476" s="3">
        <v>3</v>
      </c>
    </row>
    <row r="17477" spans="1:3" x14ac:dyDescent="0.25">
      <c r="A17477" s="1" t="s">
        <v>17476</v>
      </c>
      <c r="C17477" s="3">
        <v>3</v>
      </c>
    </row>
    <row r="17478" spans="1:3" x14ac:dyDescent="0.25">
      <c r="A17478" s="1" t="s">
        <v>17477</v>
      </c>
      <c r="C17478" s="3">
        <v>3</v>
      </c>
    </row>
    <row r="17479" spans="1:3" x14ac:dyDescent="0.25">
      <c r="A17479" s="1" t="s">
        <v>17478</v>
      </c>
      <c r="C17479" s="3">
        <v>3</v>
      </c>
    </row>
    <row r="17480" spans="1:3" x14ac:dyDescent="0.25">
      <c r="A17480" s="1" t="s">
        <v>17479</v>
      </c>
      <c r="C17480" s="3">
        <v>3</v>
      </c>
    </row>
    <row r="17481" spans="1:3" x14ac:dyDescent="0.25">
      <c r="A17481" s="1" t="s">
        <v>17480</v>
      </c>
      <c r="C17481" s="3">
        <v>3</v>
      </c>
    </row>
    <row r="17482" spans="1:3" x14ac:dyDescent="0.25">
      <c r="A17482" s="1" t="s">
        <v>17481</v>
      </c>
      <c r="C17482" s="3">
        <v>3</v>
      </c>
    </row>
    <row r="17483" spans="1:3" x14ac:dyDescent="0.25">
      <c r="A17483" s="1" t="s">
        <v>17482</v>
      </c>
      <c r="C17483" s="3">
        <v>3</v>
      </c>
    </row>
    <row r="17484" spans="1:3" x14ac:dyDescent="0.25">
      <c r="A17484" s="1" t="s">
        <v>17483</v>
      </c>
      <c r="C17484" s="3">
        <v>3</v>
      </c>
    </row>
    <row r="17485" spans="1:3" x14ac:dyDescent="0.25">
      <c r="A17485" s="1" t="s">
        <v>17484</v>
      </c>
      <c r="C17485" s="3">
        <v>3</v>
      </c>
    </row>
    <row r="17486" spans="1:3" x14ac:dyDescent="0.25">
      <c r="A17486" s="1" t="s">
        <v>17485</v>
      </c>
      <c r="C17486" s="3">
        <v>3</v>
      </c>
    </row>
    <row r="17487" spans="1:3" x14ac:dyDescent="0.25">
      <c r="A17487" s="1" t="s">
        <v>17486</v>
      </c>
      <c r="C17487" s="3">
        <v>3</v>
      </c>
    </row>
    <row r="17488" spans="1:3" x14ac:dyDescent="0.25">
      <c r="A17488" s="1" t="s">
        <v>17487</v>
      </c>
      <c r="C17488" s="3">
        <v>3</v>
      </c>
    </row>
    <row r="17489" spans="1:3" x14ac:dyDescent="0.25">
      <c r="A17489" s="1" t="s">
        <v>17488</v>
      </c>
      <c r="C17489" s="3">
        <v>3</v>
      </c>
    </row>
    <row r="17490" spans="1:3" x14ac:dyDescent="0.25">
      <c r="A17490" s="1" t="s">
        <v>17489</v>
      </c>
      <c r="C17490" s="3">
        <v>3</v>
      </c>
    </row>
    <row r="17491" spans="1:3" x14ac:dyDescent="0.25">
      <c r="A17491" s="1" t="s">
        <v>17490</v>
      </c>
      <c r="C17491" s="3">
        <v>3</v>
      </c>
    </row>
    <row r="17492" spans="1:3" x14ac:dyDescent="0.25">
      <c r="A17492" s="1" t="s">
        <v>17491</v>
      </c>
      <c r="C17492" s="3">
        <v>3</v>
      </c>
    </row>
    <row r="17493" spans="1:3" x14ac:dyDescent="0.25">
      <c r="A17493" s="1" t="s">
        <v>17492</v>
      </c>
      <c r="C17493" s="3">
        <v>3</v>
      </c>
    </row>
    <row r="17494" spans="1:3" x14ac:dyDescent="0.25">
      <c r="A17494" s="1" t="s">
        <v>17493</v>
      </c>
      <c r="C17494" s="3">
        <v>3</v>
      </c>
    </row>
    <row r="17495" spans="1:3" x14ac:dyDescent="0.25">
      <c r="A17495" s="1" t="s">
        <v>17494</v>
      </c>
      <c r="C17495" s="3">
        <v>3</v>
      </c>
    </row>
    <row r="17496" spans="1:3" x14ac:dyDescent="0.25">
      <c r="A17496" s="1" t="s">
        <v>17495</v>
      </c>
      <c r="C17496" s="3">
        <v>3</v>
      </c>
    </row>
    <row r="17497" spans="1:3" x14ac:dyDescent="0.25">
      <c r="A17497" s="1" t="s">
        <v>17496</v>
      </c>
      <c r="C17497" s="3">
        <v>3</v>
      </c>
    </row>
    <row r="17498" spans="1:3" x14ac:dyDescent="0.25">
      <c r="A17498" s="1" t="s">
        <v>17497</v>
      </c>
      <c r="C17498" s="3">
        <v>3</v>
      </c>
    </row>
    <row r="17499" spans="1:3" x14ac:dyDescent="0.25">
      <c r="A17499" s="1" t="s">
        <v>17498</v>
      </c>
      <c r="C17499" s="3">
        <v>3</v>
      </c>
    </row>
    <row r="17500" spans="1:3" x14ac:dyDescent="0.25">
      <c r="A17500" s="1" t="s">
        <v>17499</v>
      </c>
      <c r="C17500" s="3">
        <v>3</v>
      </c>
    </row>
    <row r="17501" spans="1:3" x14ac:dyDescent="0.25">
      <c r="A17501" s="1" t="s">
        <v>17500</v>
      </c>
      <c r="C17501" s="3">
        <v>3</v>
      </c>
    </row>
    <row r="17502" spans="1:3" x14ac:dyDescent="0.25">
      <c r="A17502" s="1" t="s">
        <v>17501</v>
      </c>
      <c r="C17502" s="3">
        <v>3</v>
      </c>
    </row>
    <row r="17503" spans="1:3" x14ac:dyDescent="0.25">
      <c r="A17503" s="1" t="s">
        <v>17502</v>
      </c>
      <c r="C17503" s="3">
        <v>3</v>
      </c>
    </row>
    <row r="17504" spans="1:3" x14ac:dyDescent="0.25">
      <c r="A17504" s="1" t="s">
        <v>17503</v>
      </c>
      <c r="C17504" s="3">
        <v>3</v>
      </c>
    </row>
    <row r="17505" spans="1:3" x14ac:dyDescent="0.25">
      <c r="A17505" s="1" t="s">
        <v>17504</v>
      </c>
      <c r="C17505" s="3">
        <v>3</v>
      </c>
    </row>
    <row r="17506" spans="1:3" x14ac:dyDescent="0.25">
      <c r="A17506" s="1" t="s">
        <v>17505</v>
      </c>
      <c r="C17506" s="3">
        <v>3</v>
      </c>
    </row>
    <row r="17507" spans="1:3" x14ac:dyDescent="0.25">
      <c r="A17507" s="1" t="s">
        <v>17506</v>
      </c>
      <c r="C17507" s="3">
        <v>3</v>
      </c>
    </row>
    <row r="17508" spans="1:3" x14ac:dyDescent="0.25">
      <c r="A17508" s="1" t="s">
        <v>17507</v>
      </c>
      <c r="C17508" s="3">
        <v>3</v>
      </c>
    </row>
    <row r="17509" spans="1:3" x14ac:dyDescent="0.25">
      <c r="A17509" s="1" t="s">
        <v>17508</v>
      </c>
      <c r="C17509" s="3">
        <v>3</v>
      </c>
    </row>
    <row r="17510" spans="1:3" x14ac:dyDescent="0.25">
      <c r="A17510" s="1" t="s">
        <v>17509</v>
      </c>
      <c r="C17510" s="3">
        <v>3</v>
      </c>
    </row>
    <row r="17511" spans="1:3" x14ac:dyDescent="0.25">
      <c r="A17511" s="1" t="s">
        <v>17510</v>
      </c>
      <c r="C17511" s="3">
        <v>3</v>
      </c>
    </row>
    <row r="17512" spans="1:3" x14ac:dyDescent="0.25">
      <c r="A17512" s="1" t="s">
        <v>17511</v>
      </c>
      <c r="C17512" s="3">
        <v>3</v>
      </c>
    </row>
    <row r="17513" spans="1:3" x14ac:dyDescent="0.25">
      <c r="A17513" s="1" t="s">
        <v>17512</v>
      </c>
      <c r="C17513" s="3">
        <v>3</v>
      </c>
    </row>
    <row r="17514" spans="1:3" x14ac:dyDescent="0.25">
      <c r="A17514" s="1" t="s">
        <v>17513</v>
      </c>
      <c r="C17514" s="3">
        <v>3</v>
      </c>
    </row>
    <row r="17515" spans="1:3" x14ac:dyDescent="0.25">
      <c r="A17515" s="1" t="s">
        <v>17514</v>
      </c>
      <c r="C17515" s="3">
        <v>3</v>
      </c>
    </row>
    <row r="17516" spans="1:3" x14ac:dyDescent="0.25">
      <c r="A17516" s="1" t="s">
        <v>17515</v>
      </c>
      <c r="C17516" s="3">
        <v>3</v>
      </c>
    </row>
    <row r="17517" spans="1:3" x14ac:dyDescent="0.25">
      <c r="A17517" s="1" t="s">
        <v>17516</v>
      </c>
      <c r="C17517" s="3">
        <v>3</v>
      </c>
    </row>
    <row r="17518" spans="1:3" x14ac:dyDescent="0.25">
      <c r="A17518" s="1" t="s">
        <v>17517</v>
      </c>
      <c r="C17518" s="3">
        <v>3</v>
      </c>
    </row>
    <row r="17519" spans="1:3" x14ac:dyDescent="0.25">
      <c r="A17519" s="1" t="s">
        <v>17518</v>
      </c>
      <c r="C17519" s="3">
        <v>3</v>
      </c>
    </row>
    <row r="17520" spans="1:3" x14ac:dyDescent="0.25">
      <c r="A17520" s="1" t="s">
        <v>17519</v>
      </c>
      <c r="C17520" s="3">
        <v>3</v>
      </c>
    </row>
    <row r="17521" spans="1:3" x14ac:dyDescent="0.25">
      <c r="A17521" s="1" t="s">
        <v>17520</v>
      </c>
      <c r="C17521" s="3">
        <v>3</v>
      </c>
    </row>
    <row r="17522" spans="1:3" x14ac:dyDescent="0.25">
      <c r="A17522" s="1" t="s">
        <v>17521</v>
      </c>
      <c r="C17522" s="3">
        <v>3</v>
      </c>
    </row>
    <row r="17523" spans="1:3" x14ac:dyDescent="0.25">
      <c r="A17523" s="1" t="s">
        <v>17522</v>
      </c>
      <c r="C17523" s="3">
        <v>3</v>
      </c>
    </row>
    <row r="17524" spans="1:3" x14ac:dyDescent="0.25">
      <c r="A17524" s="1" t="s">
        <v>17523</v>
      </c>
      <c r="C17524" s="3">
        <v>3</v>
      </c>
    </row>
    <row r="17525" spans="1:3" x14ac:dyDescent="0.25">
      <c r="A17525" s="1" t="s">
        <v>17524</v>
      </c>
      <c r="C17525" s="3">
        <v>3</v>
      </c>
    </row>
    <row r="17526" spans="1:3" x14ac:dyDescent="0.25">
      <c r="A17526" s="1" t="s">
        <v>17525</v>
      </c>
      <c r="C17526" s="3">
        <v>3</v>
      </c>
    </row>
    <row r="17527" spans="1:3" x14ac:dyDescent="0.25">
      <c r="A17527" s="1" t="s">
        <v>17526</v>
      </c>
      <c r="C17527" s="3">
        <v>3</v>
      </c>
    </row>
    <row r="17528" spans="1:3" x14ac:dyDescent="0.25">
      <c r="A17528" s="1" t="s">
        <v>17527</v>
      </c>
      <c r="C17528" s="3">
        <v>3</v>
      </c>
    </row>
    <row r="17529" spans="1:3" x14ac:dyDescent="0.25">
      <c r="A17529" s="1" t="s">
        <v>17528</v>
      </c>
      <c r="C17529" s="3">
        <v>3</v>
      </c>
    </row>
    <row r="17530" spans="1:3" x14ac:dyDescent="0.25">
      <c r="A17530" s="1" t="s">
        <v>17529</v>
      </c>
      <c r="C17530" s="3">
        <v>3</v>
      </c>
    </row>
    <row r="17531" spans="1:3" x14ac:dyDescent="0.25">
      <c r="A17531" s="1" t="s">
        <v>17530</v>
      </c>
      <c r="C17531" s="3">
        <v>3</v>
      </c>
    </row>
    <row r="17532" spans="1:3" x14ac:dyDescent="0.25">
      <c r="A17532" s="1" t="s">
        <v>17531</v>
      </c>
      <c r="C17532" s="3">
        <v>3</v>
      </c>
    </row>
    <row r="17533" spans="1:3" x14ac:dyDescent="0.25">
      <c r="A17533" s="1" t="s">
        <v>17532</v>
      </c>
      <c r="C17533" s="3">
        <v>3</v>
      </c>
    </row>
    <row r="17534" spans="1:3" x14ac:dyDescent="0.25">
      <c r="A17534" s="1" t="s">
        <v>17533</v>
      </c>
      <c r="C17534" s="3">
        <v>3</v>
      </c>
    </row>
    <row r="17535" spans="1:3" x14ac:dyDescent="0.25">
      <c r="A17535" s="1" t="s">
        <v>17534</v>
      </c>
      <c r="C17535" s="3">
        <v>3</v>
      </c>
    </row>
    <row r="17536" spans="1:3" x14ac:dyDescent="0.25">
      <c r="A17536" s="1" t="s">
        <v>17535</v>
      </c>
      <c r="C17536" s="3">
        <v>3</v>
      </c>
    </row>
    <row r="17537" spans="1:3" x14ac:dyDescent="0.25">
      <c r="A17537" s="1" t="s">
        <v>17536</v>
      </c>
      <c r="C17537" s="3">
        <v>3</v>
      </c>
    </row>
    <row r="17538" spans="1:3" x14ac:dyDescent="0.25">
      <c r="A17538" s="1" t="s">
        <v>17537</v>
      </c>
      <c r="C17538" s="3">
        <v>3</v>
      </c>
    </row>
    <row r="17539" spans="1:3" x14ac:dyDescent="0.25">
      <c r="A17539" s="1" t="s">
        <v>17538</v>
      </c>
      <c r="C17539" s="3">
        <v>3</v>
      </c>
    </row>
    <row r="17540" spans="1:3" x14ac:dyDescent="0.25">
      <c r="A17540" s="1" t="s">
        <v>17539</v>
      </c>
      <c r="C17540" s="3">
        <v>3</v>
      </c>
    </row>
    <row r="17541" spans="1:3" x14ac:dyDescent="0.25">
      <c r="A17541" s="1" t="s">
        <v>17540</v>
      </c>
      <c r="C17541" s="3">
        <v>3</v>
      </c>
    </row>
    <row r="17542" spans="1:3" x14ac:dyDescent="0.25">
      <c r="A17542" s="1" t="s">
        <v>17541</v>
      </c>
      <c r="C17542" s="3">
        <v>3</v>
      </c>
    </row>
    <row r="17543" spans="1:3" x14ac:dyDescent="0.25">
      <c r="A17543" s="1" t="s">
        <v>17542</v>
      </c>
      <c r="C17543" s="3">
        <v>3</v>
      </c>
    </row>
    <row r="17544" spans="1:3" x14ac:dyDescent="0.25">
      <c r="A17544" s="1" t="s">
        <v>17543</v>
      </c>
      <c r="C17544" s="3">
        <v>3</v>
      </c>
    </row>
    <row r="17545" spans="1:3" x14ac:dyDescent="0.25">
      <c r="A17545" s="1" t="s">
        <v>17544</v>
      </c>
      <c r="C17545" s="3">
        <v>3</v>
      </c>
    </row>
    <row r="17546" spans="1:3" x14ac:dyDescent="0.25">
      <c r="A17546" s="1" t="s">
        <v>17545</v>
      </c>
      <c r="C17546" s="3">
        <v>3</v>
      </c>
    </row>
    <row r="17547" spans="1:3" x14ac:dyDescent="0.25">
      <c r="A17547" s="1" t="s">
        <v>17546</v>
      </c>
      <c r="C17547" s="3">
        <v>3</v>
      </c>
    </row>
    <row r="17548" spans="1:3" x14ac:dyDescent="0.25">
      <c r="A17548" s="1" t="s">
        <v>17547</v>
      </c>
      <c r="C17548" s="3">
        <v>3</v>
      </c>
    </row>
    <row r="17549" spans="1:3" x14ac:dyDescent="0.25">
      <c r="A17549" s="1" t="s">
        <v>17548</v>
      </c>
      <c r="C17549" s="3">
        <v>3</v>
      </c>
    </row>
    <row r="17550" spans="1:3" x14ac:dyDescent="0.25">
      <c r="A17550" s="1" t="s">
        <v>17549</v>
      </c>
      <c r="C17550" s="3">
        <v>3</v>
      </c>
    </row>
    <row r="17551" spans="1:3" x14ac:dyDescent="0.25">
      <c r="A17551" s="1" t="s">
        <v>17550</v>
      </c>
      <c r="C17551" s="3">
        <v>3</v>
      </c>
    </row>
    <row r="17552" spans="1:3" x14ac:dyDescent="0.25">
      <c r="A17552" s="1" t="s">
        <v>17551</v>
      </c>
      <c r="C17552" s="3">
        <v>3</v>
      </c>
    </row>
    <row r="17553" spans="1:3" x14ac:dyDescent="0.25">
      <c r="A17553" s="1" t="s">
        <v>17552</v>
      </c>
      <c r="C17553" s="3">
        <v>3</v>
      </c>
    </row>
    <row r="17554" spans="1:3" x14ac:dyDescent="0.25">
      <c r="A17554" s="1" t="s">
        <v>17553</v>
      </c>
      <c r="C17554" s="3">
        <v>3</v>
      </c>
    </row>
    <row r="17555" spans="1:3" x14ac:dyDescent="0.25">
      <c r="A17555" s="1" t="s">
        <v>17554</v>
      </c>
      <c r="C17555" s="3">
        <v>3</v>
      </c>
    </row>
    <row r="17556" spans="1:3" x14ac:dyDescent="0.25">
      <c r="A17556" s="1" t="s">
        <v>17555</v>
      </c>
      <c r="C17556" s="3">
        <v>3</v>
      </c>
    </row>
    <row r="17557" spans="1:3" x14ac:dyDescent="0.25">
      <c r="A17557" s="1" t="s">
        <v>17556</v>
      </c>
      <c r="C17557" s="3">
        <v>3</v>
      </c>
    </row>
    <row r="17558" spans="1:3" x14ac:dyDescent="0.25">
      <c r="A17558" s="1" t="s">
        <v>17557</v>
      </c>
      <c r="C17558" s="3">
        <v>3</v>
      </c>
    </row>
    <row r="17559" spans="1:3" x14ac:dyDescent="0.25">
      <c r="A17559" s="1" t="s">
        <v>17558</v>
      </c>
      <c r="C17559" s="3">
        <v>3</v>
      </c>
    </row>
    <row r="17560" spans="1:3" x14ac:dyDescent="0.25">
      <c r="A17560" s="1" t="s">
        <v>17559</v>
      </c>
      <c r="C17560" s="3">
        <v>3</v>
      </c>
    </row>
    <row r="17561" spans="1:3" x14ac:dyDescent="0.25">
      <c r="A17561" s="1" t="s">
        <v>17560</v>
      </c>
      <c r="C17561" s="3">
        <v>3</v>
      </c>
    </row>
    <row r="17562" spans="1:3" x14ac:dyDescent="0.25">
      <c r="A17562" s="1" t="s">
        <v>17561</v>
      </c>
      <c r="C17562" s="3">
        <v>3</v>
      </c>
    </row>
    <row r="17563" spans="1:3" x14ac:dyDescent="0.25">
      <c r="A17563" s="1" t="s">
        <v>17562</v>
      </c>
      <c r="C17563" s="3">
        <v>3</v>
      </c>
    </row>
    <row r="17564" spans="1:3" x14ac:dyDescent="0.25">
      <c r="A17564" s="1" t="s">
        <v>17563</v>
      </c>
      <c r="C17564" s="3">
        <v>3</v>
      </c>
    </row>
    <row r="17565" spans="1:3" x14ac:dyDescent="0.25">
      <c r="A17565" s="1" t="s">
        <v>17564</v>
      </c>
      <c r="C17565" s="3">
        <v>3</v>
      </c>
    </row>
    <row r="17566" spans="1:3" x14ac:dyDescent="0.25">
      <c r="A17566" s="1" t="s">
        <v>17565</v>
      </c>
      <c r="C17566" s="3">
        <v>3</v>
      </c>
    </row>
    <row r="17567" spans="1:3" x14ac:dyDescent="0.25">
      <c r="A17567" s="1" t="s">
        <v>17566</v>
      </c>
      <c r="C17567" s="3">
        <v>3</v>
      </c>
    </row>
    <row r="17568" spans="1:3" x14ac:dyDescent="0.25">
      <c r="A17568" s="1" t="s">
        <v>17567</v>
      </c>
      <c r="C17568" s="3">
        <v>3</v>
      </c>
    </row>
    <row r="17569" spans="1:3" x14ac:dyDescent="0.25">
      <c r="A17569" s="1" t="s">
        <v>17568</v>
      </c>
      <c r="C17569" s="3">
        <v>3</v>
      </c>
    </row>
    <row r="17570" spans="1:3" x14ac:dyDescent="0.25">
      <c r="A17570" s="1" t="s">
        <v>17569</v>
      </c>
      <c r="C17570" s="3">
        <v>3</v>
      </c>
    </row>
    <row r="17571" spans="1:3" x14ac:dyDescent="0.25">
      <c r="A17571" s="1" t="s">
        <v>17570</v>
      </c>
      <c r="C17571" s="3">
        <v>3</v>
      </c>
    </row>
    <row r="17572" spans="1:3" x14ac:dyDescent="0.25">
      <c r="A17572" s="1" t="s">
        <v>17571</v>
      </c>
      <c r="C17572" s="3">
        <v>3</v>
      </c>
    </row>
    <row r="17573" spans="1:3" x14ac:dyDescent="0.25">
      <c r="A17573" s="1" t="s">
        <v>17572</v>
      </c>
      <c r="C17573" s="3">
        <v>3</v>
      </c>
    </row>
    <row r="17574" spans="1:3" x14ac:dyDescent="0.25">
      <c r="A17574" s="1" t="s">
        <v>17573</v>
      </c>
      <c r="C17574" s="3">
        <v>3</v>
      </c>
    </row>
    <row r="17575" spans="1:3" x14ac:dyDescent="0.25">
      <c r="A17575" s="1" t="s">
        <v>17574</v>
      </c>
      <c r="C17575" s="3">
        <v>3</v>
      </c>
    </row>
    <row r="17576" spans="1:3" x14ac:dyDescent="0.25">
      <c r="A17576" s="1" t="s">
        <v>17575</v>
      </c>
      <c r="C17576" s="3">
        <v>3</v>
      </c>
    </row>
    <row r="17577" spans="1:3" x14ac:dyDescent="0.25">
      <c r="A17577" s="1" t="s">
        <v>17576</v>
      </c>
      <c r="C17577" s="3">
        <v>3</v>
      </c>
    </row>
    <row r="17578" spans="1:3" x14ac:dyDescent="0.25">
      <c r="A17578" s="1" t="s">
        <v>17577</v>
      </c>
      <c r="C17578" s="3">
        <v>3</v>
      </c>
    </row>
    <row r="17579" spans="1:3" x14ac:dyDescent="0.25">
      <c r="A17579" s="1" t="s">
        <v>17578</v>
      </c>
      <c r="C17579" s="3">
        <v>3</v>
      </c>
    </row>
    <row r="17580" spans="1:3" x14ac:dyDescent="0.25">
      <c r="A17580" s="1" t="s">
        <v>17579</v>
      </c>
      <c r="C17580" s="3">
        <v>3</v>
      </c>
    </row>
    <row r="17581" spans="1:3" x14ac:dyDescent="0.25">
      <c r="A17581" s="1" t="s">
        <v>17580</v>
      </c>
      <c r="C17581" s="3">
        <v>3</v>
      </c>
    </row>
    <row r="17582" spans="1:3" x14ac:dyDescent="0.25">
      <c r="A17582" s="1" t="s">
        <v>17581</v>
      </c>
      <c r="C17582" s="3">
        <v>3</v>
      </c>
    </row>
    <row r="17583" spans="1:3" x14ac:dyDescent="0.25">
      <c r="A17583" s="1" t="s">
        <v>17582</v>
      </c>
      <c r="C17583" s="3">
        <v>3</v>
      </c>
    </row>
    <row r="17584" spans="1:3" x14ac:dyDescent="0.25">
      <c r="A17584" s="1" t="s">
        <v>17583</v>
      </c>
      <c r="C17584" s="3">
        <v>3</v>
      </c>
    </row>
    <row r="17585" spans="1:3" x14ac:dyDescent="0.25">
      <c r="A17585" s="1" t="s">
        <v>17584</v>
      </c>
      <c r="C17585" s="3">
        <v>3</v>
      </c>
    </row>
    <row r="17586" spans="1:3" x14ac:dyDescent="0.25">
      <c r="A17586" s="1" t="s">
        <v>17585</v>
      </c>
      <c r="C17586" s="3">
        <v>3</v>
      </c>
    </row>
    <row r="17587" spans="1:3" x14ac:dyDescent="0.25">
      <c r="A17587" s="1" t="s">
        <v>17586</v>
      </c>
      <c r="C17587" s="3">
        <v>3</v>
      </c>
    </row>
    <row r="17588" spans="1:3" x14ac:dyDescent="0.25">
      <c r="A17588" s="1" t="s">
        <v>17587</v>
      </c>
      <c r="C17588" s="3">
        <v>3</v>
      </c>
    </row>
    <row r="17589" spans="1:3" x14ac:dyDescent="0.25">
      <c r="A17589" s="1" t="s">
        <v>17588</v>
      </c>
      <c r="C17589" s="3">
        <v>3</v>
      </c>
    </row>
    <row r="17590" spans="1:3" x14ac:dyDescent="0.25">
      <c r="A17590" s="1" t="s">
        <v>17589</v>
      </c>
      <c r="C17590" s="3">
        <v>3</v>
      </c>
    </row>
    <row r="17591" spans="1:3" x14ac:dyDescent="0.25">
      <c r="A17591" s="1" t="s">
        <v>17590</v>
      </c>
      <c r="C17591" s="3">
        <v>3</v>
      </c>
    </row>
    <row r="17592" spans="1:3" x14ac:dyDescent="0.25">
      <c r="A17592" s="1" t="s">
        <v>17591</v>
      </c>
      <c r="C17592" s="3">
        <v>3</v>
      </c>
    </row>
    <row r="17593" spans="1:3" x14ac:dyDescent="0.25">
      <c r="A17593" s="1" t="s">
        <v>17592</v>
      </c>
      <c r="C17593" s="3">
        <v>3</v>
      </c>
    </row>
    <row r="17594" spans="1:3" x14ac:dyDescent="0.25">
      <c r="A17594" s="1" t="s">
        <v>17593</v>
      </c>
      <c r="C17594" s="3">
        <v>3</v>
      </c>
    </row>
    <row r="17595" spans="1:3" x14ac:dyDescent="0.25">
      <c r="A17595" s="1" t="s">
        <v>17594</v>
      </c>
      <c r="C17595" s="3">
        <v>3</v>
      </c>
    </row>
    <row r="17596" spans="1:3" x14ac:dyDescent="0.25">
      <c r="A17596" s="1" t="s">
        <v>17595</v>
      </c>
      <c r="C17596" s="3">
        <v>3</v>
      </c>
    </row>
    <row r="17597" spans="1:3" x14ac:dyDescent="0.25">
      <c r="A17597" s="1" t="s">
        <v>17596</v>
      </c>
      <c r="C17597" s="3">
        <v>3</v>
      </c>
    </row>
    <row r="17598" spans="1:3" x14ac:dyDescent="0.25">
      <c r="A17598" s="1" t="s">
        <v>17597</v>
      </c>
      <c r="C17598" s="3">
        <v>3</v>
      </c>
    </row>
    <row r="17599" spans="1:3" x14ac:dyDescent="0.25">
      <c r="A17599" s="1" t="s">
        <v>17598</v>
      </c>
      <c r="C17599" s="3">
        <v>3</v>
      </c>
    </row>
    <row r="17600" spans="1:3" x14ac:dyDescent="0.25">
      <c r="A17600" s="1" t="s">
        <v>17599</v>
      </c>
      <c r="C17600" s="3">
        <v>3</v>
      </c>
    </row>
    <row r="17601" spans="1:3" x14ac:dyDescent="0.25">
      <c r="A17601" s="1" t="s">
        <v>17600</v>
      </c>
      <c r="C17601" s="3">
        <v>3</v>
      </c>
    </row>
    <row r="17602" spans="1:3" x14ac:dyDescent="0.25">
      <c r="A17602" s="1" t="s">
        <v>17601</v>
      </c>
      <c r="C17602" s="3">
        <v>3</v>
      </c>
    </row>
    <row r="17603" spans="1:3" x14ac:dyDescent="0.25">
      <c r="A17603" s="1" t="s">
        <v>17602</v>
      </c>
      <c r="C17603" s="3">
        <v>3</v>
      </c>
    </row>
    <row r="17604" spans="1:3" x14ac:dyDescent="0.25">
      <c r="A17604" s="1" t="s">
        <v>17603</v>
      </c>
      <c r="C17604" s="3">
        <v>3</v>
      </c>
    </row>
    <row r="17605" spans="1:3" x14ac:dyDescent="0.25">
      <c r="A17605" s="1" t="s">
        <v>17604</v>
      </c>
      <c r="C17605" s="3">
        <v>3</v>
      </c>
    </row>
    <row r="17606" spans="1:3" x14ac:dyDescent="0.25">
      <c r="A17606" s="1" t="s">
        <v>17605</v>
      </c>
      <c r="C17606" s="3">
        <v>3</v>
      </c>
    </row>
    <row r="17607" spans="1:3" x14ac:dyDescent="0.25">
      <c r="A17607" s="1" t="s">
        <v>17606</v>
      </c>
      <c r="C17607" s="3">
        <v>3</v>
      </c>
    </row>
    <row r="17608" spans="1:3" x14ac:dyDescent="0.25">
      <c r="A17608" s="1" t="s">
        <v>17607</v>
      </c>
      <c r="C17608" s="3">
        <v>3</v>
      </c>
    </row>
    <row r="17609" spans="1:3" x14ac:dyDescent="0.25">
      <c r="A17609" s="1" t="s">
        <v>17608</v>
      </c>
      <c r="C17609" s="3">
        <v>3</v>
      </c>
    </row>
    <row r="17610" spans="1:3" x14ac:dyDescent="0.25">
      <c r="A17610" s="1" t="s">
        <v>17609</v>
      </c>
      <c r="C17610" s="3">
        <v>3</v>
      </c>
    </row>
    <row r="17611" spans="1:3" x14ac:dyDescent="0.25">
      <c r="A17611" s="1" t="s">
        <v>17610</v>
      </c>
      <c r="C17611" s="3">
        <v>3</v>
      </c>
    </row>
    <row r="17612" spans="1:3" x14ac:dyDescent="0.25">
      <c r="A17612" s="1" t="s">
        <v>17611</v>
      </c>
      <c r="C17612" s="3">
        <v>3</v>
      </c>
    </row>
    <row r="17613" spans="1:3" x14ac:dyDescent="0.25">
      <c r="A17613" s="1" t="s">
        <v>17612</v>
      </c>
      <c r="C17613" s="3">
        <v>3</v>
      </c>
    </row>
    <row r="17614" spans="1:3" x14ac:dyDescent="0.25">
      <c r="A17614" s="1" t="s">
        <v>17613</v>
      </c>
      <c r="C17614" s="3">
        <v>3</v>
      </c>
    </row>
    <row r="17615" spans="1:3" x14ac:dyDescent="0.25">
      <c r="A17615" s="1" t="s">
        <v>17614</v>
      </c>
      <c r="C17615" s="3">
        <v>3</v>
      </c>
    </row>
    <row r="17616" spans="1:3" x14ac:dyDescent="0.25">
      <c r="A17616" s="1" t="s">
        <v>17615</v>
      </c>
      <c r="C17616" s="3">
        <v>3</v>
      </c>
    </row>
    <row r="17617" spans="1:3" x14ac:dyDescent="0.25">
      <c r="A17617" s="1" t="s">
        <v>17616</v>
      </c>
      <c r="C17617" s="3">
        <v>3</v>
      </c>
    </row>
    <row r="17618" spans="1:3" x14ac:dyDescent="0.25">
      <c r="A17618" s="1" t="s">
        <v>17617</v>
      </c>
      <c r="C17618" s="3">
        <v>3</v>
      </c>
    </row>
    <row r="17619" spans="1:3" x14ac:dyDescent="0.25">
      <c r="A17619" s="1" t="s">
        <v>17618</v>
      </c>
      <c r="C17619" s="3">
        <v>3</v>
      </c>
    </row>
    <row r="17620" spans="1:3" x14ac:dyDescent="0.25">
      <c r="A17620" s="1" t="s">
        <v>17619</v>
      </c>
      <c r="C17620" s="3">
        <v>3</v>
      </c>
    </row>
    <row r="17621" spans="1:3" x14ac:dyDescent="0.25">
      <c r="A17621" s="1" t="s">
        <v>17620</v>
      </c>
      <c r="C17621" s="3">
        <v>3</v>
      </c>
    </row>
    <row r="17622" spans="1:3" x14ac:dyDescent="0.25">
      <c r="A17622" s="1" t="s">
        <v>17621</v>
      </c>
      <c r="C17622" s="3">
        <v>3</v>
      </c>
    </row>
    <row r="17623" spans="1:3" x14ac:dyDescent="0.25">
      <c r="A17623" s="1" t="s">
        <v>17622</v>
      </c>
      <c r="C17623" s="3">
        <v>3</v>
      </c>
    </row>
    <row r="17624" spans="1:3" x14ac:dyDescent="0.25">
      <c r="A17624" s="1" t="s">
        <v>17623</v>
      </c>
      <c r="C17624" s="3">
        <v>3</v>
      </c>
    </row>
    <row r="17625" spans="1:3" x14ac:dyDescent="0.25">
      <c r="A17625" s="1" t="s">
        <v>17624</v>
      </c>
      <c r="C17625" s="3">
        <v>3</v>
      </c>
    </row>
    <row r="17626" spans="1:3" x14ac:dyDescent="0.25">
      <c r="A17626" s="1" t="s">
        <v>17625</v>
      </c>
      <c r="C17626" s="3">
        <v>3</v>
      </c>
    </row>
    <row r="17627" spans="1:3" x14ac:dyDescent="0.25">
      <c r="A17627" s="1" t="s">
        <v>17626</v>
      </c>
      <c r="C17627" s="3">
        <v>3</v>
      </c>
    </row>
    <row r="17628" spans="1:3" x14ac:dyDescent="0.25">
      <c r="A17628" s="1" t="s">
        <v>17627</v>
      </c>
      <c r="C17628" s="3">
        <v>3</v>
      </c>
    </row>
    <row r="17629" spans="1:3" x14ac:dyDescent="0.25">
      <c r="A17629" s="1" t="s">
        <v>17628</v>
      </c>
      <c r="C17629" s="3">
        <v>3</v>
      </c>
    </row>
    <row r="17630" spans="1:3" x14ac:dyDescent="0.25">
      <c r="A17630" s="1" t="s">
        <v>17629</v>
      </c>
      <c r="C17630" s="3">
        <v>3</v>
      </c>
    </row>
    <row r="17631" spans="1:3" x14ac:dyDescent="0.25">
      <c r="A17631" s="1" t="s">
        <v>17630</v>
      </c>
      <c r="C17631" s="3">
        <v>3</v>
      </c>
    </row>
    <row r="17632" spans="1:3" x14ac:dyDescent="0.25">
      <c r="A17632" s="1" t="s">
        <v>17631</v>
      </c>
      <c r="C17632" s="3">
        <v>3</v>
      </c>
    </row>
    <row r="17633" spans="1:3" x14ac:dyDescent="0.25">
      <c r="A17633" s="1" t="s">
        <v>17632</v>
      </c>
      <c r="C17633" s="3">
        <v>3</v>
      </c>
    </row>
    <row r="17634" spans="1:3" x14ac:dyDescent="0.25">
      <c r="A17634" s="1" t="s">
        <v>17633</v>
      </c>
      <c r="C17634" s="3">
        <v>3</v>
      </c>
    </row>
    <row r="17635" spans="1:3" x14ac:dyDescent="0.25">
      <c r="A17635" s="1" t="s">
        <v>17634</v>
      </c>
      <c r="C17635" s="3">
        <v>3</v>
      </c>
    </row>
    <row r="17636" spans="1:3" x14ac:dyDescent="0.25">
      <c r="A17636" s="1" t="s">
        <v>17635</v>
      </c>
      <c r="C17636" s="3">
        <v>3</v>
      </c>
    </row>
    <row r="17637" spans="1:3" x14ac:dyDescent="0.25">
      <c r="A17637" s="1" t="s">
        <v>17636</v>
      </c>
      <c r="C17637" s="3">
        <v>3</v>
      </c>
    </row>
    <row r="17638" spans="1:3" x14ac:dyDescent="0.25">
      <c r="A17638" s="1" t="s">
        <v>17637</v>
      </c>
      <c r="C17638" s="3">
        <v>3</v>
      </c>
    </row>
    <row r="17639" spans="1:3" x14ac:dyDescent="0.25">
      <c r="A17639" s="1" t="s">
        <v>17638</v>
      </c>
      <c r="C17639" s="3">
        <v>3</v>
      </c>
    </row>
    <row r="17640" spans="1:3" x14ac:dyDescent="0.25">
      <c r="A17640" s="1" t="s">
        <v>17639</v>
      </c>
      <c r="C17640" s="3">
        <v>3</v>
      </c>
    </row>
    <row r="17641" spans="1:3" x14ac:dyDescent="0.25">
      <c r="A17641" s="1" t="s">
        <v>17640</v>
      </c>
      <c r="C17641" s="3">
        <v>3</v>
      </c>
    </row>
    <row r="17642" spans="1:3" x14ac:dyDescent="0.25">
      <c r="A17642" s="1" t="s">
        <v>17641</v>
      </c>
      <c r="C17642" s="3">
        <v>3</v>
      </c>
    </row>
    <row r="17643" spans="1:3" x14ac:dyDescent="0.25">
      <c r="A17643" s="1" t="s">
        <v>17642</v>
      </c>
      <c r="C17643" s="3">
        <v>3</v>
      </c>
    </row>
    <row r="17644" spans="1:3" x14ac:dyDescent="0.25">
      <c r="A17644" s="1" t="s">
        <v>17643</v>
      </c>
      <c r="C17644" s="3">
        <v>3</v>
      </c>
    </row>
    <row r="17645" spans="1:3" x14ac:dyDescent="0.25">
      <c r="A17645" s="1" t="s">
        <v>17644</v>
      </c>
      <c r="C17645" s="3">
        <v>3</v>
      </c>
    </row>
    <row r="17646" spans="1:3" x14ac:dyDescent="0.25">
      <c r="A17646" s="1" t="s">
        <v>17645</v>
      </c>
      <c r="C17646" s="3">
        <v>3</v>
      </c>
    </row>
    <row r="17647" spans="1:3" x14ac:dyDescent="0.25">
      <c r="A17647" s="1" t="s">
        <v>17646</v>
      </c>
      <c r="C17647" s="3">
        <v>3</v>
      </c>
    </row>
    <row r="17648" spans="1:3" x14ac:dyDescent="0.25">
      <c r="A17648" s="1" t="s">
        <v>17647</v>
      </c>
      <c r="C17648" s="3">
        <v>3</v>
      </c>
    </row>
    <row r="17649" spans="1:3" x14ac:dyDescent="0.25">
      <c r="A17649" s="1" t="s">
        <v>17648</v>
      </c>
      <c r="C17649" s="3">
        <v>3</v>
      </c>
    </row>
    <row r="17650" spans="1:3" x14ac:dyDescent="0.25">
      <c r="A17650" s="1" t="s">
        <v>17649</v>
      </c>
      <c r="C17650" s="3">
        <v>3</v>
      </c>
    </row>
    <row r="17651" spans="1:3" x14ac:dyDescent="0.25">
      <c r="A17651" s="1" t="s">
        <v>17650</v>
      </c>
      <c r="C17651" s="3">
        <v>3</v>
      </c>
    </row>
    <row r="17652" spans="1:3" x14ac:dyDescent="0.25">
      <c r="A17652" s="1" t="s">
        <v>17651</v>
      </c>
      <c r="C17652" s="3">
        <v>3</v>
      </c>
    </row>
    <row r="17653" spans="1:3" x14ac:dyDescent="0.25">
      <c r="A17653" s="1" t="s">
        <v>17652</v>
      </c>
      <c r="C17653" s="3">
        <v>3</v>
      </c>
    </row>
    <row r="17654" spans="1:3" x14ac:dyDescent="0.25">
      <c r="A17654" s="1" t="s">
        <v>17653</v>
      </c>
      <c r="C17654" s="3">
        <v>3</v>
      </c>
    </row>
    <row r="17655" spans="1:3" x14ac:dyDescent="0.25">
      <c r="A17655" s="1" t="s">
        <v>17654</v>
      </c>
      <c r="C17655" s="3">
        <v>3</v>
      </c>
    </row>
    <row r="17656" spans="1:3" x14ac:dyDescent="0.25">
      <c r="A17656" s="1" t="s">
        <v>17655</v>
      </c>
      <c r="C17656" s="3">
        <v>3</v>
      </c>
    </row>
    <row r="17657" spans="1:3" x14ac:dyDescent="0.25">
      <c r="A17657" s="1" t="s">
        <v>17656</v>
      </c>
      <c r="C17657" s="3">
        <v>3</v>
      </c>
    </row>
    <row r="17658" spans="1:3" x14ac:dyDescent="0.25">
      <c r="A17658" s="1" t="s">
        <v>17657</v>
      </c>
      <c r="C17658" s="3">
        <v>3</v>
      </c>
    </row>
    <row r="17659" spans="1:3" x14ac:dyDescent="0.25">
      <c r="A17659" s="1" t="s">
        <v>17658</v>
      </c>
      <c r="C17659" s="3">
        <v>3</v>
      </c>
    </row>
    <row r="17660" spans="1:3" x14ac:dyDescent="0.25">
      <c r="A17660" s="1" t="s">
        <v>17659</v>
      </c>
      <c r="C17660" s="3">
        <v>3</v>
      </c>
    </row>
    <row r="17661" spans="1:3" x14ac:dyDescent="0.25">
      <c r="A17661" s="1" t="s">
        <v>17660</v>
      </c>
      <c r="C17661" s="3">
        <v>3</v>
      </c>
    </row>
    <row r="17662" spans="1:3" x14ac:dyDescent="0.25">
      <c r="A17662" s="1" t="s">
        <v>17661</v>
      </c>
      <c r="C17662" s="3">
        <v>3</v>
      </c>
    </row>
    <row r="17663" spans="1:3" x14ac:dyDescent="0.25">
      <c r="A17663" s="1" t="s">
        <v>17662</v>
      </c>
      <c r="C17663" s="3">
        <v>3</v>
      </c>
    </row>
    <row r="17664" spans="1:3" x14ac:dyDescent="0.25">
      <c r="A17664" s="1" t="s">
        <v>17663</v>
      </c>
      <c r="C17664" s="3">
        <v>3</v>
      </c>
    </row>
    <row r="17665" spans="1:3" x14ac:dyDescent="0.25">
      <c r="A17665" s="1" t="s">
        <v>17664</v>
      </c>
      <c r="C17665" s="3">
        <v>3</v>
      </c>
    </row>
    <row r="17666" spans="1:3" x14ac:dyDescent="0.25">
      <c r="A17666" s="1" t="s">
        <v>17665</v>
      </c>
      <c r="C17666" s="3">
        <v>3</v>
      </c>
    </row>
    <row r="17667" spans="1:3" x14ac:dyDescent="0.25">
      <c r="A17667" s="1" t="s">
        <v>17666</v>
      </c>
      <c r="C17667" s="3">
        <v>3</v>
      </c>
    </row>
    <row r="17668" spans="1:3" x14ac:dyDescent="0.25">
      <c r="A17668" s="1" t="s">
        <v>17667</v>
      </c>
      <c r="C17668" s="3">
        <v>3</v>
      </c>
    </row>
    <row r="17669" spans="1:3" x14ac:dyDescent="0.25">
      <c r="A17669" s="1" t="s">
        <v>17668</v>
      </c>
      <c r="C17669" s="3">
        <v>3</v>
      </c>
    </row>
    <row r="17670" spans="1:3" x14ac:dyDescent="0.25">
      <c r="A17670" s="1" t="s">
        <v>17669</v>
      </c>
      <c r="C17670" s="3">
        <v>3</v>
      </c>
    </row>
    <row r="17671" spans="1:3" x14ac:dyDescent="0.25">
      <c r="A17671" s="1" t="s">
        <v>17670</v>
      </c>
      <c r="C17671" s="3">
        <v>3</v>
      </c>
    </row>
    <row r="17672" spans="1:3" x14ac:dyDescent="0.25">
      <c r="A17672" s="1" t="s">
        <v>17671</v>
      </c>
      <c r="C17672" s="3">
        <v>3</v>
      </c>
    </row>
    <row r="17673" spans="1:3" x14ac:dyDescent="0.25">
      <c r="A17673" s="1" t="s">
        <v>17672</v>
      </c>
      <c r="C17673" s="3">
        <v>3</v>
      </c>
    </row>
    <row r="17674" spans="1:3" x14ac:dyDescent="0.25">
      <c r="A17674" s="1" t="s">
        <v>17673</v>
      </c>
      <c r="C17674" s="3">
        <v>3</v>
      </c>
    </row>
    <row r="17675" spans="1:3" x14ac:dyDescent="0.25">
      <c r="A17675" s="1" t="s">
        <v>17674</v>
      </c>
      <c r="C17675" s="3">
        <v>3</v>
      </c>
    </row>
    <row r="17676" spans="1:3" x14ac:dyDescent="0.25">
      <c r="A17676" s="1" t="s">
        <v>17675</v>
      </c>
      <c r="C17676" s="3">
        <v>3</v>
      </c>
    </row>
    <row r="17677" spans="1:3" x14ac:dyDescent="0.25">
      <c r="A17677" s="1" t="s">
        <v>17676</v>
      </c>
      <c r="C17677" s="3">
        <v>3</v>
      </c>
    </row>
    <row r="17678" spans="1:3" x14ac:dyDescent="0.25">
      <c r="A17678" s="1" t="s">
        <v>17677</v>
      </c>
      <c r="C17678" s="3">
        <v>3</v>
      </c>
    </row>
    <row r="17679" spans="1:3" x14ac:dyDescent="0.25">
      <c r="A17679" s="1" t="s">
        <v>17678</v>
      </c>
      <c r="C17679" s="3">
        <v>3</v>
      </c>
    </row>
    <row r="17680" spans="1:3" x14ac:dyDescent="0.25">
      <c r="A17680" s="1" t="s">
        <v>17679</v>
      </c>
      <c r="C17680" s="3">
        <v>3</v>
      </c>
    </row>
    <row r="17681" spans="1:3" x14ac:dyDescent="0.25">
      <c r="A17681" s="1" t="s">
        <v>17680</v>
      </c>
      <c r="C17681" s="3">
        <v>3</v>
      </c>
    </row>
    <row r="17682" spans="1:3" x14ac:dyDescent="0.25">
      <c r="A17682" s="1" t="s">
        <v>17681</v>
      </c>
      <c r="C17682" s="3">
        <v>3</v>
      </c>
    </row>
    <row r="17683" spans="1:3" x14ac:dyDescent="0.25">
      <c r="A17683" s="1" t="s">
        <v>17682</v>
      </c>
      <c r="C17683" s="3">
        <v>3</v>
      </c>
    </row>
    <row r="17684" spans="1:3" x14ac:dyDescent="0.25">
      <c r="A17684" s="1" t="s">
        <v>17683</v>
      </c>
      <c r="C17684" s="3">
        <v>3</v>
      </c>
    </row>
    <row r="17685" spans="1:3" x14ac:dyDescent="0.25">
      <c r="A17685" s="1" t="s">
        <v>17684</v>
      </c>
      <c r="C17685" s="3">
        <v>3</v>
      </c>
    </row>
    <row r="17686" spans="1:3" x14ac:dyDescent="0.25">
      <c r="A17686" s="1" t="s">
        <v>17685</v>
      </c>
      <c r="C17686" s="3">
        <v>3</v>
      </c>
    </row>
    <row r="17687" spans="1:3" x14ac:dyDescent="0.25">
      <c r="A17687" s="1" t="s">
        <v>17686</v>
      </c>
      <c r="C17687" s="3">
        <v>3</v>
      </c>
    </row>
    <row r="17688" spans="1:3" x14ac:dyDescent="0.25">
      <c r="A17688" s="1" t="s">
        <v>17687</v>
      </c>
      <c r="C17688" s="3">
        <v>3</v>
      </c>
    </row>
    <row r="17689" spans="1:3" x14ac:dyDescent="0.25">
      <c r="A17689" s="1" t="s">
        <v>17688</v>
      </c>
      <c r="C17689" s="3">
        <v>3</v>
      </c>
    </row>
    <row r="17690" spans="1:3" x14ac:dyDescent="0.25">
      <c r="A17690" s="1" t="s">
        <v>17689</v>
      </c>
      <c r="C17690" s="3">
        <v>3</v>
      </c>
    </row>
    <row r="17691" spans="1:3" x14ac:dyDescent="0.25">
      <c r="A17691" s="1" t="s">
        <v>17690</v>
      </c>
      <c r="C17691" s="3">
        <v>3</v>
      </c>
    </row>
    <row r="17692" spans="1:3" x14ac:dyDescent="0.25">
      <c r="A17692" s="1" t="s">
        <v>17691</v>
      </c>
      <c r="C17692" s="3">
        <v>3</v>
      </c>
    </row>
    <row r="17693" spans="1:3" x14ac:dyDescent="0.25">
      <c r="A17693" s="1" t="s">
        <v>17692</v>
      </c>
      <c r="C17693" s="3">
        <v>3</v>
      </c>
    </row>
    <row r="17694" spans="1:3" x14ac:dyDescent="0.25">
      <c r="A17694" s="1" t="s">
        <v>17693</v>
      </c>
      <c r="C17694" s="3">
        <v>3</v>
      </c>
    </row>
    <row r="17695" spans="1:3" x14ac:dyDescent="0.25">
      <c r="A17695" s="1" t="s">
        <v>17694</v>
      </c>
      <c r="C17695" s="3">
        <v>3</v>
      </c>
    </row>
    <row r="17696" spans="1:3" x14ac:dyDescent="0.25">
      <c r="A17696" s="1" t="s">
        <v>17695</v>
      </c>
      <c r="C17696" s="3">
        <v>3</v>
      </c>
    </row>
    <row r="17697" spans="1:3" x14ac:dyDescent="0.25">
      <c r="A17697" s="1" t="s">
        <v>17696</v>
      </c>
      <c r="C17697" s="3">
        <v>3</v>
      </c>
    </row>
    <row r="17698" spans="1:3" x14ac:dyDescent="0.25">
      <c r="A17698" s="1" t="s">
        <v>17697</v>
      </c>
      <c r="C17698" s="3">
        <v>3</v>
      </c>
    </row>
    <row r="17699" spans="1:3" x14ac:dyDescent="0.25">
      <c r="A17699" s="1" t="s">
        <v>17698</v>
      </c>
      <c r="C17699" s="3">
        <v>3</v>
      </c>
    </row>
    <row r="17700" spans="1:3" x14ac:dyDescent="0.25">
      <c r="A17700" s="1" t="s">
        <v>17699</v>
      </c>
      <c r="C17700" s="3">
        <v>3</v>
      </c>
    </row>
    <row r="17701" spans="1:3" x14ac:dyDescent="0.25">
      <c r="A17701" s="1" t="s">
        <v>17700</v>
      </c>
      <c r="C17701" s="3">
        <v>3</v>
      </c>
    </row>
    <row r="17702" spans="1:3" x14ac:dyDescent="0.25">
      <c r="A17702" s="1" t="s">
        <v>17701</v>
      </c>
      <c r="C17702" s="3">
        <v>3</v>
      </c>
    </row>
    <row r="17703" spans="1:3" x14ac:dyDescent="0.25">
      <c r="A17703" s="1" t="s">
        <v>17702</v>
      </c>
      <c r="C17703" s="3">
        <v>3</v>
      </c>
    </row>
    <row r="17704" spans="1:3" x14ac:dyDescent="0.25">
      <c r="A17704" s="1" t="s">
        <v>17703</v>
      </c>
      <c r="C17704" s="3">
        <v>3</v>
      </c>
    </row>
    <row r="17705" spans="1:3" x14ac:dyDescent="0.25">
      <c r="A17705" s="1" t="s">
        <v>17704</v>
      </c>
      <c r="C17705" s="3">
        <v>3</v>
      </c>
    </row>
    <row r="17706" spans="1:3" x14ac:dyDescent="0.25">
      <c r="A17706" s="1" t="s">
        <v>17705</v>
      </c>
      <c r="C17706" s="3">
        <v>3</v>
      </c>
    </row>
    <row r="17707" spans="1:3" x14ac:dyDescent="0.25">
      <c r="A17707" s="1" t="s">
        <v>17706</v>
      </c>
      <c r="C17707" s="3">
        <v>3</v>
      </c>
    </row>
    <row r="17708" spans="1:3" x14ac:dyDescent="0.25">
      <c r="A17708" s="1" t="s">
        <v>17707</v>
      </c>
      <c r="C17708" s="3">
        <v>3</v>
      </c>
    </row>
    <row r="17709" spans="1:3" x14ac:dyDescent="0.25">
      <c r="A17709" s="1" t="s">
        <v>17708</v>
      </c>
      <c r="C17709" s="3">
        <v>3</v>
      </c>
    </row>
    <row r="17710" spans="1:3" x14ac:dyDescent="0.25">
      <c r="A17710" s="1" t="s">
        <v>17709</v>
      </c>
      <c r="C17710" s="3">
        <v>3</v>
      </c>
    </row>
    <row r="17711" spans="1:3" x14ac:dyDescent="0.25">
      <c r="A17711" s="1" t="s">
        <v>17710</v>
      </c>
      <c r="C17711" s="3">
        <v>3</v>
      </c>
    </row>
    <row r="17712" spans="1:3" x14ac:dyDescent="0.25">
      <c r="A17712" s="1" t="s">
        <v>17711</v>
      </c>
      <c r="C17712" s="3">
        <v>3</v>
      </c>
    </row>
    <row r="17713" spans="1:3" x14ac:dyDescent="0.25">
      <c r="A17713" s="1" t="s">
        <v>17712</v>
      </c>
      <c r="C17713" s="3">
        <v>3</v>
      </c>
    </row>
    <row r="17714" spans="1:3" x14ac:dyDescent="0.25">
      <c r="A17714" s="1" t="s">
        <v>17713</v>
      </c>
      <c r="C17714" s="3">
        <v>3</v>
      </c>
    </row>
    <row r="17715" spans="1:3" x14ac:dyDescent="0.25">
      <c r="A17715" s="1" t="s">
        <v>17714</v>
      </c>
      <c r="C17715" s="3">
        <v>3</v>
      </c>
    </row>
    <row r="17716" spans="1:3" x14ac:dyDescent="0.25">
      <c r="A17716" s="1" t="s">
        <v>17715</v>
      </c>
      <c r="C17716" s="3">
        <v>3</v>
      </c>
    </row>
    <row r="17717" spans="1:3" x14ac:dyDescent="0.25">
      <c r="A17717" s="1" t="s">
        <v>17716</v>
      </c>
      <c r="C17717" s="3">
        <v>3</v>
      </c>
    </row>
    <row r="17718" spans="1:3" x14ac:dyDescent="0.25">
      <c r="A17718" s="1" t="s">
        <v>17717</v>
      </c>
      <c r="C17718" s="3">
        <v>3</v>
      </c>
    </row>
    <row r="17719" spans="1:3" x14ac:dyDescent="0.25">
      <c r="A17719" s="1" t="s">
        <v>17718</v>
      </c>
      <c r="C17719" s="3">
        <v>3</v>
      </c>
    </row>
    <row r="17720" spans="1:3" x14ac:dyDescent="0.25">
      <c r="A17720" s="1" t="s">
        <v>17719</v>
      </c>
      <c r="C17720" s="3">
        <v>3</v>
      </c>
    </row>
    <row r="17721" spans="1:3" x14ac:dyDescent="0.25">
      <c r="A17721" s="1" t="s">
        <v>17720</v>
      </c>
      <c r="C17721" s="3">
        <v>3</v>
      </c>
    </row>
    <row r="17722" spans="1:3" x14ac:dyDescent="0.25">
      <c r="A17722" s="1" t="s">
        <v>17721</v>
      </c>
      <c r="C17722" s="3">
        <v>3</v>
      </c>
    </row>
    <row r="17723" spans="1:3" x14ac:dyDescent="0.25">
      <c r="A17723" s="1" t="s">
        <v>17722</v>
      </c>
      <c r="C17723" s="3">
        <v>3</v>
      </c>
    </row>
    <row r="17724" spans="1:3" x14ac:dyDescent="0.25">
      <c r="A17724" s="1" t="s">
        <v>17723</v>
      </c>
      <c r="C17724" s="3">
        <v>3</v>
      </c>
    </row>
    <row r="17725" spans="1:3" x14ac:dyDescent="0.25">
      <c r="A17725" s="1" t="s">
        <v>17724</v>
      </c>
      <c r="C17725" s="3">
        <v>3</v>
      </c>
    </row>
    <row r="17726" spans="1:3" x14ac:dyDescent="0.25">
      <c r="A17726" s="1" t="s">
        <v>17725</v>
      </c>
      <c r="C17726" s="3">
        <v>3</v>
      </c>
    </row>
    <row r="17727" spans="1:3" x14ac:dyDescent="0.25">
      <c r="A17727" s="1" t="s">
        <v>17726</v>
      </c>
      <c r="C17727" s="3">
        <v>3</v>
      </c>
    </row>
    <row r="17728" spans="1:3" x14ac:dyDescent="0.25">
      <c r="A17728" s="1" t="s">
        <v>17727</v>
      </c>
      <c r="C17728" s="3">
        <v>3</v>
      </c>
    </row>
    <row r="17729" spans="1:3" x14ac:dyDescent="0.25">
      <c r="A17729" s="1" t="s">
        <v>17728</v>
      </c>
      <c r="C17729" s="3">
        <v>3</v>
      </c>
    </row>
    <row r="17730" spans="1:3" x14ac:dyDescent="0.25">
      <c r="A17730" s="1" t="s">
        <v>17729</v>
      </c>
      <c r="C17730" s="3">
        <v>3</v>
      </c>
    </row>
    <row r="17731" spans="1:3" x14ac:dyDescent="0.25">
      <c r="A17731" s="1" t="s">
        <v>17730</v>
      </c>
      <c r="C17731" s="3">
        <v>3</v>
      </c>
    </row>
    <row r="17732" spans="1:3" x14ac:dyDescent="0.25">
      <c r="A17732" s="1" t="s">
        <v>17731</v>
      </c>
      <c r="C17732" s="3">
        <v>3</v>
      </c>
    </row>
    <row r="17733" spans="1:3" x14ac:dyDescent="0.25">
      <c r="A17733" s="1" t="s">
        <v>17732</v>
      </c>
      <c r="C17733" s="3">
        <v>3</v>
      </c>
    </row>
    <row r="17734" spans="1:3" x14ac:dyDescent="0.25">
      <c r="A17734" s="1" t="s">
        <v>17733</v>
      </c>
      <c r="C17734" s="3">
        <v>3</v>
      </c>
    </row>
    <row r="17735" spans="1:3" x14ac:dyDescent="0.25">
      <c r="A17735" s="1" t="s">
        <v>17734</v>
      </c>
      <c r="C17735" s="3">
        <v>3</v>
      </c>
    </row>
    <row r="17736" spans="1:3" x14ac:dyDescent="0.25">
      <c r="A17736" s="1" t="s">
        <v>17735</v>
      </c>
      <c r="C17736" s="3">
        <v>3</v>
      </c>
    </row>
    <row r="17737" spans="1:3" x14ac:dyDescent="0.25">
      <c r="A17737" s="1" t="s">
        <v>17736</v>
      </c>
      <c r="C17737" s="3">
        <v>3</v>
      </c>
    </row>
    <row r="17738" spans="1:3" x14ac:dyDescent="0.25">
      <c r="A17738" s="1" t="s">
        <v>17737</v>
      </c>
      <c r="C17738" s="3">
        <v>3</v>
      </c>
    </row>
    <row r="17739" spans="1:3" x14ac:dyDescent="0.25">
      <c r="A17739" s="1" t="s">
        <v>17738</v>
      </c>
      <c r="C17739" s="3">
        <v>3</v>
      </c>
    </row>
    <row r="17740" spans="1:3" x14ac:dyDescent="0.25">
      <c r="A17740" s="1" t="s">
        <v>17739</v>
      </c>
      <c r="C17740" s="3">
        <v>3</v>
      </c>
    </row>
    <row r="17741" spans="1:3" x14ac:dyDescent="0.25">
      <c r="A17741" s="1" t="s">
        <v>17740</v>
      </c>
      <c r="C17741" s="3">
        <v>3</v>
      </c>
    </row>
    <row r="17742" spans="1:3" x14ac:dyDescent="0.25">
      <c r="A17742" s="1" t="s">
        <v>17741</v>
      </c>
      <c r="C17742" s="3">
        <v>3</v>
      </c>
    </row>
    <row r="17743" spans="1:3" x14ac:dyDescent="0.25">
      <c r="A17743" s="1" t="s">
        <v>17742</v>
      </c>
      <c r="C17743" s="3">
        <v>3</v>
      </c>
    </row>
    <row r="17744" spans="1:3" x14ac:dyDescent="0.25">
      <c r="A17744" s="1" t="s">
        <v>17743</v>
      </c>
      <c r="C17744" s="3">
        <v>3</v>
      </c>
    </row>
    <row r="17745" spans="1:3" x14ac:dyDescent="0.25">
      <c r="A17745" s="1" t="s">
        <v>17744</v>
      </c>
      <c r="C17745" s="3">
        <v>3</v>
      </c>
    </row>
    <row r="17746" spans="1:3" x14ac:dyDescent="0.25">
      <c r="A17746" s="1" t="s">
        <v>17745</v>
      </c>
      <c r="C17746" s="3">
        <v>3</v>
      </c>
    </row>
    <row r="17747" spans="1:3" x14ac:dyDescent="0.25">
      <c r="A17747" s="1" t="s">
        <v>17746</v>
      </c>
      <c r="C17747" s="3">
        <v>3</v>
      </c>
    </row>
    <row r="17748" spans="1:3" x14ac:dyDescent="0.25">
      <c r="A17748" s="1" t="s">
        <v>17747</v>
      </c>
      <c r="C17748" s="3">
        <v>3</v>
      </c>
    </row>
    <row r="17749" spans="1:3" x14ac:dyDescent="0.25">
      <c r="A17749" s="1" t="s">
        <v>17748</v>
      </c>
      <c r="C17749" s="3">
        <v>3</v>
      </c>
    </row>
    <row r="17750" spans="1:3" x14ac:dyDescent="0.25">
      <c r="A17750" s="1" t="s">
        <v>17749</v>
      </c>
      <c r="C17750" s="3">
        <v>3</v>
      </c>
    </row>
    <row r="17751" spans="1:3" x14ac:dyDescent="0.25">
      <c r="A17751" s="1" t="s">
        <v>17750</v>
      </c>
      <c r="C17751" s="3">
        <v>3</v>
      </c>
    </row>
    <row r="17752" spans="1:3" x14ac:dyDescent="0.25">
      <c r="A17752" s="1" t="s">
        <v>17751</v>
      </c>
      <c r="C17752" s="3">
        <v>3</v>
      </c>
    </row>
    <row r="17753" spans="1:3" x14ac:dyDescent="0.25">
      <c r="A17753" s="1" t="s">
        <v>17752</v>
      </c>
      <c r="C17753" s="3">
        <v>3</v>
      </c>
    </row>
    <row r="17754" spans="1:3" x14ac:dyDescent="0.25">
      <c r="A17754" s="1" t="s">
        <v>17753</v>
      </c>
      <c r="C17754" s="3">
        <v>3</v>
      </c>
    </row>
    <row r="17755" spans="1:3" x14ac:dyDescent="0.25">
      <c r="A17755" s="1" t="s">
        <v>17754</v>
      </c>
      <c r="C17755" s="3">
        <v>3</v>
      </c>
    </row>
    <row r="17756" spans="1:3" x14ac:dyDescent="0.25">
      <c r="A17756" s="1" t="s">
        <v>17755</v>
      </c>
      <c r="C17756" s="3">
        <v>3</v>
      </c>
    </row>
    <row r="17757" spans="1:3" x14ac:dyDescent="0.25">
      <c r="A17757" s="1" t="s">
        <v>17756</v>
      </c>
      <c r="C17757" s="3">
        <v>3</v>
      </c>
    </row>
    <row r="17758" spans="1:3" x14ac:dyDescent="0.25">
      <c r="A17758" s="1" t="s">
        <v>17757</v>
      </c>
      <c r="C17758" s="3">
        <v>3</v>
      </c>
    </row>
    <row r="17759" spans="1:3" x14ac:dyDescent="0.25">
      <c r="A17759" s="1" t="s">
        <v>17758</v>
      </c>
      <c r="C17759" s="3">
        <v>3</v>
      </c>
    </row>
    <row r="17760" spans="1:3" x14ac:dyDescent="0.25">
      <c r="A17760" s="1" t="s">
        <v>17759</v>
      </c>
      <c r="C17760" s="3">
        <v>3</v>
      </c>
    </row>
    <row r="17761" spans="1:3" x14ac:dyDescent="0.25">
      <c r="A17761" s="1" t="s">
        <v>17760</v>
      </c>
      <c r="C17761" s="3">
        <v>3</v>
      </c>
    </row>
    <row r="17762" spans="1:3" x14ac:dyDescent="0.25">
      <c r="A17762" s="1" t="s">
        <v>17761</v>
      </c>
      <c r="C17762" s="3">
        <v>3</v>
      </c>
    </row>
    <row r="17763" spans="1:3" x14ac:dyDescent="0.25">
      <c r="A17763" s="1" t="s">
        <v>17762</v>
      </c>
      <c r="C17763" s="3">
        <v>3</v>
      </c>
    </row>
    <row r="17764" spans="1:3" x14ac:dyDescent="0.25">
      <c r="A17764" s="1" t="s">
        <v>17763</v>
      </c>
      <c r="C17764" s="3">
        <v>3</v>
      </c>
    </row>
    <row r="17765" spans="1:3" x14ac:dyDescent="0.25">
      <c r="A17765" s="1" t="s">
        <v>17764</v>
      </c>
      <c r="C17765" s="3">
        <v>3</v>
      </c>
    </row>
    <row r="17766" spans="1:3" x14ac:dyDescent="0.25">
      <c r="A17766" s="1" t="s">
        <v>17765</v>
      </c>
      <c r="C17766" s="3">
        <v>3</v>
      </c>
    </row>
    <row r="17767" spans="1:3" x14ac:dyDescent="0.25">
      <c r="A17767" s="1" t="s">
        <v>17766</v>
      </c>
      <c r="C17767" s="3">
        <v>3</v>
      </c>
    </row>
    <row r="17768" spans="1:3" x14ac:dyDescent="0.25">
      <c r="A17768" s="1" t="s">
        <v>17767</v>
      </c>
      <c r="C17768" s="3">
        <v>3</v>
      </c>
    </row>
    <row r="17769" spans="1:3" x14ac:dyDescent="0.25">
      <c r="A17769" s="1" t="s">
        <v>17768</v>
      </c>
      <c r="C17769" s="3">
        <v>3</v>
      </c>
    </row>
    <row r="17770" spans="1:3" x14ac:dyDescent="0.25">
      <c r="A17770" s="1" t="s">
        <v>17769</v>
      </c>
      <c r="C17770" s="3">
        <v>3</v>
      </c>
    </row>
    <row r="17771" spans="1:3" x14ac:dyDescent="0.25">
      <c r="A17771" s="1" t="s">
        <v>17770</v>
      </c>
      <c r="C17771" s="3">
        <v>3</v>
      </c>
    </row>
    <row r="17772" spans="1:3" x14ac:dyDescent="0.25">
      <c r="A17772" s="1" t="s">
        <v>17771</v>
      </c>
      <c r="C17772" s="3">
        <v>3</v>
      </c>
    </row>
    <row r="17773" spans="1:3" x14ac:dyDescent="0.25">
      <c r="A17773" s="1" t="s">
        <v>17772</v>
      </c>
      <c r="C17773" s="3">
        <v>3</v>
      </c>
    </row>
    <row r="17774" spans="1:3" x14ac:dyDescent="0.25">
      <c r="A17774" s="1" t="s">
        <v>17773</v>
      </c>
      <c r="C17774" s="3">
        <v>3</v>
      </c>
    </row>
    <row r="17775" spans="1:3" x14ac:dyDescent="0.25">
      <c r="A17775" s="1" t="s">
        <v>17774</v>
      </c>
      <c r="C17775" s="3">
        <v>3</v>
      </c>
    </row>
    <row r="17776" spans="1:3" x14ac:dyDescent="0.25">
      <c r="A17776" s="1" t="s">
        <v>17775</v>
      </c>
      <c r="C17776" s="3">
        <v>3</v>
      </c>
    </row>
    <row r="17777" spans="1:3" x14ac:dyDescent="0.25">
      <c r="A17777" s="1" t="s">
        <v>17776</v>
      </c>
      <c r="C17777" s="3">
        <v>3</v>
      </c>
    </row>
    <row r="17778" spans="1:3" x14ac:dyDescent="0.25">
      <c r="A17778" s="1" t="s">
        <v>17777</v>
      </c>
      <c r="C17778" s="3">
        <v>3</v>
      </c>
    </row>
    <row r="17779" spans="1:3" x14ac:dyDescent="0.25">
      <c r="A17779" s="1" t="s">
        <v>17778</v>
      </c>
      <c r="C17779" s="3">
        <v>3</v>
      </c>
    </row>
    <row r="17780" spans="1:3" x14ac:dyDescent="0.25">
      <c r="A17780" s="1" t="s">
        <v>17779</v>
      </c>
      <c r="C17780" s="3">
        <v>3</v>
      </c>
    </row>
    <row r="17781" spans="1:3" x14ac:dyDescent="0.25">
      <c r="A17781" s="1" t="s">
        <v>17780</v>
      </c>
      <c r="C17781" s="3">
        <v>3</v>
      </c>
    </row>
    <row r="17782" spans="1:3" x14ac:dyDescent="0.25">
      <c r="A17782" s="1" t="s">
        <v>17781</v>
      </c>
      <c r="C17782" s="3">
        <v>3</v>
      </c>
    </row>
    <row r="17783" spans="1:3" x14ac:dyDescent="0.25">
      <c r="A17783" s="1" t="s">
        <v>17782</v>
      </c>
      <c r="C17783" s="3">
        <v>3</v>
      </c>
    </row>
    <row r="17784" spans="1:3" x14ac:dyDescent="0.25">
      <c r="A17784" s="1" t="s">
        <v>17783</v>
      </c>
      <c r="C17784" s="3">
        <v>3</v>
      </c>
    </row>
    <row r="17785" spans="1:3" x14ac:dyDescent="0.25">
      <c r="A17785" s="1" t="s">
        <v>17784</v>
      </c>
      <c r="C17785" s="3">
        <v>3</v>
      </c>
    </row>
    <row r="17786" spans="1:3" x14ac:dyDescent="0.25">
      <c r="A17786" s="1" t="s">
        <v>17785</v>
      </c>
      <c r="C17786" s="3">
        <v>3</v>
      </c>
    </row>
    <row r="17787" spans="1:3" x14ac:dyDescent="0.25">
      <c r="A17787" s="1" t="s">
        <v>17786</v>
      </c>
      <c r="C17787" s="3">
        <v>3</v>
      </c>
    </row>
    <row r="17788" spans="1:3" x14ac:dyDescent="0.25">
      <c r="A17788" s="1" t="s">
        <v>17787</v>
      </c>
      <c r="C17788" s="3">
        <v>3</v>
      </c>
    </row>
    <row r="17789" spans="1:3" x14ac:dyDescent="0.25">
      <c r="A17789" s="1" t="s">
        <v>17788</v>
      </c>
      <c r="C17789" s="3">
        <v>3</v>
      </c>
    </row>
    <row r="17790" spans="1:3" x14ac:dyDescent="0.25">
      <c r="A17790" s="1" t="s">
        <v>17789</v>
      </c>
      <c r="C17790" s="3">
        <v>3</v>
      </c>
    </row>
    <row r="17791" spans="1:3" x14ac:dyDescent="0.25">
      <c r="A17791" s="1" t="s">
        <v>17790</v>
      </c>
      <c r="C17791" s="3">
        <v>3</v>
      </c>
    </row>
    <row r="17792" spans="1:3" x14ac:dyDescent="0.25">
      <c r="A17792" s="1" t="s">
        <v>17791</v>
      </c>
      <c r="C17792" s="3">
        <v>3</v>
      </c>
    </row>
    <row r="17793" spans="1:3" x14ac:dyDescent="0.25">
      <c r="A17793" s="1" t="s">
        <v>17792</v>
      </c>
      <c r="C17793" s="3">
        <v>3</v>
      </c>
    </row>
    <row r="17794" spans="1:3" x14ac:dyDescent="0.25">
      <c r="A17794" s="1" t="s">
        <v>17793</v>
      </c>
      <c r="C17794" s="3">
        <v>3</v>
      </c>
    </row>
    <row r="17795" spans="1:3" x14ac:dyDescent="0.25">
      <c r="A17795" s="1" t="s">
        <v>17794</v>
      </c>
      <c r="C17795" s="3">
        <v>3</v>
      </c>
    </row>
    <row r="17796" spans="1:3" x14ac:dyDescent="0.25">
      <c r="A17796" s="1" t="s">
        <v>17795</v>
      </c>
      <c r="C17796" s="3">
        <v>3</v>
      </c>
    </row>
    <row r="17797" spans="1:3" x14ac:dyDescent="0.25">
      <c r="A17797" s="1" t="s">
        <v>17796</v>
      </c>
      <c r="C17797" s="3">
        <v>3</v>
      </c>
    </row>
    <row r="17798" spans="1:3" x14ac:dyDescent="0.25">
      <c r="A17798" s="1" t="s">
        <v>17797</v>
      </c>
      <c r="C17798" s="3">
        <v>3</v>
      </c>
    </row>
    <row r="17799" spans="1:3" x14ac:dyDescent="0.25">
      <c r="A17799" s="1" t="s">
        <v>17798</v>
      </c>
      <c r="C17799" s="3">
        <v>3</v>
      </c>
    </row>
    <row r="17800" spans="1:3" x14ac:dyDescent="0.25">
      <c r="A17800" s="1" t="s">
        <v>17799</v>
      </c>
      <c r="C17800" s="3">
        <v>3</v>
      </c>
    </row>
    <row r="17801" spans="1:3" x14ac:dyDescent="0.25">
      <c r="A17801" s="1" t="s">
        <v>17800</v>
      </c>
      <c r="C17801" s="3">
        <v>3</v>
      </c>
    </row>
    <row r="17802" spans="1:3" x14ac:dyDescent="0.25">
      <c r="A17802" s="1" t="s">
        <v>17801</v>
      </c>
      <c r="C17802" s="3">
        <v>3</v>
      </c>
    </row>
    <row r="17803" spans="1:3" x14ac:dyDescent="0.25">
      <c r="A17803" s="1" t="s">
        <v>17802</v>
      </c>
      <c r="C17803" s="3">
        <v>3</v>
      </c>
    </row>
    <row r="17804" spans="1:3" x14ac:dyDescent="0.25">
      <c r="A17804" s="1" t="s">
        <v>17803</v>
      </c>
      <c r="C17804" s="3">
        <v>3</v>
      </c>
    </row>
    <row r="17805" spans="1:3" x14ac:dyDescent="0.25">
      <c r="A17805" s="1" t="s">
        <v>17804</v>
      </c>
      <c r="C17805" s="3">
        <v>3</v>
      </c>
    </row>
    <row r="17806" spans="1:3" x14ac:dyDescent="0.25">
      <c r="A17806" s="1" t="s">
        <v>17805</v>
      </c>
      <c r="C17806" s="3">
        <v>3</v>
      </c>
    </row>
    <row r="17807" spans="1:3" x14ac:dyDescent="0.25">
      <c r="A17807" s="1" t="s">
        <v>17806</v>
      </c>
      <c r="C17807" s="3">
        <v>3</v>
      </c>
    </row>
    <row r="17808" spans="1:3" x14ac:dyDescent="0.25">
      <c r="A17808" s="1" t="s">
        <v>17807</v>
      </c>
      <c r="C17808" s="3">
        <v>3</v>
      </c>
    </row>
    <row r="17809" spans="1:3" x14ac:dyDescent="0.25">
      <c r="A17809" s="1" t="s">
        <v>17808</v>
      </c>
      <c r="C17809" s="3">
        <v>3</v>
      </c>
    </row>
    <row r="17810" spans="1:3" x14ac:dyDescent="0.25">
      <c r="A17810" s="1" t="s">
        <v>17809</v>
      </c>
      <c r="C17810" s="3">
        <v>3</v>
      </c>
    </row>
    <row r="17811" spans="1:3" x14ac:dyDescent="0.25">
      <c r="A17811" s="1" t="s">
        <v>17810</v>
      </c>
      <c r="C17811" s="3">
        <v>3</v>
      </c>
    </row>
    <row r="17812" spans="1:3" x14ac:dyDescent="0.25">
      <c r="A17812" s="1" t="s">
        <v>17811</v>
      </c>
      <c r="C17812" s="3">
        <v>3</v>
      </c>
    </row>
    <row r="17813" spans="1:3" x14ac:dyDescent="0.25">
      <c r="A17813" s="1" t="s">
        <v>17812</v>
      </c>
      <c r="C17813" s="3">
        <v>3</v>
      </c>
    </row>
    <row r="17814" spans="1:3" x14ac:dyDescent="0.25">
      <c r="A17814" s="1" t="s">
        <v>17813</v>
      </c>
      <c r="C17814" s="3">
        <v>3</v>
      </c>
    </row>
    <row r="17815" spans="1:3" x14ac:dyDescent="0.25">
      <c r="A17815" s="1" t="s">
        <v>17814</v>
      </c>
      <c r="C17815" s="3">
        <v>3</v>
      </c>
    </row>
    <row r="17816" spans="1:3" x14ac:dyDescent="0.25">
      <c r="A17816" s="1" t="s">
        <v>17815</v>
      </c>
      <c r="C17816" s="3">
        <v>3</v>
      </c>
    </row>
    <row r="17817" spans="1:3" x14ac:dyDescent="0.25">
      <c r="A17817" s="1" t="s">
        <v>17816</v>
      </c>
      <c r="C17817" s="3">
        <v>3</v>
      </c>
    </row>
    <row r="17818" spans="1:3" x14ac:dyDescent="0.25">
      <c r="A17818" s="1" t="s">
        <v>17817</v>
      </c>
      <c r="C17818" s="3">
        <v>3</v>
      </c>
    </row>
    <row r="17819" spans="1:3" x14ac:dyDescent="0.25">
      <c r="A17819" s="1" t="s">
        <v>17818</v>
      </c>
      <c r="C17819" s="3">
        <v>3</v>
      </c>
    </row>
    <row r="17820" spans="1:3" x14ac:dyDescent="0.25">
      <c r="A17820" s="1" t="s">
        <v>17819</v>
      </c>
      <c r="C17820" s="3">
        <v>3</v>
      </c>
    </row>
    <row r="17821" spans="1:3" x14ac:dyDescent="0.25">
      <c r="A17821" s="1" t="s">
        <v>17820</v>
      </c>
      <c r="C17821" s="3">
        <v>3</v>
      </c>
    </row>
    <row r="17822" spans="1:3" x14ac:dyDescent="0.25">
      <c r="A17822" s="1" t="s">
        <v>17821</v>
      </c>
      <c r="C17822" s="3">
        <v>3</v>
      </c>
    </row>
    <row r="17823" spans="1:3" x14ac:dyDescent="0.25">
      <c r="A17823" s="1" t="s">
        <v>17822</v>
      </c>
      <c r="C17823" s="3">
        <v>3</v>
      </c>
    </row>
    <row r="17824" spans="1:3" x14ac:dyDescent="0.25">
      <c r="A17824" s="1" t="s">
        <v>17823</v>
      </c>
      <c r="C17824" s="3">
        <v>3</v>
      </c>
    </row>
    <row r="17825" spans="1:3" x14ac:dyDescent="0.25">
      <c r="A17825" s="1" t="s">
        <v>17824</v>
      </c>
      <c r="C17825" s="3">
        <v>3</v>
      </c>
    </row>
    <row r="17826" spans="1:3" x14ac:dyDescent="0.25">
      <c r="A17826" s="1" t="s">
        <v>17825</v>
      </c>
      <c r="C17826" s="3">
        <v>3</v>
      </c>
    </row>
    <row r="17827" spans="1:3" x14ac:dyDescent="0.25">
      <c r="A17827" s="1" t="s">
        <v>17826</v>
      </c>
      <c r="C17827" s="3">
        <v>3</v>
      </c>
    </row>
    <row r="17828" spans="1:3" x14ac:dyDescent="0.25">
      <c r="A17828" s="1" t="s">
        <v>17827</v>
      </c>
      <c r="C17828" s="3">
        <v>3</v>
      </c>
    </row>
    <row r="17829" spans="1:3" x14ac:dyDescent="0.25">
      <c r="A17829" s="1" t="s">
        <v>17828</v>
      </c>
      <c r="C17829" s="3">
        <v>3</v>
      </c>
    </row>
    <row r="17830" spans="1:3" x14ac:dyDescent="0.25">
      <c r="A17830" s="1" t="s">
        <v>17829</v>
      </c>
      <c r="C17830" s="3">
        <v>3</v>
      </c>
    </row>
    <row r="17831" spans="1:3" x14ac:dyDescent="0.25">
      <c r="A17831" s="1" t="s">
        <v>17830</v>
      </c>
      <c r="C17831" s="3">
        <v>3</v>
      </c>
    </row>
    <row r="17832" spans="1:3" x14ac:dyDescent="0.25">
      <c r="A17832" s="1" t="s">
        <v>17831</v>
      </c>
      <c r="C17832" s="3">
        <v>3</v>
      </c>
    </row>
    <row r="17833" spans="1:3" x14ac:dyDescent="0.25">
      <c r="A17833" s="1" t="s">
        <v>17832</v>
      </c>
      <c r="C17833" s="3">
        <v>3</v>
      </c>
    </row>
    <row r="17834" spans="1:3" x14ac:dyDescent="0.25">
      <c r="A17834" s="1" t="s">
        <v>17833</v>
      </c>
      <c r="C17834" s="3">
        <v>3</v>
      </c>
    </row>
    <row r="17835" spans="1:3" x14ac:dyDescent="0.25">
      <c r="A17835" s="1" t="s">
        <v>17834</v>
      </c>
      <c r="C17835" s="3">
        <v>3</v>
      </c>
    </row>
    <row r="17836" spans="1:3" x14ac:dyDescent="0.25">
      <c r="A17836" s="1" t="s">
        <v>17835</v>
      </c>
      <c r="C17836" s="3">
        <v>3</v>
      </c>
    </row>
    <row r="17837" spans="1:3" x14ac:dyDescent="0.25">
      <c r="A17837" s="1" t="s">
        <v>17836</v>
      </c>
      <c r="C17837" s="3">
        <v>3</v>
      </c>
    </row>
    <row r="17838" spans="1:3" x14ac:dyDescent="0.25">
      <c r="A17838" s="1" t="s">
        <v>17837</v>
      </c>
      <c r="C17838" s="3">
        <v>3</v>
      </c>
    </row>
    <row r="17839" spans="1:3" x14ac:dyDescent="0.25">
      <c r="A17839" s="1" t="s">
        <v>17838</v>
      </c>
      <c r="C17839" s="3">
        <v>3</v>
      </c>
    </row>
    <row r="17840" spans="1:3" x14ac:dyDescent="0.25">
      <c r="A17840" s="1" t="s">
        <v>17839</v>
      </c>
      <c r="C17840" s="3">
        <v>3</v>
      </c>
    </row>
    <row r="17841" spans="1:3" x14ac:dyDescent="0.25">
      <c r="A17841" s="1" t="s">
        <v>17840</v>
      </c>
      <c r="C17841" s="3">
        <v>3</v>
      </c>
    </row>
    <row r="17842" spans="1:3" x14ac:dyDescent="0.25">
      <c r="A17842" s="1" t="s">
        <v>17841</v>
      </c>
      <c r="C17842" s="3">
        <v>3</v>
      </c>
    </row>
    <row r="17843" spans="1:3" x14ac:dyDescent="0.25">
      <c r="A17843" s="1" t="s">
        <v>17842</v>
      </c>
      <c r="C17843" s="3">
        <v>3</v>
      </c>
    </row>
    <row r="17844" spans="1:3" x14ac:dyDescent="0.25">
      <c r="A17844" s="1" t="s">
        <v>17843</v>
      </c>
      <c r="C17844" s="3">
        <v>3</v>
      </c>
    </row>
    <row r="17845" spans="1:3" x14ac:dyDescent="0.25">
      <c r="A17845" s="1" t="s">
        <v>17844</v>
      </c>
      <c r="C17845" s="3">
        <v>3</v>
      </c>
    </row>
    <row r="17846" spans="1:3" x14ac:dyDescent="0.25">
      <c r="A17846" s="1" t="s">
        <v>17845</v>
      </c>
      <c r="C17846" s="3">
        <v>3</v>
      </c>
    </row>
    <row r="17847" spans="1:3" x14ac:dyDescent="0.25">
      <c r="A17847" s="1" t="s">
        <v>17846</v>
      </c>
      <c r="C17847" s="3">
        <v>3</v>
      </c>
    </row>
    <row r="17848" spans="1:3" x14ac:dyDescent="0.25">
      <c r="A17848" s="1" t="s">
        <v>17847</v>
      </c>
      <c r="C17848" s="3">
        <v>3</v>
      </c>
    </row>
    <row r="17849" spans="1:3" x14ac:dyDescent="0.25">
      <c r="A17849" s="1" t="s">
        <v>17848</v>
      </c>
      <c r="C17849" s="3">
        <v>3</v>
      </c>
    </row>
    <row r="17850" spans="1:3" x14ac:dyDescent="0.25">
      <c r="A17850" s="1" t="s">
        <v>17849</v>
      </c>
      <c r="C17850" s="3">
        <v>3</v>
      </c>
    </row>
    <row r="17851" spans="1:3" x14ac:dyDescent="0.25">
      <c r="A17851" s="1" t="s">
        <v>17850</v>
      </c>
      <c r="C17851" s="3">
        <v>3</v>
      </c>
    </row>
    <row r="17852" spans="1:3" x14ac:dyDescent="0.25">
      <c r="A17852" s="1" t="s">
        <v>17851</v>
      </c>
      <c r="C17852" s="3">
        <v>3</v>
      </c>
    </row>
    <row r="17853" spans="1:3" x14ac:dyDescent="0.25">
      <c r="A17853" s="1" t="s">
        <v>17852</v>
      </c>
      <c r="C17853" s="3">
        <v>3</v>
      </c>
    </row>
    <row r="17854" spans="1:3" x14ac:dyDescent="0.25">
      <c r="A17854" s="1" t="s">
        <v>17853</v>
      </c>
      <c r="C17854" s="3">
        <v>3</v>
      </c>
    </row>
    <row r="17855" spans="1:3" x14ac:dyDescent="0.25">
      <c r="A17855" s="1" t="s">
        <v>17854</v>
      </c>
      <c r="C17855" s="3">
        <v>3</v>
      </c>
    </row>
    <row r="17856" spans="1:3" x14ac:dyDescent="0.25">
      <c r="A17856" s="1" t="s">
        <v>17855</v>
      </c>
      <c r="C17856" s="3">
        <v>3</v>
      </c>
    </row>
    <row r="17857" spans="1:3" x14ac:dyDescent="0.25">
      <c r="A17857" s="1" t="s">
        <v>17856</v>
      </c>
      <c r="C17857" s="3">
        <v>3</v>
      </c>
    </row>
    <row r="17858" spans="1:3" x14ac:dyDescent="0.25">
      <c r="A17858" s="1" t="s">
        <v>17857</v>
      </c>
      <c r="C17858" s="3">
        <v>3</v>
      </c>
    </row>
    <row r="17859" spans="1:3" x14ac:dyDescent="0.25">
      <c r="A17859" s="1" t="s">
        <v>17858</v>
      </c>
      <c r="C17859" s="3">
        <v>3</v>
      </c>
    </row>
    <row r="17860" spans="1:3" x14ac:dyDescent="0.25">
      <c r="A17860" s="1" t="s">
        <v>17859</v>
      </c>
      <c r="C17860" s="3">
        <v>3</v>
      </c>
    </row>
    <row r="17861" spans="1:3" x14ac:dyDescent="0.25">
      <c r="A17861" s="1" t="s">
        <v>17860</v>
      </c>
      <c r="C17861" s="3">
        <v>3</v>
      </c>
    </row>
    <row r="17862" spans="1:3" x14ac:dyDescent="0.25">
      <c r="A17862" s="1" t="s">
        <v>17861</v>
      </c>
      <c r="C17862" s="3">
        <v>3</v>
      </c>
    </row>
    <row r="17863" spans="1:3" x14ac:dyDescent="0.25">
      <c r="A17863" s="1" t="s">
        <v>17862</v>
      </c>
      <c r="C17863" s="3">
        <v>3</v>
      </c>
    </row>
    <row r="17864" spans="1:3" x14ac:dyDescent="0.25">
      <c r="A17864" s="1" t="s">
        <v>17863</v>
      </c>
      <c r="C17864" s="3">
        <v>3</v>
      </c>
    </row>
    <row r="17865" spans="1:3" x14ac:dyDescent="0.25">
      <c r="A17865" s="1" t="s">
        <v>17864</v>
      </c>
      <c r="C17865" s="3">
        <v>3</v>
      </c>
    </row>
    <row r="17866" spans="1:3" x14ac:dyDescent="0.25">
      <c r="A17866" s="1" t="s">
        <v>17865</v>
      </c>
      <c r="C17866" s="3">
        <v>3</v>
      </c>
    </row>
    <row r="17867" spans="1:3" x14ac:dyDescent="0.25">
      <c r="A17867" s="1" t="s">
        <v>17866</v>
      </c>
      <c r="C17867" s="3">
        <v>3</v>
      </c>
    </row>
    <row r="17868" spans="1:3" x14ac:dyDescent="0.25">
      <c r="A17868" s="1" t="s">
        <v>17867</v>
      </c>
      <c r="C17868" s="3">
        <v>3</v>
      </c>
    </row>
    <row r="17869" spans="1:3" x14ac:dyDescent="0.25">
      <c r="A17869" s="1" t="s">
        <v>17868</v>
      </c>
      <c r="C17869" s="3">
        <v>3</v>
      </c>
    </row>
    <row r="17870" spans="1:3" x14ac:dyDescent="0.25">
      <c r="A17870" s="1" t="s">
        <v>17869</v>
      </c>
      <c r="C17870" s="3">
        <v>3</v>
      </c>
    </row>
    <row r="17871" spans="1:3" x14ac:dyDescent="0.25">
      <c r="A17871" s="1" t="s">
        <v>17870</v>
      </c>
      <c r="C17871" s="3">
        <v>3</v>
      </c>
    </row>
    <row r="17872" spans="1:3" x14ac:dyDescent="0.25">
      <c r="A17872" s="1" t="s">
        <v>17871</v>
      </c>
      <c r="C17872" s="3">
        <v>3</v>
      </c>
    </row>
    <row r="17873" spans="1:3" x14ac:dyDescent="0.25">
      <c r="A17873" s="1" t="s">
        <v>17872</v>
      </c>
      <c r="C17873" s="3">
        <v>3</v>
      </c>
    </row>
    <row r="17874" spans="1:3" x14ac:dyDescent="0.25">
      <c r="A17874" s="1" t="s">
        <v>17873</v>
      </c>
      <c r="C17874" s="3">
        <v>3</v>
      </c>
    </row>
    <row r="17875" spans="1:3" x14ac:dyDescent="0.25">
      <c r="A17875" s="1" t="s">
        <v>17874</v>
      </c>
      <c r="C17875" s="3">
        <v>3</v>
      </c>
    </row>
    <row r="17876" spans="1:3" x14ac:dyDescent="0.25">
      <c r="A17876" s="1" t="s">
        <v>17875</v>
      </c>
      <c r="C17876" s="3">
        <v>3</v>
      </c>
    </row>
    <row r="17877" spans="1:3" x14ac:dyDescent="0.25">
      <c r="A17877" s="1" t="s">
        <v>17876</v>
      </c>
      <c r="C17877" s="3">
        <v>3</v>
      </c>
    </row>
    <row r="17878" spans="1:3" x14ac:dyDescent="0.25">
      <c r="A17878" s="1" t="s">
        <v>17877</v>
      </c>
      <c r="C17878" s="3">
        <v>3</v>
      </c>
    </row>
    <row r="17879" spans="1:3" x14ac:dyDescent="0.25">
      <c r="A17879" s="1" t="s">
        <v>17878</v>
      </c>
      <c r="C17879" s="3">
        <v>3</v>
      </c>
    </row>
    <row r="17880" spans="1:3" x14ac:dyDescent="0.25">
      <c r="A17880" s="1" t="s">
        <v>17879</v>
      </c>
      <c r="C17880" s="3">
        <v>3</v>
      </c>
    </row>
    <row r="17881" spans="1:3" x14ac:dyDescent="0.25">
      <c r="A17881" s="1" t="s">
        <v>17880</v>
      </c>
      <c r="C17881" s="3">
        <v>3</v>
      </c>
    </row>
    <row r="17882" spans="1:3" x14ac:dyDescent="0.25">
      <c r="A17882" s="1" t="s">
        <v>17881</v>
      </c>
      <c r="C17882" s="3">
        <v>3</v>
      </c>
    </row>
    <row r="17883" spans="1:3" x14ac:dyDescent="0.25">
      <c r="A17883" s="1" t="s">
        <v>17882</v>
      </c>
      <c r="C17883" s="3">
        <v>3</v>
      </c>
    </row>
    <row r="17884" spans="1:3" x14ac:dyDescent="0.25">
      <c r="A17884" s="1" t="s">
        <v>17883</v>
      </c>
      <c r="C17884" s="3">
        <v>3</v>
      </c>
    </row>
    <row r="17885" spans="1:3" x14ac:dyDescent="0.25">
      <c r="A17885" s="1" t="s">
        <v>17884</v>
      </c>
      <c r="C17885" s="3">
        <v>3</v>
      </c>
    </row>
    <row r="17886" spans="1:3" x14ac:dyDescent="0.25">
      <c r="A17886" s="1" t="s">
        <v>17885</v>
      </c>
      <c r="C17886" s="3">
        <v>3</v>
      </c>
    </row>
    <row r="17887" spans="1:3" x14ac:dyDescent="0.25">
      <c r="A17887" s="1" t="s">
        <v>17886</v>
      </c>
      <c r="C17887" s="3">
        <v>3</v>
      </c>
    </row>
    <row r="17888" spans="1:3" x14ac:dyDescent="0.25">
      <c r="A17888" s="1" t="s">
        <v>17887</v>
      </c>
      <c r="C17888" s="3">
        <v>3</v>
      </c>
    </row>
    <row r="17889" spans="1:3" x14ac:dyDescent="0.25">
      <c r="A17889" s="1" t="s">
        <v>17888</v>
      </c>
      <c r="C17889" s="3">
        <v>3</v>
      </c>
    </row>
    <row r="17890" spans="1:3" x14ac:dyDescent="0.25">
      <c r="A17890" s="1" t="s">
        <v>17889</v>
      </c>
      <c r="C17890" s="3">
        <v>3</v>
      </c>
    </row>
    <row r="17891" spans="1:3" x14ac:dyDescent="0.25">
      <c r="A17891" s="1" t="s">
        <v>17890</v>
      </c>
      <c r="C17891" s="3">
        <v>3</v>
      </c>
    </row>
    <row r="17892" spans="1:3" x14ac:dyDescent="0.25">
      <c r="A17892" s="1" t="s">
        <v>17891</v>
      </c>
      <c r="C17892" s="3">
        <v>3</v>
      </c>
    </row>
    <row r="17893" spans="1:3" x14ac:dyDescent="0.25">
      <c r="A17893" s="1" t="s">
        <v>17892</v>
      </c>
      <c r="C17893" s="3">
        <v>3</v>
      </c>
    </row>
    <row r="17894" spans="1:3" x14ac:dyDescent="0.25">
      <c r="A17894" s="1" t="s">
        <v>17893</v>
      </c>
      <c r="C17894" s="3">
        <v>3</v>
      </c>
    </row>
    <row r="17895" spans="1:3" x14ac:dyDescent="0.25">
      <c r="A17895" s="1" t="s">
        <v>17894</v>
      </c>
      <c r="C17895" s="3">
        <v>3</v>
      </c>
    </row>
    <row r="17896" spans="1:3" x14ac:dyDescent="0.25">
      <c r="A17896" s="1" t="s">
        <v>17895</v>
      </c>
      <c r="C17896" s="3">
        <v>3</v>
      </c>
    </row>
    <row r="17897" spans="1:3" x14ac:dyDescent="0.25">
      <c r="A17897" s="1" t="s">
        <v>17896</v>
      </c>
      <c r="C17897" s="3">
        <v>3</v>
      </c>
    </row>
    <row r="17898" spans="1:3" x14ac:dyDescent="0.25">
      <c r="A17898" s="1" t="s">
        <v>17897</v>
      </c>
      <c r="C17898" s="3">
        <v>3</v>
      </c>
    </row>
    <row r="17899" spans="1:3" x14ac:dyDescent="0.25">
      <c r="A17899" s="1" t="s">
        <v>17898</v>
      </c>
      <c r="C17899" s="3">
        <v>3</v>
      </c>
    </row>
    <row r="17900" spans="1:3" x14ac:dyDescent="0.25">
      <c r="A17900" s="1" t="s">
        <v>17899</v>
      </c>
      <c r="C17900" s="3">
        <v>3</v>
      </c>
    </row>
    <row r="17901" spans="1:3" x14ac:dyDescent="0.25">
      <c r="A17901" s="1" t="s">
        <v>17900</v>
      </c>
      <c r="C17901" s="3">
        <v>3</v>
      </c>
    </row>
    <row r="17902" spans="1:3" x14ac:dyDescent="0.25">
      <c r="A17902" s="1" t="s">
        <v>17901</v>
      </c>
      <c r="C17902" s="3">
        <v>3</v>
      </c>
    </row>
    <row r="17903" spans="1:3" x14ac:dyDescent="0.25">
      <c r="A17903" s="1" t="s">
        <v>17902</v>
      </c>
      <c r="C17903" s="3">
        <v>3</v>
      </c>
    </row>
    <row r="17904" spans="1:3" x14ac:dyDescent="0.25">
      <c r="A17904" s="1" t="s">
        <v>17903</v>
      </c>
      <c r="C17904" s="3">
        <v>3</v>
      </c>
    </row>
    <row r="17905" spans="1:3" x14ac:dyDescent="0.25">
      <c r="A17905" s="1" t="s">
        <v>17904</v>
      </c>
      <c r="C17905" s="3">
        <v>3</v>
      </c>
    </row>
    <row r="17906" spans="1:3" x14ac:dyDescent="0.25">
      <c r="A17906" s="1" t="s">
        <v>17905</v>
      </c>
      <c r="C17906" s="3">
        <v>3</v>
      </c>
    </row>
    <row r="17907" spans="1:3" x14ac:dyDescent="0.25">
      <c r="A17907" s="1" t="s">
        <v>17906</v>
      </c>
      <c r="C17907" s="3">
        <v>3</v>
      </c>
    </row>
    <row r="17908" spans="1:3" x14ac:dyDescent="0.25">
      <c r="A17908" s="1" t="s">
        <v>17907</v>
      </c>
      <c r="C17908" s="3">
        <v>3</v>
      </c>
    </row>
    <row r="17909" spans="1:3" x14ac:dyDescent="0.25">
      <c r="A17909" s="1" t="s">
        <v>17908</v>
      </c>
      <c r="C17909" s="3">
        <v>3</v>
      </c>
    </row>
    <row r="17910" spans="1:3" x14ac:dyDescent="0.25">
      <c r="A17910" s="1" t="s">
        <v>17909</v>
      </c>
      <c r="C17910" s="3">
        <v>3</v>
      </c>
    </row>
    <row r="17911" spans="1:3" x14ac:dyDescent="0.25">
      <c r="A17911" s="1" t="s">
        <v>17910</v>
      </c>
      <c r="C17911" s="3">
        <v>3</v>
      </c>
    </row>
    <row r="17912" spans="1:3" x14ac:dyDescent="0.25">
      <c r="A17912" s="1" t="s">
        <v>17911</v>
      </c>
      <c r="C17912" s="3">
        <v>3</v>
      </c>
    </row>
    <row r="17913" spans="1:3" x14ac:dyDescent="0.25">
      <c r="A17913" s="1" t="s">
        <v>17912</v>
      </c>
      <c r="C17913" s="3">
        <v>3</v>
      </c>
    </row>
    <row r="17914" spans="1:3" x14ac:dyDescent="0.25">
      <c r="A17914" s="1" t="s">
        <v>17913</v>
      </c>
      <c r="C17914" s="3">
        <v>3</v>
      </c>
    </row>
    <row r="17915" spans="1:3" x14ac:dyDescent="0.25">
      <c r="A17915" s="1" t="s">
        <v>17914</v>
      </c>
      <c r="C17915" s="3">
        <v>3</v>
      </c>
    </row>
    <row r="17916" spans="1:3" x14ac:dyDescent="0.25">
      <c r="A17916" s="1" t="s">
        <v>17915</v>
      </c>
      <c r="C17916" s="3">
        <v>3</v>
      </c>
    </row>
    <row r="17917" spans="1:3" x14ac:dyDescent="0.25">
      <c r="A17917" s="1" t="s">
        <v>17916</v>
      </c>
      <c r="C17917" s="3">
        <v>3</v>
      </c>
    </row>
    <row r="17918" spans="1:3" x14ac:dyDescent="0.25">
      <c r="A17918" s="1" t="s">
        <v>17917</v>
      </c>
      <c r="C17918" s="3">
        <v>3</v>
      </c>
    </row>
    <row r="17919" spans="1:3" x14ac:dyDescent="0.25">
      <c r="A17919" s="1" t="s">
        <v>17918</v>
      </c>
      <c r="C17919" s="3">
        <v>3</v>
      </c>
    </row>
    <row r="17920" spans="1:3" x14ac:dyDescent="0.25">
      <c r="A17920" s="1" t="s">
        <v>17919</v>
      </c>
      <c r="C17920" s="3">
        <v>3</v>
      </c>
    </row>
    <row r="17921" spans="1:3" x14ac:dyDescent="0.25">
      <c r="A17921" s="1" t="s">
        <v>17920</v>
      </c>
      <c r="C17921" s="3">
        <v>3</v>
      </c>
    </row>
    <row r="17922" spans="1:3" x14ac:dyDescent="0.25">
      <c r="A17922" s="1" t="s">
        <v>17921</v>
      </c>
      <c r="C17922" s="3">
        <v>3</v>
      </c>
    </row>
    <row r="17923" spans="1:3" x14ac:dyDescent="0.25">
      <c r="A17923" s="1" t="s">
        <v>17922</v>
      </c>
      <c r="C17923" s="3">
        <v>3</v>
      </c>
    </row>
    <row r="17924" spans="1:3" x14ac:dyDescent="0.25">
      <c r="A17924" s="1" t="s">
        <v>17923</v>
      </c>
      <c r="C17924" s="3">
        <v>3</v>
      </c>
    </row>
    <row r="17925" spans="1:3" x14ac:dyDescent="0.25">
      <c r="A17925" s="1" t="s">
        <v>17924</v>
      </c>
      <c r="C17925" s="3">
        <v>3</v>
      </c>
    </row>
    <row r="17926" spans="1:3" x14ac:dyDescent="0.25">
      <c r="A17926" s="1" t="s">
        <v>17925</v>
      </c>
      <c r="C17926" s="3">
        <v>3</v>
      </c>
    </row>
    <row r="17927" spans="1:3" x14ac:dyDescent="0.25">
      <c r="A17927" s="1" t="s">
        <v>17926</v>
      </c>
      <c r="C17927" s="3">
        <v>3</v>
      </c>
    </row>
    <row r="17928" spans="1:3" x14ac:dyDescent="0.25">
      <c r="A17928" s="1" t="s">
        <v>17927</v>
      </c>
      <c r="C17928" s="3">
        <v>3</v>
      </c>
    </row>
    <row r="17929" spans="1:3" x14ac:dyDescent="0.25">
      <c r="A17929" s="1" t="s">
        <v>17928</v>
      </c>
      <c r="C17929" s="3">
        <v>3</v>
      </c>
    </row>
    <row r="17930" spans="1:3" x14ac:dyDescent="0.25">
      <c r="A17930" s="1" t="s">
        <v>17929</v>
      </c>
      <c r="C17930" s="3">
        <v>3</v>
      </c>
    </row>
    <row r="17931" spans="1:3" x14ac:dyDescent="0.25">
      <c r="A17931" s="1" t="s">
        <v>17930</v>
      </c>
      <c r="C17931" s="3">
        <v>3</v>
      </c>
    </row>
    <row r="17932" spans="1:3" x14ac:dyDescent="0.25">
      <c r="A17932" s="1" t="s">
        <v>17931</v>
      </c>
      <c r="C17932" s="3">
        <v>3</v>
      </c>
    </row>
    <row r="17933" spans="1:3" x14ac:dyDescent="0.25">
      <c r="A17933" s="1" t="s">
        <v>17932</v>
      </c>
      <c r="C17933" s="3">
        <v>3</v>
      </c>
    </row>
    <row r="17934" spans="1:3" x14ac:dyDescent="0.25">
      <c r="A17934" s="1" t="s">
        <v>17933</v>
      </c>
      <c r="C17934" s="3">
        <v>3</v>
      </c>
    </row>
    <row r="17935" spans="1:3" x14ac:dyDescent="0.25">
      <c r="A17935" s="1" t="s">
        <v>17934</v>
      </c>
      <c r="C17935" s="3">
        <v>3</v>
      </c>
    </row>
    <row r="17936" spans="1:3" x14ac:dyDescent="0.25">
      <c r="A17936" s="1" t="s">
        <v>17935</v>
      </c>
      <c r="C17936" s="3">
        <v>3</v>
      </c>
    </row>
    <row r="17937" spans="1:3" x14ac:dyDescent="0.25">
      <c r="A17937" s="1" t="s">
        <v>17936</v>
      </c>
      <c r="C17937" s="3">
        <v>3</v>
      </c>
    </row>
    <row r="17938" spans="1:3" x14ac:dyDescent="0.25">
      <c r="A17938" s="1" t="s">
        <v>17937</v>
      </c>
      <c r="C17938" s="3">
        <v>3</v>
      </c>
    </row>
    <row r="17939" spans="1:3" x14ac:dyDescent="0.25">
      <c r="A17939" s="1" t="s">
        <v>17938</v>
      </c>
      <c r="C17939" s="3">
        <v>3</v>
      </c>
    </row>
    <row r="17940" spans="1:3" x14ac:dyDescent="0.25">
      <c r="A17940" s="1" t="s">
        <v>17939</v>
      </c>
      <c r="C17940" s="3">
        <v>3</v>
      </c>
    </row>
    <row r="17941" spans="1:3" x14ac:dyDescent="0.25">
      <c r="A17941" s="1" t="s">
        <v>17940</v>
      </c>
      <c r="C17941" s="3">
        <v>3</v>
      </c>
    </row>
    <row r="17942" spans="1:3" x14ac:dyDescent="0.25">
      <c r="A17942" s="1" t="s">
        <v>17941</v>
      </c>
      <c r="C17942" s="3">
        <v>3</v>
      </c>
    </row>
    <row r="17943" spans="1:3" x14ac:dyDescent="0.25">
      <c r="A17943" s="1" t="s">
        <v>17942</v>
      </c>
      <c r="C17943" s="3">
        <v>3</v>
      </c>
    </row>
    <row r="17944" spans="1:3" x14ac:dyDescent="0.25">
      <c r="A17944" s="1" t="s">
        <v>17943</v>
      </c>
      <c r="C17944" s="3">
        <v>3</v>
      </c>
    </row>
    <row r="17945" spans="1:3" x14ac:dyDescent="0.25">
      <c r="A17945" s="1" t="s">
        <v>17944</v>
      </c>
      <c r="C17945" s="3">
        <v>3</v>
      </c>
    </row>
    <row r="17946" spans="1:3" x14ac:dyDescent="0.25">
      <c r="A17946" s="1" t="s">
        <v>17945</v>
      </c>
      <c r="C17946" s="3">
        <v>3</v>
      </c>
    </row>
    <row r="17947" spans="1:3" x14ac:dyDescent="0.25">
      <c r="A17947" s="1" t="s">
        <v>17946</v>
      </c>
      <c r="C17947" s="3">
        <v>3</v>
      </c>
    </row>
    <row r="17948" spans="1:3" x14ac:dyDescent="0.25">
      <c r="A17948" s="1" t="s">
        <v>17947</v>
      </c>
      <c r="C17948" s="3">
        <v>3</v>
      </c>
    </row>
    <row r="17949" spans="1:3" x14ac:dyDescent="0.25">
      <c r="A17949" s="1" t="s">
        <v>17948</v>
      </c>
      <c r="C17949" s="3">
        <v>3</v>
      </c>
    </row>
    <row r="17950" spans="1:3" x14ac:dyDescent="0.25">
      <c r="A17950" s="1" t="s">
        <v>17949</v>
      </c>
      <c r="C17950" s="3">
        <v>3</v>
      </c>
    </row>
    <row r="17951" spans="1:3" x14ac:dyDescent="0.25">
      <c r="A17951" s="1" t="s">
        <v>17950</v>
      </c>
      <c r="C17951" s="3">
        <v>3</v>
      </c>
    </row>
    <row r="17952" spans="1:3" x14ac:dyDescent="0.25">
      <c r="A17952" s="1" t="s">
        <v>17951</v>
      </c>
      <c r="C17952" s="3">
        <v>3</v>
      </c>
    </row>
    <row r="17953" spans="1:3" x14ac:dyDescent="0.25">
      <c r="A17953" s="1" t="s">
        <v>17952</v>
      </c>
      <c r="C17953" s="3">
        <v>3</v>
      </c>
    </row>
    <row r="17954" spans="1:3" x14ac:dyDescent="0.25">
      <c r="A17954" s="1" t="s">
        <v>17953</v>
      </c>
      <c r="C17954" s="3">
        <v>3</v>
      </c>
    </row>
    <row r="17955" spans="1:3" x14ac:dyDescent="0.25">
      <c r="A17955" s="1" t="s">
        <v>17954</v>
      </c>
      <c r="C17955" s="3">
        <v>3</v>
      </c>
    </row>
    <row r="17956" spans="1:3" x14ac:dyDescent="0.25">
      <c r="A17956" s="1" t="s">
        <v>17955</v>
      </c>
      <c r="C17956" s="3">
        <v>3</v>
      </c>
    </row>
    <row r="17957" spans="1:3" x14ac:dyDescent="0.25">
      <c r="A17957" s="1" t="s">
        <v>17956</v>
      </c>
      <c r="C17957" s="3">
        <v>3</v>
      </c>
    </row>
    <row r="17958" spans="1:3" x14ac:dyDescent="0.25">
      <c r="A17958" s="1" t="s">
        <v>17957</v>
      </c>
      <c r="C17958" s="3">
        <v>3</v>
      </c>
    </row>
    <row r="17959" spans="1:3" x14ac:dyDescent="0.25">
      <c r="A17959" s="1" t="s">
        <v>17958</v>
      </c>
      <c r="C17959" s="3">
        <v>3</v>
      </c>
    </row>
    <row r="17960" spans="1:3" x14ac:dyDescent="0.25">
      <c r="A17960" s="1" t="s">
        <v>17959</v>
      </c>
      <c r="C17960" s="3">
        <v>3</v>
      </c>
    </row>
    <row r="17961" spans="1:3" x14ac:dyDescent="0.25">
      <c r="A17961" s="1" t="s">
        <v>17960</v>
      </c>
      <c r="C17961" s="3">
        <v>3</v>
      </c>
    </row>
    <row r="17962" spans="1:3" x14ac:dyDescent="0.25">
      <c r="A17962" s="1" t="s">
        <v>17961</v>
      </c>
      <c r="C17962" s="3">
        <v>3</v>
      </c>
    </row>
    <row r="17963" spans="1:3" x14ac:dyDescent="0.25">
      <c r="A17963" s="1" t="s">
        <v>17962</v>
      </c>
      <c r="C17963" s="3">
        <v>3</v>
      </c>
    </row>
    <row r="17964" spans="1:3" x14ac:dyDescent="0.25">
      <c r="A17964" s="1" t="s">
        <v>17963</v>
      </c>
      <c r="C17964" s="3">
        <v>3</v>
      </c>
    </row>
    <row r="17965" spans="1:3" x14ac:dyDescent="0.25">
      <c r="A17965" s="1" t="s">
        <v>17964</v>
      </c>
      <c r="C17965" s="3">
        <v>3</v>
      </c>
    </row>
    <row r="17966" spans="1:3" x14ac:dyDescent="0.25">
      <c r="A17966" s="1" t="s">
        <v>17965</v>
      </c>
      <c r="C17966" s="3">
        <v>3</v>
      </c>
    </row>
    <row r="17967" spans="1:3" x14ac:dyDescent="0.25">
      <c r="A17967" s="1" t="s">
        <v>17966</v>
      </c>
      <c r="C17967" s="3">
        <v>3</v>
      </c>
    </row>
    <row r="17968" spans="1:3" x14ac:dyDescent="0.25">
      <c r="A17968" s="1" t="s">
        <v>17967</v>
      </c>
      <c r="C17968" s="3">
        <v>3</v>
      </c>
    </row>
    <row r="17969" spans="1:3" x14ac:dyDescent="0.25">
      <c r="A17969" s="1" t="s">
        <v>17968</v>
      </c>
      <c r="C17969" s="3">
        <v>3</v>
      </c>
    </row>
    <row r="17970" spans="1:3" x14ac:dyDescent="0.25">
      <c r="A17970" s="1" t="s">
        <v>17969</v>
      </c>
      <c r="C17970" s="3">
        <v>3</v>
      </c>
    </row>
    <row r="17971" spans="1:3" x14ac:dyDescent="0.25">
      <c r="A17971" s="1" t="s">
        <v>17970</v>
      </c>
      <c r="C17971" s="3">
        <v>3</v>
      </c>
    </row>
    <row r="17972" spans="1:3" x14ac:dyDescent="0.25">
      <c r="A17972" s="1" t="s">
        <v>17971</v>
      </c>
      <c r="C17972" s="3">
        <v>3</v>
      </c>
    </row>
    <row r="17973" spans="1:3" x14ac:dyDescent="0.25">
      <c r="A17973" s="1" t="s">
        <v>17972</v>
      </c>
      <c r="C17973" s="3">
        <v>3</v>
      </c>
    </row>
    <row r="17974" spans="1:3" x14ac:dyDescent="0.25">
      <c r="A17974" s="1" t="s">
        <v>17973</v>
      </c>
      <c r="C17974" s="3">
        <v>3</v>
      </c>
    </row>
    <row r="17975" spans="1:3" x14ac:dyDescent="0.25">
      <c r="A17975" s="1" t="s">
        <v>17974</v>
      </c>
      <c r="C17975" s="3">
        <v>3</v>
      </c>
    </row>
    <row r="17976" spans="1:3" x14ac:dyDescent="0.25">
      <c r="A17976" s="1" t="s">
        <v>17975</v>
      </c>
      <c r="C17976" s="3">
        <v>3</v>
      </c>
    </row>
    <row r="17977" spans="1:3" x14ac:dyDescent="0.25">
      <c r="A17977" s="1" t="s">
        <v>17976</v>
      </c>
      <c r="C17977" s="3">
        <v>3</v>
      </c>
    </row>
    <row r="17978" spans="1:3" x14ac:dyDescent="0.25">
      <c r="A17978" s="1" t="s">
        <v>17977</v>
      </c>
      <c r="C17978" s="3">
        <v>3</v>
      </c>
    </row>
    <row r="17979" spans="1:3" x14ac:dyDescent="0.25">
      <c r="A17979" s="1" t="s">
        <v>17978</v>
      </c>
      <c r="C17979" s="3">
        <v>3</v>
      </c>
    </row>
    <row r="17980" spans="1:3" x14ac:dyDescent="0.25">
      <c r="A17980" s="1" t="s">
        <v>17979</v>
      </c>
      <c r="C17980" s="3">
        <v>3</v>
      </c>
    </row>
    <row r="17981" spans="1:3" x14ac:dyDescent="0.25">
      <c r="A17981" s="1" t="s">
        <v>17980</v>
      </c>
      <c r="C17981" s="3">
        <v>3</v>
      </c>
    </row>
    <row r="17982" spans="1:3" x14ac:dyDescent="0.25">
      <c r="A17982" s="1" t="s">
        <v>17981</v>
      </c>
      <c r="C17982" s="3">
        <v>3</v>
      </c>
    </row>
    <row r="17983" spans="1:3" x14ac:dyDescent="0.25">
      <c r="A17983" s="1" t="s">
        <v>17982</v>
      </c>
      <c r="C17983" s="3">
        <v>3</v>
      </c>
    </row>
    <row r="17984" spans="1:3" x14ac:dyDescent="0.25">
      <c r="A17984" s="1" t="s">
        <v>17983</v>
      </c>
      <c r="C17984" s="3">
        <v>3</v>
      </c>
    </row>
    <row r="17985" spans="1:3" x14ac:dyDescent="0.25">
      <c r="A17985" s="1" t="s">
        <v>17984</v>
      </c>
      <c r="C17985" s="3">
        <v>3</v>
      </c>
    </row>
    <row r="17986" spans="1:3" x14ac:dyDescent="0.25">
      <c r="A17986" s="1" t="s">
        <v>17985</v>
      </c>
      <c r="C17986" s="3">
        <v>3</v>
      </c>
    </row>
    <row r="17987" spans="1:3" x14ac:dyDescent="0.25">
      <c r="A17987" s="1" t="s">
        <v>17986</v>
      </c>
      <c r="C17987" s="3">
        <v>3</v>
      </c>
    </row>
    <row r="17988" spans="1:3" x14ac:dyDescent="0.25">
      <c r="A17988" s="1" t="s">
        <v>17987</v>
      </c>
      <c r="C17988" s="3">
        <v>3</v>
      </c>
    </row>
    <row r="17989" spans="1:3" x14ac:dyDescent="0.25">
      <c r="A17989" s="1" t="s">
        <v>17988</v>
      </c>
      <c r="C17989" s="3">
        <v>3</v>
      </c>
    </row>
    <row r="17990" spans="1:3" x14ac:dyDescent="0.25">
      <c r="A17990" s="1" t="s">
        <v>17989</v>
      </c>
      <c r="C17990" s="3">
        <v>3</v>
      </c>
    </row>
    <row r="17991" spans="1:3" x14ac:dyDescent="0.25">
      <c r="A17991" s="1" t="s">
        <v>17990</v>
      </c>
      <c r="C17991" s="3">
        <v>3</v>
      </c>
    </row>
    <row r="17992" spans="1:3" x14ac:dyDescent="0.25">
      <c r="A17992" s="1" t="s">
        <v>17991</v>
      </c>
      <c r="C17992" s="3">
        <v>3</v>
      </c>
    </row>
    <row r="17993" spans="1:3" x14ac:dyDescent="0.25">
      <c r="A17993" s="1" t="s">
        <v>17992</v>
      </c>
      <c r="C17993" s="3">
        <v>3</v>
      </c>
    </row>
    <row r="17994" spans="1:3" x14ac:dyDescent="0.25">
      <c r="A17994" s="1" t="s">
        <v>17993</v>
      </c>
      <c r="C17994" s="3">
        <v>3</v>
      </c>
    </row>
    <row r="17995" spans="1:3" x14ac:dyDescent="0.25">
      <c r="A17995" s="1" t="s">
        <v>17994</v>
      </c>
      <c r="C17995" s="3">
        <v>3</v>
      </c>
    </row>
    <row r="17996" spans="1:3" x14ac:dyDescent="0.25">
      <c r="A17996" s="1" t="s">
        <v>17995</v>
      </c>
      <c r="C17996" s="3">
        <v>3</v>
      </c>
    </row>
    <row r="17997" spans="1:3" x14ac:dyDescent="0.25">
      <c r="A17997" s="1" t="s">
        <v>17996</v>
      </c>
      <c r="C17997" s="3">
        <v>3</v>
      </c>
    </row>
    <row r="17998" spans="1:3" x14ac:dyDescent="0.25">
      <c r="A17998" s="1" t="s">
        <v>17997</v>
      </c>
      <c r="C17998" s="3">
        <v>3</v>
      </c>
    </row>
    <row r="17999" spans="1:3" x14ac:dyDescent="0.25">
      <c r="A17999" s="1" t="s">
        <v>17998</v>
      </c>
      <c r="C17999" s="3">
        <v>3</v>
      </c>
    </row>
    <row r="18000" spans="1:3" x14ac:dyDescent="0.25">
      <c r="A18000" s="1" t="s">
        <v>17999</v>
      </c>
      <c r="C18000" s="3">
        <v>3</v>
      </c>
    </row>
    <row r="18001" spans="1:3" x14ac:dyDescent="0.25">
      <c r="A18001" s="1" t="s">
        <v>18000</v>
      </c>
      <c r="C18001" s="3">
        <v>3</v>
      </c>
    </row>
    <row r="18002" spans="1:3" x14ac:dyDescent="0.25">
      <c r="A18002" s="1" t="s">
        <v>18001</v>
      </c>
      <c r="C18002" s="3">
        <v>3</v>
      </c>
    </row>
    <row r="18003" spans="1:3" x14ac:dyDescent="0.25">
      <c r="A18003" s="1" t="s">
        <v>18002</v>
      </c>
      <c r="C18003" s="3">
        <v>3</v>
      </c>
    </row>
    <row r="18004" spans="1:3" x14ac:dyDescent="0.25">
      <c r="A18004" s="1" t="s">
        <v>18003</v>
      </c>
      <c r="C18004" s="3">
        <v>3</v>
      </c>
    </row>
    <row r="18005" spans="1:3" x14ac:dyDescent="0.25">
      <c r="A18005" s="1" t="s">
        <v>18004</v>
      </c>
      <c r="C18005" s="3">
        <v>3</v>
      </c>
    </row>
    <row r="18006" spans="1:3" x14ac:dyDescent="0.25">
      <c r="A18006" s="1" t="s">
        <v>18005</v>
      </c>
      <c r="C18006" s="3">
        <v>3</v>
      </c>
    </row>
    <row r="18007" spans="1:3" x14ac:dyDescent="0.25">
      <c r="A18007" s="1" t="s">
        <v>18006</v>
      </c>
      <c r="C18007" s="3">
        <v>3</v>
      </c>
    </row>
    <row r="18008" spans="1:3" x14ac:dyDescent="0.25">
      <c r="A18008" s="1" t="s">
        <v>18007</v>
      </c>
      <c r="C18008" s="3">
        <v>3</v>
      </c>
    </row>
    <row r="18009" spans="1:3" x14ac:dyDescent="0.25">
      <c r="A18009" s="1" t="s">
        <v>18008</v>
      </c>
      <c r="C18009" s="3">
        <v>3</v>
      </c>
    </row>
    <row r="18010" spans="1:3" x14ac:dyDescent="0.25">
      <c r="A18010" s="1" t="s">
        <v>18009</v>
      </c>
      <c r="C18010" s="3">
        <v>3</v>
      </c>
    </row>
    <row r="18011" spans="1:3" x14ac:dyDescent="0.25">
      <c r="A18011" s="1" t="s">
        <v>18010</v>
      </c>
      <c r="C18011" s="3">
        <v>3</v>
      </c>
    </row>
    <row r="18012" spans="1:3" x14ac:dyDescent="0.25">
      <c r="A18012" s="1" t="s">
        <v>18011</v>
      </c>
      <c r="C18012" s="3">
        <v>3</v>
      </c>
    </row>
    <row r="18013" spans="1:3" x14ac:dyDescent="0.25">
      <c r="A18013" s="1" t="s">
        <v>18012</v>
      </c>
      <c r="C18013" s="3">
        <v>3</v>
      </c>
    </row>
    <row r="18014" spans="1:3" x14ac:dyDescent="0.25">
      <c r="A18014" s="1" t="s">
        <v>18013</v>
      </c>
      <c r="C18014" s="3">
        <v>3</v>
      </c>
    </row>
    <row r="18015" spans="1:3" x14ac:dyDescent="0.25">
      <c r="A18015" s="1" t="s">
        <v>18014</v>
      </c>
      <c r="C18015" s="3">
        <v>3</v>
      </c>
    </row>
    <row r="18016" spans="1:3" x14ac:dyDescent="0.25">
      <c r="A18016" s="1" t="s">
        <v>18015</v>
      </c>
      <c r="C18016" s="3">
        <v>3</v>
      </c>
    </row>
    <row r="18017" spans="1:3" x14ac:dyDescent="0.25">
      <c r="A18017" s="1" t="s">
        <v>18016</v>
      </c>
      <c r="C18017" s="3">
        <v>3</v>
      </c>
    </row>
    <row r="18018" spans="1:3" x14ac:dyDescent="0.25">
      <c r="A18018" s="1" t="s">
        <v>18017</v>
      </c>
      <c r="C18018" s="3">
        <v>3</v>
      </c>
    </row>
    <row r="18019" spans="1:3" x14ac:dyDescent="0.25">
      <c r="A18019" s="1" t="s">
        <v>18018</v>
      </c>
      <c r="C18019" s="3">
        <v>3</v>
      </c>
    </row>
    <row r="18020" spans="1:3" x14ac:dyDescent="0.25">
      <c r="A18020" s="1" t="s">
        <v>18019</v>
      </c>
      <c r="C18020" s="3">
        <v>3</v>
      </c>
    </row>
    <row r="18021" spans="1:3" x14ac:dyDescent="0.25">
      <c r="A18021" s="1" t="s">
        <v>18020</v>
      </c>
      <c r="C18021" s="3">
        <v>3</v>
      </c>
    </row>
    <row r="18022" spans="1:3" x14ac:dyDescent="0.25">
      <c r="A18022" s="1" t="s">
        <v>18021</v>
      </c>
      <c r="C18022" s="3">
        <v>3</v>
      </c>
    </row>
    <row r="18023" spans="1:3" x14ac:dyDescent="0.25">
      <c r="A18023" s="1" t="s">
        <v>18022</v>
      </c>
      <c r="C18023" s="3">
        <v>3</v>
      </c>
    </row>
    <row r="18024" spans="1:3" x14ac:dyDescent="0.25">
      <c r="A18024" s="1" t="s">
        <v>18023</v>
      </c>
      <c r="C18024" s="3">
        <v>3</v>
      </c>
    </row>
    <row r="18025" spans="1:3" x14ac:dyDescent="0.25">
      <c r="A18025" s="1" t="s">
        <v>18024</v>
      </c>
      <c r="C18025" s="3">
        <v>3</v>
      </c>
    </row>
    <row r="18026" spans="1:3" x14ac:dyDescent="0.25">
      <c r="A18026" s="1" t="s">
        <v>18025</v>
      </c>
      <c r="C18026" s="3">
        <v>3</v>
      </c>
    </row>
    <row r="18027" spans="1:3" x14ac:dyDescent="0.25">
      <c r="A18027" s="1" t="s">
        <v>18026</v>
      </c>
      <c r="C18027" s="3">
        <v>3</v>
      </c>
    </row>
    <row r="18028" spans="1:3" x14ac:dyDescent="0.25">
      <c r="A18028" s="1" t="s">
        <v>18027</v>
      </c>
      <c r="C18028" s="3">
        <v>3</v>
      </c>
    </row>
    <row r="18029" spans="1:3" x14ac:dyDescent="0.25">
      <c r="A18029" s="1" t="s">
        <v>18028</v>
      </c>
      <c r="C18029" s="3">
        <v>3</v>
      </c>
    </row>
    <row r="18030" spans="1:3" x14ac:dyDescent="0.25">
      <c r="A18030" s="1" t="s">
        <v>18029</v>
      </c>
      <c r="C18030" s="3">
        <v>3</v>
      </c>
    </row>
    <row r="18031" spans="1:3" x14ac:dyDescent="0.25">
      <c r="A18031" s="1" t="s">
        <v>18030</v>
      </c>
      <c r="C18031" s="3">
        <v>3</v>
      </c>
    </row>
    <row r="18032" spans="1:3" x14ac:dyDescent="0.25">
      <c r="A18032" s="1" t="s">
        <v>18031</v>
      </c>
      <c r="C18032" s="3">
        <v>3</v>
      </c>
    </row>
    <row r="18033" spans="1:3" x14ac:dyDescent="0.25">
      <c r="A18033" s="1" t="s">
        <v>18032</v>
      </c>
      <c r="C18033" s="3">
        <v>3</v>
      </c>
    </row>
    <row r="18034" spans="1:3" x14ac:dyDescent="0.25">
      <c r="A18034" s="1" t="s">
        <v>18033</v>
      </c>
      <c r="C18034" s="3">
        <v>3</v>
      </c>
    </row>
    <row r="18035" spans="1:3" x14ac:dyDescent="0.25">
      <c r="A18035" s="1" t="s">
        <v>18034</v>
      </c>
      <c r="C18035" s="3">
        <v>3</v>
      </c>
    </row>
    <row r="18036" spans="1:3" x14ac:dyDescent="0.25">
      <c r="A18036" s="1" t="s">
        <v>18035</v>
      </c>
      <c r="C18036" s="3">
        <v>3</v>
      </c>
    </row>
    <row r="18037" spans="1:3" x14ac:dyDescent="0.25">
      <c r="A18037" s="1" t="s">
        <v>18036</v>
      </c>
      <c r="C18037" s="3">
        <v>3</v>
      </c>
    </row>
    <row r="18038" spans="1:3" x14ac:dyDescent="0.25">
      <c r="A18038" s="1" t="s">
        <v>18037</v>
      </c>
      <c r="C18038" s="3">
        <v>3</v>
      </c>
    </row>
    <row r="18039" spans="1:3" x14ac:dyDescent="0.25">
      <c r="A18039" s="1" t="s">
        <v>18038</v>
      </c>
      <c r="C18039" s="3">
        <v>3</v>
      </c>
    </row>
    <row r="18040" spans="1:3" x14ac:dyDescent="0.25">
      <c r="A18040" s="1" t="s">
        <v>18039</v>
      </c>
      <c r="C18040" s="3">
        <v>3</v>
      </c>
    </row>
    <row r="18041" spans="1:3" x14ac:dyDescent="0.25">
      <c r="A18041" s="1" t="s">
        <v>18040</v>
      </c>
      <c r="C18041" s="3">
        <v>3</v>
      </c>
    </row>
    <row r="18042" spans="1:3" x14ac:dyDescent="0.25">
      <c r="A18042" s="1" t="s">
        <v>18041</v>
      </c>
      <c r="C18042" s="3">
        <v>3</v>
      </c>
    </row>
    <row r="18043" spans="1:3" x14ac:dyDescent="0.25">
      <c r="A18043" s="1" t="s">
        <v>18042</v>
      </c>
      <c r="C18043" s="3">
        <v>3</v>
      </c>
    </row>
    <row r="18044" spans="1:3" x14ac:dyDescent="0.25">
      <c r="A18044" s="1" t="s">
        <v>18043</v>
      </c>
      <c r="C18044" s="3">
        <v>3</v>
      </c>
    </row>
    <row r="18045" spans="1:3" x14ac:dyDescent="0.25">
      <c r="A18045" s="1" t="s">
        <v>18044</v>
      </c>
      <c r="C18045" s="3">
        <v>3</v>
      </c>
    </row>
    <row r="18046" spans="1:3" x14ac:dyDescent="0.25">
      <c r="A18046" s="1" t="s">
        <v>18045</v>
      </c>
      <c r="C18046" s="3">
        <v>3</v>
      </c>
    </row>
    <row r="18047" spans="1:3" x14ac:dyDescent="0.25">
      <c r="A18047" s="1" t="s">
        <v>18046</v>
      </c>
      <c r="C18047" s="3">
        <v>3</v>
      </c>
    </row>
    <row r="18048" spans="1:3" x14ac:dyDescent="0.25">
      <c r="A18048" s="1" t="s">
        <v>18047</v>
      </c>
      <c r="C18048" s="3">
        <v>3</v>
      </c>
    </row>
    <row r="18049" spans="1:3" x14ac:dyDescent="0.25">
      <c r="A18049" s="1" t="s">
        <v>18048</v>
      </c>
      <c r="C18049" s="3">
        <v>3</v>
      </c>
    </row>
    <row r="18050" spans="1:3" x14ac:dyDescent="0.25">
      <c r="A18050" s="1" t="s">
        <v>18049</v>
      </c>
      <c r="C18050" s="3">
        <v>3</v>
      </c>
    </row>
    <row r="18051" spans="1:3" x14ac:dyDescent="0.25">
      <c r="A18051" s="1" t="s">
        <v>18050</v>
      </c>
      <c r="C18051" s="3">
        <v>3</v>
      </c>
    </row>
    <row r="18052" spans="1:3" x14ac:dyDescent="0.25">
      <c r="A18052" s="1" t="s">
        <v>18051</v>
      </c>
      <c r="C18052" s="3">
        <v>3</v>
      </c>
    </row>
    <row r="18053" spans="1:3" x14ac:dyDescent="0.25">
      <c r="A18053" s="1" t="s">
        <v>18052</v>
      </c>
      <c r="C18053" s="3">
        <v>3</v>
      </c>
    </row>
    <row r="18054" spans="1:3" x14ac:dyDescent="0.25">
      <c r="A18054" s="1" t="s">
        <v>18053</v>
      </c>
      <c r="C18054" s="3">
        <v>3</v>
      </c>
    </row>
    <row r="18055" spans="1:3" x14ac:dyDescent="0.25">
      <c r="A18055" s="1" t="s">
        <v>18054</v>
      </c>
      <c r="C18055" s="3">
        <v>3</v>
      </c>
    </row>
    <row r="18056" spans="1:3" x14ac:dyDescent="0.25">
      <c r="A18056" s="1" t="s">
        <v>18055</v>
      </c>
      <c r="C18056" s="3">
        <v>3</v>
      </c>
    </row>
    <row r="18057" spans="1:3" x14ac:dyDescent="0.25">
      <c r="A18057" s="1" t="s">
        <v>18056</v>
      </c>
      <c r="C18057" s="3">
        <v>3</v>
      </c>
    </row>
    <row r="18058" spans="1:3" x14ac:dyDescent="0.25">
      <c r="A18058" s="1" t="s">
        <v>18057</v>
      </c>
      <c r="C18058" s="3">
        <v>3</v>
      </c>
    </row>
    <row r="18059" spans="1:3" x14ac:dyDescent="0.25">
      <c r="A18059" s="1" t="s">
        <v>18058</v>
      </c>
      <c r="C18059" s="3">
        <v>3</v>
      </c>
    </row>
    <row r="18060" spans="1:3" x14ac:dyDescent="0.25">
      <c r="A18060" s="1" t="s">
        <v>18059</v>
      </c>
      <c r="C18060" s="3">
        <v>3</v>
      </c>
    </row>
    <row r="18061" spans="1:3" x14ac:dyDescent="0.25">
      <c r="A18061" s="1" t="s">
        <v>18060</v>
      </c>
      <c r="C18061" s="3">
        <v>3</v>
      </c>
    </row>
    <row r="18062" spans="1:3" x14ac:dyDescent="0.25">
      <c r="A18062" s="1" t="s">
        <v>18061</v>
      </c>
      <c r="C18062" s="3">
        <v>3</v>
      </c>
    </row>
    <row r="18063" spans="1:3" x14ac:dyDescent="0.25">
      <c r="A18063" s="1" t="s">
        <v>18062</v>
      </c>
      <c r="C18063" s="3">
        <v>3</v>
      </c>
    </row>
    <row r="18064" spans="1:3" x14ac:dyDescent="0.25">
      <c r="A18064" s="1" t="s">
        <v>18063</v>
      </c>
      <c r="C18064" s="3">
        <v>3</v>
      </c>
    </row>
    <row r="18065" spans="1:3" x14ac:dyDescent="0.25">
      <c r="A18065" s="1" t="s">
        <v>18064</v>
      </c>
      <c r="C18065" s="3">
        <v>3</v>
      </c>
    </row>
    <row r="18066" spans="1:3" x14ac:dyDescent="0.25">
      <c r="A18066" s="1" t="s">
        <v>18065</v>
      </c>
      <c r="C18066" s="3">
        <v>3</v>
      </c>
    </row>
    <row r="18067" spans="1:3" x14ac:dyDescent="0.25">
      <c r="A18067" s="1" t="s">
        <v>18066</v>
      </c>
      <c r="C18067" s="3">
        <v>3</v>
      </c>
    </row>
    <row r="18068" spans="1:3" x14ac:dyDescent="0.25">
      <c r="A18068" s="1" t="s">
        <v>18067</v>
      </c>
      <c r="C18068" s="3">
        <v>3</v>
      </c>
    </row>
    <row r="18069" spans="1:3" x14ac:dyDescent="0.25">
      <c r="A18069" s="1" t="s">
        <v>18068</v>
      </c>
      <c r="C18069" s="3">
        <v>3</v>
      </c>
    </row>
    <row r="18070" spans="1:3" x14ac:dyDescent="0.25">
      <c r="A18070" s="1" t="s">
        <v>18069</v>
      </c>
      <c r="C18070" s="3">
        <v>3</v>
      </c>
    </row>
    <row r="18071" spans="1:3" x14ac:dyDescent="0.25">
      <c r="A18071" s="1" t="s">
        <v>18070</v>
      </c>
      <c r="C18071" s="3">
        <v>3</v>
      </c>
    </row>
    <row r="18072" spans="1:3" x14ac:dyDescent="0.25">
      <c r="A18072" s="1" t="s">
        <v>18071</v>
      </c>
      <c r="C18072" s="3">
        <v>3</v>
      </c>
    </row>
    <row r="18073" spans="1:3" x14ac:dyDescent="0.25">
      <c r="A18073" s="1" t="s">
        <v>18072</v>
      </c>
      <c r="C18073" s="3">
        <v>3</v>
      </c>
    </row>
    <row r="18074" spans="1:3" x14ac:dyDescent="0.25">
      <c r="A18074" s="1" t="s">
        <v>18073</v>
      </c>
      <c r="C18074" s="3">
        <v>3</v>
      </c>
    </row>
    <row r="18075" spans="1:3" x14ac:dyDescent="0.25">
      <c r="A18075" s="1" t="s">
        <v>18074</v>
      </c>
      <c r="C18075" s="3">
        <v>3</v>
      </c>
    </row>
    <row r="18076" spans="1:3" x14ac:dyDescent="0.25">
      <c r="A18076" s="1" t="s">
        <v>18075</v>
      </c>
      <c r="C18076" s="3">
        <v>3</v>
      </c>
    </row>
    <row r="18077" spans="1:3" x14ac:dyDescent="0.25">
      <c r="A18077" s="1" t="s">
        <v>18076</v>
      </c>
      <c r="C18077" s="3">
        <v>3</v>
      </c>
    </row>
    <row r="18078" spans="1:3" x14ac:dyDescent="0.25">
      <c r="A18078" s="1" t="s">
        <v>18077</v>
      </c>
      <c r="C18078" s="3">
        <v>3</v>
      </c>
    </row>
    <row r="18079" spans="1:3" x14ac:dyDescent="0.25">
      <c r="A18079" s="1" t="s">
        <v>18078</v>
      </c>
      <c r="C18079" s="3">
        <v>3</v>
      </c>
    </row>
    <row r="18080" spans="1:3" x14ac:dyDescent="0.25">
      <c r="A18080" s="1" t="s">
        <v>18079</v>
      </c>
      <c r="C18080" s="3">
        <v>3</v>
      </c>
    </row>
    <row r="18081" spans="1:3" x14ac:dyDescent="0.25">
      <c r="A18081" s="1" t="s">
        <v>18080</v>
      </c>
      <c r="C18081" s="3">
        <v>3</v>
      </c>
    </row>
    <row r="18082" spans="1:3" x14ac:dyDescent="0.25">
      <c r="A18082" s="1" t="s">
        <v>18081</v>
      </c>
      <c r="C18082" s="3">
        <v>3</v>
      </c>
    </row>
    <row r="18083" spans="1:3" x14ac:dyDescent="0.25">
      <c r="A18083" s="1" t="s">
        <v>18082</v>
      </c>
      <c r="C18083" s="3">
        <v>3</v>
      </c>
    </row>
    <row r="18084" spans="1:3" x14ac:dyDescent="0.25">
      <c r="A18084" s="1" t="s">
        <v>18083</v>
      </c>
      <c r="C18084" s="3">
        <v>3</v>
      </c>
    </row>
    <row r="18085" spans="1:3" x14ac:dyDescent="0.25">
      <c r="A18085" s="1" t="s">
        <v>18084</v>
      </c>
      <c r="C18085" s="3">
        <v>3</v>
      </c>
    </row>
    <row r="18086" spans="1:3" x14ac:dyDescent="0.25">
      <c r="A18086" s="1" t="s">
        <v>18085</v>
      </c>
      <c r="C18086" s="3">
        <v>3</v>
      </c>
    </row>
    <row r="18087" spans="1:3" x14ac:dyDescent="0.25">
      <c r="A18087" s="1" t="s">
        <v>18086</v>
      </c>
      <c r="C18087" s="3">
        <v>3</v>
      </c>
    </row>
    <row r="18088" spans="1:3" x14ac:dyDescent="0.25">
      <c r="A18088" s="1" t="s">
        <v>18087</v>
      </c>
      <c r="C18088" s="3">
        <v>3</v>
      </c>
    </row>
    <row r="18089" spans="1:3" x14ac:dyDescent="0.25">
      <c r="A18089" s="1" t="s">
        <v>18088</v>
      </c>
      <c r="C18089" s="3">
        <v>3</v>
      </c>
    </row>
    <row r="18090" spans="1:3" x14ac:dyDescent="0.25">
      <c r="A18090" s="1" t="s">
        <v>18089</v>
      </c>
      <c r="C18090" s="3">
        <v>3</v>
      </c>
    </row>
    <row r="18091" spans="1:3" x14ac:dyDescent="0.25">
      <c r="A18091" s="1" t="s">
        <v>18090</v>
      </c>
      <c r="C18091" s="3">
        <v>3</v>
      </c>
    </row>
    <row r="18092" spans="1:3" x14ac:dyDescent="0.25">
      <c r="A18092" s="1" t="s">
        <v>18091</v>
      </c>
      <c r="C18092" s="3">
        <v>3</v>
      </c>
    </row>
    <row r="18093" spans="1:3" x14ac:dyDescent="0.25">
      <c r="A18093" s="1" t="s">
        <v>18092</v>
      </c>
      <c r="C18093" s="3">
        <v>3</v>
      </c>
    </row>
    <row r="18094" spans="1:3" x14ac:dyDescent="0.25">
      <c r="A18094" s="1" t="s">
        <v>18093</v>
      </c>
      <c r="C18094" s="3">
        <v>3</v>
      </c>
    </row>
    <row r="18095" spans="1:3" x14ac:dyDescent="0.25">
      <c r="A18095" s="1" t="s">
        <v>18094</v>
      </c>
      <c r="C18095" s="3">
        <v>3</v>
      </c>
    </row>
    <row r="18096" spans="1:3" x14ac:dyDescent="0.25">
      <c r="A18096" s="1" t="s">
        <v>18095</v>
      </c>
      <c r="C18096" s="3">
        <v>3</v>
      </c>
    </row>
    <row r="18097" spans="1:3" x14ac:dyDescent="0.25">
      <c r="A18097" s="1" t="s">
        <v>18096</v>
      </c>
      <c r="C18097" s="3">
        <v>3</v>
      </c>
    </row>
    <row r="18098" spans="1:3" x14ac:dyDescent="0.25">
      <c r="A18098" s="1" t="s">
        <v>18097</v>
      </c>
      <c r="C18098" s="3">
        <v>3</v>
      </c>
    </row>
    <row r="18099" spans="1:3" x14ac:dyDescent="0.25">
      <c r="A18099" s="1" t="s">
        <v>18098</v>
      </c>
      <c r="C18099" s="3">
        <v>3</v>
      </c>
    </row>
    <row r="18100" spans="1:3" x14ac:dyDescent="0.25">
      <c r="A18100" s="1" t="s">
        <v>18099</v>
      </c>
      <c r="C18100" s="3">
        <v>3</v>
      </c>
    </row>
    <row r="18101" spans="1:3" x14ac:dyDescent="0.25">
      <c r="A18101" s="1" t="s">
        <v>18100</v>
      </c>
      <c r="C18101" s="3">
        <v>3</v>
      </c>
    </row>
    <row r="18102" spans="1:3" x14ac:dyDescent="0.25">
      <c r="A18102" s="1" t="s">
        <v>18101</v>
      </c>
      <c r="C18102" s="3">
        <v>3</v>
      </c>
    </row>
    <row r="18103" spans="1:3" x14ac:dyDescent="0.25">
      <c r="A18103" s="1" t="s">
        <v>18102</v>
      </c>
      <c r="C18103" s="3">
        <v>3</v>
      </c>
    </row>
    <row r="18104" spans="1:3" x14ac:dyDescent="0.25">
      <c r="A18104" s="1" t="s">
        <v>18103</v>
      </c>
      <c r="C18104" s="3">
        <v>3</v>
      </c>
    </row>
    <row r="18105" spans="1:3" x14ac:dyDescent="0.25">
      <c r="A18105" s="1" t="s">
        <v>18104</v>
      </c>
      <c r="C18105" s="3">
        <v>3</v>
      </c>
    </row>
    <row r="18106" spans="1:3" x14ac:dyDescent="0.25">
      <c r="A18106" s="1" t="s">
        <v>18105</v>
      </c>
      <c r="C18106" s="3">
        <v>3</v>
      </c>
    </row>
    <row r="18107" spans="1:3" x14ac:dyDescent="0.25">
      <c r="A18107" s="1" t="s">
        <v>18106</v>
      </c>
      <c r="C18107" s="3">
        <v>3</v>
      </c>
    </row>
    <row r="18108" spans="1:3" x14ac:dyDescent="0.25">
      <c r="A18108" s="1" t="s">
        <v>18107</v>
      </c>
      <c r="C18108" s="3">
        <v>3</v>
      </c>
    </row>
    <row r="18109" spans="1:3" x14ac:dyDescent="0.25">
      <c r="A18109" s="1" t="s">
        <v>18108</v>
      </c>
      <c r="C18109" s="3">
        <v>3</v>
      </c>
    </row>
    <row r="18110" spans="1:3" x14ac:dyDescent="0.25">
      <c r="A18110" s="1" t="s">
        <v>18109</v>
      </c>
      <c r="C18110" s="3">
        <v>3</v>
      </c>
    </row>
    <row r="18111" spans="1:3" x14ac:dyDescent="0.25">
      <c r="A18111" s="1" t="s">
        <v>18110</v>
      </c>
      <c r="C18111" s="3">
        <v>3</v>
      </c>
    </row>
    <row r="18112" spans="1:3" x14ac:dyDescent="0.25">
      <c r="A18112" s="1" t="s">
        <v>18111</v>
      </c>
      <c r="C18112" s="3">
        <v>3</v>
      </c>
    </row>
    <row r="18113" spans="1:3" x14ac:dyDescent="0.25">
      <c r="A18113" s="1" t="s">
        <v>18112</v>
      </c>
      <c r="C18113" s="3">
        <v>3</v>
      </c>
    </row>
    <row r="18114" spans="1:3" x14ac:dyDescent="0.25">
      <c r="A18114" s="1" t="s">
        <v>18113</v>
      </c>
      <c r="C18114" s="3">
        <v>3</v>
      </c>
    </row>
    <row r="18115" spans="1:3" x14ac:dyDescent="0.25">
      <c r="A18115" s="1" t="s">
        <v>18114</v>
      </c>
      <c r="C18115" s="3">
        <v>3</v>
      </c>
    </row>
    <row r="18116" spans="1:3" x14ac:dyDescent="0.25">
      <c r="A18116" s="1" t="s">
        <v>18115</v>
      </c>
      <c r="C18116" s="3">
        <v>3</v>
      </c>
    </row>
    <row r="18117" spans="1:3" x14ac:dyDescent="0.25">
      <c r="A18117" s="1" t="s">
        <v>18116</v>
      </c>
      <c r="C18117" s="3">
        <v>3</v>
      </c>
    </row>
    <row r="18118" spans="1:3" x14ac:dyDescent="0.25">
      <c r="A18118" s="1" t="s">
        <v>18117</v>
      </c>
      <c r="C18118" s="3">
        <v>3</v>
      </c>
    </row>
    <row r="18119" spans="1:3" x14ac:dyDescent="0.25">
      <c r="A18119" s="1" t="s">
        <v>18118</v>
      </c>
      <c r="C18119" s="3">
        <v>3</v>
      </c>
    </row>
    <row r="18120" spans="1:3" x14ac:dyDescent="0.25">
      <c r="A18120" s="1" t="s">
        <v>18119</v>
      </c>
      <c r="C18120" s="3">
        <v>3</v>
      </c>
    </row>
    <row r="18121" spans="1:3" x14ac:dyDescent="0.25">
      <c r="A18121" s="1" t="s">
        <v>18120</v>
      </c>
      <c r="C18121" s="3">
        <v>3</v>
      </c>
    </row>
    <row r="18122" spans="1:3" x14ac:dyDescent="0.25">
      <c r="A18122" s="1" t="s">
        <v>18121</v>
      </c>
      <c r="C18122" s="3">
        <v>3</v>
      </c>
    </row>
    <row r="18123" spans="1:3" x14ac:dyDescent="0.25">
      <c r="A18123" s="1" t="s">
        <v>18122</v>
      </c>
      <c r="C18123" s="3">
        <v>3</v>
      </c>
    </row>
    <row r="18124" spans="1:3" x14ac:dyDescent="0.25">
      <c r="A18124" s="1" t="s">
        <v>18123</v>
      </c>
      <c r="C18124" s="3">
        <v>3</v>
      </c>
    </row>
    <row r="18125" spans="1:3" x14ac:dyDescent="0.25">
      <c r="A18125" s="1" t="s">
        <v>18124</v>
      </c>
      <c r="C18125" s="3">
        <v>3</v>
      </c>
    </row>
    <row r="18126" spans="1:3" x14ac:dyDescent="0.25">
      <c r="A18126" s="1" t="s">
        <v>18125</v>
      </c>
      <c r="C18126" s="3">
        <v>3</v>
      </c>
    </row>
    <row r="18127" spans="1:3" x14ac:dyDescent="0.25">
      <c r="A18127" s="1" t="s">
        <v>18126</v>
      </c>
      <c r="C18127" s="3">
        <v>3</v>
      </c>
    </row>
    <row r="18128" spans="1:3" x14ac:dyDescent="0.25">
      <c r="A18128" s="1" t="s">
        <v>18127</v>
      </c>
      <c r="C18128" s="3">
        <v>3</v>
      </c>
    </row>
    <row r="18129" spans="1:3" x14ac:dyDescent="0.25">
      <c r="A18129" s="1" t="s">
        <v>18128</v>
      </c>
      <c r="C18129" s="3">
        <v>3</v>
      </c>
    </row>
    <row r="18130" spans="1:3" x14ac:dyDescent="0.25">
      <c r="A18130" s="1" t="s">
        <v>18129</v>
      </c>
      <c r="C18130" s="3">
        <v>3</v>
      </c>
    </row>
    <row r="18131" spans="1:3" x14ac:dyDescent="0.25">
      <c r="A18131" s="1" t="s">
        <v>18130</v>
      </c>
      <c r="C18131" s="3">
        <v>3</v>
      </c>
    </row>
    <row r="18132" spans="1:3" x14ac:dyDescent="0.25">
      <c r="A18132" s="1" t="s">
        <v>18131</v>
      </c>
      <c r="C18132" s="3">
        <v>3</v>
      </c>
    </row>
    <row r="18133" spans="1:3" x14ac:dyDescent="0.25">
      <c r="A18133" s="1" t="s">
        <v>18132</v>
      </c>
      <c r="C18133" s="3">
        <v>3</v>
      </c>
    </row>
    <row r="18134" spans="1:3" x14ac:dyDescent="0.25">
      <c r="A18134" s="1" t="s">
        <v>18133</v>
      </c>
      <c r="C18134" s="3">
        <v>3</v>
      </c>
    </row>
    <row r="18135" spans="1:3" x14ac:dyDescent="0.25">
      <c r="A18135" s="1" t="s">
        <v>18134</v>
      </c>
      <c r="C18135" s="3">
        <v>3</v>
      </c>
    </row>
    <row r="18136" spans="1:3" x14ac:dyDescent="0.25">
      <c r="A18136" s="1" t="s">
        <v>18135</v>
      </c>
      <c r="C18136" s="3">
        <v>3</v>
      </c>
    </row>
    <row r="18137" spans="1:3" x14ac:dyDescent="0.25">
      <c r="A18137" s="1" t="s">
        <v>18136</v>
      </c>
      <c r="C18137" s="3">
        <v>3</v>
      </c>
    </row>
    <row r="18138" spans="1:3" x14ac:dyDescent="0.25">
      <c r="A18138" s="1" t="s">
        <v>18137</v>
      </c>
      <c r="C18138" s="3">
        <v>3</v>
      </c>
    </row>
    <row r="18139" spans="1:3" x14ac:dyDescent="0.25">
      <c r="A18139" s="1" t="s">
        <v>18138</v>
      </c>
      <c r="C18139" s="3">
        <v>3</v>
      </c>
    </row>
    <row r="18140" spans="1:3" x14ac:dyDescent="0.25">
      <c r="A18140" s="1" t="s">
        <v>18139</v>
      </c>
      <c r="C18140" s="3">
        <v>3</v>
      </c>
    </row>
    <row r="18141" spans="1:3" x14ac:dyDescent="0.25">
      <c r="A18141" s="1" t="s">
        <v>18140</v>
      </c>
      <c r="C18141" s="3">
        <v>3</v>
      </c>
    </row>
    <row r="18142" spans="1:3" x14ac:dyDescent="0.25">
      <c r="A18142" s="1" t="s">
        <v>18141</v>
      </c>
      <c r="C18142" s="3">
        <v>3</v>
      </c>
    </row>
    <row r="18143" spans="1:3" x14ac:dyDescent="0.25">
      <c r="A18143" s="1" t="s">
        <v>18142</v>
      </c>
      <c r="C18143" s="3">
        <v>3</v>
      </c>
    </row>
    <row r="18144" spans="1:3" x14ac:dyDescent="0.25">
      <c r="A18144" s="1" t="s">
        <v>18143</v>
      </c>
      <c r="C18144" s="3">
        <v>3</v>
      </c>
    </row>
    <row r="18145" spans="1:3" x14ac:dyDescent="0.25">
      <c r="A18145" s="1" t="s">
        <v>18144</v>
      </c>
      <c r="C18145" s="3">
        <v>3</v>
      </c>
    </row>
    <row r="18146" spans="1:3" x14ac:dyDescent="0.25">
      <c r="A18146" s="1" t="s">
        <v>18145</v>
      </c>
      <c r="C18146" s="3">
        <v>3</v>
      </c>
    </row>
    <row r="18147" spans="1:3" x14ac:dyDescent="0.25">
      <c r="A18147" s="1" t="s">
        <v>18146</v>
      </c>
      <c r="C18147" s="3">
        <v>3</v>
      </c>
    </row>
    <row r="18148" spans="1:3" x14ac:dyDescent="0.25">
      <c r="A18148" s="1" t="s">
        <v>18147</v>
      </c>
      <c r="C18148" s="3">
        <v>3</v>
      </c>
    </row>
    <row r="18149" spans="1:3" x14ac:dyDescent="0.25">
      <c r="A18149" s="1" t="s">
        <v>18148</v>
      </c>
      <c r="C18149" s="3">
        <v>3</v>
      </c>
    </row>
    <row r="18150" spans="1:3" x14ac:dyDescent="0.25">
      <c r="A18150" s="1" t="s">
        <v>18149</v>
      </c>
      <c r="C18150" s="3">
        <v>3</v>
      </c>
    </row>
    <row r="18151" spans="1:3" x14ac:dyDescent="0.25">
      <c r="A18151" s="1" t="s">
        <v>18150</v>
      </c>
      <c r="C18151" s="3">
        <v>3</v>
      </c>
    </row>
    <row r="18152" spans="1:3" x14ac:dyDescent="0.25">
      <c r="A18152" s="1" t="s">
        <v>18151</v>
      </c>
      <c r="C18152" s="3">
        <v>3</v>
      </c>
    </row>
    <row r="18153" spans="1:3" x14ac:dyDescent="0.25">
      <c r="A18153" s="1" t="s">
        <v>18152</v>
      </c>
      <c r="C18153" s="3">
        <v>3</v>
      </c>
    </row>
    <row r="18154" spans="1:3" x14ac:dyDescent="0.25">
      <c r="A18154" s="1" t="s">
        <v>18153</v>
      </c>
      <c r="C18154" s="3">
        <v>3</v>
      </c>
    </row>
    <row r="18155" spans="1:3" x14ac:dyDescent="0.25">
      <c r="A18155" s="1" t="s">
        <v>18154</v>
      </c>
      <c r="C18155" s="3">
        <v>3</v>
      </c>
    </row>
    <row r="18156" spans="1:3" x14ac:dyDescent="0.25">
      <c r="A18156" s="1" t="s">
        <v>18155</v>
      </c>
      <c r="C18156" s="3">
        <v>3</v>
      </c>
    </row>
    <row r="18157" spans="1:3" x14ac:dyDescent="0.25">
      <c r="A18157" s="1" t="s">
        <v>18156</v>
      </c>
      <c r="C18157" s="3">
        <v>3</v>
      </c>
    </row>
    <row r="18158" spans="1:3" x14ac:dyDescent="0.25">
      <c r="A18158" s="1" t="s">
        <v>18157</v>
      </c>
      <c r="C18158" s="3">
        <v>3</v>
      </c>
    </row>
    <row r="18159" spans="1:3" x14ac:dyDescent="0.25">
      <c r="A18159" s="1" t="s">
        <v>18158</v>
      </c>
      <c r="C18159" s="3">
        <v>3</v>
      </c>
    </row>
    <row r="18160" spans="1:3" x14ac:dyDescent="0.25">
      <c r="A18160" s="1" t="s">
        <v>18159</v>
      </c>
      <c r="C18160" s="3">
        <v>3</v>
      </c>
    </row>
    <row r="18161" spans="1:3" x14ac:dyDescent="0.25">
      <c r="A18161" s="1" t="s">
        <v>18160</v>
      </c>
      <c r="C18161" s="3">
        <v>3</v>
      </c>
    </row>
    <row r="18162" spans="1:3" x14ac:dyDescent="0.25">
      <c r="A18162" s="1" t="s">
        <v>18161</v>
      </c>
      <c r="C18162" s="3">
        <v>3</v>
      </c>
    </row>
    <row r="18163" spans="1:3" x14ac:dyDescent="0.25">
      <c r="A18163" s="1" t="s">
        <v>18162</v>
      </c>
      <c r="C18163" s="3">
        <v>3</v>
      </c>
    </row>
    <row r="18164" spans="1:3" x14ac:dyDescent="0.25">
      <c r="A18164" s="1" t="s">
        <v>18163</v>
      </c>
      <c r="C18164" s="3">
        <v>3</v>
      </c>
    </row>
    <row r="18165" spans="1:3" x14ac:dyDescent="0.25">
      <c r="A18165" s="1" t="s">
        <v>18164</v>
      </c>
      <c r="C18165" s="3">
        <v>3</v>
      </c>
    </row>
    <row r="18166" spans="1:3" x14ac:dyDescent="0.25">
      <c r="A18166" s="1" t="s">
        <v>18165</v>
      </c>
      <c r="C18166" s="3">
        <v>3</v>
      </c>
    </row>
    <row r="18167" spans="1:3" x14ac:dyDescent="0.25">
      <c r="A18167" s="1" t="s">
        <v>18166</v>
      </c>
      <c r="C18167" s="3">
        <v>3</v>
      </c>
    </row>
    <row r="18168" spans="1:3" x14ac:dyDescent="0.25">
      <c r="A18168" s="1" t="s">
        <v>18167</v>
      </c>
      <c r="C18168" s="3">
        <v>3</v>
      </c>
    </row>
    <row r="18169" spans="1:3" x14ac:dyDescent="0.25">
      <c r="A18169" s="1" t="s">
        <v>18168</v>
      </c>
      <c r="C18169" s="3">
        <v>3</v>
      </c>
    </row>
    <row r="18170" spans="1:3" x14ac:dyDescent="0.25">
      <c r="A18170" s="1" t="s">
        <v>18169</v>
      </c>
      <c r="C18170" s="3">
        <v>3</v>
      </c>
    </row>
    <row r="18171" spans="1:3" x14ac:dyDescent="0.25">
      <c r="A18171" s="1" t="s">
        <v>18170</v>
      </c>
      <c r="C18171" s="3">
        <v>3</v>
      </c>
    </row>
    <row r="18172" spans="1:3" x14ac:dyDescent="0.25">
      <c r="A18172" s="1" t="s">
        <v>18171</v>
      </c>
      <c r="C18172" s="3">
        <v>3</v>
      </c>
    </row>
    <row r="18173" spans="1:3" x14ac:dyDescent="0.25">
      <c r="A18173" s="1" t="s">
        <v>18172</v>
      </c>
      <c r="C18173" s="3">
        <v>3</v>
      </c>
    </row>
    <row r="18174" spans="1:3" x14ac:dyDescent="0.25">
      <c r="A18174" s="1" t="s">
        <v>18173</v>
      </c>
      <c r="C18174" s="3">
        <v>3</v>
      </c>
    </row>
    <row r="18175" spans="1:3" x14ac:dyDescent="0.25">
      <c r="A18175" s="1" t="s">
        <v>18174</v>
      </c>
      <c r="C18175" s="3">
        <v>3</v>
      </c>
    </row>
    <row r="18176" spans="1:3" x14ac:dyDescent="0.25">
      <c r="A18176" s="1" t="s">
        <v>18175</v>
      </c>
      <c r="C18176" s="3">
        <v>3</v>
      </c>
    </row>
    <row r="18177" spans="1:3" x14ac:dyDescent="0.25">
      <c r="A18177" s="1" t="s">
        <v>18176</v>
      </c>
      <c r="C18177" s="3">
        <v>3</v>
      </c>
    </row>
    <row r="18178" spans="1:3" x14ac:dyDescent="0.25">
      <c r="A18178" s="1" t="s">
        <v>18177</v>
      </c>
      <c r="C18178" s="3">
        <v>3</v>
      </c>
    </row>
    <row r="18179" spans="1:3" x14ac:dyDescent="0.25">
      <c r="A18179" s="1" t="s">
        <v>18178</v>
      </c>
      <c r="C18179" s="3">
        <v>3</v>
      </c>
    </row>
    <row r="18180" spans="1:3" x14ac:dyDescent="0.25">
      <c r="A18180" s="1" t="s">
        <v>18179</v>
      </c>
      <c r="C18180" s="3">
        <v>3</v>
      </c>
    </row>
    <row r="18181" spans="1:3" x14ac:dyDescent="0.25">
      <c r="A18181" s="1" t="s">
        <v>18180</v>
      </c>
      <c r="C18181" s="3">
        <v>3</v>
      </c>
    </row>
    <row r="18182" spans="1:3" x14ac:dyDescent="0.25">
      <c r="A18182" s="1" t="s">
        <v>18181</v>
      </c>
      <c r="C18182" s="3">
        <v>3</v>
      </c>
    </row>
    <row r="18183" spans="1:3" x14ac:dyDescent="0.25">
      <c r="A18183" s="1" t="s">
        <v>18182</v>
      </c>
      <c r="C18183" s="3">
        <v>3</v>
      </c>
    </row>
    <row r="18184" spans="1:3" x14ac:dyDescent="0.25">
      <c r="A18184" s="1" t="s">
        <v>18183</v>
      </c>
      <c r="C18184" s="3">
        <v>3</v>
      </c>
    </row>
    <row r="18185" spans="1:3" x14ac:dyDescent="0.25">
      <c r="A18185" s="1" t="s">
        <v>18184</v>
      </c>
      <c r="C18185" s="3">
        <v>3</v>
      </c>
    </row>
    <row r="18186" spans="1:3" x14ac:dyDescent="0.25">
      <c r="A18186" s="1" t="s">
        <v>18185</v>
      </c>
      <c r="C18186" s="3">
        <v>3</v>
      </c>
    </row>
    <row r="18187" spans="1:3" x14ac:dyDescent="0.25">
      <c r="A18187" s="1" t="s">
        <v>18186</v>
      </c>
      <c r="C18187" s="3">
        <v>3</v>
      </c>
    </row>
    <row r="18188" spans="1:3" x14ac:dyDescent="0.25">
      <c r="A18188" s="1" t="s">
        <v>18187</v>
      </c>
      <c r="C18188" s="3">
        <v>3</v>
      </c>
    </row>
    <row r="18189" spans="1:3" x14ac:dyDescent="0.25">
      <c r="A18189" s="1" t="s">
        <v>18188</v>
      </c>
      <c r="C18189" s="3">
        <v>3</v>
      </c>
    </row>
    <row r="18190" spans="1:3" x14ac:dyDescent="0.25">
      <c r="A18190" s="1" t="s">
        <v>18189</v>
      </c>
      <c r="C18190" s="3">
        <v>3</v>
      </c>
    </row>
    <row r="18191" spans="1:3" x14ac:dyDescent="0.25">
      <c r="A18191" s="1" t="s">
        <v>18190</v>
      </c>
      <c r="C18191" s="3">
        <v>3</v>
      </c>
    </row>
    <row r="18192" spans="1:3" x14ac:dyDescent="0.25">
      <c r="A18192" s="1" t="s">
        <v>18191</v>
      </c>
      <c r="C18192" s="3">
        <v>3</v>
      </c>
    </row>
    <row r="18193" spans="1:3" x14ac:dyDescent="0.25">
      <c r="A18193" s="1" t="s">
        <v>18192</v>
      </c>
      <c r="C18193" s="3">
        <v>3</v>
      </c>
    </row>
    <row r="18194" spans="1:3" x14ac:dyDescent="0.25">
      <c r="A18194" s="1" t="s">
        <v>18193</v>
      </c>
      <c r="C18194" s="3">
        <v>3</v>
      </c>
    </row>
    <row r="18195" spans="1:3" x14ac:dyDescent="0.25">
      <c r="A18195" s="1" t="s">
        <v>18194</v>
      </c>
      <c r="C18195" s="3">
        <v>3</v>
      </c>
    </row>
    <row r="18196" spans="1:3" x14ac:dyDescent="0.25">
      <c r="A18196" s="1" t="s">
        <v>18195</v>
      </c>
      <c r="C18196" s="3">
        <v>3</v>
      </c>
    </row>
    <row r="18197" spans="1:3" x14ac:dyDescent="0.25">
      <c r="A18197" s="1" t="s">
        <v>18196</v>
      </c>
      <c r="C18197" s="3">
        <v>3</v>
      </c>
    </row>
    <row r="18198" spans="1:3" x14ac:dyDescent="0.25">
      <c r="A18198" s="1" t="s">
        <v>18197</v>
      </c>
      <c r="C18198" s="3">
        <v>3</v>
      </c>
    </row>
    <row r="18199" spans="1:3" x14ac:dyDescent="0.25">
      <c r="A18199" s="1" t="s">
        <v>18198</v>
      </c>
      <c r="C18199" s="3">
        <v>3</v>
      </c>
    </row>
    <row r="18200" spans="1:3" x14ac:dyDescent="0.25">
      <c r="A18200" s="1" t="s">
        <v>18199</v>
      </c>
      <c r="C18200" s="3">
        <v>3</v>
      </c>
    </row>
    <row r="18201" spans="1:3" x14ac:dyDescent="0.25">
      <c r="A18201" s="1" t="s">
        <v>18200</v>
      </c>
      <c r="C18201" s="3">
        <v>3</v>
      </c>
    </row>
    <row r="18202" spans="1:3" x14ac:dyDescent="0.25">
      <c r="A18202" s="1" t="s">
        <v>18201</v>
      </c>
      <c r="C18202" s="3">
        <v>3</v>
      </c>
    </row>
    <row r="18203" spans="1:3" x14ac:dyDescent="0.25">
      <c r="A18203" s="1" t="s">
        <v>18202</v>
      </c>
      <c r="C18203" s="3">
        <v>3</v>
      </c>
    </row>
    <row r="18204" spans="1:3" x14ac:dyDescent="0.25">
      <c r="A18204" s="1" t="s">
        <v>18203</v>
      </c>
      <c r="C18204" s="3">
        <v>3</v>
      </c>
    </row>
    <row r="18205" spans="1:3" x14ac:dyDescent="0.25">
      <c r="A18205" s="1" t="s">
        <v>18204</v>
      </c>
      <c r="C18205" s="3">
        <v>3</v>
      </c>
    </row>
    <row r="18206" spans="1:3" x14ac:dyDescent="0.25">
      <c r="A18206" s="1" t="s">
        <v>18205</v>
      </c>
      <c r="C18206" s="3">
        <v>3</v>
      </c>
    </row>
    <row r="18207" spans="1:3" x14ac:dyDescent="0.25">
      <c r="A18207" s="1" t="s">
        <v>18206</v>
      </c>
      <c r="C18207" s="3">
        <v>3</v>
      </c>
    </row>
    <row r="18208" spans="1:3" x14ac:dyDescent="0.25">
      <c r="A18208" s="1" t="s">
        <v>18207</v>
      </c>
      <c r="C18208" s="3">
        <v>3</v>
      </c>
    </row>
    <row r="18209" spans="1:3" x14ac:dyDescent="0.25">
      <c r="A18209" s="1" t="s">
        <v>18208</v>
      </c>
      <c r="C18209" s="3">
        <v>3</v>
      </c>
    </row>
    <row r="18210" spans="1:3" x14ac:dyDescent="0.25">
      <c r="A18210" s="1" t="s">
        <v>18209</v>
      </c>
      <c r="C18210" s="3">
        <v>3</v>
      </c>
    </row>
    <row r="18211" spans="1:3" x14ac:dyDescent="0.25">
      <c r="A18211" s="1" t="s">
        <v>18210</v>
      </c>
      <c r="C18211" s="3">
        <v>3</v>
      </c>
    </row>
    <row r="18212" spans="1:3" x14ac:dyDescent="0.25">
      <c r="A18212" s="1" t="s">
        <v>18211</v>
      </c>
      <c r="C18212" s="3">
        <v>3</v>
      </c>
    </row>
    <row r="18213" spans="1:3" x14ac:dyDescent="0.25">
      <c r="A18213" s="1" t="s">
        <v>18212</v>
      </c>
      <c r="C18213" s="3">
        <v>3</v>
      </c>
    </row>
    <row r="18214" spans="1:3" x14ac:dyDescent="0.25">
      <c r="A18214" s="1" t="s">
        <v>18213</v>
      </c>
      <c r="C18214" s="3">
        <v>3</v>
      </c>
    </row>
    <row r="18215" spans="1:3" x14ac:dyDescent="0.25">
      <c r="A18215" s="1" t="s">
        <v>18214</v>
      </c>
      <c r="C18215" s="3">
        <v>3</v>
      </c>
    </row>
    <row r="18216" spans="1:3" x14ac:dyDescent="0.25">
      <c r="A18216" s="1" t="s">
        <v>18215</v>
      </c>
      <c r="C18216" s="3">
        <v>3</v>
      </c>
    </row>
    <row r="18217" spans="1:3" x14ac:dyDescent="0.25">
      <c r="A18217" s="1" t="s">
        <v>18216</v>
      </c>
      <c r="C18217" s="3">
        <v>3</v>
      </c>
    </row>
    <row r="18218" spans="1:3" x14ac:dyDescent="0.25">
      <c r="A18218" s="1" t="s">
        <v>18217</v>
      </c>
      <c r="C18218" s="3">
        <v>3</v>
      </c>
    </row>
    <row r="18219" spans="1:3" x14ac:dyDescent="0.25">
      <c r="A18219" s="1" t="s">
        <v>18218</v>
      </c>
      <c r="C18219" s="3">
        <v>3</v>
      </c>
    </row>
    <row r="18220" spans="1:3" x14ac:dyDescent="0.25">
      <c r="A18220" s="1" t="s">
        <v>18219</v>
      </c>
      <c r="C18220" s="3">
        <v>3</v>
      </c>
    </row>
    <row r="18221" spans="1:3" x14ac:dyDescent="0.25">
      <c r="A18221" s="1" t="s">
        <v>18220</v>
      </c>
      <c r="C18221" s="3">
        <v>3</v>
      </c>
    </row>
    <row r="18222" spans="1:3" x14ac:dyDescent="0.25">
      <c r="A18222" s="1" t="s">
        <v>18221</v>
      </c>
      <c r="C18222" s="3">
        <v>3</v>
      </c>
    </row>
    <row r="18223" spans="1:3" x14ac:dyDescent="0.25">
      <c r="A18223" s="1" t="s">
        <v>18222</v>
      </c>
      <c r="C18223" s="3">
        <v>3</v>
      </c>
    </row>
    <row r="18224" spans="1:3" x14ac:dyDescent="0.25">
      <c r="A18224" s="1" t="s">
        <v>18223</v>
      </c>
      <c r="C18224" s="3">
        <v>3</v>
      </c>
    </row>
    <row r="18225" spans="1:3" x14ac:dyDescent="0.25">
      <c r="A18225" s="1" t="s">
        <v>18224</v>
      </c>
      <c r="C18225" s="3">
        <v>3</v>
      </c>
    </row>
    <row r="18226" spans="1:3" x14ac:dyDescent="0.25">
      <c r="A18226" s="1" t="s">
        <v>18225</v>
      </c>
      <c r="C18226" s="3">
        <v>3</v>
      </c>
    </row>
    <row r="18227" spans="1:3" x14ac:dyDescent="0.25">
      <c r="A18227" s="1" t="s">
        <v>18226</v>
      </c>
      <c r="C18227" s="3">
        <v>3</v>
      </c>
    </row>
    <row r="18228" spans="1:3" x14ac:dyDescent="0.25">
      <c r="A18228" s="1" t="s">
        <v>18227</v>
      </c>
      <c r="C18228" s="3">
        <v>3</v>
      </c>
    </row>
    <row r="18229" spans="1:3" x14ac:dyDescent="0.25">
      <c r="A18229" s="1" t="s">
        <v>18228</v>
      </c>
      <c r="C18229" s="3">
        <v>3</v>
      </c>
    </row>
    <row r="18230" spans="1:3" x14ac:dyDescent="0.25">
      <c r="A18230" s="1" t="s">
        <v>18229</v>
      </c>
      <c r="C18230" s="3">
        <v>3</v>
      </c>
    </row>
    <row r="18231" spans="1:3" x14ac:dyDescent="0.25">
      <c r="A18231" s="1" t="s">
        <v>18230</v>
      </c>
      <c r="C18231" s="3">
        <v>3</v>
      </c>
    </row>
    <row r="18232" spans="1:3" x14ac:dyDescent="0.25">
      <c r="A18232" s="1" t="s">
        <v>18231</v>
      </c>
      <c r="C18232" s="3">
        <v>3</v>
      </c>
    </row>
    <row r="18233" spans="1:3" x14ac:dyDescent="0.25">
      <c r="A18233" s="1" t="s">
        <v>18232</v>
      </c>
      <c r="C18233" s="3">
        <v>3</v>
      </c>
    </row>
    <row r="18234" spans="1:3" x14ac:dyDescent="0.25">
      <c r="A18234" s="1" t="s">
        <v>18233</v>
      </c>
      <c r="C18234" s="3">
        <v>3</v>
      </c>
    </row>
    <row r="18235" spans="1:3" x14ac:dyDescent="0.25">
      <c r="A18235" s="1" t="s">
        <v>18234</v>
      </c>
      <c r="C18235" s="3">
        <v>3</v>
      </c>
    </row>
    <row r="18236" spans="1:3" x14ac:dyDescent="0.25">
      <c r="A18236" s="1" t="s">
        <v>18235</v>
      </c>
      <c r="C18236" s="3">
        <v>3</v>
      </c>
    </row>
    <row r="18237" spans="1:3" x14ac:dyDescent="0.25">
      <c r="A18237" s="1" t="s">
        <v>18236</v>
      </c>
      <c r="C18237" s="3">
        <v>3</v>
      </c>
    </row>
    <row r="18238" spans="1:3" x14ac:dyDescent="0.25">
      <c r="A18238" s="1" t="s">
        <v>18237</v>
      </c>
      <c r="C18238" s="3">
        <v>3</v>
      </c>
    </row>
    <row r="18239" spans="1:3" x14ac:dyDescent="0.25">
      <c r="A18239" s="1" t="s">
        <v>18238</v>
      </c>
      <c r="C18239" s="3">
        <v>3</v>
      </c>
    </row>
    <row r="18240" spans="1:3" x14ac:dyDescent="0.25">
      <c r="A18240" s="1" t="s">
        <v>18239</v>
      </c>
      <c r="C18240" s="3">
        <v>3</v>
      </c>
    </row>
    <row r="18241" spans="1:3" x14ac:dyDescent="0.25">
      <c r="A18241" s="1" t="s">
        <v>18240</v>
      </c>
      <c r="C18241" s="3">
        <v>3</v>
      </c>
    </row>
    <row r="18242" spans="1:3" x14ac:dyDescent="0.25">
      <c r="A18242" s="1" t="s">
        <v>18241</v>
      </c>
      <c r="C18242" s="3">
        <v>3</v>
      </c>
    </row>
    <row r="18243" spans="1:3" x14ac:dyDescent="0.25">
      <c r="A18243" s="1" t="s">
        <v>18242</v>
      </c>
      <c r="C18243" s="3">
        <v>3</v>
      </c>
    </row>
    <row r="18244" spans="1:3" x14ac:dyDescent="0.25">
      <c r="A18244" s="1" t="s">
        <v>18243</v>
      </c>
      <c r="C18244" s="3">
        <v>3</v>
      </c>
    </row>
    <row r="18245" spans="1:3" x14ac:dyDescent="0.25">
      <c r="A18245" s="1" t="s">
        <v>18244</v>
      </c>
      <c r="C18245" s="3">
        <v>3</v>
      </c>
    </row>
    <row r="18246" spans="1:3" x14ac:dyDescent="0.25">
      <c r="A18246" s="1" t="s">
        <v>18245</v>
      </c>
      <c r="C18246" s="3">
        <v>3</v>
      </c>
    </row>
    <row r="18247" spans="1:3" x14ac:dyDescent="0.25">
      <c r="A18247" s="1" t="s">
        <v>18246</v>
      </c>
      <c r="C18247" s="3">
        <v>3</v>
      </c>
    </row>
    <row r="18248" spans="1:3" x14ac:dyDescent="0.25">
      <c r="A18248" s="1" t="s">
        <v>18247</v>
      </c>
      <c r="C18248" s="3">
        <v>3</v>
      </c>
    </row>
    <row r="18249" spans="1:3" x14ac:dyDescent="0.25">
      <c r="A18249" s="1" t="s">
        <v>18248</v>
      </c>
      <c r="C18249" s="3">
        <v>3</v>
      </c>
    </row>
    <row r="18250" spans="1:3" x14ac:dyDescent="0.25">
      <c r="A18250" s="1" t="s">
        <v>18249</v>
      </c>
      <c r="C18250" s="3">
        <v>3</v>
      </c>
    </row>
    <row r="18251" spans="1:3" x14ac:dyDescent="0.25">
      <c r="A18251" s="1" t="s">
        <v>18250</v>
      </c>
      <c r="C18251" s="3">
        <v>3</v>
      </c>
    </row>
    <row r="18252" spans="1:3" x14ac:dyDescent="0.25">
      <c r="A18252" s="1" t="s">
        <v>18251</v>
      </c>
      <c r="C18252" s="3">
        <v>3</v>
      </c>
    </row>
    <row r="18253" spans="1:3" x14ac:dyDescent="0.25">
      <c r="A18253" s="1" t="s">
        <v>18252</v>
      </c>
      <c r="C18253" s="3">
        <v>3</v>
      </c>
    </row>
    <row r="18254" spans="1:3" x14ac:dyDescent="0.25">
      <c r="A18254" s="1" t="s">
        <v>18253</v>
      </c>
      <c r="C18254" s="3">
        <v>3</v>
      </c>
    </row>
    <row r="18255" spans="1:3" x14ac:dyDescent="0.25">
      <c r="A18255" s="1" t="s">
        <v>18254</v>
      </c>
      <c r="C18255" s="3">
        <v>3</v>
      </c>
    </row>
    <row r="18256" spans="1:3" x14ac:dyDescent="0.25">
      <c r="A18256" s="1" t="s">
        <v>18255</v>
      </c>
      <c r="C18256" s="3">
        <v>3</v>
      </c>
    </row>
    <row r="18257" spans="1:3" x14ac:dyDescent="0.25">
      <c r="A18257" s="1" t="s">
        <v>18256</v>
      </c>
      <c r="C18257" s="3">
        <v>3</v>
      </c>
    </row>
    <row r="18258" spans="1:3" x14ac:dyDescent="0.25">
      <c r="A18258" s="1" t="s">
        <v>18257</v>
      </c>
      <c r="C18258" s="3">
        <v>3</v>
      </c>
    </row>
    <row r="18259" spans="1:3" x14ac:dyDescent="0.25">
      <c r="A18259" s="1" t="s">
        <v>18258</v>
      </c>
      <c r="C18259" s="3">
        <v>3</v>
      </c>
    </row>
    <row r="18260" spans="1:3" x14ac:dyDescent="0.25">
      <c r="A18260" s="1" t="s">
        <v>18259</v>
      </c>
      <c r="C18260" s="3">
        <v>3</v>
      </c>
    </row>
    <row r="18261" spans="1:3" x14ac:dyDescent="0.25">
      <c r="A18261" s="1" t="s">
        <v>18260</v>
      </c>
      <c r="C18261" s="3">
        <v>3</v>
      </c>
    </row>
    <row r="18262" spans="1:3" x14ac:dyDescent="0.25">
      <c r="A18262" s="1" t="s">
        <v>18261</v>
      </c>
      <c r="C18262" s="3">
        <v>3</v>
      </c>
    </row>
    <row r="18263" spans="1:3" x14ac:dyDescent="0.25">
      <c r="A18263" s="1" t="s">
        <v>18262</v>
      </c>
      <c r="C18263" s="3">
        <v>3</v>
      </c>
    </row>
    <row r="18264" spans="1:3" x14ac:dyDescent="0.25">
      <c r="A18264" s="1" t="s">
        <v>18263</v>
      </c>
      <c r="C18264" s="3">
        <v>3</v>
      </c>
    </row>
    <row r="18265" spans="1:3" x14ac:dyDescent="0.25">
      <c r="A18265" s="1" t="s">
        <v>18264</v>
      </c>
      <c r="C18265" s="3">
        <v>3</v>
      </c>
    </row>
    <row r="18266" spans="1:3" x14ac:dyDescent="0.25">
      <c r="A18266" s="1" t="s">
        <v>18265</v>
      </c>
      <c r="C18266" s="3">
        <v>3</v>
      </c>
    </row>
    <row r="18267" spans="1:3" x14ac:dyDescent="0.25">
      <c r="A18267" s="1" t="s">
        <v>18266</v>
      </c>
      <c r="C18267" s="3">
        <v>3</v>
      </c>
    </row>
    <row r="18268" spans="1:3" x14ac:dyDescent="0.25">
      <c r="A18268" s="1" t="s">
        <v>18267</v>
      </c>
      <c r="C18268" s="3">
        <v>3</v>
      </c>
    </row>
    <row r="18269" spans="1:3" x14ac:dyDescent="0.25">
      <c r="A18269" s="1" t="s">
        <v>18268</v>
      </c>
      <c r="C18269" s="3">
        <v>3</v>
      </c>
    </row>
    <row r="18270" spans="1:3" x14ac:dyDescent="0.25">
      <c r="A18270" s="1" t="s">
        <v>18269</v>
      </c>
      <c r="C18270" s="3">
        <v>3</v>
      </c>
    </row>
    <row r="18271" spans="1:3" x14ac:dyDescent="0.25">
      <c r="A18271" s="1" t="s">
        <v>18270</v>
      </c>
      <c r="C18271" s="3">
        <v>3</v>
      </c>
    </row>
    <row r="18272" spans="1:3" x14ac:dyDescent="0.25">
      <c r="A18272" s="1" t="s">
        <v>18271</v>
      </c>
      <c r="C18272" s="3">
        <v>3</v>
      </c>
    </row>
    <row r="18273" spans="1:3" x14ac:dyDescent="0.25">
      <c r="A18273" s="1" t="s">
        <v>18272</v>
      </c>
      <c r="C18273" s="3">
        <v>3</v>
      </c>
    </row>
    <row r="18274" spans="1:3" x14ac:dyDescent="0.25">
      <c r="A18274" s="1" t="s">
        <v>18273</v>
      </c>
      <c r="C18274" s="3">
        <v>3</v>
      </c>
    </row>
    <row r="18275" spans="1:3" x14ac:dyDescent="0.25">
      <c r="A18275" s="1" t="s">
        <v>18274</v>
      </c>
      <c r="C18275" s="3">
        <v>3</v>
      </c>
    </row>
    <row r="18276" spans="1:3" x14ac:dyDescent="0.25">
      <c r="A18276" s="1" t="s">
        <v>18275</v>
      </c>
      <c r="C18276" s="3">
        <v>3</v>
      </c>
    </row>
    <row r="18277" spans="1:3" x14ac:dyDescent="0.25">
      <c r="A18277" s="1" t="s">
        <v>18276</v>
      </c>
      <c r="C18277" s="3">
        <v>3</v>
      </c>
    </row>
    <row r="18278" spans="1:3" x14ac:dyDescent="0.25">
      <c r="A18278" s="1" t="s">
        <v>18277</v>
      </c>
      <c r="C18278" s="3">
        <v>3</v>
      </c>
    </row>
    <row r="18279" spans="1:3" x14ac:dyDescent="0.25">
      <c r="A18279" s="1" t="s">
        <v>18278</v>
      </c>
      <c r="C18279" s="3">
        <v>3</v>
      </c>
    </row>
    <row r="18280" spans="1:3" x14ac:dyDescent="0.25">
      <c r="A18280" s="1" t="s">
        <v>18279</v>
      </c>
      <c r="C18280" s="3">
        <v>3</v>
      </c>
    </row>
    <row r="18281" spans="1:3" x14ac:dyDescent="0.25">
      <c r="A18281" s="1" t="s">
        <v>18280</v>
      </c>
      <c r="C18281" s="3">
        <v>3</v>
      </c>
    </row>
    <row r="18282" spans="1:3" x14ac:dyDescent="0.25">
      <c r="A18282" s="1" t="s">
        <v>18281</v>
      </c>
      <c r="C18282" s="3">
        <v>3</v>
      </c>
    </row>
    <row r="18283" spans="1:3" x14ac:dyDescent="0.25">
      <c r="A18283" s="1" t="s">
        <v>18282</v>
      </c>
      <c r="C18283" s="3">
        <v>3</v>
      </c>
    </row>
    <row r="18284" spans="1:3" x14ac:dyDescent="0.25">
      <c r="A18284" s="1" t="s">
        <v>18283</v>
      </c>
      <c r="C18284" s="3">
        <v>3</v>
      </c>
    </row>
    <row r="18285" spans="1:3" x14ac:dyDescent="0.25">
      <c r="A18285" s="1" t="s">
        <v>18284</v>
      </c>
      <c r="C18285" s="3">
        <v>3</v>
      </c>
    </row>
    <row r="18286" spans="1:3" x14ac:dyDescent="0.25">
      <c r="A18286" s="1" t="s">
        <v>18285</v>
      </c>
      <c r="C18286" s="3">
        <v>3</v>
      </c>
    </row>
    <row r="18287" spans="1:3" x14ac:dyDescent="0.25">
      <c r="A18287" s="1" t="s">
        <v>18286</v>
      </c>
      <c r="C18287" s="3">
        <v>3</v>
      </c>
    </row>
    <row r="18288" spans="1:3" x14ac:dyDescent="0.25">
      <c r="A18288" s="1" t="s">
        <v>18287</v>
      </c>
      <c r="C18288" s="3">
        <v>3</v>
      </c>
    </row>
    <row r="18289" spans="1:3" x14ac:dyDescent="0.25">
      <c r="A18289" s="1" t="s">
        <v>18288</v>
      </c>
      <c r="C18289" s="3">
        <v>3</v>
      </c>
    </row>
    <row r="18290" spans="1:3" x14ac:dyDescent="0.25">
      <c r="A18290" s="1" t="s">
        <v>18289</v>
      </c>
      <c r="C18290" s="3">
        <v>3</v>
      </c>
    </row>
    <row r="18291" spans="1:3" x14ac:dyDescent="0.25">
      <c r="A18291" s="1" t="s">
        <v>18290</v>
      </c>
      <c r="C18291" s="3">
        <v>3</v>
      </c>
    </row>
    <row r="18292" spans="1:3" x14ac:dyDescent="0.25">
      <c r="A18292" s="1" t="s">
        <v>18291</v>
      </c>
      <c r="C18292" s="3">
        <v>3</v>
      </c>
    </row>
    <row r="18293" spans="1:3" x14ac:dyDescent="0.25">
      <c r="A18293" s="1" t="s">
        <v>18292</v>
      </c>
      <c r="C18293" s="3">
        <v>3</v>
      </c>
    </row>
    <row r="18294" spans="1:3" x14ac:dyDescent="0.25">
      <c r="A18294" s="1" t="s">
        <v>18293</v>
      </c>
      <c r="C18294" s="3">
        <v>3</v>
      </c>
    </row>
    <row r="18295" spans="1:3" x14ac:dyDescent="0.25">
      <c r="A18295" s="1" t="s">
        <v>18294</v>
      </c>
      <c r="C18295" s="3">
        <v>3</v>
      </c>
    </row>
    <row r="18296" spans="1:3" x14ac:dyDescent="0.25">
      <c r="A18296" s="1" t="s">
        <v>18295</v>
      </c>
      <c r="C18296" s="3">
        <v>3</v>
      </c>
    </row>
    <row r="18297" spans="1:3" x14ac:dyDescent="0.25">
      <c r="A18297" s="1" t="s">
        <v>18296</v>
      </c>
      <c r="C18297" s="3">
        <v>3</v>
      </c>
    </row>
    <row r="18298" spans="1:3" x14ac:dyDescent="0.25">
      <c r="A18298" s="1" t="s">
        <v>18297</v>
      </c>
      <c r="C18298" s="3">
        <v>3</v>
      </c>
    </row>
    <row r="18299" spans="1:3" x14ac:dyDescent="0.25">
      <c r="A18299" s="1" t="s">
        <v>18298</v>
      </c>
      <c r="C18299" s="3">
        <v>3</v>
      </c>
    </row>
    <row r="18300" spans="1:3" x14ac:dyDescent="0.25">
      <c r="A18300" s="1" t="s">
        <v>18299</v>
      </c>
      <c r="C18300" s="3">
        <v>3</v>
      </c>
    </row>
    <row r="18301" spans="1:3" x14ac:dyDescent="0.25">
      <c r="A18301" s="1" t="s">
        <v>18300</v>
      </c>
      <c r="C18301" s="3">
        <v>3</v>
      </c>
    </row>
    <row r="18302" spans="1:3" x14ac:dyDescent="0.25">
      <c r="A18302" s="1" t="s">
        <v>18301</v>
      </c>
      <c r="C18302" s="3">
        <v>3</v>
      </c>
    </row>
    <row r="18303" spans="1:3" x14ac:dyDescent="0.25">
      <c r="A18303" s="1" t="s">
        <v>18302</v>
      </c>
      <c r="C18303" s="3">
        <v>3</v>
      </c>
    </row>
    <row r="18304" spans="1:3" x14ac:dyDescent="0.25">
      <c r="A18304" s="1" t="s">
        <v>18303</v>
      </c>
      <c r="C18304" s="3">
        <v>3</v>
      </c>
    </row>
    <row r="18305" spans="1:3" x14ac:dyDescent="0.25">
      <c r="A18305" s="1" t="s">
        <v>18304</v>
      </c>
      <c r="C18305" s="3">
        <v>3</v>
      </c>
    </row>
    <row r="18306" spans="1:3" x14ac:dyDescent="0.25">
      <c r="A18306" s="1" t="s">
        <v>18305</v>
      </c>
      <c r="C18306" s="3">
        <v>3</v>
      </c>
    </row>
    <row r="18307" spans="1:3" x14ac:dyDescent="0.25">
      <c r="A18307" s="1" t="s">
        <v>18306</v>
      </c>
      <c r="C18307" s="3">
        <v>3</v>
      </c>
    </row>
    <row r="18308" spans="1:3" x14ac:dyDescent="0.25">
      <c r="A18308" s="1" t="s">
        <v>18307</v>
      </c>
      <c r="C18308" s="3">
        <v>3</v>
      </c>
    </row>
    <row r="18309" spans="1:3" x14ac:dyDescent="0.25">
      <c r="A18309" s="1" t="s">
        <v>18308</v>
      </c>
      <c r="C18309" s="3">
        <v>3</v>
      </c>
    </row>
    <row r="18310" spans="1:3" x14ac:dyDescent="0.25">
      <c r="A18310" s="1" t="s">
        <v>18309</v>
      </c>
      <c r="C18310" s="3">
        <v>3</v>
      </c>
    </row>
    <row r="18311" spans="1:3" x14ac:dyDescent="0.25">
      <c r="A18311" s="1" t="s">
        <v>18310</v>
      </c>
      <c r="C18311" s="3">
        <v>3</v>
      </c>
    </row>
    <row r="18312" spans="1:3" x14ac:dyDescent="0.25">
      <c r="A18312" s="1" t="s">
        <v>18311</v>
      </c>
      <c r="C18312" s="3">
        <v>3</v>
      </c>
    </row>
    <row r="18313" spans="1:3" x14ac:dyDescent="0.25">
      <c r="A18313" s="1" t="s">
        <v>18312</v>
      </c>
      <c r="C18313" s="3">
        <v>3</v>
      </c>
    </row>
    <row r="18314" spans="1:3" x14ac:dyDescent="0.25">
      <c r="A18314" s="1" t="s">
        <v>18313</v>
      </c>
      <c r="C18314" s="3">
        <v>3</v>
      </c>
    </row>
    <row r="18315" spans="1:3" x14ac:dyDescent="0.25">
      <c r="A18315" s="1" t="s">
        <v>18314</v>
      </c>
      <c r="C18315" s="3">
        <v>3</v>
      </c>
    </row>
    <row r="18316" spans="1:3" x14ac:dyDescent="0.25">
      <c r="A18316" s="1" t="s">
        <v>18315</v>
      </c>
      <c r="C18316" s="3">
        <v>3</v>
      </c>
    </row>
    <row r="18317" spans="1:3" x14ac:dyDescent="0.25">
      <c r="A18317" s="1" t="s">
        <v>18316</v>
      </c>
      <c r="C18317" s="3">
        <v>3</v>
      </c>
    </row>
    <row r="18318" spans="1:3" x14ac:dyDescent="0.25">
      <c r="A18318" s="1" t="s">
        <v>18317</v>
      </c>
      <c r="C18318" s="3">
        <v>3</v>
      </c>
    </row>
    <row r="18319" spans="1:3" x14ac:dyDescent="0.25">
      <c r="A18319" s="1" t="s">
        <v>18318</v>
      </c>
      <c r="C18319" s="3">
        <v>3</v>
      </c>
    </row>
    <row r="18320" spans="1:3" x14ac:dyDescent="0.25">
      <c r="A18320" s="1" t="s">
        <v>18319</v>
      </c>
      <c r="C18320" s="3">
        <v>3</v>
      </c>
    </row>
    <row r="18321" spans="1:3" x14ac:dyDescent="0.25">
      <c r="A18321" s="1" t="s">
        <v>18320</v>
      </c>
      <c r="C18321" s="3">
        <v>3</v>
      </c>
    </row>
    <row r="18322" spans="1:3" x14ac:dyDescent="0.25">
      <c r="A18322" s="1" t="s">
        <v>18321</v>
      </c>
      <c r="C18322" s="3">
        <v>3</v>
      </c>
    </row>
    <row r="18323" spans="1:3" x14ac:dyDescent="0.25">
      <c r="A18323" s="1" t="s">
        <v>18322</v>
      </c>
      <c r="C18323" s="3">
        <v>3</v>
      </c>
    </row>
    <row r="18324" spans="1:3" x14ac:dyDescent="0.25">
      <c r="A18324" s="1" t="s">
        <v>18323</v>
      </c>
      <c r="C18324" s="3">
        <v>3</v>
      </c>
    </row>
    <row r="18325" spans="1:3" x14ac:dyDescent="0.25">
      <c r="A18325" s="1" t="s">
        <v>18324</v>
      </c>
      <c r="C18325" s="3">
        <v>3</v>
      </c>
    </row>
    <row r="18326" spans="1:3" x14ac:dyDescent="0.25">
      <c r="A18326" s="1" t="s">
        <v>18325</v>
      </c>
      <c r="C18326" s="3">
        <v>3</v>
      </c>
    </row>
    <row r="18327" spans="1:3" x14ac:dyDescent="0.25">
      <c r="A18327" s="1" t="s">
        <v>18326</v>
      </c>
      <c r="C18327" s="3">
        <v>3</v>
      </c>
    </row>
    <row r="18328" spans="1:3" x14ac:dyDescent="0.25">
      <c r="A18328" s="1" t="s">
        <v>18327</v>
      </c>
      <c r="C18328" s="3">
        <v>3</v>
      </c>
    </row>
    <row r="18329" spans="1:3" x14ac:dyDescent="0.25">
      <c r="A18329" s="1" t="s">
        <v>18328</v>
      </c>
      <c r="C18329" s="3">
        <v>3</v>
      </c>
    </row>
    <row r="18330" spans="1:3" x14ac:dyDescent="0.25">
      <c r="A18330" s="1" t="s">
        <v>18329</v>
      </c>
      <c r="C18330" s="3">
        <v>3</v>
      </c>
    </row>
    <row r="18331" spans="1:3" x14ac:dyDescent="0.25">
      <c r="A18331" s="1" t="s">
        <v>18330</v>
      </c>
      <c r="C18331" s="3">
        <v>3</v>
      </c>
    </row>
    <row r="18332" spans="1:3" x14ac:dyDescent="0.25">
      <c r="A18332" s="1" t="s">
        <v>18331</v>
      </c>
      <c r="C18332" s="3">
        <v>3</v>
      </c>
    </row>
    <row r="18333" spans="1:3" x14ac:dyDescent="0.25">
      <c r="A18333" s="1" t="s">
        <v>18332</v>
      </c>
      <c r="C18333" s="3">
        <v>3</v>
      </c>
    </row>
    <row r="18334" spans="1:3" x14ac:dyDescent="0.25">
      <c r="A18334" s="1" t="s">
        <v>18333</v>
      </c>
      <c r="C18334" s="3">
        <v>3</v>
      </c>
    </row>
    <row r="18335" spans="1:3" x14ac:dyDescent="0.25">
      <c r="A18335" s="1" t="s">
        <v>18334</v>
      </c>
      <c r="C18335" s="3">
        <v>3</v>
      </c>
    </row>
    <row r="18336" spans="1:3" x14ac:dyDescent="0.25">
      <c r="A18336" s="1" t="s">
        <v>18335</v>
      </c>
      <c r="C18336" s="3">
        <v>3</v>
      </c>
    </row>
    <row r="18337" spans="1:3" x14ac:dyDescent="0.25">
      <c r="A18337" s="1" t="s">
        <v>18336</v>
      </c>
      <c r="C18337" s="3">
        <v>3</v>
      </c>
    </row>
    <row r="18338" spans="1:3" x14ac:dyDescent="0.25">
      <c r="A18338" s="1" t="s">
        <v>18337</v>
      </c>
      <c r="C18338" s="3">
        <v>3</v>
      </c>
    </row>
    <row r="18339" spans="1:3" x14ac:dyDescent="0.25">
      <c r="A18339" s="1" t="s">
        <v>18338</v>
      </c>
      <c r="C18339" s="3">
        <v>3</v>
      </c>
    </row>
    <row r="18340" spans="1:3" x14ac:dyDescent="0.25">
      <c r="A18340" s="1" t="s">
        <v>18339</v>
      </c>
      <c r="C18340" s="3">
        <v>3</v>
      </c>
    </row>
    <row r="18341" spans="1:3" x14ac:dyDescent="0.25">
      <c r="A18341" s="1" t="s">
        <v>18340</v>
      </c>
      <c r="C18341" s="3">
        <v>3</v>
      </c>
    </row>
    <row r="18342" spans="1:3" x14ac:dyDescent="0.25">
      <c r="A18342" s="1" t="s">
        <v>18341</v>
      </c>
      <c r="C18342" s="3">
        <v>3</v>
      </c>
    </row>
    <row r="18343" spans="1:3" x14ac:dyDescent="0.25">
      <c r="A18343" s="1" t="s">
        <v>18342</v>
      </c>
      <c r="C18343" s="3">
        <v>3</v>
      </c>
    </row>
    <row r="18344" spans="1:3" x14ac:dyDescent="0.25">
      <c r="A18344" s="1" t="s">
        <v>18343</v>
      </c>
      <c r="C18344" s="3">
        <v>3</v>
      </c>
    </row>
    <row r="18345" spans="1:3" x14ac:dyDescent="0.25">
      <c r="A18345" s="1" t="s">
        <v>18344</v>
      </c>
      <c r="C18345" s="3">
        <v>3</v>
      </c>
    </row>
    <row r="18346" spans="1:3" x14ac:dyDescent="0.25">
      <c r="A18346" s="1" t="s">
        <v>18345</v>
      </c>
      <c r="C18346" s="3">
        <v>3</v>
      </c>
    </row>
    <row r="18347" spans="1:3" x14ac:dyDescent="0.25">
      <c r="A18347" s="1" t="s">
        <v>18346</v>
      </c>
      <c r="C18347" s="3">
        <v>3</v>
      </c>
    </row>
    <row r="18348" spans="1:3" x14ac:dyDescent="0.25">
      <c r="A18348" s="1" t="s">
        <v>18347</v>
      </c>
      <c r="C18348" s="3">
        <v>3</v>
      </c>
    </row>
    <row r="18349" spans="1:3" x14ac:dyDescent="0.25">
      <c r="A18349" s="1" t="s">
        <v>18348</v>
      </c>
      <c r="C18349" s="3">
        <v>3</v>
      </c>
    </row>
    <row r="18350" spans="1:3" x14ac:dyDescent="0.25">
      <c r="A18350" s="1" t="s">
        <v>18349</v>
      </c>
      <c r="C18350" s="3">
        <v>3</v>
      </c>
    </row>
    <row r="18351" spans="1:3" x14ac:dyDescent="0.25">
      <c r="A18351" s="1" t="s">
        <v>18350</v>
      </c>
      <c r="C18351" s="3">
        <v>3</v>
      </c>
    </row>
    <row r="18352" spans="1:3" x14ac:dyDescent="0.25">
      <c r="A18352" s="1" t="s">
        <v>18351</v>
      </c>
      <c r="C18352" s="3">
        <v>3</v>
      </c>
    </row>
    <row r="18353" spans="1:3" x14ac:dyDescent="0.25">
      <c r="A18353" s="1" t="s">
        <v>18352</v>
      </c>
      <c r="C18353" s="3">
        <v>3</v>
      </c>
    </row>
    <row r="18354" spans="1:3" x14ac:dyDescent="0.25">
      <c r="A18354" s="1" t="s">
        <v>18353</v>
      </c>
      <c r="C18354" s="3">
        <v>3</v>
      </c>
    </row>
    <row r="18355" spans="1:3" x14ac:dyDescent="0.25">
      <c r="A18355" s="1" t="s">
        <v>18354</v>
      </c>
      <c r="C18355" s="3">
        <v>3</v>
      </c>
    </row>
    <row r="18356" spans="1:3" x14ac:dyDescent="0.25">
      <c r="A18356" s="1" t="s">
        <v>18355</v>
      </c>
      <c r="C18356" s="3">
        <v>3</v>
      </c>
    </row>
    <row r="18357" spans="1:3" x14ac:dyDescent="0.25">
      <c r="A18357" s="1" t="s">
        <v>18356</v>
      </c>
      <c r="C18357" s="3">
        <v>3</v>
      </c>
    </row>
    <row r="18358" spans="1:3" x14ac:dyDescent="0.25">
      <c r="A18358" s="1" t="s">
        <v>18357</v>
      </c>
      <c r="C18358" s="3">
        <v>3</v>
      </c>
    </row>
    <row r="18359" spans="1:3" x14ac:dyDescent="0.25">
      <c r="A18359" s="1" t="s">
        <v>18358</v>
      </c>
      <c r="C18359" s="3">
        <v>3</v>
      </c>
    </row>
    <row r="18360" spans="1:3" x14ac:dyDescent="0.25">
      <c r="A18360" s="1" t="s">
        <v>18359</v>
      </c>
      <c r="C18360" s="3">
        <v>3</v>
      </c>
    </row>
    <row r="18361" spans="1:3" x14ac:dyDescent="0.25">
      <c r="A18361" s="1" t="s">
        <v>18360</v>
      </c>
      <c r="C18361" s="3">
        <v>3</v>
      </c>
    </row>
    <row r="18362" spans="1:3" x14ac:dyDescent="0.25">
      <c r="A18362" s="1" t="s">
        <v>18361</v>
      </c>
      <c r="C18362" s="3">
        <v>3</v>
      </c>
    </row>
    <row r="18363" spans="1:3" x14ac:dyDescent="0.25">
      <c r="A18363" s="1" t="s">
        <v>18362</v>
      </c>
      <c r="C18363" s="3">
        <v>3</v>
      </c>
    </row>
    <row r="18364" spans="1:3" x14ac:dyDescent="0.25">
      <c r="A18364" s="1" t="s">
        <v>18363</v>
      </c>
      <c r="C18364" s="3">
        <v>3</v>
      </c>
    </row>
    <row r="18365" spans="1:3" x14ac:dyDescent="0.25">
      <c r="A18365" s="1" t="s">
        <v>18364</v>
      </c>
      <c r="C18365" s="3">
        <v>3</v>
      </c>
    </row>
    <row r="18366" spans="1:3" x14ac:dyDescent="0.25">
      <c r="A18366" s="1" t="s">
        <v>18365</v>
      </c>
      <c r="C18366" s="3">
        <v>3</v>
      </c>
    </row>
    <row r="18367" spans="1:3" x14ac:dyDescent="0.25">
      <c r="A18367" s="1" t="s">
        <v>18366</v>
      </c>
      <c r="C18367" s="3">
        <v>3</v>
      </c>
    </row>
    <row r="18368" spans="1:3" x14ac:dyDescent="0.25">
      <c r="A18368" s="1" t="s">
        <v>18367</v>
      </c>
      <c r="C18368" s="3">
        <v>3</v>
      </c>
    </row>
    <row r="18369" spans="1:3" x14ac:dyDescent="0.25">
      <c r="A18369" s="1" t="s">
        <v>18368</v>
      </c>
      <c r="C18369" s="3">
        <v>3</v>
      </c>
    </row>
    <row r="18370" spans="1:3" x14ac:dyDescent="0.25">
      <c r="A18370" s="1" t="s">
        <v>18369</v>
      </c>
      <c r="C18370" s="3">
        <v>3</v>
      </c>
    </row>
    <row r="18371" spans="1:3" x14ac:dyDescent="0.25">
      <c r="A18371" s="1" t="s">
        <v>18370</v>
      </c>
      <c r="C18371" s="3">
        <v>3</v>
      </c>
    </row>
    <row r="18372" spans="1:3" x14ac:dyDescent="0.25">
      <c r="A18372" s="1" t="s">
        <v>18371</v>
      </c>
      <c r="C18372" s="3">
        <v>3</v>
      </c>
    </row>
    <row r="18373" spans="1:3" x14ac:dyDescent="0.25">
      <c r="A18373" s="1" t="s">
        <v>18372</v>
      </c>
      <c r="C18373" s="3">
        <v>3</v>
      </c>
    </row>
    <row r="18374" spans="1:3" x14ac:dyDescent="0.25">
      <c r="A18374" s="1" t="s">
        <v>18373</v>
      </c>
      <c r="C18374" s="3">
        <v>3</v>
      </c>
    </row>
    <row r="18375" spans="1:3" x14ac:dyDescent="0.25">
      <c r="A18375" s="1" t="s">
        <v>18374</v>
      </c>
      <c r="C18375" s="3">
        <v>3</v>
      </c>
    </row>
    <row r="18376" spans="1:3" x14ac:dyDescent="0.25">
      <c r="A18376" s="1" t="s">
        <v>18375</v>
      </c>
      <c r="C18376" s="3">
        <v>3</v>
      </c>
    </row>
    <row r="18377" spans="1:3" x14ac:dyDescent="0.25">
      <c r="A18377" s="1" t="s">
        <v>18376</v>
      </c>
      <c r="C18377" s="3">
        <v>3</v>
      </c>
    </row>
    <row r="18378" spans="1:3" x14ac:dyDescent="0.25">
      <c r="A18378" s="1" t="s">
        <v>18377</v>
      </c>
      <c r="C18378" s="3">
        <v>3</v>
      </c>
    </row>
    <row r="18379" spans="1:3" x14ac:dyDescent="0.25">
      <c r="A18379" s="1" t="s">
        <v>18378</v>
      </c>
      <c r="C18379" s="3">
        <v>3</v>
      </c>
    </row>
    <row r="18380" spans="1:3" x14ac:dyDescent="0.25">
      <c r="A18380" s="1" t="s">
        <v>18379</v>
      </c>
      <c r="C18380" s="3">
        <v>3</v>
      </c>
    </row>
    <row r="18381" spans="1:3" x14ac:dyDescent="0.25">
      <c r="A18381" s="1" t="s">
        <v>18380</v>
      </c>
      <c r="C18381" s="3">
        <v>3</v>
      </c>
    </row>
    <row r="18382" spans="1:3" x14ac:dyDescent="0.25">
      <c r="A18382" s="1" t="s">
        <v>18381</v>
      </c>
      <c r="C18382" s="3">
        <v>3</v>
      </c>
    </row>
    <row r="18383" spans="1:3" x14ac:dyDescent="0.25">
      <c r="A18383" s="1" t="s">
        <v>18382</v>
      </c>
      <c r="C18383" s="3">
        <v>3</v>
      </c>
    </row>
    <row r="18384" spans="1:3" x14ac:dyDescent="0.25">
      <c r="A18384" s="1" t="s">
        <v>18383</v>
      </c>
      <c r="C18384" s="3">
        <v>3</v>
      </c>
    </row>
    <row r="18385" spans="1:3" x14ac:dyDescent="0.25">
      <c r="A18385" s="1" t="s">
        <v>18384</v>
      </c>
      <c r="C18385" s="3">
        <v>3</v>
      </c>
    </row>
    <row r="18386" spans="1:3" x14ac:dyDescent="0.25">
      <c r="A18386" s="1" t="s">
        <v>18385</v>
      </c>
      <c r="C18386" s="3">
        <v>3</v>
      </c>
    </row>
    <row r="18387" spans="1:3" x14ac:dyDescent="0.25">
      <c r="A18387" s="1" t="s">
        <v>18386</v>
      </c>
      <c r="C18387" s="3">
        <v>3</v>
      </c>
    </row>
    <row r="18388" spans="1:3" x14ac:dyDescent="0.25">
      <c r="A18388" s="1" t="s">
        <v>18387</v>
      </c>
      <c r="C18388" s="3">
        <v>3</v>
      </c>
    </row>
    <row r="18389" spans="1:3" x14ac:dyDescent="0.25">
      <c r="A18389" s="1" t="s">
        <v>18388</v>
      </c>
      <c r="C18389" s="3">
        <v>3</v>
      </c>
    </row>
    <row r="18390" spans="1:3" x14ac:dyDescent="0.25">
      <c r="A18390" s="1" t="s">
        <v>18389</v>
      </c>
      <c r="C18390" s="3">
        <v>3</v>
      </c>
    </row>
    <row r="18391" spans="1:3" x14ac:dyDescent="0.25">
      <c r="A18391" s="1" t="s">
        <v>18390</v>
      </c>
      <c r="C18391" s="3">
        <v>3</v>
      </c>
    </row>
    <row r="18392" spans="1:3" x14ac:dyDescent="0.25">
      <c r="A18392" s="1" t="s">
        <v>18391</v>
      </c>
      <c r="C18392" s="3">
        <v>3</v>
      </c>
    </row>
    <row r="18393" spans="1:3" x14ac:dyDescent="0.25">
      <c r="A18393" s="1" t="s">
        <v>18392</v>
      </c>
      <c r="C18393" s="3">
        <v>3</v>
      </c>
    </row>
    <row r="18394" spans="1:3" x14ac:dyDescent="0.25">
      <c r="A18394" s="1" t="s">
        <v>18393</v>
      </c>
      <c r="C18394" s="3">
        <v>3</v>
      </c>
    </row>
    <row r="18395" spans="1:3" x14ac:dyDescent="0.25">
      <c r="A18395" s="1" t="s">
        <v>18394</v>
      </c>
      <c r="C18395" s="3">
        <v>3</v>
      </c>
    </row>
    <row r="18396" spans="1:3" x14ac:dyDescent="0.25">
      <c r="A18396" s="1" t="s">
        <v>18395</v>
      </c>
      <c r="C18396" s="3">
        <v>3</v>
      </c>
    </row>
    <row r="18397" spans="1:3" x14ac:dyDescent="0.25">
      <c r="A18397" s="1" t="s">
        <v>18396</v>
      </c>
      <c r="C18397" s="3">
        <v>3</v>
      </c>
    </row>
    <row r="18398" spans="1:3" x14ac:dyDescent="0.25">
      <c r="A18398" s="1" t="s">
        <v>18397</v>
      </c>
      <c r="C18398" s="3">
        <v>3</v>
      </c>
    </row>
    <row r="18399" spans="1:3" x14ac:dyDescent="0.25">
      <c r="A18399" s="1" t="s">
        <v>18398</v>
      </c>
      <c r="C18399" s="3">
        <v>3</v>
      </c>
    </row>
    <row r="18400" spans="1:3" x14ac:dyDescent="0.25">
      <c r="A18400" s="1" t="s">
        <v>18399</v>
      </c>
      <c r="C18400" s="3">
        <v>3</v>
      </c>
    </row>
    <row r="18401" spans="1:3" x14ac:dyDescent="0.25">
      <c r="A18401" s="1" t="s">
        <v>18400</v>
      </c>
      <c r="C18401" s="3">
        <v>3</v>
      </c>
    </row>
    <row r="18402" spans="1:3" x14ac:dyDescent="0.25">
      <c r="A18402" s="1" t="s">
        <v>18401</v>
      </c>
      <c r="C18402" s="3">
        <v>3</v>
      </c>
    </row>
    <row r="18403" spans="1:3" x14ac:dyDescent="0.25">
      <c r="A18403" s="1" t="s">
        <v>18402</v>
      </c>
      <c r="C18403" s="3">
        <v>3</v>
      </c>
    </row>
    <row r="18404" spans="1:3" x14ac:dyDescent="0.25">
      <c r="A18404" s="1" t="s">
        <v>18403</v>
      </c>
      <c r="C18404" s="3">
        <v>3</v>
      </c>
    </row>
    <row r="18405" spans="1:3" x14ac:dyDescent="0.25">
      <c r="A18405" s="1" t="s">
        <v>18404</v>
      </c>
      <c r="C18405" s="3">
        <v>3</v>
      </c>
    </row>
    <row r="18406" spans="1:3" x14ac:dyDescent="0.25">
      <c r="A18406" s="1" t="s">
        <v>18405</v>
      </c>
      <c r="C18406" s="3">
        <v>3</v>
      </c>
    </row>
    <row r="18407" spans="1:3" x14ac:dyDescent="0.25">
      <c r="A18407" s="1" t="s">
        <v>18406</v>
      </c>
      <c r="C18407" s="3">
        <v>3</v>
      </c>
    </row>
    <row r="18408" spans="1:3" x14ac:dyDescent="0.25">
      <c r="A18408" s="1" t="s">
        <v>18407</v>
      </c>
      <c r="C18408" s="3">
        <v>3</v>
      </c>
    </row>
    <row r="18409" spans="1:3" x14ac:dyDescent="0.25">
      <c r="A18409" s="1" t="s">
        <v>18408</v>
      </c>
      <c r="C18409" s="3">
        <v>3</v>
      </c>
    </row>
    <row r="18410" spans="1:3" x14ac:dyDescent="0.25">
      <c r="A18410" s="1" t="s">
        <v>18409</v>
      </c>
      <c r="C18410" s="3">
        <v>3</v>
      </c>
    </row>
    <row r="18411" spans="1:3" x14ac:dyDescent="0.25">
      <c r="A18411" s="1" t="s">
        <v>18410</v>
      </c>
      <c r="C18411" s="3">
        <v>3</v>
      </c>
    </row>
    <row r="18412" spans="1:3" x14ac:dyDescent="0.25">
      <c r="A18412" s="1" t="s">
        <v>18411</v>
      </c>
      <c r="C18412" s="3">
        <v>3</v>
      </c>
    </row>
    <row r="18413" spans="1:3" x14ac:dyDescent="0.25">
      <c r="A18413" s="1" t="s">
        <v>18412</v>
      </c>
      <c r="C18413" s="3">
        <v>3</v>
      </c>
    </row>
    <row r="18414" spans="1:3" x14ac:dyDescent="0.25">
      <c r="A18414" s="1" t="s">
        <v>18413</v>
      </c>
      <c r="C18414" s="3">
        <v>3</v>
      </c>
    </row>
    <row r="18415" spans="1:3" x14ac:dyDescent="0.25">
      <c r="A18415" s="1" t="s">
        <v>18414</v>
      </c>
      <c r="C18415" s="3">
        <v>3</v>
      </c>
    </row>
    <row r="18416" spans="1:3" x14ac:dyDescent="0.25">
      <c r="A18416" s="1" t="s">
        <v>18415</v>
      </c>
      <c r="C18416" s="3">
        <v>3</v>
      </c>
    </row>
    <row r="18417" spans="1:3" x14ac:dyDescent="0.25">
      <c r="A18417" s="1" t="s">
        <v>18416</v>
      </c>
      <c r="C18417" s="3">
        <v>3</v>
      </c>
    </row>
    <row r="18418" spans="1:3" x14ac:dyDescent="0.25">
      <c r="A18418" s="1" t="s">
        <v>18417</v>
      </c>
      <c r="C18418" s="3">
        <v>3</v>
      </c>
    </row>
    <row r="18419" spans="1:3" x14ac:dyDescent="0.25">
      <c r="A18419" s="1" t="s">
        <v>18418</v>
      </c>
      <c r="C18419" s="3">
        <v>3</v>
      </c>
    </row>
    <row r="18420" spans="1:3" x14ac:dyDescent="0.25">
      <c r="A18420" s="1" t="s">
        <v>18419</v>
      </c>
      <c r="C18420" s="3">
        <v>3</v>
      </c>
    </row>
    <row r="18421" spans="1:3" x14ac:dyDescent="0.25">
      <c r="A18421" s="1" t="s">
        <v>18420</v>
      </c>
      <c r="C18421" s="3">
        <v>3</v>
      </c>
    </row>
    <row r="18422" spans="1:3" x14ac:dyDescent="0.25">
      <c r="A18422" s="1" t="s">
        <v>18421</v>
      </c>
      <c r="C18422" s="3">
        <v>3</v>
      </c>
    </row>
    <row r="18423" spans="1:3" x14ac:dyDescent="0.25">
      <c r="A18423" s="1" t="s">
        <v>18422</v>
      </c>
      <c r="C18423" s="3">
        <v>3</v>
      </c>
    </row>
    <row r="18424" spans="1:3" x14ac:dyDescent="0.25">
      <c r="A18424" s="1" t="s">
        <v>18423</v>
      </c>
      <c r="C18424" s="3">
        <v>3</v>
      </c>
    </row>
    <row r="18425" spans="1:3" x14ac:dyDescent="0.25">
      <c r="A18425" s="1" t="s">
        <v>18424</v>
      </c>
      <c r="C18425" s="3">
        <v>3</v>
      </c>
    </row>
    <row r="18426" spans="1:3" x14ac:dyDescent="0.25">
      <c r="A18426" s="1" t="s">
        <v>18425</v>
      </c>
      <c r="C18426" s="3">
        <v>3</v>
      </c>
    </row>
    <row r="18427" spans="1:3" x14ac:dyDescent="0.25">
      <c r="A18427" s="1" t="s">
        <v>18426</v>
      </c>
      <c r="C18427" s="3">
        <v>3</v>
      </c>
    </row>
    <row r="18428" spans="1:3" x14ac:dyDescent="0.25">
      <c r="A18428" s="1" t="s">
        <v>18427</v>
      </c>
      <c r="C18428" s="3">
        <v>3</v>
      </c>
    </row>
    <row r="18429" spans="1:3" x14ac:dyDescent="0.25">
      <c r="A18429" s="1" t="s">
        <v>18428</v>
      </c>
      <c r="C18429" s="3">
        <v>3</v>
      </c>
    </row>
    <row r="18430" spans="1:3" x14ac:dyDescent="0.25">
      <c r="A18430" s="1" t="s">
        <v>18429</v>
      </c>
      <c r="C18430" s="3">
        <v>3</v>
      </c>
    </row>
    <row r="18431" spans="1:3" x14ac:dyDescent="0.25">
      <c r="A18431" s="1" t="s">
        <v>18430</v>
      </c>
      <c r="C18431" s="3">
        <v>3</v>
      </c>
    </row>
    <row r="18432" spans="1:3" x14ac:dyDescent="0.25">
      <c r="A18432" s="1" t="s">
        <v>18431</v>
      </c>
      <c r="C18432" s="3">
        <v>3</v>
      </c>
    </row>
    <row r="18433" spans="1:3" x14ac:dyDescent="0.25">
      <c r="A18433" s="1" t="s">
        <v>18432</v>
      </c>
      <c r="C18433" s="3">
        <v>3</v>
      </c>
    </row>
    <row r="18434" spans="1:3" x14ac:dyDescent="0.25">
      <c r="A18434" s="1" t="s">
        <v>18433</v>
      </c>
      <c r="C18434" s="3">
        <v>3</v>
      </c>
    </row>
    <row r="18435" spans="1:3" x14ac:dyDescent="0.25">
      <c r="A18435" s="1" t="s">
        <v>18434</v>
      </c>
      <c r="C18435" s="3">
        <v>3</v>
      </c>
    </row>
    <row r="18436" spans="1:3" x14ac:dyDescent="0.25">
      <c r="A18436" s="1" t="s">
        <v>18435</v>
      </c>
      <c r="C18436" s="3">
        <v>3</v>
      </c>
    </row>
    <row r="18437" spans="1:3" x14ac:dyDescent="0.25">
      <c r="A18437" s="1" t="s">
        <v>18436</v>
      </c>
      <c r="C18437" s="3">
        <v>3</v>
      </c>
    </row>
    <row r="18438" spans="1:3" x14ac:dyDescent="0.25">
      <c r="A18438" s="1" t="s">
        <v>18437</v>
      </c>
      <c r="C18438" s="3">
        <v>3</v>
      </c>
    </row>
    <row r="18439" spans="1:3" x14ac:dyDescent="0.25">
      <c r="A18439" s="1" t="s">
        <v>18438</v>
      </c>
      <c r="C18439" s="3">
        <v>3</v>
      </c>
    </row>
    <row r="18440" spans="1:3" x14ac:dyDescent="0.25">
      <c r="A18440" s="1" t="s">
        <v>18439</v>
      </c>
      <c r="C18440" s="3">
        <v>3</v>
      </c>
    </row>
    <row r="18441" spans="1:3" x14ac:dyDescent="0.25">
      <c r="A18441" s="1" t="s">
        <v>18440</v>
      </c>
      <c r="C18441" s="3">
        <v>3</v>
      </c>
    </row>
    <row r="18442" spans="1:3" x14ac:dyDescent="0.25">
      <c r="A18442" s="1" t="s">
        <v>18441</v>
      </c>
      <c r="C18442" s="3">
        <v>3</v>
      </c>
    </row>
    <row r="18443" spans="1:3" x14ac:dyDescent="0.25">
      <c r="A18443" s="1" t="s">
        <v>18442</v>
      </c>
      <c r="C18443" s="3">
        <v>3</v>
      </c>
    </row>
    <row r="18444" spans="1:3" x14ac:dyDescent="0.25">
      <c r="A18444" s="1" t="s">
        <v>18443</v>
      </c>
      <c r="C18444" s="3">
        <v>3</v>
      </c>
    </row>
    <row r="18445" spans="1:3" x14ac:dyDescent="0.25">
      <c r="A18445" s="1" t="s">
        <v>18444</v>
      </c>
      <c r="C18445" s="3">
        <v>3</v>
      </c>
    </row>
    <row r="18446" spans="1:3" x14ac:dyDescent="0.25">
      <c r="A18446" s="1" t="s">
        <v>18445</v>
      </c>
      <c r="C18446" s="3">
        <v>3</v>
      </c>
    </row>
    <row r="18447" spans="1:3" x14ac:dyDescent="0.25">
      <c r="A18447" s="1" t="s">
        <v>18446</v>
      </c>
      <c r="C18447" s="3">
        <v>3</v>
      </c>
    </row>
    <row r="18448" spans="1:3" x14ac:dyDescent="0.25">
      <c r="A18448" s="1" t="s">
        <v>18447</v>
      </c>
      <c r="C18448" s="3">
        <v>3</v>
      </c>
    </row>
    <row r="18449" spans="1:3" x14ac:dyDescent="0.25">
      <c r="A18449" s="1" t="s">
        <v>18448</v>
      </c>
      <c r="C18449" s="3">
        <v>3</v>
      </c>
    </row>
    <row r="18450" spans="1:3" x14ac:dyDescent="0.25">
      <c r="A18450" s="1" t="s">
        <v>18449</v>
      </c>
      <c r="C18450" s="3">
        <v>3</v>
      </c>
    </row>
    <row r="18451" spans="1:3" x14ac:dyDescent="0.25">
      <c r="A18451" s="1" t="s">
        <v>18450</v>
      </c>
      <c r="C18451" s="3">
        <v>3</v>
      </c>
    </row>
    <row r="18452" spans="1:3" x14ac:dyDescent="0.25">
      <c r="A18452" s="1" t="s">
        <v>18451</v>
      </c>
      <c r="C18452" s="3">
        <v>3</v>
      </c>
    </row>
    <row r="18453" spans="1:3" x14ac:dyDescent="0.25">
      <c r="A18453" s="1" t="s">
        <v>18452</v>
      </c>
      <c r="C18453" s="3">
        <v>3</v>
      </c>
    </row>
    <row r="18454" spans="1:3" x14ac:dyDescent="0.25">
      <c r="A18454" s="1" t="s">
        <v>18453</v>
      </c>
      <c r="C18454" s="3">
        <v>3</v>
      </c>
    </row>
    <row r="18455" spans="1:3" x14ac:dyDescent="0.25">
      <c r="A18455" s="1" t="s">
        <v>18454</v>
      </c>
      <c r="C18455" s="3">
        <v>3</v>
      </c>
    </row>
    <row r="18456" spans="1:3" x14ac:dyDescent="0.25">
      <c r="A18456" s="1" t="s">
        <v>18455</v>
      </c>
      <c r="C18456" s="3">
        <v>3</v>
      </c>
    </row>
    <row r="18457" spans="1:3" x14ac:dyDescent="0.25">
      <c r="A18457" s="1" t="s">
        <v>18456</v>
      </c>
      <c r="C18457" s="3">
        <v>3</v>
      </c>
    </row>
    <row r="18458" spans="1:3" x14ac:dyDescent="0.25">
      <c r="A18458" s="1" t="s">
        <v>18457</v>
      </c>
      <c r="C18458" s="3">
        <v>3</v>
      </c>
    </row>
    <row r="18459" spans="1:3" x14ac:dyDescent="0.25">
      <c r="A18459" s="1" t="s">
        <v>18458</v>
      </c>
      <c r="C18459" s="3">
        <v>3</v>
      </c>
    </row>
    <row r="18460" spans="1:3" x14ac:dyDescent="0.25">
      <c r="A18460" s="1" t="s">
        <v>18459</v>
      </c>
      <c r="C18460" s="3">
        <v>3</v>
      </c>
    </row>
    <row r="18461" spans="1:3" x14ac:dyDescent="0.25">
      <c r="A18461" s="1" t="s">
        <v>18460</v>
      </c>
      <c r="C18461" s="3">
        <v>3</v>
      </c>
    </row>
    <row r="18462" spans="1:3" x14ac:dyDescent="0.25">
      <c r="A18462" s="1" t="s">
        <v>18461</v>
      </c>
      <c r="C18462" s="3">
        <v>3</v>
      </c>
    </row>
    <row r="18463" spans="1:3" x14ac:dyDescent="0.25">
      <c r="A18463" s="1" t="s">
        <v>18462</v>
      </c>
      <c r="C18463" s="3">
        <v>3</v>
      </c>
    </row>
    <row r="18464" spans="1:3" x14ac:dyDescent="0.25">
      <c r="A18464" s="1" t="s">
        <v>18463</v>
      </c>
      <c r="C18464" s="3">
        <v>3</v>
      </c>
    </row>
    <row r="18465" spans="1:3" x14ac:dyDescent="0.25">
      <c r="A18465" s="1" t="s">
        <v>18464</v>
      </c>
      <c r="C18465" s="3">
        <v>3</v>
      </c>
    </row>
    <row r="18466" spans="1:3" x14ac:dyDescent="0.25">
      <c r="A18466" s="1" t="s">
        <v>18465</v>
      </c>
      <c r="C18466" s="3">
        <v>3</v>
      </c>
    </row>
    <row r="18467" spans="1:3" x14ac:dyDescent="0.25">
      <c r="A18467" s="1" t="s">
        <v>18466</v>
      </c>
      <c r="C18467" s="3">
        <v>3</v>
      </c>
    </row>
    <row r="18468" spans="1:3" x14ac:dyDescent="0.25">
      <c r="A18468" s="1" t="s">
        <v>18467</v>
      </c>
      <c r="C18468" s="3">
        <v>3</v>
      </c>
    </row>
    <row r="18469" spans="1:3" x14ac:dyDescent="0.25">
      <c r="A18469" s="1" t="s">
        <v>18468</v>
      </c>
      <c r="C18469" s="3">
        <v>3</v>
      </c>
    </row>
    <row r="18470" spans="1:3" x14ac:dyDescent="0.25">
      <c r="A18470" s="1" t="s">
        <v>18469</v>
      </c>
      <c r="C18470" s="3">
        <v>3</v>
      </c>
    </row>
    <row r="18471" spans="1:3" x14ac:dyDescent="0.25">
      <c r="A18471" s="1" t="s">
        <v>18470</v>
      </c>
      <c r="C18471" s="3">
        <v>3</v>
      </c>
    </row>
    <row r="18472" spans="1:3" x14ac:dyDescent="0.25">
      <c r="A18472" s="1" t="s">
        <v>18471</v>
      </c>
      <c r="C18472" s="3">
        <v>3</v>
      </c>
    </row>
    <row r="18473" spans="1:3" x14ac:dyDescent="0.25">
      <c r="A18473" s="1" t="s">
        <v>18472</v>
      </c>
      <c r="C18473" s="3">
        <v>3</v>
      </c>
    </row>
    <row r="18474" spans="1:3" x14ac:dyDescent="0.25">
      <c r="A18474" s="1" t="s">
        <v>18473</v>
      </c>
      <c r="C18474" s="3">
        <v>3</v>
      </c>
    </row>
    <row r="18475" spans="1:3" x14ac:dyDescent="0.25">
      <c r="A18475" s="1" t="s">
        <v>18474</v>
      </c>
      <c r="C18475" s="3">
        <v>3</v>
      </c>
    </row>
    <row r="18476" spans="1:3" x14ac:dyDescent="0.25">
      <c r="A18476" s="1" t="s">
        <v>18475</v>
      </c>
      <c r="C18476" s="3">
        <v>3</v>
      </c>
    </row>
    <row r="18477" spans="1:3" x14ac:dyDescent="0.25">
      <c r="A18477" s="1" t="s">
        <v>18476</v>
      </c>
      <c r="C18477" s="3">
        <v>3</v>
      </c>
    </row>
    <row r="18478" spans="1:3" x14ac:dyDescent="0.25">
      <c r="A18478" s="1" t="s">
        <v>18477</v>
      </c>
      <c r="C18478" s="3">
        <v>3</v>
      </c>
    </row>
    <row r="18479" spans="1:3" x14ac:dyDescent="0.25">
      <c r="A18479" s="1" t="s">
        <v>18478</v>
      </c>
      <c r="C18479" s="3">
        <v>3</v>
      </c>
    </row>
    <row r="18480" spans="1:3" x14ac:dyDescent="0.25">
      <c r="A18480" s="1" t="s">
        <v>18479</v>
      </c>
      <c r="C18480" s="3">
        <v>3</v>
      </c>
    </row>
    <row r="18481" spans="1:3" x14ac:dyDescent="0.25">
      <c r="A18481" s="1" t="s">
        <v>18480</v>
      </c>
      <c r="C18481" s="3">
        <v>3</v>
      </c>
    </row>
    <row r="18482" spans="1:3" x14ac:dyDescent="0.25">
      <c r="A18482" s="1" t="s">
        <v>18481</v>
      </c>
      <c r="C18482" s="3">
        <v>3</v>
      </c>
    </row>
    <row r="18483" spans="1:3" x14ac:dyDescent="0.25">
      <c r="A18483" s="1" t="s">
        <v>18482</v>
      </c>
      <c r="C18483" s="3">
        <v>3</v>
      </c>
    </row>
    <row r="18484" spans="1:3" x14ac:dyDescent="0.25">
      <c r="A18484" s="1" t="s">
        <v>18483</v>
      </c>
      <c r="C18484" s="3">
        <v>3</v>
      </c>
    </row>
    <row r="18485" spans="1:3" x14ac:dyDescent="0.25">
      <c r="A18485" s="1" t="s">
        <v>18484</v>
      </c>
      <c r="C18485" s="3">
        <v>3</v>
      </c>
    </row>
    <row r="18486" spans="1:3" x14ac:dyDescent="0.25">
      <c r="A18486" s="1" t="s">
        <v>18485</v>
      </c>
      <c r="C18486" s="3">
        <v>3</v>
      </c>
    </row>
    <row r="18487" spans="1:3" x14ac:dyDescent="0.25">
      <c r="A18487" s="1" t="s">
        <v>18486</v>
      </c>
      <c r="C18487" s="3">
        <v>3</v>
      </c>
    </row>
    <row r="18488" spans="1:3" x14ac:dyDescent="0.25">
      <c r="A18488" s="1" t="s">
        <v>18487</v>
      </c>
      <c r="C18488" s="3">
        <v>3</v>
      </c>
    </row>
    <row r="18489" spans="1:3" x14ac:dyDescent="0.25">
      <c r="A18489" s="1" t="s">
        <v>18488</v>
      </c>
      <c r="C18489" s="3">
        <v>3</v>
      </c>
    </row>
    <row r="18490" spans="1:3" x14ac:dyDescent="0.25">
      <c r="A18490" s="1" t="s">
        <v>18489</v>
      </c>
      <c r="C18490" s="3">
        <v>3</v>
      </c>
    </row>
    <row r="18491" spans="1:3" x14ac:dyDescent="0.25">
      <c r="A18491" s="1" t="s">
        <v>18490</v>
      </c>
      <c r="C18491" s="3">
        <v>3</v>
      </c>
    </row>
    <row r="18492" spans="1:3" x14ac:dyDescent="0.25">
      <c r="A18492" s="1" t="s">
        <v>18491</v>
      </c>
      <c r="C18492" s="3">
        <v>3</v>
      </c>
    </row>
    <row r="18493" spans="1:3" x14ac:dyDescent="0.25">
      <c r="A18493" s="1" t="s">
        <v>18492</v>
      </c>
      <c r="C18493" s="3">
        <v>3</v>
      </c>
    </row>
    <row r="18494" spans="1:3" x14ac:dyDescent="0.25">
      <c r="A18494" s="1" t="s">
        <v>18493</v>
      </c>
      <c r="C18494" s="3">
        <v>3</v>
      </c>
    </row>
    <row r="18495" spans="1:3" x14ac:dyDescent="0.25">
      <c r="A18495" s="1" t="s">
        <v>18494</v>
      </c>
      <c r="C18495" s="3">
        <v>3</v>
      </c>
    </row>
    <row r="18496" spans="1:3" x14ac:dyDescent="0.25">
      <c r="A18496" s="1" t="s">
        <v>18495</v>
      </c>
      <c r="C18496" s="3">
        <v>3</v>
      </c>
    </row>
    <row r="18497" spans="1:3" x14ac:dyDescent="0.25">
      <c r="A18497" s="1" t="s">
        <v>18496</v>
      </c>
      <c r="C18497" s="3">
        <v>3</v>
      </c>
    </row>
    <row r="18498" spans="1:3" x14ac:dyDescent="0.25">
      <c r="A18498" s="1" t="s">
        <v>18497</v>
      </c>
      <c r="C18498" s="3">
        <v>3</v>
      </c>
    </row>
    <row r="18499" spans="1:3" x14ac:dyDescent="0.25">
      <c r="A18499" s="1" t="s">
        <v>18498</v>
      </c>
      <c r="C18499" s="3">
        <v>3</v>
      </c>
    </row>
    <row r="18500" spans="1:3" x14ac:dyDescent="0.25">
      <c r="A18500" s="1" t="s">
        <v>18499</v>
      </c>
      <c r="C18500" s="3">
        <v>3</v>
      </c>
    </row>
    <row r="18501" spans="1:3" x14ac:dyDescent="0.25">
      <c r="A18501" s="1" t="s">
        <v>18500</v>
      </c>
      <c r="C18501" s="3">
        <v>3</v>
      </c>
    </row>
    <row r="18502" spans="1:3" x14ac:dyDescent="0.25">
      <c r="A18502" s="1" t="s">
        <v>18501</v>
      </c>
      <c r="C18502" s="3">
        <v>3</v>
      </c>
    </row>
    <row r="18503" spans="1:3" x14ac:dyDescent="0.25">
      <c r="A18503" s="1" t="s">
        <v>18502</v>
      </c>
      <c r="C18503" s="3">
        <v>3</v>
      </c>
    </row>
    <row r="18504" spans="1:3" x14ac:dyDescent="0.25">
      <c r="A18504" s="1" t="s">
        <v>18503</v>
      </c>
      <c r="C18504" s="3">
        <v>3</v>
      </c>
    </row>
    <row r="18505" spans="1:3" x14ac:dyDescent="0.25">
      <c r="A18505" s="1" t="s">
        <v>18504</v>
      </c>
      <c r="C18505" s="3">
        <v>3</v>
      </c>
    </row>
    <row r="18506" spans="1:3" x14ac:dyDescent="0.25">
      <c r="A18506" s="1" t="s">
        <v>18505</v>
      </c>
      <c r="C18506" s="3">
        <v>3</v>
      </c>
    </row>
    <row r="18507" spans="1:3" x14ac:dyDescent="0.25">
      <c r="A18507" s="1" t="s">
        <v>18506</v>
      </c>
      <c r="C18507" s="3">
        <v>3</v>
      </c>
    </row>
    <row r="18508" spans="1:3" x14ac:dyDescent="0.25">
      <c r="A18508" s="1" t="s">
        <v>18507</v>
      </c>
      <c r="C18508" s="3">
        <v>3</v>
      </c>
    </row>
    <row r="18509" spans="1:3" x14ac:dyDescent="0.25">
      <c r="A18509" s="1" t="s">
        <v>18508</v>
      </c>
      <c r="C18509" s="3">
        <v>3</v>
      </c>
    </row>
    <row r="18510" spans="1:3" x14ac:dyDescent="0.25">
      <c r="A18510" s="1" t="s">
        <v>18509</v>
      </c>
      <c r="C18510" s="3">
        <v>3</v>
      </c>
    </row>
    <row r="18511" spans="1:3" x14ac:dyDescent="0.25">
      <c r="A18511" s="1" t="s">
        <v>18510</v>
      </c>
      <c r="C18511" s="3">
        <v>3</v>
      </c>
    </row>
    <row r="18512" spans="1:3" x14ac:dyDescent="0.25">
      <c r="A18512" s="1" t="s">
        <v>18511</v>
      </c>
      <c r="C18512" s="3">
        <v>3</v>
      </c>
    </row>
    <row r="18513" spans="1:3" x14ac:dyDescent="0.25">
      <c r="A18513" s="1" t="s">
        <v>18512</v>
      </c>
      <c r="C18513" s="3">
        <v>3</v>
      </c>
    </row>
    <row r="18514" spans="1:3" x14ac:dyDescent="0.25">
      <c r="A18514" s="1" t="s">
        <v>18513</v>
      </c>
      <c r="C18514" s="3">
        <v>3</v>
      </c>
    </row>
    <row r="18515" spans="1:3" x14ac:dyDescent="0.25">
      <c r="A18515" s="1" t="s">
        <v>18514</v>
      </c>
      <c r="C18515" s="3">
        <v>3</v>
      </c>
    </row>
    <row r="18516" spans="1:3" x14ac:dyDescent="0.25">
      <c r="A18516" s="1" t="s">
        <v>18515</v>
      </c>
      <c r="C18516" s="3">
        <v>3</v>
      </c>
    </row>
    <row r="18517" spans="1:3" x14ac:dyDescent="0.25">
      <c r="A18517" s="1" t="s">
        <v>18516</v>
      </c>
      <c r="C18517" s="3">
        <v>3</v>
      </c>
    </row>
    <row r="18518" spans="1:3" x14ac:dyDescent="0.25">
      <c r="A18518" s="1" t="s">
        <v>18517</v>
      </c>
      <c r="C18518" s="3">
        <v>3</v>
      </c>
    </row>
    <row r="18519" spans="1:3" x14ac:dyDescent="0.25">
      <c r="A18519" s="1" t="s">
        <v>18518</v>
      </c>
      <c r="C18519" s="3">
        <v>3</v>
      </c>
    </row>
    <row r="18520" spans="1:3" x14ac:dyDescent="0.25">
      <c r="A18520" s="1" t="s">
        <v>18519</v>
      </c>
      <c r="C18520" s="3">
        <v>3</v>
      </c>
    </row>
    <row r="18521" spans="1:3" x14ac:dyDescent="0.25">
      <c r="A18521" s="1" t="s">
        <v>18520</v>
      </c>
      <c r="C18521" s="3">
        <v>3</v>
      </c>
    </row>
    <row r="18522" spans="1:3" x14ac:dyDescent="0.25">
      <c r="A18522" s="1" t="s">
        <v>18521</v>
      </c>
      <c r="C18522" s="3">
        <v>3</v>
      </c>
    </row>
    <row r="18523" spans="1:3" x14ac:dyDescent="0.25">
      <c r="A18523" s="1" t="s">
        <v>18522</v>
      </c>
      <c r="C18523" s="3">
        <v>3</v>
      </c>
    </row>
    <row r="18524" spans="1:3" x14ac:dyDescent="0.25">
      <c r="A18524" s="1" t="s">
        <v>18523</v>
      </c>
      <c r="C18524" s="3">
        <v>3</v>
      </c>
    </row>
    <row r="18525" spans="1:3" x14ac:dyDescent="0.25">
      <c r="A18525" s="1" t="s">
        <v>18524</v>
      </c>
      <c r="C18525" s="3">
        <v>3</v>
      </c>
    </row>
    <row r="18526" spans="1:3" x14ac:dyDescent="0.25">
      <c r="A18526" s="1" t="s">
        <v>18525</v>
      </c>
      <c r="C18526" s="3">
        <v>3</v>
      </c>
    </row>
    <row r="18527" spans="1:3" x14ac:dyDescent="0.25">
      <c r="A18527" s="1" t="s">
        <v>18526</v>
      </c>
      <c r="C18527" s="3">
        <v>3</v>
      </c>
    </row>
    <row r="18528" spans="1:3" x14ac:dyDescent="0.25">
      <c r="A18528" s="1" t="s">
        <v>18527</v>
      </c>
      <c r="C18528" s="3">
        <v>3</v>
      </c>
    </row>
    <row r="18529" spans="1:3" x14ac:dyDescent="0.25">
      <c r="A18529" s="1" t="s">
        <v>18528</v>
      </c>
      <c r="C18529" s="3">
        <v>3</v>
      </c>
    </row>
    <row r="18530" spans="1:3" x14ac:dyDescent="0.25">
      <c r="A18530" s="1" t="s">
        <v>18529</v>
      </c>
      <c r="C18530" s="3">
        <v>3</v>
      </c>
    </row>
    <row r="18531" spans="1:3" x14ac:dyDescent="0.25">
      <c r="A18531" s="1" t="s">
        <v>18530</v>
      </c>
      <c r="C18531" s="3">
        <v>3</v>
      </c>
    </row>
    <row r="18532" spans="1:3" x14ac:dyDescent="0.25">
      <c r="A18532" s="1" t="s">
        <v>18531</v>
      </c>
      <c r="C18532" s="3">
        <v>3</v>
      </c>
    </row>
    <row r="18533" spans="1:3" x14ac:dyDescent="0.25">
      <c r="A18533" s="1" t="s">
        <v>18532</v>
      </c>
      <c r="C18533" s="3">
        <v>3</v>
      </c>
    </row>
    <row r="18534" spans="1:3" x14ac:dyDescent="0.25">
      <c r="A18534" s="1" t="s">
        <v>18533</v>
      </c>
      <c r="C18534" s="3">
        <v>3</v>
      </c>
    </row>
    <row r="18535" spans="1:3" x14ac:dyDescent="0.25">
      <c r="A18535" s="1" t="s">
        <v>18534</v>
      </c>
      <c r="C18535" s="3">
        <v>3</v>
      </c>
    </row>
    <row r="18536" spans="1:3" x14ac:dyDescent="0.25">
      <c r="A18536" s="1" t="s">
        <v>18535</v>
      </c>
      <c r="C18536" s="3">
        <v>3</v>
      </c>
    </row>
    <row r="18537" spans="1:3" x14ac:dyDescent="0.25">
      <c r="A18537" s="1" t="s">
        <v>18536</v>
      </c>
      <c r="C18537" s="3">
        <v>3</v>
      </c>
    </row>
    <row r="18538" spans="1:3" x14ac:dyDescent="0.25">
      <c r="A18538" s="1" t="s">
        <v>18537</v>
      </c>
      <c r="C18538" s="3">
        <v>3</v>
      </c>
    </row>
    <row r="18539" spans="1:3" x14ac:dyDescent="0.25">
      <c r="A18539" s="1" t="s">
        <v>18538</v>
      </c>
      <c r="C18539" s="3">
        <v>3</v>
      </c>
    </row>
    <row r="18540" spans="1:3" x14ac:dyDescent="0.25">
      <c r="A18540" s="1" t="s">
        <v>18539</v>
      </c>
      <c r="C18540" s="3">
        <v>3</v>
      </c>
    </row>
    <row r="18541" spans="1:3" x14ac:dyDescent="0.25">
      <c r="A18541" s="1" t="s">
        <v>18540</v>
      </c>
      <c r="C18541" s="3">
        <v>3</v>
      </c>
    </row>
    <row r="18542" spans="1:3" x14ac:dyDescent="0.25">
      <c r="A18542" s="1" t="s">
        <v>18541</v>
      </c>
      <c r="C18542" s="3">
        <v>3</v>
      </c>
    </row>
    <row r="18543" spans="1:3" x14ac:dyDescent="0.25">
      <c r="A18543" s="1" t="s">
        <v>18542</v>
      </c>
      <c r="C18543" s="3">
        <v>3</v>
      </c>
    </row>
    <row r="18544" spans="1:3" x14ac:dyDescent="0.25">
      <c r="A18544" s="1" t="s">
        <v>18543</v>
      </c>
      <c r="C18544" s="3">
        <v>3</v>
      </c>
    </row>
    <row r="18545" spans="1:3" x14ac:dyDescent="0.25">
      <c r="A18545" s="1" t="s">
        <v>18544</v>
      </c>
      <c r="C18545" s="3">
        <v>3</v>
      </c>
    </row>
    <row r="18546" spans="1:3" x14ac:dyDescent="0.25">
      <c r="A18546" s="1" t="s">
        <v>18545</v>
      </c>
      <c r="C18546" s="3">
        <v>3</v>
      </c>
    </row>
    <row r="18547" spans="1:3" x14ac:dyDescent="0.25">
      <c r="A18547" s="1" t="s">
        <v>18546</v>
      </c>
      <c r="C18547" s="3">
        <v>3</v>
      </c>
    </row>
    <row r="18548" spans="1:3" x14ac:dyDescent="0.25">
      <c r="A18548" s="1" t="s">
        <v>18547</v>
      </c>
      <c r="C18548" s="3">
        <v>3</v>
      </c>
    </row>
    <row r="18549" spans="1:3" x14ac:dyDescent="0.25">
      <c r="A18549" s="1" t="s">
        <v>18548</v>
      </c>
      <c r="C18549" s="3">
        <v>3</v>
      </c>
    </row>
    <row r="18550" spans="1:3" x14ac:dyDescent="0.25">
      <c r="A18550" s="1" t="s">
        <v>18549</v>
      </c>
      <c r="C18550" s="3">
        <v>3</v>
      </c>
    </row>
    <row r="18551" spans="1:3" x14ac:dyDescent="0.25">
      <c r="A18551" s="1" t="s">
        <v>18550</v>
      </c>
      <c r="C18551" s="3">
        <v>3</v>
      </c>
    </row>
    <row r="18552" spans="1:3" x14ac:dyDescent="0.25">
      <c r="A18552" s="1" t="s">
        <v>18551</v>
      </c>
      <c r="C18552" s="3">
        <v>3</v>
      </c>
    </row>
    <row r="18553" spans="1:3" x14ac:dyDescent="0.25">
      <c r="A18553" s="1" t="s">
        <v>18552</v>
      </c>
      <c r="C18553" s="3">
        <v>3</v>
      </c>
    </row>
    <row r="18554" spans="1:3" x14ac:dyDescent="0.25">
      <c r="A18554" s="1" t="s">
        <v>18553</v>
      </c>
      <c r="C18554" s="3">
        <v>3</v>
      </c>
    </row>
    <row r="18555" spans="1:3" x14ac:dyDescent="0.25">
      <c r="A18555" s="1" t="s">
        <v>18554</v>
      </c>
      <c r="C18555" s="3">
        <v>3</v>
      </c>
    </row>
    <row r="18556" spans="1:3" x14ac:dyDescent="0.25">
      <c r="A18556" s="1" t="s">
        <v>18555</v>
      </c>
      <c r="C18556" s="3">
        <v>3</v>
      </c>
    </row>
    <row r="18557" spans="1:3" x14ac:dyDescent="0.25">
      <c r="A18557" s="1" t="s">
        <v>18556</v>
      </c>
      <c r="C18557" s="3">
        <v>3</v>
      </c>
    </row>
    <row r="18558" spans="1:3" x14ac:dyDescent="0.25">
      <c r="A18558" s="1" t="s">
        <v>18557</v>
      </c>
      <c r="C18558" s="3">
        <v>3</v>
      </c>
    </row>
    <row r="18559" spans="1:3" x14ac:dyDescent="0.25">
      <c r="A18559" s="1" t="s">
        <v>18558</v>
      </c>
      <c r="C18559" s="3">
        <v>3</v>
      </c>
    </row>
    <row r="18560" spans="1:3" x14ac:dyDescent="0.25">
      <c r="A18560" s="1" t="s">
        <v>18559</v>
      </c>
      <c r="C18560" s="3">
        <v>3</v>
      </c>
    </row>
    <row r="18561" spans="1:3" x14ac:dyDescent="0.25">
      <c r="A18561" s="1" t="s">
        <v>18560</v>
      </c>
      <c r="C18561" s="3">
        <v>3</v>
      </c>
    </row>
    <row r="18562" spans="1:3" x14ac:dyDescent="0.25">
      <c r="A18562" s="1" t="s">
        <v>18561</v>
      </c>
      <c r="C18562" s="3">
        <v>3</v>
      </c>
    </row>
    <row r="18563" spans="1:3" x14ac:dyDescent="0.25">
      <c r="A18563" s="1" t="s">
        <v>18562</v>
      </c>
      <c r="C18563" s="3">
        <v>3</v>
      </c>
    </row>
    <row r="18564" spans="1:3" x14ac:dyDescent="0.25">
      <c r="A18564" s="1" t="s">
        <v>18563</v>
      </c>
      <c r="C18564" s="3">
        <v>3</v>
      </c>
    </row>
    <row r="18565" spans="1:3" x14ac:dyDescent="0.25">
      <c r="A18565" s="1" t="s">
        <v>18564</v>
      </c>
      <c r="C18565" s="3">
        <v>3</v>
      </c>
    </row>
    <row r="18566" spans="1:3" x14ac:dyDescent="0.25">
      <c r="A18566" s="1" t="s">
        <v>18565</v>
      </c>
      <c r="C18566" s="3">
        <v>3</v>
      </c>
    </row>
    <row r="18567" spans="1:3" x14ac:dyDescent="0.25">
      <c r="A18567" s="1" t="s">
        <v>18566</v>
      </c>
      <c r="C18567" s="3">
        <v>3</v>
      </c>
    </row>
    <row r="18568" spans="1:3" x14ac:dyDescent="0.25">
      <c r="A18568" s="1" t="s">
        <v>18567</v>
      </c>
      <c r="C18568" s="3">
        <v>3</v>
      </c>
    </row>
    <row r="18569" spans="1:3" x14ac:dyDescent="0.25">
      <c r="A18569" s="1" t="s">
        <v>18568</v>
      </c>
      <c r="C18569" s="3">
        <v>3</v>
      </c>
    </row>
    <row r="18570" spans="1:3" x14ac:dyDescent="0.25">
      <c r="A18570" s="1" t="s">
        <v>18569</v>
      </c>
      <c r="C18570" s="3">
        <v>3</v>
      </c>
    </row>
    <row r="18571" spans="1:3" x14ac:dyDescent="0.25">
      <c r="A18571" s="1" t="s">
        <v>18570</v>
      </c>
      <c r="C18571" s="3">
        <v>3</v>
      </c>
    </row>
    <row r="18572" spans="1:3" x14ac:dyDescent="0.25">
      <c r="A18572" s="1" t="s">
        <v>18571</v>
      </c>
      <c r="C18572" s="3">
        <v>3</v>
      </c>
    </row>
    <row r="18573" spans="1:3" x14ac:dyDescent="0.25">
      <c r="A18573" s="1" t="s">
        <v>18572</v>
      </c>
      <c r="C18573" s="3">
        <v>3</v>
      </c>
    </row>
    <row r="18574" spans="1:3" x14ac:dyDescent="0.25">
      <c r="A18574" s="1" t="s">
        <v>18573</v>
      </c>
      <c r="C18574" s="3">
        <v>3</v>
      </c>
    </row>
    <row r="18575" spans="1:3" x14ac:dyDescent="0.25">
      <c r="A18575" s="1" t="s">
        <v>18574</v>
      </c>
      <c r="C18575" s="3">
        <v>3</v>
      </c>
    </row>
    <row r="18576" spans="1:3" x14ac:dyDescent="0.25">
      <c r="A18576" s="1" t="s">
        <v>18575</v>
      </c>
      <c r="C18576" s="3">
        <v>3</v>
      </c>
    </row>
    <row r="18577" spans="1:3" x14ac:dyDescent="0.25">
      <c r="A18577" s="1" t="s">
        <v>18576</v>
      </c>
      <c r="C18577" s="3">
        <v>3</v>
      </c>
    </row>
    <row r="18578" spans="1:3" x14ac:dyDescent="0.25">
      <c r="A18578" s="1" t="s">
        <v>18577</v>
      </c>
      <c r="C18578" s="3">
        <v>3</v>
      </c>
    </row>
    <row r="18579" spans="1:3" x14ac:dyDescent="0.25">
      <c r="A18579" s="1" t="s">
        <v>18578</v>
      </c>
      <c r="C18579" s="3">
        <v>3</v>
      </c>
    </row>
    <row r="18580" spans="1:3" x14ac:dyDescent="0.25">
      <c r="A18580" s="1" t="s">
        <v>18579</v>
      </c>
      <c r="C18580" s="3">
        <v>3</v>
      </c>
    </row>
    <row r="18581" spans="1:3" x14ac:dyDescent="0.25">
      <c r="A18581" s="1" t="s">
        <v>18580</v>
      </c>
      <c r="C18581" s="3">
        <v>3</v>
      </c>
    </row>
    <row r="18582" spans="1:3" x14ac:dyDescent="0.25">
      <c r="A18582" s="1" t="s">
        <v>18581</v>
      </c>
      <c r="C18582" s="3">
        <v>3</v>
      </c>
    </row>
    <row r="18583" spans="1:3" x14ac:dyDescent="0.25">
      <c r="A18583" s="1" t="s">
        <v>18582</v>
      </c>
      <c r="C18583" s="3">
        <v>3</v>
      </c>
    </row>
    <row r="18584" spans="1:3" x14ac:dyDescent="0.25">
      <c r="A18584" s="1" t="s">
        <v>18583</v>
      </c>
      <c r="C18584" s="3">
        <v>3</v>
      </c>
    </row>
    <row r="18585" spans="1:3" x14ac:dyDescent="0.25">
      <c r="A18585" s="1" t="s">
        <v>18584</v>
      </c>
      <c r="C18585" s="3">
        <v>3</v>
      </c>
    </row>
    <row r="18586" spans="1:3" x14ac:dyDescent="0.25">
      <c r="A18586" s="1" t="s">
        <v>18585</v>
      </c>
      <c r="C18586" s="3">
        <v>3</v>
      </c>
    </row>
    <row r="18587" spans="1:3" x14ac:dyDescent="0.25">
      <c r="A18587" s="1" t="s">
        <v>18586</v>
      </c>
      <c r="C18587" s="3">
        <v>3</v>
      </c>
    </row>
    <row r="18588" spans="1:3" x14ac:dyDescent="0.25">
      <c r="A18588" s="1" t="s">
        <v>18587</v>
      </c>
      <c r="C18588" s="3">
        <v>3</v>
      </c>
    </row>
    <row r="18589" spans="1:3" x14ac:dyDescent="0.25">
      <c r="A18589" s="1" t="s">
        <v>18588</v>
      </c>
      <c r="C18589" s="3">
        <v>3</v>
      </c>
    </row>
    <row r="18590" spans="1:3" x14ac:dyDescent="0.25">
      <c r="A18590" s="1" t="s">
        <v>18589</v>
      </c>
      <c r="C18590" s="3">
        <v>3</v>
      </c>
    </row>
    <row r="18591" spans="1:3" x14ac:dyDescent="0.25">
      <c r="A18591" s="1" t="s">
        <v>18590</v>
      </c>
      <c r="C18591" s="3">
        <v>3</v>
      </c>
    </row>
    <row r="18592" spans="1:3" x14ac:dyDescent="0.25">
      <c r="A18592" s="1" t="s">
        <v>18591</v>
      </c>
      <c r="C18592" s="3">
        <v>3</v>
      </c>
    </row>
    <row r="18593" spans="1:3" x14ac:dyDescent="0.25">
      <c r="A18593" s="1" t="s">
        <v>18592</v>
      </c>
      <c r="C18593" s="3">
        <v>3</v>
      </c>
    </row>
    <row r="18594" spans="1:3" x14ac:dyDescent="0.25">
      <c r="A18594" s="1" t="s">
        <v>18593</v>
      </c>
      <c r="C18594" s="3">
        <v>3</v>
      </c>
    </row>
    <row r="18595" spans="1:3" x14ac:dyDescent="0.25">
      <c r="A18595" s="1" t="s">
        <v>18594</v>
      </c>
      <c r="C18595" s="3">
        <v>3</v>
      </c>
    </row>
    <row r="18596" spans="1:3" x14ac:dyDescent="0.25">
      <c r="A18596" s="1" t="s">
        <v>18595</v>
      </c>
      <c r="C18596" s="3">
        <v>3</v>
      </c>
    </row>
    <row r="18597" spans="1:3" x14ac:dyDescent="0.25">
      <c r="A18597" s="1" t="s">
        <v>18596</v>
      </c>
      <c r="C18597" s="3">
        <v>3</v>
      </c>
    </row>
    <row r="18598" spans="1:3" x14ac:dyDescent="0.25">
      <c r="A18598" s="1" t="s">
        <v>18597</v>
      </c>
      <c r="C18598" s="3">
        <v>3</v>
      </c>
    </row>
    <row r="18599" spans="1:3" x14ac:dyDescent="0.25">
      <c r="A18599" s="1" t="s">
        <v>18598</v>
      </c>
      <c r="C18599" s="3">
        <v>3</v>
      </c>
    </row>
    <row r="18600" spans="1:3" x14ac:dyDescent="0.25">
      <c r="A18600" s="1" t="s">
        <v>18599</v>
      </c>
      <c r="C18600" s="3">
        <v>3</v>
      </c>
    </row>
    <row r="18601" spans="1:3" x14ac:dyDescent="0.25">
      <c r="A18601" s="1" t="s">
        <v>18600</v>
      </c>
      <c r="C18601" s="3">
        <v>3</v>
      </c>
    </row>
    <row r="18602" spans="1:3" x14ac:dyDescent="0.25">
      <c r="A18602" s="1" t="s">
        <v>18601</v>
      </c>
      <c r="C18602" s="3">
        <v>3</v>
      </c>
    </row>
    <row r="18603" spans="1:3" x14ac:dyDescent="0.25">
      <c r="A18603" s="1" t="s">
        <v>18602</v>
      </c>
      <c r="C18603" s="3">
        <v>3</v>
      </c>
    </row>
    <row r="18604" spans="1:3" x14ac:dyDescent="0.25">
      <c r="A18604" s="1" t="s">
        <v>18603</v>
      </c>
      <c r="C18604" s="3">
        <v>3</v>
      </c>
    </row>
    <row r="18605" spans="1:3" x14ac:dyDescent="0.25">
      <c r="A18605" s="1" t="s">
        <v>18604</v>
      </c>
      <c r="C18605" s="3">
        <v>3</v>
      </c>
    </row>
    <row r="18606" spans="1:3" x14ac:dyDescent="0.25">
      <c r="A18606" s="1" t="s">
        <v>18605</v>
      </c>
      <c r="C18606" s="3">
        <v>3</v>
      </c>
    </row>
    <row r="18607" spans="1:3" x14ac:dyDescent="0.25">
      <c r="A18607" s="1" t="s">
        <v>18606</v>
      </c>
      <c r="C18607" s="3">
        <v>3</v>
      </c>
    </row>
    <row r="18608" spans="1:3" x14ac:dyDescent="0.25">
      <c r="A18608" s="1" t="s">
        <v>18607</v>
      </c>
      <c r="C18608" s="3">
        <v>3</v>
      </c>
    </row>
    <row r="18609" spans="1:3" x14ac:dyDescent="0.25">
      <c r="A18609" s="1" t="s">
        <v>18608</v>
      </c>
      <c r="C18609" s="3">
        <v>3</v>
      </c>
    </row>
    <row r="18610" spans="1:3" x14ac:dyDescent="0.25">
      <c r="A18610" s="1" t="s">
        <v>18609</v>
      </c>
      <c r="C18610" s="3">
        <v>3</v>
      </c>
    </row>
    <row r="18611" spans="1:3" x14ac:dyDescent="0.25">
      <c r="A18611" s="1" t="s">
        <v>18610</v>
      </c>
      <c r="C18611" s="3">
        <v>3</v>
      </c>
    </row>
    <row r="18612" spans="1:3" x14ac:dyDescent="0.25">
      <c r="A18612" s="1" t="s">
        <v>18611</v>
      </c>
      <c r="C18612" s="3">
        <v>3</v>
      </c>
    </row>
    <row r="18613" spans="1:3" x14ac:dyDescent="0.25">
      <c r="A18613" s="1" t="s">
        <v>18612</v>
      </c>
      <c r="C18613" s="3">
        <v>3</v>
      </c>
    </row>
    <row r="18614" spans="1:3" x14ac:dyDescent="0.25">
      <c r="A18614" s="1" t="s">
        <v>18613</v>
      </c>
      <c r="C18614" s="3">
        <v>3</v>
      </c>
    </row>
    <row r="18615" spans="1:3" x14ac:dyDescent="0.25">
      <c r="A18615" s="1" t="s">
        <v>18614</v>
      </c>
      <c r="C18615" s="3">
        <v>3</v>
      </c>
    </row>
    <row r="18616" spans="1:3" x14ac:dyDescent="0.25">
      <c r="A18616" s="1" t="s">
        <v>18615</v>
      </c>
      <c r="C18616" s="3">
        <v>3</v>
      </c>
    </row>
    <row r="18617" spans="1:3" x14ac:dyDescent="0.25">
      <c r="A18617" s="1" t="s">
        <v>18616</v>
      </c>
      <c r="C18617" s="3">
        <v>3</v>
      </c>
    </row>
    <row r="18618" spans="1:3" x14ac:dyDescent="0.25">
      <c r="A18618" s="1" t="s">
        <v>18617</v>
      </c>
      <c r="C18618" s="3">
        <v>3</v>
      </c>
    </row>
    <row r="18619" spans="1:3" x14ac:dyDescent="0.25">
      <c r="A18619" s="1" t="s">
        <v>18618</v>
      </c>
      <c r="C18619" s="3">
        <v>3</v>
      </c>
    </row>
    <row r="18620" spans="1:3" x14ac:dyDescent="0.25">
      <c r="A18620" s="1" t="s">
        <v>18619</v>
      </c>
      <c r="C18620" s="3">
        <v>3</v>
      </c>
    </row>
    <row r="18621" spans="1:3" x14ac:dyDescent="0.25">
      <c r="A18621" s="1" t="s">
        <v>18620</v>
      </c>
      <c r="C18621" s="3">
        <v>3</v>
      </c>
    </row>
    <row r="18622" spans="1:3" x14ac:dyDescent="0.25">
      <c r="A18622" s="1" t="s">
        <v>18621</v>
      </c>
      <c r="C18622" s="3">
        <v>3</v>
      </c>
    </row>
    <row r="18623" spans="1:3" x14ac:dyDescent="0.25">
      <c r="A18623" s="1" t="s">
        <v>18622</v>
      </c>
      <c r="C18623" s="3">
        <v>3</v>
      </c>
    </row>
    <row r="18624" spans="1:3" x14ac:dyDescent="0.25">
      <c r="A18624" s="1" t="s">
        <v>18623</v>
      </c>
      <c r="C18624" s="3">
        <v>3</v>
      </c>
    </row>
    <row r="18625" spans="1:3" x14ac:dyDescent="0.25">
      <c r="A18625" s="1" t="s">
        <v>18624</v>
      </c>
      <c r="C18625" s="3">
        <v>3</v>
      </c>
    </row>
    <row r="18626" spans="1:3" x14ac:dyDescent="0.25">
      <c r="A18626" s="1" t="s">
        <v>18625</v>
      </c>
      <c r="C18626" s="3">
        <v>3</v>
      </c>
    </row>
    <row r="18627" spans="1:3" x14ac:dyDescent="0.25">
      <c r="A18627" s="1" t="s">
        <v>18626</v>
      </c>
      <c r="C18627" s="3">
        <v>3</v>
      </c>
    </row>
    <row r="18628" spans="1:3" x14ac:dyDescent="0.25">
      <c r="A18628" s="1" t="s">
        <v>18627</v>
      </c>
      <c r="C18628" s="3">
        <v>3</v>
      </c>
    </row>
    <row r="18629" spans="1:3" x14ac:dyDescent="0.25">
      <c r="A18629" s="1" t="s">
        <v>18628</v>
      </c>
      <c r="C18629" s="3">
        <v>3</v>
      </c>
    </row>
    <row r="18630" spans="1:3" x14ac:dyDescent="0.25">
      <c r="A18630" s="1" t="s">
        <v>18629</v>
      </c>
      <c r="C18630" s="3">
        <v>3</v>
      </c>
    </row>
    <row r="18631" spans="1:3" x14ac:dyDescent="0.25">
      <c r="A18631" s="1" t="s">
        <v>18630</v>
      </c>
      <c r="C18631" s="3">
        <v>3</v>
      </c>
    </row>
    <row r="18632" spans="1:3" x14ac:dyDescent="0.25">
      <c r="A18632" s="1" t="s">
        <v>18631</v>
      </c>
      <c r="C18632" s="3">
        <v>3</v>
      </c>
    </row>
    <row r="18633" spans="1:3" x14ac:dyDescent="0.25">
      <c r="A18633" s="1" t="s">
        <v>18632</v>
      </c>
      <c r="C18633" s="3">
        <v>3</v>
      </c>
    </row>
    <row r="18634" spans="1:3" x14ac:dyDescent="0.25">
      <c r="A18634" s="1" t="s">
        <v>18633</v>
      </c>
      <c r="C18634" s="3">
        <v>3</v>
      </c>
    </row>
    <row r="18635" spans="1:3" x14ac:dyDescent="0.25">
      <c r="A18635" s="1" t="s">
        <v>18634</v>
      </c>
      <c r="C18635" s="3">
        <v>3</v>
      </c>
    </row>
    <row r="18636" spans="1:3" x14ac:dyDescent="0.25">
      <c r="A18636" s="1" t="s">
        <v>18635</v>
      </c>
      <c r="C18636" s="3">
        <v>3</v>
      </c>
    </row>
    <row r="18637" spans="1:3" x14ac:dyDescent="0.25">
      <c r="A18637" s="1" t="s">
        <v>18636</v>
      </c>
      <c r="C18637" s="3">
        <v>3</v>
      </c>
    </row>
    <row r="18638" spans="1:3" x14ac:dyDescent="0.25">
      <c r="A18638" s="1" t="s">
        <v>18637</v>
      </c>
      <c r="C18638" s="3">
        <v>3</v>
      </c>
    </row>
    <row r="18639" spans="1:3" x14ac:dyDescent="0.25">
      <c r="A18639" s="1" t="s">
        <v>18638</v>
      </c>
      <c r="C18639" s="3">
        <v>3</v>
      </c>
    </row>
    <row r="18640" spans="1:3" x14ac:dyDescent="0.25">
      <c r="A18640" s="1" t="s">
        <v>18639</v>
      </c>
      <c r="C18640" s="3">
        <v>3</v>
      </c>
    </row>
    <row r="18641" spans="1:3" x14ac:dyDescent="0.25">
      <c r="A18641" s="1" t="s">
        <v>18640</v>
      </c>
      <c r="C18641" s="3">
        <v>3</v>
      </c>
    </row>
    <row r="18642" spans="1:3" x14ac:dyDescent="0.25">
      <c r="A18642" s="1" t="s">
        <v>18641</v>
      </c>
      <c r="C18642" s="3">
        <v>3</v>
      </c>
    </row>
    <row r="18643" spans="1:3" x14ac:dyDescent="0.25">
      <c r="A18643" s="1" t="s">
        <v>18642</v>
      </c>
      <c r="C18643" s="3">
        <v>3</v>
      </c>
    </row>
    <row r="18644" spans="1:3" x14ac:dyDescent="0.25">
      <c r="A18644" s="1" t="s">
        <v>18643</v>
      </c>
      <c r="C18644" s="3">
        <v>3</v>
      </c>
    </row>
    <row r="18645" spans="1:3" x14ac:dyDescent="0.25">
      <c r="A18645" s="1" t="s">
        <v>18644</v>
      </c>
      <c r="C18645" s="3">
        <v>3</v>
      </c>
    </row>
    <row r="18646" spans="1:3" x14ac:dyDescent="0.25">
      <c r="A18646" s="1" t="s">
        <v>18645</v>
      </c>
      <c r="C18646" s="3">
        <v>3</v>
      </c>
    </row>
    <row r="18647" spans="1:3" x14ac:dyDescent="0.25">
      <c r="A18647" s="1" t="s">
        <v>18646</v>
      </c>
      <c r="C18647" s="3">
        <v>3</v>
      </c>
    </row>
    <row r="18648" spans="1:3" x14ac:dyDescent="0.25">
      <c r="A18648" s="1" t="s">
        <v>18647</v>
      </c>
      <c r="C18648" s="3">
        <v>3</v>
      </c>
    </row>
    <row r="18649" spans="1:3" x14ac:dyDescent="0.25">
      <c r="A18649" s="1" t="s">
        <v>18648</v>
      </c>
      <c r="C18649" s="3">
        <v>3</v>
      </c>
    </row>
    <row r="18650" spans="1:3" x14ac:dyDescent="0.25">
      <c r="A18650" s="1" t="s">
        <v>18649</v>
      </c>
      <c r="C18650" s="3">
        <v>3</v>
      </c>
    </row>
    <row r="18651" spans="1:3" x14ac:dyDescent="0.25">
      <c r="A18651" s="1" t="s">
        <v>18650</v>
      </c>
      <c r="C18651" s="3">
        <v>3</v>
      </c>
    </row>
    <row r="18652" spans="1:3" x14ac:dyDescent="0.25">
      <c r="A18652" s="1" t="s">
        <v>18651</v>
      </c>
      <c r="C18652" s="3">
        <v>3</v>
      </c>
    </row>
    <row r="18653" spans="1:3" x14ac:dyDescent="0.25">
      <c r="A18653" s="1" t="s">
        <v>18652</v>
      </c>
      <c r="C18653" s="3">
        <v>3</v>
      </c>
    </row>
    <row r="18654" spans="1:3" x14ac:dyDescent="0.25">
      <c r="A18654" s="1" t="s">
        <v>18653</v>
      </c>
      <c r="C18654" s="3">
        <v>3</v>
      </c>
    </row>
    <row r="18655" spans="1:3" x14ac:dyDescent="0.25">
      <c r="A18655" s="1" t="s">
        <v>18654</v>
      </c>
      <c r="C18655" s="3">
        <v>2</v>
      </c>
    </row>
    <row r="18656" spans="1:3" x14ac:dyDescent="0.25">
      <c r="A18656" s="1" t="s">
        <v>18655</v>
      </c>
      <c r="C18656" s="3">
        <v>2</v>
      </c>
    </row>
    <row r="18657" spans="1:3" x14ac:dyDescent="0.25">
      <c r="A18657" s="1" t="s">
        <v>18656</v>
      </c>
      <c r="C18657" s="3">
        <v>2</v>
      </c>
    </row>
    <row r="18658" spans="1:3" x14ac:dyDescent="0.25">
      <c r="A18658" s="1" t="s">
        <v>18657</v>
      </c>
      <c r="C18658" s="3">
        <v>2</v>
      </c>
    </row>
    <row r="18659" spans="1:3" x14ac:dyDescent="0.25">
      <c r="A18659" s="1" t="s">
        <v>18658</v>
      </c>
      <c r="C18659" s="3">
        <v>2</v>
      </c>
    </row>
    <row r="18660" spans="1:3" x14ac:dyDescent="0.25">
      <c r="A18660" s="1" t="s">
        <v>18659</v>
      </c>
      <c r="C18660" s="3">
        <v>2</v>
      </c>
    </row>
    <row r="18661" spans="1:3" x14ac:dyDescent="0.25">
      <c r="A18661" s="1" t="s">
        <v>18660</v>
      </c>
      <c r="C18661" s="3">
        <v>2</v>
      </c>
    </row>
    <row r="18662" spans="1:3" x14ac:dyDescent="0.25">
      <c r="A18662" s="1" t="s">
        <v>18661</v>
      </c>
      <c r="C18662" s="3">
        <v>2</v>
      </c>
    </row>
    <row r="18663" spans="1:3" x14ac:dyDescent="0.25">
      <c r="A18663" s="1" t="s">
        <v>18662</v>
      </c>
      <c r="C18663" s="3">
        <v>2</v>
      </c>
    </row>
    <row r="18664" spans="1:3" x14ac:dyDescent="0.25">
      <c r="A18664" s="1" t="s">
        <v>18663</v>
      </c>
      <c r="C18664" s="3">
        <v>2</v>
      </c>
    </row>
    <row r="18665" spans="1:3" x14ac:dyDescent="0.25">
      <c r="A18665" s="1" t="s">
        <v>18664</v>
      </c>
      <c r="C18665" s="3">
        <v>2</v>
      </c>
    </row>
    <row r="18666" spans="1:3" x14ac:dyDescent="0.25">
      <c r="A18666" s="1" t="s">
        <v>18665</v>
      </c>
      <c r="C18666" s="3">
        <v>2</v>
      </c>
    </row>
    <row r="18667" spans="1:3" x14ac:dyDescent="0.25">
      <c r="A18667" s="1" t="s">
        <v>18666</v>
      </c>
      <c r="C18667" s="3">
        <v>2</v>
      </c>
    </row>
    <row r="18668" spans="1:3" x14ac:dyDescent="0.25">
      <c r="A18668" s="1" t="s">
        <v>18667</v>
      </c>
      <c r="C18668" s="3">
        <v>2</v>
      </c>
    </row>
    <row r="18669" spans="1:3" x14ac:dyDescent="0.25">
      <c r="A18669" s="1" t="s">
        <v>18668</v>
      </c>
      <c r="C18669" s="3">
        <v>2</v>
      </c>
    </row>
    <row r="18670" spans="1:3" x14ac:dyDescent="0.25">
      <c r="A18670" s="1" t="s">
        <v>18669</v>
      </c>
      <c r="C18670" s="3">
        <v>2</v>
      </c>
    </row>
    <row r="18671" spans="1:3" x14ac:dyDescent="0.25">
      <c r="A18671" s="1" t="s">
        <v>18670</v>
      </c>
      <c r="C18671" s="3">
        <v>2</v>
      </c>
    </row>
    <row r="18672" spans="1:3" x14ac:dyDescent="0.25">
      <c r="A18672" s="1" t="s">
        <v>18671</v>
      </c>
      <c r="C18672" s="3">
        <v>2</v>
      </c>
    </row>
    <row r="18673" spans="1:3" x14ac:dyDescent="0.25">
      <c r="A18673" s="1" t="s">
        <v>18672</v>
      </c>
      <c r="C18673" s="3">
        <v>2</v>
      </c>
    </row>
    <row r="18674" spans="1:3" x14ac:dyDescent="0.25">
      <c r="A18674" s="1" t="s">
        <v>18673</v>
      </c>
      <c r="C18674" s="3">
        <v>2</v>
      </c>
    </row>
    <row r="18675" spans="1:3" x14ac:dyDescent="0.25">
      <c r="A18675" s="1" t="s">
        <v>18674</v>
      </c>
      <c r="C18675" s="3">
        <v>2</v>
      </c>
    </row>
    <row r="18676" spans="1:3" x14ac:dyDescent="0.25">
      <c r="A18676" s="1" t="s">
        <v>18675</v>
      </c>
      <c r="C18676" s="3">
        <v>2</v>
      </c>
    </row>
    <row r="18677" spans="1:3" x14ac:dyDescent="0.25">
      <c r="A18677" s="1" t="s">
        <v>18676</v>
      </c>
      <c r="C18677" s="3">
        <v>2</v>
      </c>
    </row>
    <row r="18678" spans="1:3" x14ac:dyDescent="0.25">
      <c r="A18678" s="1" t="s">
        <v>18677</v>
      </c>
      <c r="C18678" s="3">
        <v>2</v>
      </c>
    </row>
    <row r="18679" spans="1:3" x14ac:dyDescent="0.25">
      <c r="A18679" s="1" t="s">
        <v>18678</v>
      </c>
      <c r="C18679" s="3">
        <v>2</v>
      </c>
    </row>
    <row r="18680" spans="1:3" x14ac:dyDescent="0.25">
      <c r="A18680" s="1" t="s">
        <v>18679</v>
      </c>
      <c r="C18680" s="3">
        <v>2</v>
      </c>
    </row>
    <row r="18681" spans="1:3" x14ac:dyDescent="0.25">
      <c r="A18681" s="1" t="s">
        <v>18680</v>
      </c>
      <c r="C18681" s="3">
        <v>2</v>
      </c>
    </row>
    <row r="18682" spans="1:3" x14ac:dyDescent="0.25">
      <c r="A18682" s="1" t="s">
        <v>18681</v>
      </c>
      <c r="C18682" s="3">
        <v>2</v>
      </c>
    </row>
    <row r="18683" spans="1:3" x14ac:dyDescent="0.25">
      <c r="A18683" s="1" t="s">
        <v>18682</v>
      </c>
      <c r="C18683" s="3">
        <v>2</v>
      </c>
    </row>
    <row r="18684" spans="1:3" x14ac:dyDescent="0.25">
      <c r="A18684" s="1" t="s">
        <v>18683</v>
      </c>
      <c r="C18684" s="3">
        <v>2</v>
      </c>
    </row>
    <row r="18685" spans="1:3" x14ac:dyDescent="0.25">
      <c r="A18685" s="1" t="s">
        <v>18684</v>
      </c>
      <c r="C18685" s="3">
        <v>2</v>
      </c>
    </row>
    <row r="18686" spans="1:3" x14ac:dyDescent="0.25">
      <c r="A18686" s="1" t="s">
        <v>18685</v>
      </c>
      <c r="C18686" s="3">
        <v>2</v>
      </c>
    </row>
    <row r="18687" spans="1:3" x14ac:dyDescent="0.25">
      <c r="A18687" s="1" t="s">
        <v>18686</v>
      </c>
      <c r="C18687" s="3">
        <v>2</v>
      </c>
    </row>
    <row r="18688" spans="1:3" x14ac:dyDescent="0.25">
      <c r="A18688" s="1" t="s">
        <v>18687</v>
      </c>
      <c r="C18688" s="3">
        <v>2</v>
      </c>
    </row>
    <row r="18689" spans="1:3" x14ac:dyDescent="0.25">
      <c r="A18689" s="1" t="s">
        <v>18688</v>
      </c>
      <c r="C18689" s="3">
        <v>2</v>
      </c>
    </row>
    <row r="18690" spans="1:3" x14ac:dyDescent="0.25">
      <c r="A18690" s="1" t="s">
        <v>18689</v>
      </c>
      <c r="C18690" s="3">
        <v>2</v>
      </c>
    </row>
    <row r="18691" spans="1:3" x14ac:dyDescent="0.25">
      <c r="A18691" s="1" t="s">
        <v>18690</v>
      </c>
      <c r="C18691" s="3">
        <v>2</v>
      </c>
    </row>
    <row r="18692" spans="1:3" x14ac:dyDescent="0.25">
      <c r="A18692" s="1" t="s">
        <v>18691</v>
      </c>
      <c r="C18692" s="3">
        <v>2</v>
      </c>
    </row>
    <row r="18693" spans="1:3" x14ac:dyDescent="0.25">
      <c r="A18693" s="1" t="s">
        <v>18692</v>
      </c>
      <c r="C18693" s="3">
        <v>2</v>
      </c>
    </row>
    <row r="18694" spans="1:3" x14ac:dyDescent="0.25">
      <c r="A18694" s="1" t="s">
        <v>18693</v>
      </c>
      <c r="C18694" s="3">
        <v>2</v>
      </c>
    </row>
    <row r="18695" spans="1:3" x14ac:dyDescent="0.25">
      <c r="A18695" s="1" t="s">
        <v>18694</v>
      </c>
      <c r="C18695" s="3">
        <v>2</v>
      </c>
    </row>
    <row r="18696" spans="1:3" x14ac:dyDescent="0.25">
      <c r="A18696" s="1" t="s">
        <v>18695</v>
      </c>
      <c r="C18696" s="3">
        <v>2</v>
      </c>
    </row>
    <row r="18697" spans="1:3" x14ac:dyDescent="0.25">
      <c r="A18697" s="1" t="s">
        <v>18696</v>
      </c>
      <c r="C18697" s="3">
        <v>2</v>
      </c>
    </row>
    <row r="18698" spans="1:3" x14ac:dyDescent="0.25">
      <c r="A18698" s="1" t="s">
        <v>18697</v>
      </c>
      <c r="C18698" s="3">
        <v>2</v>
      </c>
    </row>
    <row r="18699" spans="1:3" x14ac:dyDescent="0.25">
      <c r="A18699" s="1" t="s">
        <v>18698</v>
      </c>
      <c r="C18699" s="3">
        <v>2</v>
      </c>
    </row>
    <row r="18700" spans="1:3" x14ac:dyDescent="0.25">
      <c r="A18700" s="1" t="s">
        <v>18699</v>
      </c>
      <c r="C18700" s="3">
        <v>2</v>
      </c>
    </row>
    <row r="18701" spans="1:3" x14ac:dyDescent="0.25">
      <c r="A18701" s="1" t="s">
        <v>18700</v>
      </c>
      <c r="C18701" s="3">
        <v>2</v>
      </c>
    </row>
    <row r="18702" spans="1:3" x14ac:dyDescent="0.25">
      <c r="A18702" s="1" t="s">
        <v>18701</v>
      </c>
      <c r="C18702" s="3">
        <v>2</v>
      </c>
    </row>
    <row r="18703" spans="1:3" x14ac:dyDescent="0.25">
      <c r="A18703" s="1" t="s">
        <v>18702</v>
      </c>
      <c r="C18703" s="3">
        <v>2</v>
      </c>
    </row>
    <row r="18704" spans="1:3" x14ac:dyDescent="0.25">
      <c r="A18704" s="1" t="s">
        <v>18703</v>
      </c>
      <c r="C18704" s="3">
        <v>2</v>
      </c>
    </row>
    <row r="18705" spans="1:3" x14ac:dyDescent="0.25">
      <c r="A18705" s="1" t="s">
        <v>18704</v>
      </c>
      <c r="C18705" s="3">
        <v>2</v>
      </c>
    </row>
    <row r="18706" spans="1:3" x14ac:dyDescent="0.25">
      <c r="A18706" s="1" t="s">
        <v>18705</v>
      </c>
      <c r="C18706" s="3">
        <v>2</v>
      </c>
    </row>
    <row r="18707" spans="1:3" x14ac:dyDescent="0.25">
      <c r="A18707" s="1" t="s">
        <v>18706</v>
      </c>
      <c r="C18707" s="3">
        <v>2</v>
      </c>
    </row>
    <row r="18708" spans="1:3" x14ac:dyDescent="0.25">
      <c r="A18708" s="1" t="s">
        <v>18707</v>
      </c>
      <c r="C18708" s="3">
        <v>2</v>
      </c>
    </row>
    <row r="18709" spans="1:3" x14ac:dyDescent="0.25">
      <c r="A18709" s="1" t="s">
        <v>18708</v>
      </c>
      <c r="C18709" s="3">
        <v>2</v>
      </c>
    </row>
    <row r="18710" spans="1:3" x14ac:dyDescent="0.25">
      <c r="A18710" s="1" t="s">
        <v>18709</v>
      </c>
      <c r="C18710" s="3">
        <v>2</v>
      </c>
    </row>
    <row r="18711" spans="1:3" x14ac:dyDescent="0.25">
      <c r="A18711" s="1" t="s">
        <v>18710</v>
      </c>
      <c r="C18711" s="3">
        <v>2</v>
      </c>
    </row>
    <row r="18712" spans="1:3" x14ac:dyDescent="0.25">
      <c r="A18712" s="1" t="s">
        <v>18711</v>
      </c>
      <c r="C18712" s="3">
        <v>2</v>
      </c>
    </row>
    <row r="18713" spans="1:3" x14ac:dyDescent="0.25">
      <c r="A18713" s="1" t="s">
        <v>18712</v>
      </c>
      <c r="C18713" s="3">
        <v>2</v>
      </c>
    </row>
    <row r="18714" spans="1:3" x14ac:dyDescent="0.25">
      <c r="A18714" s="1" t="s">
        <v>18713</v>
      </c>
      <c r="C18714" s="3">
        <v>2</v>
      </c>
    </row>
    <row r="18715" spans="1:3" x14ac:dyDescent="0.25">
      <c r="A18715" s="1" t="s">
        <v>18714</v>
      </c>
      <c r="C18715" s="3">
        <v>2</v>
      </c>
    </row>
    <row r="18716" spans="1:3" x14ac:dyDescent="0.25">
      <c r="A18716" s="1" t="s">
        <v>18715</v>
      </c>
      <c r="C18716" s="3">
        <v>2</v>
      </c>
    </row>
    <row r="18717" spans="1:3" x14ac:dyDescent="0.25">
      <c r="A18717" s="1" t="s">
        <v>18716</v>
      </c>
      <c r="C18717" s="3">
        <v>2</v>
      </c>
    </row>
    <row r="18718" spans="1:3" x14ac:dyDescent="0.25">
      <c r="A18718" s="1" t="s">
        <v>18717</v>
      </c>
      <c r="C18718" s="3">
        <v>2</v>
      </c>
    </row>
    <row r="18719" spans="1:3" x14ac:dyDescent="0.25">
      <c r="A18719" s="1" t="s">
        <v>18718</v>
      </c>
      <c r="C18719" s="3">
        <v>2</v>
      </c>
    </row>
    <row r="18720" spans="1:3" x14ac:dyDescent="0.25">
      <c r="A18720" s="1" t="s">
        <v>18719</v>
      </c>
      <c r="C18720" s="3">
        <v>2</v>
      </c>
    </row>
    <row r="18721" spans="1:3" x14ac:dyDescent="0.25">
      <c r="A18721" s="1" t="s">
        <v>18720</v>
      </c>
      <c r="C18721" s="3">
        <v>2</v>
      </c>
    </row>
    <row r="18722" spans="1:3" x14ac:dyDescent="0.25">
      <c r="A18722" s="1" t="s">
        <v>18721</v>
      </c>
      <c r="C18722" s="3">
        <v>2</v>
      </c>
    </row>
    <row r="18723" spans="1:3" x14ac:dyDescent="0.25">
      <c r="A18723" s="1" t="s">
        <v>18722</v>
      </c>
      <c r="C18723" s="3">
        <v>2</v>
      </c>
    </row>
    <row r="18724" spans="1:3" x14ac:dyDescent="0.25">
      <c r="A18724" s="1" t="s">
        <v>18723</v>
      </c>
      <c r="C18724" s="3">
        <v>2</v>
      </c>
    </row>
    <row r="18725" spans="1:3" x14ac:dyDescent="0.25">
      <c r="A18725" s="1" t="s">
        <v>18724</v>
      </c>
      <c r="C18725" s="3">
        <v>2</v>
      </c>
    </row>
    <row r="18726" spans="1:3" x14ac:dyDescent="0.25">
      <c r="A18726" s="1" t="s">
        <v>18725</v>
      </c>
      <c r="C18726" s="3">
        <v>2</v>
      </c>
    </row>
    <row r="18727" spans="1:3" x14ac:dyDescent="0.25">
      <c r="A18727" s="1" t="s">
        <v>18726</v>
      </c>
      <c r="C18727" s="3">
        <v>2</v>
      </c>
    </row>
    <row r="18728" spans="1:3" x14ac:dyDescent="0.25">
      <c r="A18728" s="1" t="s">
        <v>18727</v>
      </c>
      <c r="C18728" s="3">
        <v>2</v>
      </c>
    </row>
    <row r="18729" spans="1:3" x14ac:dyDescent="0.25">
      <c r="A18729" s="1" t="s">
        <v>18728</v>
      </c>
      <c r="C18729" s="3">
        <v>2</v>
      </c>
    </row>
    <row r="18730" spans="1:3" x14ac:dyDescent="0.25">
      <c r="A18730" s="1" t="s">
        <v>18729</v>
      </c>
      <c r="C18730" s="3">
        <v>2</v>
      </c>
    </row>
    <row r="18731" spans="1:3" x14ac:dyDescent="0.25">
      <c r="A18731" s="1" t="s">
        <v>18730</v>
      </c>
      <c r="C18731" s="3">
        <v>2</v>
      </c>
    </row>
    <row r="18732" spans="1:3" x14ac:dyDescent="0.25">
      <c r="A18732" s="1" t="s">
        <v>18731</v>
      </c>
      <c r="C18732" s="3">
        <v>2</v>
      </c>
    </row>
    <row r="18733" spans="1:3" x14ac:dyDescent="0.25">
      <c r="A18733" s="1" t="s">
        <v>18732</v>
      </c>
      <c r="C18733" s="3">
        <v>2</v>
      </c>
    </row>
    <row r="18734" spans="1:3" x14ac:dyDescent="0.25">
      <c r="A18734" s="1" t="s">
        <v>18733</v>
      </c>
      <c r="C18734" s="3">
        <v>2</v>
      </c>
    </row>
    <row r="18735" spans="1:3" x14ac:dyDescent="0.25">
      <c r="A18735" s="1" t="s">
        <v>18734</v>
      </c>
      <c r="C18735" s="3">
        <v>2</v>
      </c>
    </row>
    <row r="18736" spans="1:3" x14ac:dyDescent="0.25">
      <c r="A18736" s="1" t="s">
        <v>18735</v>
      </c>
      <c r="C18736" s="3">
        <v>2</v>
      </c>
    </row>
    <row r="18737" spans="1:3" x14ac:dyDescent="0.25">
      <c r="A18737" s="1" t="s">
        <v>18736</v>
      </c>
      <c r="C18737" s="3">
        <v>2</v>
      </c>
    </row>
    <row r="18738" spans="1:3" x14ac:dyDescent="0.25">
      <c r="A18738" s="1" t="s">
        <v>18737</v>
      </c>
      <c r="C18738" s="3">
        <v>2</v>
      </c>
    </row>
    <row r="18739" spans="1:3" x14ac:dyDescent="0.25">
      <c r="A18739" s="1" t="s">
        <v>18738</v>
      </c>
      <c r="C18739" s="3">
        <v>2</v>
      </c>
    </row>
    <row r="18740" spans="1:3" x14ac:dyDescent="0.25">
      <c r="A18740" s="1" t="s">
        <v>18739</v>
      </c>
      <c r="C18740" s="3">
        <v>2</v>
      </c>
    </row>
    <row r="18741" spans="1:3" x14ac:dyDescent="0.25">
      <c r="A18741" s="1" t="s">
        <v>18740</v>
      </c>
      <c r="C18741" s="3">
        <v>2</v>
      </c>
    </row>
    <row r="18742" spans="1:3" x14ac:dyDescent="0.25">
      <c r="A18742" s="1" t="s">
        <v>18741</v>
      </c>
      <c r="C18742" s="3">
        <v>2</v>
      </c>
    </row>
    <row r="18743" spans="1:3" x14ac:dyDescent="0.25">
      <c r="A18743" s="1" t="s">
        <v>18742</v>
      </c>
      <c r="C18743" s="3">
        <v>2</v>
      </c>
    </row>
    <row r="18744" spans="1:3" x14ac:dyDescent="0.25">
      <c r="A18744" s="1" t="s">
        <v>18743</v>
      </c>
      <c r="C18744" s="3">
        <v>2</v>
      </c>
    </row>
    <row r="18745" spans="1:3" x14ac:dyDescent="0.25">
      <c r="A18745" s="1" t="s">
        <v>18744</v>
      </c>
      <c r="C18745" s="3">
        <v>2</v>
      </c>
    </row>
    <row r="18746" spans="1:3" x14ac:dyDescent="0.25">
      <c r="A18746" s="1" t="s">
        <v>18745</v>
      </c>
      <c r="C18746" s="3">
        <v>2</v>
      </c>
    </row>
    <row r="18747" spans="1:3" x14ac:dyDescent="0.25">
      <c r="A18747" s="1" t="s">
        <v>18746</v>
      </c>
      <c r="C18747" s="3">
        <v>2</v>
      </c>
    </row>
    <row r="18748" spans="1:3" x14ac:dyDescent="0.25">
      <c r="A18748" s="1" t="s">
        <v>18747</v>
      </c>
      <c r="C18748" s="3">
        <v>2</v>
      </c>
    </row>
    <row r="18749" spans="1:3" x14ac:dyDescent="0.25">
      <c r="A18749" s="1" t="s">
        <v>18748</v>
      </c>
      <c r="C18749" s="3">
        <v>2</v>
      </c>
    </row>
    <row r="18750" spans="1:3" x14ac:dyDescent="0.25">
      <c r="A18750" s="1" t="s">
        <v>18749</v>
      </c>
      <c r="C18750" s="3">
        <v>2</v>
      </c>
    </row>
    <row r="18751" spans="1:3" x14ac:dyDescent="0.25">
      <c r="A18751" s="1" t="s">
        <v>18750</v>
      </c>
      <c r="C18751" s="3">
        <v>2</v>
      </c>
    </row>
    <row r="18752" spans="1:3" x14ac:dyDescent="0.25">
      <c r="A18752" s="1" t="s">
        <v>18751</v>
      </c>
      <c r="C18752" s="3">
        <v>2</v>
      </c>
    </row>
    <row r="18753" spans="1:3" x14ac:dyDescent="0.25">
      <c r="A18753" s="1" t="s">
        <v>18752</v>
      </c>
      <c r="C18753" s="3">
        <v>2</v>
      </c>
    </row>
    <row r="18754" spans="1:3" x14ac:dyDescent="0.25">
      <c r="A18754" s="1" t="s">
        <v>18753</v>
      </c>
      <c r="C18754" s="3">
        <v>2</v>
      </c>
    </row>
    <row r="18755" spans="1:3" x14ac:dyDescent="0.25">
      <c r="A18755" s="1" t="s">
        <v>18754</v>
      </c>
      <c r="C18755" s="3">
        <v>2</v>
      </c>
    </row>
    <row r="18756" spans="1:3" x14ac:dyDescent="0.25">
      <c r="A18756" s="1" t="s">
        <v>18755</v>
      </c>
      <c r="C18756" s="3">
        <v>2</v>
      </c>
    </row>
    <row r="18757" spans="1:3" x14ac:dyDescent="0.25">
      <c r="A18757" s="1" t="s">
        <v>18756</v>
      </c>
      <c r="C18757" s="3">
        <v>2</v>
      </c>
    </row>
    <row r="18758" spans="1:3" x14ac:dyDescent="0.25">
      <c r="A18758" s="1" t="s">
        <v>18757</v>
      </c>
      <c r="C18758" s="3">
        <v>2</v>
      </c>
    </row>
    <row r="18759" spans="1:3" x14ac:dyDescent="0.25">
      <c r="A18759" s="1" t="s">
        <v>18758</v>
      </c>
      <c r="C18759" s="3">
        <v>2</v>
      </c>
    </row>
    <row r="18760" spans="1:3" x14ac:dyDescent="0.25">
      <c r="A18760" s="1" t="s">
        <v>18759</v>
      </c>
      <c r="C18760" s="3">
        <v>2</v>
      </c>
    </row>
    <row r="18761" spans="1:3" x14ac:dyDescent="0.25">
      <c r="A18761" s="1" t="s">
        <v>18760</v>
      </c>
      <c r="C18761" s="3">
        <v>2</v>
      </c>
    </row>
    <row r="18762" spans="1:3" x14ac:dyDescent="0.25">
      <c r="A18762" s="1" t="s">
        <v>18761</v>
      </c>
      <c r="C18762" s="3">
        <v>2</v>
      </c>
    </row>
    <row r="18763" spans="1:3" x14ac:dyDescent="0.25">
      <c r="A18763" s="1" t="s">
        <v>18762</v>
      </c>
      <c r="C18763" s="3">
        <v>2</v>
      </c>
    </row>
    <row r="18764" spans="1:3" x14ac:dyDescent="0.25">
      <c r="A18764" s="1" t="s">
        <v>18763</v>
      </c>
      <c r="C18764" s="3">
        <v>2</v>
      </c>
    </row>
    <row r="18765" spans="1:3" x14ac:dyDescent="0.25">
      <c r="A18765" s="1" t="s">
        <v>18764</v>
      </c>
      <c r="C18765" s="3">
        <v>2</v>
      </c>
    </row>
    <row r="18766" spans="1:3" x14ac:dyDescent="0.25">
      <c r="A18766" s="1" t="s">
        <v>18765</v>
      </c>
      <c r="C18766" s="3">
        <v>2</v>
      </c>
    </row>
    <row r="18767" spans="1:3" x14ac:dyDescent="0.25">
      <c r="A18767" s="1" t="s">
        <v>18766</v>
      </c>
      <c r="C18767" s="3">
        <v>2</v>
      </c>
    </row>
    <row r="18768" spans="1:3" x14ac:dyDescent="0.25">
      <c r="A18768" s="1" t="s">
        <v>18767</v>
      </c>
      <c r="C18768" s="3">
        <v>2</v>
      </c>
    </row>
    <row r="18769" spans="1:3" x14ac:dyDescent="0.25">
      <c r="A18769" s="1" t="s">
        <v>18768</v>
      </c>
      <c r="C18769" s="3">
        <v>2</v>
      </c>
    </row>
    <row r="18770" spans="1:3" x14ac:dyDescent="0.25">
      <c r="A18770" s="1" t="s">
        <v>18769</v>
      </c>
      <c r="C18770" s="3">
        <v>2</v>
      </c>
    </row>
    <row r="18771" spans="1:3" x14ac:dyDescent="0.25">
      <c r="A18771" s="1" t="s">
        <v>18770</v>
      </c>
      <c r="C18771" s="3">
        <v>2</v>
      </c>
    </row>
    <row r="18772" spans="1:3" x14ac:dyDescent="0.25">
      <c r="A18772" s="1" t="s">
        <v>18771</v>
      </c>
      <c r="C18772" s="3">
        <v>2</v>
      </c>
    </row>
    <row r="18773" spans="1:3" x14ac:dyDescent="0.25">
      <c r="A18773" s="1" t="s">
        <v>18772</v>
      </c>
      <c r="C18773" s="3">
        <v>2</v>
      </c>
    </row>
    <row r="18774" spans="1:3" x14ac:dyDescent="0.25">
      <c r="A18774" s="1" t="s">
        <v>18773</v>
      </c>
      <c r="C18774" s="3">
        <v>2</v>
      </c>
    </row>
    <row r="18775" spans="1:3" x14ac:dyDescent="0.25">
      <c r="A18775" s="1" t="s">
        <v>18774</v>
      </c>
      <c r="C18775" s="3">
        <v>2</v>
      </c>
    </row>
    <row r="18776" spans="1:3" x14ac:dyDescent="0.25">
      <c r="A18776" s="1" t="s">
        <v>18775</v>
      </c>
      <c r="C18776" s="3">
        <v>2</v>
      </c>
    </row>
    <row r="18777" spans="1:3" x14ac:dyDescent="0.25">
      <c r="A18777" s="1" t="s">
        <v>18776</v>
      </c>
      <c r="C18777" s="3">
        <v>2</v>
      </c>
    </row>
    <row r="18778" spans="1:3" x14ac:dyDescent="0.25">
      <c r="A18778" s="1" t="s">
        <v>18777</v>
      </c>
      <c r="C18778" s="3">
        <v>2</v>
      </c>
    </row>
    <row r="18779" spans="1:3" x14ac:dyDescent="0.25">
      <c r="A18779" s="1" t="s">
        <v>18778</v>
      </c>
      <c r="C18779" s="3">
        <v>2</v>
      </c>
    </row>
    <row r="18780" spans="1:3" x14ac:dyDescent="0.25">
      <c r="A18780" s="1" t="s">
        <v>18779</v>
      </c>
      <c r="C18780" s="3">
        <v>2</v>
      </c>
    </row>
    <row r="18781" spans="1:3" x14ac:dyDescent="0.25">
      <c r="A18781" s="1" t="s">
        <v>18780</v>
      </c>
      <c r="C18781" s="3">
        <v>2</v>
      </c>
    </row>
    <row r="18782" spans="1:3" x14ac:dyDescent="0.25">
      <c r="A18782" s="1" t="s">
        <v>18781</v>
      </c>
      <c r="C18782" s="3">
        <v>2</v>
      </c>
    </row>
    <row r="18783" spans="1:3" x14ac:dyDescent="0.25">
      <c r="A18783" s="1" t="s">
        <v>18782</v>
      </c>
      <c r="C18783" s="3">
        <v>2</v>
      </c>
    </row>
    <row r="18784" spans="1:3" x14ac:dyDescent="0.25">
      <c r="A18784" s="1" t="s">
        <v>18783</v>
      </c>
      <c r="C18784" s="3">
        <v>2</v>
      </c>
    </row>
    <row r="18785" spans="1:3" x14ac:dyDescent="0.25">
      <c r="A18785" s="1" t="s">
        <v>18784</v>
      </c>
      <c r="C18785" s="3">
        <v>2</v>
      </c>
    </row>
    <row r="18786" spans="1:3" x14ac:dyDescent="0.25">
      <c r="A18786" s="1" t="s">
        <v>18785</v>
      </c>
      <c r="C18786" s="3">
        <v>2</v>
      </c>
    </row>
    <row r="18787" spans="1:3" x14ac:dyDescent="0.25">
      <c r="A18787" s="1" t="s">
        <v>18786</v>
      </c>
      <c r="C18787" s="3">
        <v>2</v>
      </c>
    </row>
    <row r="18788" spans="1:3" x14ac:dyDescent="0.25">
      <c r="A18788" s="1" t="s">
        <v>18787</v>
      </c>
      <c r="C18788" s="3">
        <v>2</v>
      </c>
    </row>
    <row r="18789" spans="1:3" x14ac:dyDescent="0.25">
      <c r="A18789" s="1" t="s">
        <v>18788</v>
      </c>
      <c r="C18789" s="3">
        <v>2</v>
      </c>
    </row>
    <row r="18790" spans="1:3" x14ac:dyDescent="0.25">
      <c r="A18790" s="1" t="s">
        <v>18789</v>
      </c>
      <c r="C18790" s="3">
        <v>2</v>
      </c>
    </row>
    <row r="18791" spans="1:3" x14ac:dyDescent="0.25">
      <c r="A18791" s="1" t="s">
        <v>18790</v>
      </c>
      <c r="C18791" s="3">
        <v>2</v>
      </c>
    </row>
    <row r="18792" spans="1:3" x14ac:dyDescent="0.25">
      <c r="A18792" s="1" t="s">
        <v>18791</v>
      </c>
      <c r="C18792" s="3">
        <v>2</v>
      </c>
    </row>
    <row r="18793" spans="1:3" x14ac:dyDescent="0.25">
      <c r="A18793" s="1" t="s">
        <v>18792</v>
      </c>
      <c r="C18793" s="3">
        <v>2</v>
      </c>
    </row>
    <row r="18794" spans="1:3" x14ac:dyDescent="0.25">
      <c r="A18794" s="1" t="s">
        <v>18793</v>
      </c>
      <c r="C18794" s="3">
        <v>2</v>
      </c>
    </row>
    <row r="18795" spans="1:3" x14ac:dyDescent="0.25">
      <c r="A18795" s="1" t="s">
        <v>18794</v>
      </c>
      <c r="C18795" s="3">
        <v>2</v>
      </c>
    </row>
    <row r="18796" spans="1:3" x14ac:dyDescent="0.25">
      <c r="A18796" s="1" t="s">
        <v>18795</v>
      </c>
      <c r="C18796" s="3">
        <v>2</v>
      </c>
    </row>
    <row r="18797" spans="1:3" x14ac:dyDescent="0.25">
      <c r="A18797" s="1" t="s">
        <v>18796</v>
      </c>
      <c r="C18797" s="3">
        <v>2</v>
      </c>
    </row>
    <row r="18798" spans="1:3" x14ac:dyDescent="0.25">
      <c r="A18798" s="1" t="s">
        <v>18797</v>
      </c>
      <c r="C18798" s="3">
        <v>2</v>
      </c>
    </row>
    <row r="18799" spans="1:3" x14ac:dyDescent="0.25">
      <c r="A18799" s="1" t="s">
        <v>18798</v>
      </c>
      <c r="C18799" s="3">
        <v>2</v>
      </c>
    </row>
    <row r="18800" spans="1:3" x14ac:dyDescent="0.25">
      <c r="A18800" s="1" t="s">
        <v>18799</v>
      </c>
      <c r="C18800" s="3">
        <v>2</v>
      </c>
    </row>
    <row r="18801" spans="1:3" x14ac:dyDescent="0.25">
      <c r="A18801" s="1" t="s">
        <v>18800</v>
      </c>
      <c r="C18801" s="3">
        <v>2</v>
      </c>
    </row>
    <row r="18802" spans="1:3" x14ac:dyDescent="0.25">
      <c r="A18802" s="1" t="s">
        <v>18801</v>
      </c>
      <c r="C18802" s="3">
        <v>2</v>
      </c>
    </row>
    <row r="18803" spans="1:3" x14ac:dyDescent="0.25">
      <c r="A18803" s="1" t="s">
        <v>18802</v>
      </c>
      <c r="C18803" s="3">
        <v>2</v>
      </c>
    </row>
    <row r="18804" spans="1:3" x14ac:dyDescent="0.25">
      <c r="A18804" s="1" t="s">
        <v>18803</v>
      </c>
      <c r="C18804" s="3">
        <v>2</v>
      </c>
    </row>
    <row r="18805" spans="1:3" x14ac:dyDescent="0.25">
      <c r="A18805" s="1" t="s">
        <v>18804</v>
      </c>
      <c r="C18805" s="3">
        <v>2</v>
      </c>
    </row>
    <row r="18806" spans="1:3" x14ac:dyDescent="0.25">
      <c r="A18806" s="1" t="s">
        <v>18805</v>
      </c>
      <c r="C18806" s="3">
        <v>2</v>
      </c>
    </row>
    <row r="18807" spans="1:3" x14ac:dyDescent="0.25">
      <c r="A18807" s="1" t="s">
        <v>18806</v>
      </c>
      <c r="C18807" s="3">
        <v>2</v>
      </c>
    </row>
    <row r="18808" spans="1:3" x14ac:dyDescent="0.25">
      <c r="A18808" s="1" t="s">
        <v>18807</v>
      </c>
      <c r="C18808" s="3">
        <v>2</v>
      </c>
    </row>
    <row r="18809" spans="1:3" x14ac:dyDescent="0.25">
      <c r="A18809" s="1" t="s">
        <v>18808</v>
      </c>
      <c r="C18809" s="3">
        <v>2</v>
      </c>
    </row>
    <row r="18810" spans="1:3" x14ac:dyDescent="0.25">
      <c r="A18810" s="1" t="s">
        <v>18809</v>
      </c>
      <c r="C18810" s="3">
        <v>2</v>
      </c>
    </row>
    <row r="18811" spans="1:3" x14ac:dyDescent="0.25">
      <c r="A18811" s="1" t="s">
        <v>18810</v>
      </c>
      <c r="C18811" s="3">
        <v>2</v>
      </c>
    </row>
    <row r="18812" spans="1:3" x14ac:dyDescent="0.25">
      <c r="A18812" s="1" t="s">
        <v>18811</v>
      </c>
      <c r="C18812" s="3">
        <v>2</v>
      </c>
    </row>
    <row r="18813" spans="1:3" x14ac:dyDescent="0.25">
      <c r="A18813" s="1" t="s">
        <v>18812</v>
      </c>
      <c r="C18813" s="3">
        <v>2</v>
      </c>
    </row>
    <row r="18814" spans="1:3" x14ac:dyDescent="0.25">
      <c r="A18814" s="1" t="s">
        <v>18813</v>
      </c>
      <c r="C18814" s="3">
        <v>2</v>
      </c>
    </row>
    <row r="18815" spans="1:3" x14ac:dyDescent="0.25">
      <c r="A18815" s="1" t="s">
        <v>18814</v>
      </c>
      <c r="C18815" s="3">
        <v>2</v>
      </c>
    </row>
    <row r="18816" spans="1:3" x14ac:dyDescent="0.25">
      <c r="A18816" s="1" t="s">
        <v>18815</v>
      </c>
      <c r="C18816" s="3">
        <v>2</v>
      </c>
    </row>
    <row r="18817" spans="1:3" x14ac:dyDescent="0.25">
      <c r="A18817" s="1" t="s">
        <v>18816</v>
      </c>
      <c r="C18817" s="3">
        <v>2</v>
      </c>
    </row>
    <row r="18818" spans="1:3" x14ac:dyDescent="0.25">
      <c r="A18818" s="1" t="s">
        <v>18817</v>
      </c>
      <c r="C18818" s="3">
        <v>2</v>
      </c>
    </row>
    <row r="18819" spans="1:3" x14ac:dyDescent="0.25">
      <c r="A18819" s="1" t="s">
        <v>18818</v>
      </c>
      <c r="C18819" s="3">
        <v>2</v>
      </c>
    </row>
    <row r="18820" spans="1:3" x14ac:dyDescent="0.25">
      <c r="A18820" s="1" t="s">
        <v>18819</v>
      </c>
      <c r="C18820" s="3">
        <v>2</v>
      </c>
    </row>
    <row r="18821" spans="1:3" x14ac:dyDescent="0.25">
      <c r="A18821" s="1" t="s">
        <v>18820</v>
      </c>
      <c r="C18821" s="3">
        <v>2</v>
      </c>
    </row>
    <row r="18822" spans="1:3" x14ac:dyDescent="0.25">
      <c r="A18822" s="1" t="s">
        <v>18821</v>
      </c>
      <c r="C18822" s="3">
        <v>2</v>
      </c>
    </row>
    <row r="18823" spans="1:3" x14ac:dyDescent="0.25">
      <c r="A18823" s="1" t="s">
        <v>18822</v>
      </c>
      <c r="C18823" s="3">
        <v>2</v>
      </c>
    </row>
    <row r="18824" spans="1:3" x14ac:dyDescent="0.25">
      <c r="A18824" s="1" t="s">
        <v>18823</v>
      </c>
      <c r="C18824" s="3">
        <v>2</v>
      </c>
    </row>
    <row r="18825" spans="1:3" x14ac:dyDescent="0.25">
      <c r="A18825" s="1" t="s">
        <v>18824</v>
      </c>
      <c r="C18825" s="3">
        <v>2</v>
      </c>
    </row>
    <row r="18826" spans="1:3" x14ac:dyDescent="0.25">
      <c r="A18826" s="1" t="s">
        <v>18825</v>
      </c>
      <c r="C18826" s="3">
        <v>2</v>
      </c>
    </row>
    <row r="18827" spans="1:3" x14ac:dyDescent="0.25">
      <c r="A18827" s="1" t="s">
        <v>18826</v>
      </c>
      <c r="C18827" s="3">
        <v>2</v>
      </c>
    </row>
    <row r="18828" spans="1:3" x14ac:dyDescent="0.25">
      <c r="A18828" s="1" t="s">
        <v>18827</v>
      </c>
      <c r="C18828" s="3">
        <v>2</v>
      </c>
    </row>
    <row r="18829" spans="1:3" x14ac:dyDescent="0.25">
      <c r="A18829" s="1" t="s">
        <v>18828</v>
      </c>
      <c r="C18829" s="3">
        <v>2</v>
      </c>
    </row>
    <row r="18830" spans="1:3" x14ac:dyDescent="0.25">
      <c r="A18830" s="1" t="s">
        <v>18829</v>
      </c>
      <c r="C18830" s="3">
        <v>2</v>
      </c>
    </row>
    <row r="18831" spans="1:3" x14ac:dyDescent="0.25">
      <c r="A18831" s="1" t="s">
        <v>18830</v>
      </c>
      <c r="C18831" s="3">
        <v>2</v>
      </c>
    </row>
    <row r="18832" spans="1:3" x14ac:dyDescent="0.25">
      <c r="A18832" s="1" t="s">
        <v>18831</v>
      </c>
      <c r="C18832" s="3">
        <v>2</v>
      </c>
    </row>
    <row r="18833" spans="1:3" x14ac:dyDescent="0.25">
      <c r="A18833" s="1" t="s">
        <v>18832</v>
      </c>
      <c r="C18833" s="3">
        <v>2</v>
      </c>
    </row>
    <row r="18834" spans="1:3" x14ac:dyDescent="0.25">
      <c r="A18834" s="1" t="s">
        <v>18833</v>
      </c>
      <c r="C18834" s="3">
        <v>2</v>
      </c>
    </row>
    <row r="18835" spans="1:3" x14ac:dyDescent="0.25">
      <c r="A18835" s="1" t="s">
        <v>18834</v>
      </c>
      <c r="C18835" s="3">
        <v>2</v>
      </c>
    </row>
    <row r="18836" spans="1:3" x14ac:dyDescent="0.25">
      <c r="A18836" s="1" t="s">
        <v>18835</v>
      </c>
      <c r="C18836" s="3">
        <v>2</v>
      </c>
    </row>
    <row r="18837" spans="1:3" x14ac:dyDescent="0.25">
      <c r="A18837" s="1" t="s">
        <v>18836</v>
      </c>
      <c r="C18837" s="3">
        <v>2</v>
      </c>
    </row>
    <row r="18838" spans="1:3" x14ac:dyDescent="0.25">
      <c r="A18838" s="1" t="s">
        <v>18837</v>
      </c>
      <c r="C18838" s="3">
        <v>2</v>
      </c>
    </row>
    <row r="18839" spans="1:3" x14ac:dyDescent="0.25">
      <c r="A18839" s="1" t="s">
        <v>18838</v>
      </c>
      <c r="C18839" s="3">
        <v>2</v>
      </c>
    </row>
    <row r="18840" spans="1:3" x14ac:dyDescent="0.25">
      <c r="A18840" s="1" t="s">
        <v>18839</v>
      </c>
      <c r="C18840" s="3">
        <v>2</v>
      </c>
    </row>
    <row r="18841" spans="1:3" x14ac:dyDescent="0.25">
      <c r="A18841" s="1" t="s">
        <v>18840</v>
      </c>
      <c r="C18841" s="3">
        <v>2</v>
      </c>
    </row>
    <row r="18842" spans="1:3" x14ac:dyDescent="0.25">
      <c r="A18842" s="1" t="s">
        <v>18841</v>
      </c>
      <c r="C18842" s="3">
        <v>2</v>
      </c>
    </row>
    <row r="18843" spans="1:3" x14ac:dyDescent="0.25">
      <c r="A18843" s="1" t="s">
        <v>18842</v>
      </c>
      <c r="C18843" s="3">
        <v>2</v>
      </c>
    </row>
    <row r="18844" spans="1:3" x14ac:dyDescent="0.25">
      <c r="A18844" s="1" t="s">
        <v>18843</v>
      </c>
      <c r="C18844" s="3">
        <v>2</v>
      </c>
    </row>
    <row r="18845" spans="1:3" x14ac:dyDescent="0.25">
      <c r="A18845" s="1" t="s">
        <v>18844</v>
      </c>
      <c r="C18845" s="3">
        <v>2</v>
      </c>
    </row>
    <row r="18846" spans="1:3" x14ac:dyDescent="0.25">
      <c r="A18846" s="1" t="s">
        <v>18845</v>
      </c>
      <c r="C18846" s="3">
        <v>2</v>
      </c>
    </row>
    <row r="18847" spans="1:3" x14ac:dyDescent="0.25">
      <c r="A18847" s="1" t="s">
        <v>18846</v>
      </c>
      <c r="C18847" s="3">
        <v>2</v>
      </c>
    </row>
    <row r="18848" spans="1:3" x14ac:dyDescent="0.25">
      <c r="A18848" s="1" t="s">
        <v>18847</v>
      </c>
      <c r="C18848" s="3">
        <v>2</v>
      </c>
    </row>
    <row r="18849" spans="1:3" x14ac:dyDescent="0.25">
      <c r="A18849" s="1" t="s">
        <v>18848</v>
      </c>
      <c r="C18849" s="3">
        <v>2</v>
      </c>
    </row>
    <row r="18850" spans="1:3" x14ac:dyDescent="0.25">
      <c r="A18850" s="1" t="s">
        <v>18849</v>
      </c>
      <c r="C18850" s="3">
        <v>2</v>
      </c>
    </row>
    <row r="18851" spans="1:3" x14ac:dyDescent="0.25">
      <c r="A18851" s="1" t="s">
        <v>18850</v>
      </c>
      <c r="C18851" s="3">
        <v>2</v>
      </c>
    </row>
    <row r="18852" spans="1:3" x14ac:dyDescent="0.25">
      <c r="A18852" s="1" t="s">
        <v>18851</v>
      </c>
      <c r="C18852" s="3">
        <v>2</v>
      </c>
    </row>
    <row r="18853" spans="1:3" x14ac:dyDescent="0.25">
      <c r="A18853" s="1" t="s">
        <v>18852</v>
      </c>
      <c r="C18853" s="3">
        <v>2</v>
      </c>
    </row>
    <row r="18854" spans="1:3" x14ac:dyDescent="0.25">
      <c r="A18854" s="1" t="s">
        <v>18853</v>
      </c>
      <c r="C18854" s="3">
        <v>2</v>
      </c>
    </row>
    <row r="18855" spans="1:3" x14ac:dyDescent="0.25">
      <c r="A18855" s="1" t="s">
        <v>18854</v>
      </c>
      <c r="C18855" s="3">
        <v>2</v>
      </c>
    </row>
    <row r="18856" spans="1:3" x14ac:dyDescent="0.25">
      <c r="A18856" s="1" t="s">
        <v>18855</v>
      </c>
      <c r="C18856" s="3">
        <v>2</v>
      </c>
    </row>
    <row r="18857" spans="1:3" x14ac:dyDescent="0.25">
      <c r="A18857" s="1" t="s">
        <v>18856</v>
      </c>
      <c r="C18857" s="3">
        <v>2</v>
      </c>
    </row>
    <row r="18858" spans="1:3" x14ac:dyDescent="0.25">
      <c r="A18858" s="1" t="s">
        <v>18857</v>
      </c>
      <c r="C18858" s="3">
        <v>2</v>
      </c>
    </row>
    <row r="18859" spans="1:3" x14ac:dyDescent="0.25">
      <c r="A18859" s="1" t="s">
        <v>18858</v>
      </c>
      <c r="C18859" s="3">
        <v>2</v>
      </c>
    </row>
    <row r="18860" spans="1:3" x14ac:dyDescent="0.25">
      <c r="A18860" s="1" t="s">
        <v>18859</v>
      </c>
      <c r="C18860" s="3">
        <v>2</v>
      </c>
    </row>
    <row r="18861" spans="1:3" x14ac:dyDescent="0.25">
      <c r="A18861" s="1" t="s">
        <v>18860</v>
      </c>
      <c r="C18861" s="3">
        <v>2</v>
      </c>
    </row>
    <row r="18862" spans="1:3" x14ac:dyDescent="0.25">
      <c r="A18862" s="1" t="s">
        <v>18861</v>
      </c>
      <c r="C18862" s="3">
        <v>2</v>
      </c>
    </row>
    <row r="18863" spans="1:3" x14ac:dyDescent="0.25">
      <c r="A18863" s="1" t="s">
        <v>18862</v>
      </c>
      <c r="C18863" s="3">
        <v>2</v>
      </c>
    </row>
    <row r="18864" spans="1:3" x14ac:dyDescent="0.25">
      <c r="A18864" s="1" t="s">
        <v>18863</v>
      </c>
      <c r="C18864" s="3">
        <v>2</v>
      </c>
    </row>
    <row r="18865" spans="1:3" x14ac:dyDescent="0.25">
      <c r="A18865" s="1" t="s">
        <v>18864</v>
      </c>
      <c r="C18865" s="3">
        <v>2</v>
      </c>
    </row>
    <row r="18866" spans="1:3" x14ac:dyDescent="0.25">
      <c r="A18866" s="1" t="s">
        <v>18865</v>
      </c>
      <c r="C18866" s="3">
        <v>2</v>
      </c>
    </row>
    <row r="18867" spans="1:3" x14ac:dyDescent="0.25">
      <c r="A18867" s="1" t="s">
        <v>18866</v>
      </c>
      <c r="C18867" s="3">
        <v>2</v>
      </c>
    </row>
    <row r="18868" spans="1:3" x14ac:dyDescent="0.25">
      <c r="A18868" s="1" t="s">
        <v>18867</v>
      </c>
      <c r="C18868" s="3">
        <v>2</v>
      </c>
    </row>
    <row r="18869" spans="1:3" x14ac:dyDescent="0.25">
      <c r="A18869" s="1" t="s">
        <v>18868</v>
      </c>
      <c r="C18869" s="3">
        <v>2</v>
      </c>
    </row>
    <row r="18870" spans="1:3" x14ac:dyDescent="0.25">
      <c r="A18870" s="1" t="s">
        <v>18869</v>
      </c>
      <c r="C18870" s="3">
        <v>2</v>
      </c>
    </row>
    <row r="18871" spans="1:3" x14ac:dyDescent="0.25">
      <c r="A18871" s="1" t="s">
        <v>18870</v>
      </c>
      <c r="C18871" s="3">
        <v>2</v>
      </c>
    </row>
    <row r="18872" spans="1:3" x14ac:dyDescent="0.25">
      <c r="A18872" s="1" t="s">
        <v>18871</v>
      </c>
      <c r="C18872" s="3">
        <v>2</v>
      </c>
    </row>
    <row r="18873" spans="1:3" x14ac:dyDescent="0.25">
      <c r="A18873" s="1" t="s">
        <v>18872</v>
      </c>
      <c r="C18873" s="3">
        <v>2</v>
      </c>
    </row>
    <row r="18874" spans="1:3" x14ac:dyDescent="0.25">
      <c r="A18874" s="1" t="s">
        <v>18873</v>
      </c>
      <c r="C18874" s="3">
        <v>2</v>
      </c>
    </row>
    <row r="18875" spans="1:3" x14ac:dyDescent="0.25">
      <c r="A18875" s="1" t="s">
        <v>18874</v>
      </c>
      <c r="C18875" s="3">
        <v>2</v>
      </c>
    </row>
    <row r="18876" spans="1:3" x14ac:dyDescent="0.25">
      <c r="A18876" s="1" t="s">
        <v>18875</v>
      </c>
      <c r="C18876" s="3">
        <v>2</v>
      </c>
    </row>
    <row r="18877" spans="1:3" x14ac:dyDescent="0.25">
      <c r="A18877" s="1" t="s">
        <v>18876</v>
      </c>
      <c r="C18877" s="3">
        <v>2</v>
      </c>
    </row>
    <row r="18878" spans="1:3" x14ac:dyDescent="0.25">
      <c r="A18878" s="1" t="s">
        <v>18877</v>
      </c>
      <c r="C18878" s="3">
        <v>2</v>
      </c>
    </row>
    <row r="18879" spans="1:3" x14ac:dyDescent="0.25">
      <c r="A18879" s="1" t="s">
        <v>18878</v>
      </c>
      <c r="C18879" s="3">
        <v>2</v>
      </c>
    </row>
    <row r="18880" spans="1:3" x14ac:dyDescent="0.25">
      <c r="A18880" s="1" t="s">
        <v>18879</v>
      </c>
      <c r="C18880" s="3">
        <v>2</v>
      </c>
    </row>
    <row r="18881" spans="1:3" x14ac:dyDescent="0.25">
      <c r="A18881" s="1" t="s">
        <v>18880</v>
      </c>
      <c r="C18881" s="3">
        <v>2</v>
      </c>
    </row>
    <row r="18882" spans="1:3" x14ac:dyDescent="0.25">
      <c r="A18882" s="1" t="s">
        <v>18881</v>
      </c>
      <c r="C18882" s="3">
        <v>2</v>
      </c>
    </row>
    <row r="18883" spans="1:3" x14ac:dyDescent="0.25">
      <c r="A18883" s="1" t="s">
        <v>18882</v>
      </c>
      <c r="C18883" s="3">
        <v>2</v>
      </c>
    </row>
    <row r="18884" spans="1:3" x14ac:dyDescent="0.25">
      <c r="A18884" s="1" t="s">
        <v>18883</v>
      </c>
      <c r="C18884" s="3">
        <v>2</v>
      </c>
    </row>
    <row r="18885" spans="1:3" x14ac:dyDescent="0.25">
      <c r="A18885" s="1" t="s">
        <v>18884</v>
      </c>
      <c r="C18885" s="3">
        <v>2</v>
      </c>
    </row>
    <row r="18886" spans="1:3" x14ac:dyDescent="0.25">
      <c r="A18886" s="1" t="s">
        <v>18885</v>
      </c>
      <c r="C18886" s="3">
        <v>2</v>
      </c>
    </row>
    <row r="18887" spans="1:3" x14ac:dyDescent="0.25">
      <c r="A18887" s="1" t="s">
        <v>18886</v>
      </c>
      <c r="C18887" s="3">
        <v>2</v>
      </c>
    </row>
    <row r="18888" spans="1:3" x14ac:dyDescent="0.25">
      <c r="A18888" s="1" t="s">
        <v>18887</v>
      </c>
      <c r="C18888" s="3">
        <v>2</v>
      </c>
    </row>
    <row r="18889" spans="1:3" x14ac:dyDescent="0.25">
      <c r="A18889" s="1" t="s">
        <v>18888</v>
      </c>
      <c r="C18889" s="3">
        <v>2</v>
      </c>
    </row>
    <row r="18890" spans="1:3" x14ac:dyDescent="0.25">
      <c r="A18890" s="1" t="s">
        <v>18889</v>
      </c>
      <c r="C18890" s="3">
        <v>2</v>
      </c>
    </row>
    <row r="18891" spans="1:3" x14ac:dyDescent="0.25">
      <c r="A18891" s="1" t="s">
        <v>18890</v>
      </c>
      <c r="C18891" s="3">
        <v>2</v>
      </c>
    </row>
    <row r="18892" spans="1:3" x14ac:dyDescent="0.25">
      <c r="A18892" s="1" t="s">
        <v>18891</v>
      </c>
      <c r="C18892" s="3">
        <v>2</v>
      </c>
    </row>
    <row r="18893" spans="1:3" x14ac:dyDescent="0.25">
      <c r="A18893" s="1" t="s">
        <v>18892</v>
      </c>
      <c r="C18893" s="3">
        <v>2</v>
      </c>
    </row>
    <row r="18894" spans="1:3" x14ac:dyDescent="0.25">
      <c r="A18894" s="1" t="s">
        <v>18893</v>
      </c>
      <c r="C18894" s="3">
        <v>2</v>
      </c>
    </row>
    <row r="18895" spans="1:3" x14ac:dyDescent="0.25">
      <c r="A18895" s="1" t="s">
        <v>18894</v>
      </c>
      <c r="C18895" s="3">
        <v>2</v>
      </c>
    </row>
    <row r="18896" spans="1:3" x14ac:dyDescent="0.25">
      <c r="A18896" s="1" t="s">
        <v>18895</v>
      </c>
      <c r="C18896" s="3">
        <v>2</v>
      </c>
    </row>
    <row r="18897" spans="1:3" x14ac:dyDescent="0.25">
      <c r="A18897" s="1" t="s">
        <v>18896</v>
      </c>
      <c r="C18897" s="3">
        <v>2</v>
      </c>
    </row>
    <row r="18898" spans="1:3" x14ac:dyDescent="0.25">
      <c r="A18898" s="1" t="s">
        <v>18897</v>
      </c>
      <c r="C18898" s="3">
        <v>2</v>
      </c>
    </row>
    <row r="18899" spans="1:3" x14ac:dyDescent="0.25">
      <c r="A18899" s="1" t="s">
        <v>18898</v>
      </c>
      <c r="C18899" s="3">
        <v>2</v>
      </c>
    </row>
    <row r="18900" spans="1:3" x14ac:dyDescent="0.25">
      <c r="A18900" s="1" t="s">
        <v>18899</v>
      </c>
      <c r="C18900" s="3">
        <v>2</v>
      </c>
    </row>
    <row r="18901" spans="1:3" x14ac:dyDescent="0.25">
      <c r="A18901" s="1" t="s">
        <v>18900</v>
      </c>
      <c r="C18901" s="3">
        <v>2</v>
      </c>
    </row>
    <row r="18902" spans="1:3" x14ac:dyDescent="0.25">
      <c r="A18902" s="1" t="s">
        <v>18901</v>
      </c>
      <c r="C18902" s="3">
        <v>2</v>
      </c>
    </row>
    <row r="18903" spans="1:3" x14ac:dyDescent="0.25">
      <c r="A18903" s="1" t="s">
        <v>18902</v>
      </c>
      <c r="C18903" s="3">
        <v>2</v>
      </c>
    </row>
    <row r="18904" spans="1:3" x14ac:dyDescent="0.25">
      <c r="A18904" s="1" t="s">
        <v>18903</v>
      </c>
      <c r="C18904" s="3">
        <v>2</v>
      </c>
    </row>
    <row r="18905" spans="1:3" x14ac:dyDescent="0.25">
      <c r="A18905" s="1" t="s">
        <v>18904</v>
      </c>
      <c r="C18905" s="3">
        <v>2</v>
      </c>
    </row>
    <row r="18906" spans="1:3" x14ac:dyDescent="0.25">
      <c r="A18906" s="1" t="s">
        <v>18905</v>
      </c>
      <c r="C18906" s="3">
        <v>2</v>
      </c>
    </row>
    <row r="18907" spans="1:3" x14ac:dyDescent="0.25">
      <c r="A18907" s="1" t="s">
        <v>18906</v>
      </c>
      <c r="C18907" s="3">
        <v>2</v>
      </c>
    </row>
    <row r="18908" spans="1:3" x14ac:dyDescent="0.25">
      <c r="A18908" s="1" t="s">
        <v>18907</v>
      </c>
      <c r="C18908" s="3">
        <v>2</v>
      </c>
    </row>
    <row r="18909" spans="1:3" x14ac:dyDescent="0.25">
      <c r="A18909" s="1" t="s">
        <v>18908</v>
      </c>
      <c r="C18909" s="3">
        <v>2</v>
      </c>
    </row>
    <row r="18910" spans="1:3" x14ac:dyDescent="0.25">
      <c r="A18910" s="1" t="s">
        <v>18909</v>
      </c>
      <c r="C18910" s="3">
        <v>2</v>
      </c>
    </row>
    <row r="18911" spans="1:3" x14ac:dyDescent="0.25">
      <c r="A18911" s="1" t="s">
        <v>18910</v>
      </c>
      <c r="C18911" s="3">
        <v>2</v>
      </c>
    </row>
    <row r="18912" spans="1:3" x14ac:dyDescent="0.25">
      <c r="A18912" s="1" t="s">
        <v>18911</v>
      </c>
      <c r="C18912" s="3">
        <v>2</v>
      </c>
    </row>
    <row r="18913" spans="1:3" x14ac:dyDescent="0.25">
      <c r="A18913" s="1" t="s">
        <v>18912</v>
      </c>
      <c r="C18913" s="3">
        <v>2</v>
      </c>
    </row>
    <row r="18914" spans="1:3" x14ac:dyDescent="0.25">
      <c r="A18914" s="1" t="s">
        <v>18913</v>
      </c>
      <c r="C18914" s="3">
        <v>2</v>
      </c>
    </row>
    <row r="18915" spans="1:3" x14ac:dyDescent="0.25">
      <c r="A18915" s="1" t="s">
        <v>18914</v>
      </c>
      <c r="C18915" s="3">
        <v>2</v>
      </c>
    </row>
    <row r="18916" spans="1:3" x14ac:dyDescent="0.25">
      <c r="A18916" s="1" t="s">
        <v>18915</v>
      </c>
      <c r="C18916" s="3">
        <v>2</v>
      </c>
    </row>
    <row r="18917" spans="1:3" x14ac:dyDescent="0.25">
      <c r="A18917" s="1" t="s">
        <v>18916</v>
      </c>
      <c r="C18917" s="3">
        <v>2</v>
      </c>
    </row>
    <row r="18918" spans="1:3" x14ac:dyDescent="0.25">
      <c r="A18918" s="1" t="s">
        <v>18917</v>
      </c>
      <c r="C18918" s="3">
        <v>2</v>
      </c>
    </row>
    <row r="18919" spans="1:3" x14ac:dyDescent="0.25">
      <c r="A18919" s="1" t="s">
        <v>18918</v>
      </c>
      <c r="C18919" s="3">
        <v>2</v>
      </c>
    </row>
    <row r="18920" spans="1:3" x14ac:dyDescent="0.25">
      <c r="A18920" s="1" t="s">
        <v>18919</v>
      </c>
      <c r="C18920" s="3">
        <v>2</v>
      </c>
    </row>
    <row r="18921" spans="1:3" x14ac:dyDescent="0.25">
      <c r="A18921" s="1" t="s">
        <v>18920</v>
      </c>
      <c r="C18921" s="3">
        <v>2</v>
      </c>
    </row>
    <row r="18922" spans="1:3" x14ac:dyDescent="0.25">
      <c r="A18922" s="1" t="s">
        <v>18921</v>
      </c>
      <c r="C18922" s="3">
        <v>2</v>
      </c>
    </row>
    <row r="18923" spans="1:3" x14ac:dyDescent="0.25">
      <c r="A18923" s="1" t="s">
        <v>18922</v>
      </c>
      <c r="C18923" s="3">
        <v>2</v>
      </c>
    </row>
    <row r="18924" spans="1:3" x14ac:dyDescent="0.25">
      <c r="A18924" s="1" t="s">
        <v>18923</v>
      </c>
      <c r="C18924" s="3">
        <v>2</v>
      </c>
    </row>
    <row r="18925" spans="1:3" x14ac:dyDescent="0.25">
      <c r="A18925" s="1" t="s">
        <v>18924</v>
      </c>
      <c r="C18925" s="3">
        <v>2</v>
      </c>
    </row>
    <row r="18926" spans="1:3" x14ac:dyDescent="0.25">
      <c r="A18926" s="1" t="s">
        <v>18925</v>
      </c>
      <c r="C18926" s="3">
        <v>2</v>
      </c>
    </row>
    <row r="18927" spans="1:3" x14ac:dyDescent="0.25">
      <c r="A18927" s="1" t="s">
        <v>18926</v>
      </c>
      <c r="C18927" s="3">
        <v>2</v>
      </c>
    </row>
    <row r="18928" spans="1:3" x14ac:dyDescent="0.25">
      <c r="A18928" s="1" t="s">
        <v>18927</v>
      </c>
      <c r="C18928" s="3">
        <v>2</v>
      </c>
    </row>
    <row r="18929" spans="1:3" x14ac:dyDescent="0.25">
      <c r="A18929" s="1" t="s">
        <v>18928</v>
      </c>
      <c r="C18929" s="3">
        <v>2</v>
      </c>
    </row>
    <row r="18930" spans="1:3" x14ac:dyDescent="0.25">
      <c r="A18930" s="1" t="s">
        <v>18929</v>
      </c>
      <c r="C18930" s="3">
        <v>2</v>
      </c>
    </row>
    <row r="18931" spans="1:3" x14ac:dyDescent="0.25">
      <c r="A18931" s="1" t="s">
        <v>18930</v>
      </c>
      <c r="C18931" s="3">
        <v>2</v>
      </c>
    </row>
    <row r="18932" spans="1:3" x14ac:dyDescent="0.25">
      <c r="A18932" s="1" t="s">
        <v>18931</v>
      </c>
      <c r="C18932" s="3">
        <v>2</v>
      </c>
    </row>
    <row r="18933" spans="1:3" x14ac:dyDescent="0.25">
      <c r="A18933" s="1" t="s">
        <v>18932</v>
      </c>
      <c r="C18933" s="3">
        <v>2</v>
      </c>
    </row>
    <row r="18934" spans="1:3" x14ac:dyDescent="0.25">
      <c r="A18934" s="1" t="s">
        <v>18933</v>
      </c>
      <c r="C18934" s="3">
        <v>2</v>
      </c>
    </row>
    <row r="18935" spans="1:3" x14ac:dyDescent="0.25">
      <c r="A18935" s="1" t="s">
        <v>18934</v>
      </c>
      <c r="C18935" s="3">
        <v>2</v>
      </c>
    </row>
    <row r="18936" spans="1:3" x14ac:dyDescent="0.25">
      <c r="A18936" s="1" t="s">
        <v>18935</v>
      </c>
      <c r="C18936" s="3">
        <v>2</v>
      </c>
    </row>
    <row r="18937" spans="1:3" x14ac:dyDescent="0.25">
      <c r="A18937" s="1" t="s">
        <v>18936</v>
      </c>
      <c r="C18937" s="3">
        <v>2</v>
      </c>
    </row>
    <row r="18938" spans="1:3" x14ac:dyDescent="0.25">
      <c r="A18938" s="1" t="s">
        <v>18937</v>
      </c>
      <c r="C18938" s="3">
        <v>2</v>
      </c>
    </row>
    <row r="18939" spans="1:3" x14ac:dyDescent="0.25">
      <c r="A18939" s="1" t="s">
        <v>18938</v>
      </c>
      <c r="C18939" s="3">
        <v>2</v>
      </c>
    </row>
    <row r="18940" spans="1:3" x14ac:dyDescent="0.25">
      <c r="A18940" s="1" t="s">
        <v>18939</v>
      </c>
      <c r="C18940" s="3">
        <v>2</v>
      </c>
    </row>
    <row r="18941" spans="1:3" x14ac:dyDescent="0.25">
      <c r="A18941" s="1" t="s">
        <v>18940</v>
      </c>
      <c r="C18941" s="3">
        <v>2</v>
      </c>
    </row>
    <row r="18942" spans="1:3" x14ac:dyDescent="0.25">
      <c r="A18942" s="1" t="s">
        <v>18941</v>
      </c>
      <c r="C18942" s="3">
        <v>2</v>
      </c>
    </row>
    <row r="18943" spans="1:3" x14ac:dyDescent="0.25">
      <c r="A18943" s="1" t="s">
        <v>18942</v>
      </c>
      <c r="C18943" s="3">
        <v>2</v>
      </c>
    </row>
    <row r="18944" spans="1:3" x14ac:dyDescent="0.25">
      <c r="A18944" s="1" t="s">
        <v>18943</v>
      </c>
      <c r="C18944" s="3">
        <v>2</v>
      </c>
    </row>
    <row r="18945" spans="1:3" x14ac:dyDescent="0.25">
      <c r="A18945" s="1" t="s">
        <v>18944</v>
      </c>
      <c r="C18945" s="3">
        <v>2</v>
      </c>
    </row>
    <row r="18946" spans="1:3" x14ac:dyDescent="0.25">
      <c r="A18946" s="1" t="s">
        <v>18945</v>
      </c>
      <c r="C18946" s="3">
        <v>2</v>
      </c>
    </row>
    <row r="18947" spans="1:3" x14ac:dyDescent="0.25">
      <c r="A18947" s="1" t="s">
        <v>18946</v>
      </c>
      <c r="C18947" s="3">
        <v>2</v>
      </c>
    </row>
    <row r="18948" spans="1:3" x14ac:dyDescent="0.25">
      <c r="A18948" s="1" t="s">
        <v>18947</v>
      </c>
      <c r="C18948" s="3">
        <v>2</v>
      </c>
    </row>
    <row r="18949" spans="1:3" x14ac:dyDescent="0.25">
      <c r="A18949" s="1" t="s">
        <v>18948</v>
      </c>
      <c r="C18949" s="3">
        <v>2</v>
      </c>
    </row>
    <row r="18950" spans="1:3" x14ac:dyDescent="0.25">
      <c r="A18950" s="1" t="s">
        <v>18949</v>
      </c>
      <c r="C18950" s="3">
        <v>2</v>
      </c>
    </row>
    <row r="18951" spans="1:3" x14ac:dyDescent="0.25">
      <c r="A18951" s="1" t="s">
        <v>18950</v>
      </c>
      <c r="C18951" s="3">
        <v>2</v>
      </c>
    </row>
    <row r="18952" spans="1:3" x14ac:dyDescent="0.25">
      <c r="A18952" s="1" t="s">
        <v>18951</v>
      </c>
      <c r="C18952" s="3">
        <v>2</v>
      </c>
    </row>
    <row r="18953" spans="1:3" x14ac:dyDescent="0.25">
      <c r="A18953" s="1" t="s">
        <v>18952</v>
      </c>
      <c r="C18953" s="3">
        <v>2</v>
      </c>
    </row>
    <row r="18954" spans="1:3" x14ac:dyDescent="0.25">
      <c r="A18954" s="1" t="s">
        <v>18953</v>
      </c>
      <c r="C18954" s="3">
        <v>2</v>
      </c>
    </row>
    <row r="18955" spans="1:3" x14ac:dyDescent="0.25">
      <c r="A18955" s="1" t="s">
        <v>18954</v>
      </c>
      <c r="C18955" s="3">
        <v>2</v>
      </c>
    </row>
    <row r="18956" spans="1:3" x14ac:dyDescent="0.25">
      <c r="A18956" s="1" t="s">
        <v>18955</v>
      </c>
      <c r="C18956" s="3">
        <v>2</v>
      </c>
    </row>
    <row r="18957" spans="1:3" x14ac:dyDescent="0.25">
      <c r="A18957" s="1" t="s">
        <v>18956</v>
      </c>
      <c r="C18957" s="3">
        <v>2</v>
      </c>
    </row>
    <row r="18958" spans="1:3" x14ac:dyDescent="0.25">
      <c r="A18958" s="1" t="s">
        <v>18957</v>
      </c>
      <c r="C18958" s="3">
        <v>2</v>
      </c>
    </row>
    <row r="18959" spans="1:3" x14ac:dyDescent="0.25">
      <c r="A18959" s="1" t="s">
        <v>18958</v>
      </c>
      <c r="C18959" s="3">
        <v>2</v>
      </c>
    </row>
    <row r="18960" spans="1:3" x14ac:dyDescent="0.25">
      <c r="A18960" s="1" t="s">
        <v>18959</v>
      </c>
      <c r="C18960" s="3">
        <v>2</v>
      </c>
    </row>
    <row r="18961" spans="1:3" x14ac:dyDescent="0.25">
      <c r="A18961" s="1" t="s">
        <v>18960</v>
      </c>
      <c r="C18961" s="3">
        <v>2</v>
      </c>
    </row>
    <row r="18962" spans="1:3" x14ac:dyDescent="0.25">
      <c r="A18962" s="1" t="s">
        <v>18961</v>
      </c>
      <c r="C18962" s="3">
        <v>2</v>
      </c>
    </row>
    <row r="18963" spans="1:3" x14ac:dyDescent="0.25">
      <c r="A18963" s="1" t="s">
        <v>18962</v>
      </c>
      <c r="C18963" s="3">
        <v>2</v>
      </c>
    </row>
    <row r="18964" spans="1:3" x14ac:dyDescent="0.25">
      <c r="A18964" s="1" t="s">
        <v>18963</v>
      </c>
      <c r="C18964" s="3">
        <v>2</v>
      </c>
    </row>
    <row r="18965" spans="1:3" x14ac:dyDescent="0.25">
      <c r="A18965" s="1" t="s">
        <v>18964</v>
      </c>
      <c r="C18965" s="3">
        <v>2</v>
      </c>
    </row>
    <row r="18966" spans="1:3" x14ac:dyDescent="0.25">
      <c r="A18966" s="1" t="s">
        <v>18965</v>
      </c>
      <c r="C18966" s="3">
        <v>2</v>
      </c>
    </row>
    <row r="18967" spans="1:3" x14ac:dyDescent="0.25">
      <c r="A18967" s="1" t="s">
        <v>18966</v>
      </c>
      <c r="C18967" s="3">
        <v>2</v>
      </c>
    </row>
    <row r="18968" spans="1:3" x14ac:dyDescent="0.25">
      <c r="A18968" s="1" t="s">
        <v>18967</v>
      </c>
      <c r="C18968" s="3">
        <v>2</v>
      </c>
    </row>
    <row r="18969" spans="1:3" x14ac:dyDescent="0.25">
      <c r="A18969" s="1" t="s">
        <v>18968</v>
      </c>
      <c r="C18969" s="3">
        <v>2</v>
      </c>
    </row>
    <row r="18970" spans="1:3" x14ac:dyDescent="0.25">
      <c r="A18970" s="1" t="s">
        <v>18969</v>
      </c>
      <c r="C18970" s="3">
        <v>2</v>
      </c>
    </row>
    <row r="18971" spans="1:3" x14ac:dyDescent="0.25">
      <c r="A18971" s="1" t="s">
        <v>18970</v>
      </c>
      <c r="C18971" s="3">
        <v>2</v>
      </c>
    </row>
    <row r="18972" spans="1:3" x14ac:dyDescent="0.25">
      <c r="A18972" s="1" t="s">
        <v>18971</v>
      </c>
      <c r="C18972" s="3">
        <v>2</v>
      </c>
    </row>
    <row r="18973" spans="1:3" x14ac:dyDescent="0.25">
      <c r="A18973" s="1" t="s">
        <v>18972</v>
      </c>
      <c r="C18973" s="3">
        <v>2</v>
      </c>
    </row>
    <row r="18974" spans="1:3" x14ac:dyDescent="0.25">
      <c r="A18974" s="1" t="s">
        <v>18973</v>
      </c>
      <c r="C18974" s="3">
        <v>2</v>
      </c>
    </row>
    <row r="18975" spans="1:3" x14ac:dyDescent="0.25">
      <c r="A18975" s="1" t="s">
        <v>18974</v>
      </c>
      <c r="C18975" s="3">
        <v>2</v>
      </c>
    </row>
    <row r="18976" spans="1:3" x14ac:dyDescent="0.25">
      <c r="A18976" s="1" t="s">
        <v>18975</v>
      </c>
      <c r="C18976" s="3">
        <v>2</v>
      </c>
    </row>
    <row r="18977" spans="1:3" x14ac:dyDescent="0.25">
      <c r="A18977" s="1" t="s">
        <v>18976</v>
      </c>
      <c r="C18977" s="3">
        <v>2</v>
      </c>
    </row>
    <row r="18978" spans="1:3" x14ac:dyDescent="0.25">
      <c r="A18978" s="1" t="s">
        <v>18977</v>
      </c>
      <c r="C18978" s="3">
        <v>2</v>
      </c>
    </row>
    <row r="18979" spans="1:3" x14ac:dyDescent="0.25">
      <c r="A18979" s="1" t="s">
        <v>18978</v>
      </c>
      <c r="C18979" s="3">
        <v>2</v>
      </c>
    </row>
    <row r="18980" spans="1:3" x14ac:dyDescent="0.25">
      <c r="A18980" s="1" t="s">
        <v>18979</v>
      </c>
      <c r="C18980" s="3">
        <v>2</v>
      </c>
    </row>
    <row r="18981" spans="1:3" x14ac:dyDescent="0.25">
      <c r="A18981" s="1" t="s">
        <v>18980</v>
      </c>
      <c r="C18981" s="3">
        <v>2</v>
      </c>
    </row>
    <row r="18982" spans="1:3" x14ac:dyDescent="0.25">
      <c r="A18982" s="1" t="s">
        <v>18981</v>
      </c>
      <c r="C18982" s="3">
        <v>2</v>
      </c>
    </row>
    <row r="18983" spans="1:3" x14ac:dyDescent="0.25">
      <c r="A18983" s="1" t="s">
        <v>18982</v>
      </c>
      <c r="C18983" s="3">
        <v>2</v>
      </c>
    </row>
    <row r="18984" spans="1:3" x14ac:dyDescent="0.25">
      <c r="A18984" s="1" t="s">
        <v>18983</v>
      </c>
      <c r="C18984" s="3">
        <v>2</v>
      </c>
    </row>
    <row r="18985" spans="1:3" x14ac:dyDescent="0.25">
      <c r="A18985" s="1" t="s">
        <v>18984</v>
      </c>
      <c r="C18985" s="3">
        <v>2</v>
      </c>
    </row>
    <row r="18986" spans="1:3" x14ac:dyDescent="0.25">
      <c r="A18986" s="1" t="s">
        <v>18985</v>
      </c>
      <c r="C18986" s="3">
        <v>2</v>
      </c>
    </row>
    <row r="18987" spans="1:3" x14ac:dyDescent="0.25">
      <c r="A18987" s="1" t="s">
        <v>18986</v>
      </c>
      <c r="C18987" s="3">
        <v>2</v>
      </c>
    </row>
    <row r="18988" spans="1:3" x14ac:dyDescent="0.25">
      <c r="A18988" s="1" t="s">
        <v>18987</v>
      </c>
      <c r="C18988" s="3">
        <v>2</v>
      </c>
    </row>
    <row r="18989" spans="1:3" x14ac:dyDescent="0.25">
      <c r="A18989" s="1" t="s">
        <v>18988</v>
      </c>
      <c r="C18989" s="3">
        <v>2</v>
      </c>
    </row>
    <row r="18990" spans="1:3" x14ac:dyDescent="0.25">
      <c r="A18990" s="1" t="s">
        <v>18989</v>
      </c>
      <c r="C18990" s="3">
        <v>2</v>
      </c>
    </row>
    <row r="18991" spans="1:3" x14ac:dyDescent="0.25">
      <c r="A18991" s="1" t="s">
        <v>18990</v>
      </c>
      <c r="C18991" s="3">
        <v>2</v>
      </c>
    </row>
    <row r="18992" spans="1:3" x14ac:dyDescent="0.25">
      <c r="A18992" s="1" t="s">
        <v>18991</v>
      </c>
      <c r="C18992" s="3">
        <v>2</v>
      </c>
    </row>
    <row r="18993" spans="1:3" x14ac:dyDescent="0.25">
      <c r="A18993" s="1" t="s">
        <v>18992</v>
      </c>
      <c r="C18993" s="3">
        <v>2</v>
      </c>
    </row>
    <row r="18994" spans="1:3" x14ac:dyDescent="0.25">
      <c r="A18994" s="1" t="s">
        <v>18993</v>
      </c>
      <c r="C18994" s="3">
        <v>2</v>
      </c>
    </row>
    <row r="18995" spans="1:3" x14ac:dyDescent="0.25">
      <c r="A18995" s="1" t="s">
        <v>18994</v>
      </c>
      <c r="C18995" s="3">
        <v>2</v>
      </c>
    </row>
    <row r="18996" spans="1:3" x14ac:dyDescent="0.25">
      <c r="A18996" s="1" t="s">
        <v>18995</v>
      </c>
      <c r="C18996" s="3">
        <v>2</v>
      </c>
    </row>
    <row r="18997" spans="1:3" x14ac:dyDescent="0.25">
      <c r="A18997" s="1" t="s">
        <v>18996</v>
      </c>
      <c r="C18997" s="3">
        <v>2</v>
      </c>
    </row>
    <row r="18998" spans="1:3" x14ac:dyDescent="0.25">
      <c r="A18998" s="1" t="s">
        <v>18997</v>
      </c>
      <c r="C18998" s="3">
        <v>2</v>
      </c>
    </row>
    <row r="18999" spans="1:3" x14ac:dyDescent="0.25">
      <c r="A18999" s="1" t="s">
        <v>18998</v>
      </c>
      <c r="C18999" s="3">
        <v>2</v>
      </c>
    </row>
    <row r="19000" spans="1:3" x14ac:dyDescent="0.25">
      <c r="A19000" s="1" t="s">
        <v>18999</v>
      </c>
      <c r="C19000" s="3">
        <v>2</v>
      </c>
    </row>
    <row r="19001" spans="1:3" x14ac:dyDescent="0.25">
      <c r="A19001" s="1" t="s">
        <v>19000</v>
      </c>
      <c r="C19001" s="3">
        <v>2</v>
      </c>
    </row>
    <row r="19002" spans="1:3" x14ac:dyDescent="0.25">
      <c r="A19002" s="1" t="s">
        <v>19001</v>
      </c>
      <c r="C19002" s="3">
        <v>2</v>
      </c>
    </row>
    <row r="19003" spans="1:3" x14ac:dyDescent="0.25">
      <c r="A19003" s="1" t="s">
        <v>19002</v>
      </c>
      <c r="C19003" s="3">
        <v>2</v>
      </c>
    </row>
    <row r="19004" spans="1:3" x14ac:dyDescent="0.25">
      <c r="A19004" s="1" t="s">
        <v>19003</v>
      </c>
      <c r="C19004" s="3">
        <v>2</v>
      </c>
    </row>
    <row r="19005" spans="1:3" x14ac:dyDescent="0.25">
      <c r="A19005" s="1" t="s">
        <v>19004</v>
      </c>
      <c r="C19005" s="3">
        <v>2</v>
      </c>
    </row>
    <row r="19006" spans="1:3" x14ac:dyDescent="0.25">
      <c r="A19006" s="1" t="s">
        <v>19005</v>
      </c>
      <c r="C19006" s="3">
        <v>2</v>
      </c>
    </row>
    <row r="19007" spans="1:3" x14ac:dyDescent="0.25">
      <c r="A19007" s="1" t="s">
        <v>19006</v>
      </c>
      <c r="C19007" s="3">
        <v>2</v>
      </c>
    </row>
    <row r="19008" spans="1:3" x14ac:dyDescent="0.25">
      <c r="A19008" s="1" t="s">
        <v>19007</v>
      </c>
      <c r="C19008" s="3">
        <v>2</v>
      </c>
    </row>
    <row r="19009" spans="1:3" x14ac:dyDescent="0.25">
      <c r="A19009" s="1" t="s">
        <v>19008</v>
      </c>
      <c r="C19009" s="3">
        <v>2</v>
      </c>
    </row>
    <row r="19010" spans="1:3" x14ac:dyDescent="0.25">
      <c r="A19010" s="1" t="s">
        <v>19009</v>
      </c>
      <c r="C19010" s="3">
        <v>2</v>
      </c>
    </row>
    <row r="19011" spans="1:3" x14ac:dyDescent="0.25">
      <c r="A19011" s="1" t="s">
        <v>19010</v>
      </c>
      <c r="C19011" s="3">
        <v>2</v>
      </c>
    </row>
    <row r="19012" spans="1:3" x14ac:dyDescent="0.25">
      <c r="A19012" s="1" t="s">
        <v>19011</v>
      </c>
      <c r="C19012" s="3">
        <v>2</v>
      </c>
    </row>
    <row r="19013" spans="1:3" x14ac:dyDescent="0.25">
      <c r="A19013" s="1" t="s">
        <v>19012</v>
      </c>
      <c r="C19013" s="3">
        <v>2</v>
      </c>
    </row>
    <row r="19014" spans="1:3" x14ac:dyDescent="0.25">
      <c r="A19014" s="1" t="s">
        <v>19013</v>
      </c>
      <c r="C19014" s="3">
        <v>2</v>
      </c>
    </row>
    <row r="19015" spans="1:3" x14ac:dyDescent="0.25">
      <c r="A19015" s="1" t="s">
        <v>19014</v>
      </c>
      <c r="C19015" s="3">
        <v>2</v>
      </c>
    </row>
    <row r="19016" spans="1:3" x14ac:dyDescent="0.25">
      <c r="A19016" s="1" t="s">
        <v>19015</v>
      </c>
      <c r="C19016" s="3">
        <v>2</v>
      </c>
    </row>
    <row r="19017" spans="1:3" x14ac:dyDescent="0.25">
      <c r="A19017" s="1" t="s">
        <v>19016</v>
      </c>
      <c r="C19017" s="3">
        <v>2</v>
      </c>
    </row>
    <row r="19018" spans="1:3" x14ac:dyDescent="0.25">
      <c r="A19018" s="1" t="s">
        <v>19017</v>
      </c>
      <c r="C19018" s="3">
        <v>2</v>
      </c>
    </row>
    <row r="19019" spans="1:3" x14ac:dyDescent="0.25">
      <c r="A19019" s="1" t="s">
        <v>19018</v>
      </c>
      <c r="C19019" s="3">
        <v>2</v>
      </c>
    </row>
    <row r="19020" spans="1:3" x14ac:dyDescent="0.25">
      <c r="A19020" s="1" t="s">
        <v>19019</v>
      </c>
      <c r="C19020" s="3">
        <v>2</v>
      </c>
    </row>
    <row r="19021" spans="1:3" x14ac:dyDescent="0.25">
      <c r="A19021" s="1" t="s">
        <v>19020</v>
      </c>
      <c r="C19021" s="3">
        <v>2</v>
      </c>
    </row>
    <row r="19022" spans="1:3" x14ac:dyDescent="0.25">
      <c r="A19022" s="1" t="s">
        <v>19021</v>
      </c>
      <c r="C19022" s="3">
        <v>2</v>
      </c>
    </row>
    <row r="19023" spans="1:3" x14ac:dyDescent="0.25">
      <c r="A19023" s="1" t="s">
        <v>19022</v>
      </c>
      <c r="C19023" s="3">
        <v>2</v>
      </c>
    </row>
    <row r="19024" spans="1:3" x14ac:dyDescent="0.25">
      <c r="A19024" s="1" t="s">
        <v>19023</v>
      </c>
      <c r="C19024" s="3">
        <v>2</v>
      </c>
    </row>
    <row r="19025" spans="1:3" x14ac:dyDescent="0.25">
      <c r="A19025" s="1" t="s">
        <v>19024</v>
      </c>
      <c r="C19025" s="3">
        <v>2</v>
      </c>
    </row>
    <row r="19026" spans="1:3" x14ac:dyDescent="0.25">
      <c r="A19026" s="1" t="s">
        <v>19025</v>
      </c>
      <c r="C19026" s="3">
        <v>2</v>
      </c>
    </row>
    <row r="19027" spans="1:3" x14ac:dyDescent="0.25">
      <c r="A19027" s="1" t="s">
        <v>19026</v>
      </c>
      <c r="C19027" s="3">
        <v>2</v>
      </c>
    </row>
    <row r="19028" spans="1:3" x14ac:dyDescent="0.25">
      <c r="A19028" s="1" t="s">
        <v>19027</v>
      </c>
      <c r="C19028" s="3">
        <v>2</v>
      </c>
    </row>
    <row r="19029" spans="1:3" x14ac:dyDescent="0.25">
      <c r="A19029" s="1" t="s">
        <v>19028</v>
      </c>
      <c r="C19029" s="3">
        <v>2</v>
      </c>
    </row>
    <row r="19030" spans="1:3" x14ac:dyDescent="0.25">
      <c r="A19030" s="1" t="s">
        <v>19029</v>
      </c>
      <c r="C19030" s="3">
        <v>2</v>
      </c>
    </row>
    <row r="19031" spans="1:3" x14ac:dyDescent="0.25">
      <c r="A19031" s="1" t="s">
        <v>19030</v>
      </c>
      <c r="C19031" s="3">
        <v>2</v>
      </c>
    </row>
    <row r="19032" spans="1:3" x14ac:dyDescent="0.25">
      <c r="A19032" s="1" t="s">
        <v>19031</v>
      </c>
      <c r="C19032" s="3">
        <v>2</v>
      </c>
    </row>
    <row r="19033" spans="1:3" x14ac:dyDescent="0.25">
      <c r="A19033" s="1" t="s">
        <v>19032</v>
      </c>
      <c r="C19033" s="3">
        <v>2</v>
      </c>
    </row>
    <row r="19034" spans="1:3" x14ac:dyDescent="0.25">
      <c r="A19034" s="1" t="s">
        <v>19033</v>
      </c>
      <c r="C19034" s="3">
        <v>2</v>
      </c>
    </row>
    <row r="19035" spans="1:3" x14ac:dyDescent="0.25">
      <c r="A19035" s="1" t="s">
        <v>19034</v>
      </c>
      <c r="C19035" s="3">
        <v>2</v>
      </c>
    </row>
    <row r="19036" spans="1:3" x14ac:dyDescent="0.25">
      <c r="A19036" s="1" t="s">
        <v>19035</v>
      </c>
      <c r="C19036" s="3">
        <v>2</v>
      </c>
    </row>
    <row r="19037" spans="1:3" x14ac:dyDescent="0.25">
      <c r="A19037" s="1" t="s">
        <v>19036</v>
      </c>
      <c r="C19037" s="3">
        <v>2</v>
      </c>
    </row>
    <row r="19038" spans="1:3" x14ac:dyDescent="0.25">
      <c r="A19038" s="1" t="s">
        <v>19037</v>
      </c>
      <c r="C19038" s="3">
        <v>2</v>
      </c>
    </row>
    <row r="19039" spans="1:3" x14ac:dyDescent="0.25">
      <c r="A19039" s="1" t="s">
        <v>19038</v>
      </c>
      <c r="C19039" s="3">
        <v>2</v>
      </c>
    </row>
    <row r="19040" spans="1:3" x14ac:dyDescent="0.25">
      <c r="A19040" s="1" t="s">
        <v>19039</v>
      </c>
      <c r="C19040" s="3">
        <v>2</v>
      </c>
    </row>
    <row r="19041" spans="1:3" x14ac:dyDescent="0.25">
      <c r="A19041" s="1" t="s">
        <v>19040</v>
      </c>
      <c r="C19041" s="3">
        <v>2</v>
      </c>
    </row>
    <row r="19042" spans="1:3" x14ac:dyDescent="0.25">
      <c r="A19042" s="1" t="s">
        <v>19041</v>
      </c>
      <c r="C19042" s="3">
        <v>2</v>
      </c>
    </row>
    <row r="19043" spans="1:3" x14ac:dyDescent="0.25">
      <c r="A19043" s="1" t="s">
        <v>19042</v>
      </c>
      <c r="C19043" s="3">
        <v>2</v>
      </c>
    </row>
    <row r="19044" spans="1:3" x14ac:dyDescent="0.25">
      <c r="A19044" s="1" t="s">
        <v>19043</v>
      </c>
      <c r="C19044" s="3">
        <v>2</v>
      </c>
    </row>
    <row r="19045" spans="1:3" x14ac:dyDescent="0.25">
      <c r="A19045" s="1" t="s">
        <v>19044</v>
      </c>
      <c r="C19045" s="3">
        <v>2</v>
      </c>
    </row>
    <row r="19046" spans="1:3" x14ac:dyDescent="0.25">
      <c r="A19046" s="1" t="s">
        <v>19045</v>
      </c>
      <c r="C19046" s="3">
        <v>2</v>
      </c>
    </row>
    <row r="19047" spans="1:3" x14ac:dyDescent="0.25">
      <c r="A19047" s="1" t="s">
        <v>19046</v>
      </c>
      <c r="C19047" s="3">
        <v>2</v>
      </c>
    </row>
    <row r="19048" spans="1:3" x14ac:dyDescent="0.25">
      <c r="A19048" s="1" t="s">
        <v>19047</v>
      </c>
      <c r="C19048" s="3">
        <v>2</v>
      </c>
    </row>
    <row r="19049" spans="1:3" x14ac:dyDescent="0.25">
      <c r="A19049" s="1" t="s">
        <v>19048</v>
      </c>
      <c r="C19049" s="3">
        <v>2</v>
      </c>
    </row>
    <row r="19050" spans="1:3" x14ac:dyDescent="0.25">
      <c r="A19050" s="1" t="s">
        <v>19049</v>
      </c>
      <c r="C19050" s="3">
        <v>2</v>
      </c>
    </row>
    <row r="19051" spans="1:3" x14ac:dyDescent="0.25">
      <c r="A19051" s="1" t="s">
        <v>19050</v>
      </c>
      <c r="C19051" s="3">
        <v>2</v>
      </c>
    </row>
    <row r="19052" spans="1:3" x14ac:dyDescent="0.25">
      <c r="A19052" s="1" t="s">
        <v>19051</v>
      </c>
      <c r="C19052" s="3">
        <v>2</v>
      </c>
    </row>
    <row r="19053" spans="1:3" x14ac:dyDescent="0.25">
      <c r="A19053" s="1" t="s">
        <v>19052</v>
      </c>
      <c r="C19053" s="3">
        <v>2</v>
      </c>
    </row>
    <row r="19054" spans="1:3" x14ac:dyDescent="0.25">
      <c r="A19054" s="1" t="s">
        <v>19053</v>
      </c>
      <c r="C19054" s="3">
        <v>2</v>
      </c>
    </row>
    <row r="19055" spans="1:3" x14ac:dyDescent="0.25">
      <c r="A19055" s="1" t="s">
        <v>19054</v>
      </c>
      <c r="C19055" s="3">
        <v>2</v>
      </c>
    </row>
    <row r="19056" spans="1:3" x14ac:dyDescent="0.25">
      <c r="A19056" s="1" t="s">
        <v>19055</v>
      </c>
      <c r="C19056" s="3">
        <v>2</v>
      </c>
    </row>
    <row r="19057" spans="1:3" x14ac:dyDescent="0.25">
      <c r="A19057" s="1" t="s">
        <v>19056</v>
      </c>
      <c r="C19057" s="3">
        <v>2</v>
      </c>
    </row>
    <row r="19058" spans="1:3" x14ac:dyDescent="0.25">
      <c r="A19058" s="1" t="s">
        <v>19057</v>
      </c>
      <c r="C19058" s="3">
        <v>2</v>
      </c>
    </row>
    <row r="19059" spans="1:3" x14ac:dyDescent="0.25">
      <c r="A19059" s="1" t="s">
        <v>19058</v>
      </c>
      <c r="C19059" s="3">
        <v>2</v>
      </c>
    </row>
    <row r="19060" spans="1:3" x14ac:dyDescent="0.25">
      <c r="A19060" s="1" t="s">
        <v>19059</v>
      </c>
      <c r="C19060" s="3">
        <v>2</v>
      </c>
    </row>
    <row r="19061" spans="1:3" x14ac:dyDescent="0.25">
      <c r="A19061" s="1" t="s">
        <v>19060</v>
      </c>
      <c r="C19061" s="3">
        <v>2</v>
      </c>
    </row>
    <row r="19062" spans="1:3" x14ac:dyDescent="0.25">
      <c r="A19062" s="1" t="s">
        <v>19061</v>
      </c>
      <c r="C19062" s="3">
        <v>2</v>
      </c>
    </row>
    <row r="19063" spans="1:3" x14ac:dyDescent="0.25">
      <c r="A19063" s="1" t="s">
        <v>19062</v>
      </c>
      <c r="C19063" s="3">
        <v>2</v>
      </c>
    </row>
    <row r="19064" spans="1:3" x14ac:dyDescent="0.25">
      <c r="A19064" s="1" t="s">
        <v>19063</v>
      </c>
      <c r="C19064" s="3">
        <v>2</v>
      </c>
    </row>
    <row r="19065" spans="1:3" x14ac:dyDescent="0.25">
      <c r="A19065" s="1" t="s">
        <v>19064</v>
      </c>
      <c r="C19065" s="3">
        <v>2</v>
      </c>
    </row>
    <row r="19066" spans="1:3" x14ac:dyDescent="0.25">
      <c r="A19066" s="1" t="s">
        <v>19065</v>
      </c>
      <c r="C19066" s="3">
        <v>2</v>
      </c>
    </row>
    <row r="19067" spans="1:3" x14ac:dyDescent="0.25">
      <c r="A19067" s="1" t="s">
        <v>19066</v>
      </c>
      <c r="C19067" s="3">
        <v>2</v>
      </c>
    </row>
    <row r="19068" spans="1:3" x14ac:dyDescent="0.25">
      <c r="A19068" s="1" t="s">
        <v>19067</v>
      </c>
      <c r="C19068" s="3">
        <v>2</v>
      </c>
    </row>
    <row r="19069" spans="1:3" x14ac:dyDescent="0.25">
      <c r="A19069" s="1" t="s">
        <v>19068</v>
      </c>
      <c r="C19069" s="3">
        <v>2</v>
      </c>
    </row>
    <row r="19070" spans="1:3" x14ac:dyDescent="0.25">
      <c r="A19070" s="1" t="s">
        <v>19069</v>
      </c>
      <c r="C19070" s="3">
        <v>2</v>
      </c>
    </row>
    <row r="19071" spans="1:3" x14ac:dyDescent="0.25">
      <c r="A19071" s="1" t="s">
        <v>19070</v>
      </c>
      <c r="C19071" s="3">
        <v>2</v>
      </c>
    </row>
    <row r="19072" spans="1:3" x14ac:dyDescent="0.25">
      <c r="A19072" s="1" t="s">
        <v>19071</v>
      </c>
      <c r="C19072" s="3">
        <v>2</v>
      </c>
    </row>
    <row r="19073" spans="1:3" x14ac:dyDescent="0.25">
      <c r="A19073" s="1" t="s">
        <v>19072</v>
      </c>
      <c r="C19073" s="3">
        <v>2</v>
      </c>
    </row>
    <row r="19074" spans="1:3" x14ac:dyDescent="0.25">
      <c r="A19074" s="1" t="s">
        <v>19073</v>
      </c>
      <c r="C19074" s="3">
        <v>2</v>
      </c>
    </row>
    <row r="19075" spans="1:3" x14ac:dyDescent="0.25">
      <c r="A19075" s="1" t="s">
        <v>19074</v>
      </c>
      <c r="C19075" s="3">
        <v>2</v>
      </c>
    </row>
    <row r="19076" spans="1:3" x14ac:dyDescent="0.25">
      <c r="A19076" s="1" t="s">
        <v>19075</v>
      </c>
      <c r="C19076" s="3">
        <v>2</v>
      </c>
    </row>
    <row r="19077" spans="1:3" x14ac:dyDescent="0.25">
      <c r="A19077" s="1" t="s">
        <v>19076</v>
      </c>
      <c r="C19077" s="3">
        <v>2</v>
      </c>
    </row>
    <row r="19078" spans="1:3" x14ac:dyDescent="0.25">
      <c r="A19078" s="1" t="s">
        <v>19077</v>
      </c>
      <c r="C19078" s="3">
        <v>2</v>
      </c>
    </row>
    <row r="19079" spans="1:3" x14ac:dyDescent="0.25">
      <c r="A19079" s="1" t="s">
        <v>19078</v>
      </c>
      <c r="C19079" s="3">
        <v>2</v>
      </c>
    </row>
    <row r="19080" spans="1:3" x14ac:dyDescent="0.25">
      <c r="A19080" s="1" t="s">
        <v>19079</v>
      </c>
      <c r="C19080" s="3">
        <v>2</v>
      </c>
    </row>
    <row r="19081" spans="1:3" x14ac:dyDescent="0.25">
      <c r="A19081" s="1" t="s">
        <v>19080</v>
      </c>
      <c r="C19081" s="3">
        <v>2</v>
      </c>
    </row>
    <row r="19082" spans="1:3" x14ac:dyDescent="0.25">
      <c r="A19082" s="1" t="s">
        <v>19081</v>
      </c>
      <c r="C19082" s="3">
        <v>2</v>
      </c>
    </row>
    <row r="19083" spans="1:3" x14ac:dyDescent="0.25">
      <c r="A19083" s="1" t="s">
        <v>19082</v>
      </c>
      <c r="C19083" s="3">
        <v>2</v>
      </c>
    </row>
    <row r="19084" spans="1:3" x14ac:dyDescent="0.25">
      <c r="A19084" s="1" t="s">
        <v>19083</v>
      </c>
      <c r="C19084" s="3">
        <v>2</v>
      </c>
    </row>
    <row r="19085" spans="1:3" x14ac:dyDescent="0.25">
      <c r="A19085" s="1" t="s">
        <v>19084</v>
      </c>
      <c r="C19085" s="3">
        <v>2</v>
      </c>
    </row>
    <row r="19086" spans="1:3" x14ac:dyDescent="0.25">
      <c r="A19086" s="1" t="s">
        <v>19085</v>
      </c>
      <c r="C19086" s="3">
        <v>2</v>
      </c>
    </row>
    <row r="19087" spans="1:3" x14ac:dyDescent="0.25">
      <c r="A19087" s="1" t="s">
        <v>19086</v>
      </c>
      <c r="C19087" s="3">
        <v>2</v>
      </c>
    </row>
    <row r="19088" spans="1:3" x14ac:dyDescent="0.25">
      <c r="A19088" s="1" t="s">
        <v>19087</v>
      </c>
      <c r="C19088" s="3">
        <v>2</v>
      </c>
    </row>
    <row r="19089" spans="1:3" x14ac:dyDescent="0.25">
      <c r="A19089" s="1" t="s">
        <v>19088</v>
      </c>
      <c r="C19089" s="3">
        <v>2</v>
      </c>
    </row>
    <row r="19090" spans="1:3" x14ac:dyDescent="0.25">
      <c r="A19090" s="1" t="s">
        <v>19089</v>
      </c>
      <c r="C19090" s="3">
        <v>2</v>
      </c>
    </row>
    <row r="19091" spans="1:3" x14ac:dyDescent="0.25">
      <c r="A19091" s="1" t="s">
        <v>19090</v>
      </c>
      <c r="C19091" s="3">
        <v>2</v>
      </c>
    </row>
    <row r="19092" spans="1:3" x14ac:dyDescent="0.25">
      <c r="A19092" s="1" t="s">
        <v>19091</v>
      </c>
      <c r="C19092" s="3">
        <v>2</v>
      </c>
    </row>
    <row r="19093" spans="1:3" x14ac:dyDescent="0.25">
      <c r="A19093" s="1" t="s">
        <v>19092</v>
      </c>
      <c r="C19093" s="3">
        <v>2</v>
      </c>
    </row>
    <row r="19094" spans="1:3" x14ac:dyDescent="0.25">
      <c r="A19094" s="1" t="s">
        <v>19093</v>
      </c>
      <c r="C19094" s="3">
        <v>2</v>
      </c>
    </row>
    <row r="19095" spans="1:3" x14ac:dyDescent="0.25">
      <c r="A19095" s="1" t="s">
        <v>19094</v>
      </c>
      <c r="C19095" s="3">
        <v>2</v>
      </c>
    </row>
    <row r="19096" spans="1:3" x14ac:dyDescent="0.25">
      <c r="A19096" s="1" t="s">
        <v>19095</v>
      </c>
      <c r="C19096" s="3">
        <v>2</v>
      </c>
    </row>
    <row r="19097" spans="1:3" x14ac:dyDescent="0.25">
      <c r="A19097" s="1" t="s">
        <v>19096</v>
      </c>
      <c r="C19097" s="3">
        <v>2</v>
      </c>
    </row>
    <row r="19098" spans="1:3" x14ac:dyDescent="0.25">
      <c r="A19098" s="1" t="s">
        <v>19097</v>
      </c>
      <c r="C19098" s="3">
        <v>2</v>
      </c>
    </row>
    <row r="19099" spans="1:3" x14ac:dyDescent="0.25">
      <c r="A19099" s="1" t="s">
        <v>19098</v>
      </c>
      <c r="C19099" s="3">
        <v>2</v>
      </c>
    </row>
    <row r="19100" spans="1:3" x14ac:dyDescent="0.25">
      <c r="A19100" s="1" t="s">
        <v>19099</v>
      </c>
      <c r="C19100" s="3">
        <v>2</v>
      </c>
    </row>
    <row r="19101" spans="1:3" x14ac:dyDescent="0.25">
      <c r="A19101" s="1" t="s">
        <v>19100</v>
      </c>
      <c r="C19101" s="3">
        <v>2</v>
      </c>
    </row>
    <row r="19102" spans="1:3" x14ac:dyDescent="0.25">
      <c r="A19102" s="1" t="s">
        <v>19101</v>
      </c>
      <c r="C19102" s="3">
        <v>2</v>
      </c>
    </row>
    <row r="19103" spans="1:3" x14ac:dyDescent="0.25">
      <c r="A19103" s="1" t="s">
        <v>19102</v>
      </c>
      <c r="C19103" s="3">
        <v>2</v>
      </c>
    </row>
    <row r="19104" spans="1:3" x14ac:dyDescent="0.25">
      <c r="A19104" s="1" t="s">
        <v>19103</v>
      </c>
      <c r="C19104" s="3">
        <v>2</v>
      </c>
    </row>
    <row r="19105" spans="1:3" x14ac:dyDescent="0.25">
      <c r="A19105" s="1" t="s">
        <v>19104</v>
      </c>
      <c r="C19105" s="3">
        <v>2</v>
      </c>
    </row>
    <row r="19106" spans="1:3" x14ac:dyDescent="0.25">
      <c r="A19106" s="1" t="s">
        <v>19105</v>
      </c>
      <c r="C19106" s="3">
        <v>2</v>
      </c>
    </row>
    <row r="19107" spans="1:3" x14ac:dyDescent="0.25">
      <c r="A19107" s="1" t="s">
        <v>19106</v>
      </c>
      <c r="C19107" s="3">
        <v>2</v>
      </c>
    </row>
    <row r="19108" spans="1:3" x14ac:dyDescent="0.25">
      <c r="A19108" s="1" t="s">
        <v>19107</v>
      </c>
      <c r="C19108" s="3">
        <v>2</v>
      </c>
    </row>
    <row r="19109" spans="1:3" x14ac:dyDescent="0.25">
      <c r="A19109" s="1" t="s">
        <v>19108</v>
      </c>
      <c r="C19109" s="3">
        <v>2</v>
      </c>
    </row>
    <row r="19110" spans="1:3" x14ac:dyDescent="0.25">
      <c r="A19110" s="1" t="s">
        <v>19109</v>
      </c>
      <c r="C19110" s="3">
        <v>2</v>
      </c>
    </row>
    <row r="19111" spans="1:3" x14ac:dyDescent="0.25">
      <c r="A19111" s="1" t="s">
        <v>19110</v>
      </c>
      <c r="C19111" s="3">
        <v>2</v>
      </c>
    </row>
    <row r="19112" spans="1:3" x14ac:dyDescent="0.25">
      <c r="A19112" s="1" t="s">
        <v>19111</v>
      </c>
      <c r="C19112" s="3">
        <v>2</v>
      </c>
    </row>
    <row r="19113" spans="1:3" x14ac:dyDescent="0.25">
      <c r="A19113" s="1" t="s">
        <v>19112</v>
      </c>
      <c r="C19113" s="3">
        <v>2</v>
      </c>
    </row>
    <row r="19114" spans="1:3" x14ac:dyDescent="0.25">
      <c r="A19114" s="1" t="s">
        <v>19113</v>
      </c>
      <c r="C19114" s="3">
        <v>2</v>
      </c>
    </row>
    <row r="19115" spans="1:3" x14ac:dyDescent="0.25">
      <c r="A19115" s="1" t="s">
        <v>19114</v>
      </c>
      <c r="C19115" s="3">
        <v>2</v>
      </c>
    </row>
    <row r="19116" spans="1:3" x14ac:dyDescent="0.25">
      <c r="A19116" s="1" t="s">
        <v>19115</v>
      </c>
      <c r="C19116" s="3">
        <v>2</v>
      </c>
    </row>
    <row r="19117" spans="1:3" x14ac:dyDescent="0.25">
      <c r="A19117" s="1" t="s">
        <v>19116</v>
      </c>
      <c r="C19117" s="3">
        <v>2</v>
      </c>
    </row>
    <row r="19118" spans="1:3" x14ac:dyDescent="0.25">
      <c r="A19118" s="1" t="s">
        <v>19117</v>
      </c>
      <c r="C19118" s="3">
        <v>2</v>
      </c>
    </row>
    <row r="19119" spans="1:3" x14ac:dyDescent="0.25">
      <c r="A19119" s="1" t="s">
        <v>19118</v>
      </c>
      <c r="C19119" s="3">
        <v>2</v>
      </c>
    </row>
    <row r="19120" spans="1:3" x14ac:dyDescent="0.25">
      <c r="A19120" s="1" t="s">
        <v>19119</v>
      </c>
      <c r="C19120" s="3">
        <v>2</v>
      </c>
    </row>
    <row r="19121" spans="1:3" x14ac:dyDescent="0.25">
      <c r="A19121" s="1" t="s">
        <v>19120</v>
      </c>
      <c r="C19121" s="3">
        <v>2</v>
      </c>
    </row>
    <row r="19122" spans="1:3" x14ac:dyDescent="0.25">
      <c r="A19122" s="1" t="s">
        <v>19121</v>
      </c>
      <c r="C19122" s="3">
        <v>2</v>
      </c>
    </row>
    <row r="19123" spans="1:3" x14ac:dyDescent="0.25">
      <c r="A19123" s="1" t="s">
        <v>19122</v>
      </c>
      <c r="C19123" s="3">
        <v>2</v>
      </c>
    </row>
    <row r="19124" spans="1:3" x14ac:dyDescent="0.25">
      <c r="A19124" s="1" t="s">
        <v>19123</v>
      </c>
      <c r="C19124" s="3">
        <v>2</v>
      </c>
    </row>
    <row r="19125" spans="1:3" x14ac:dyDescent="0.25">
      <c r="A19125" s="1" t="s">
        <v>19124</v>
      </c>
      <c r="C19125" s="3">
        <v>2</v>
      </c>
    </row>
    <row r="19126" spans="1:3" x14ac:dyDescent="0.25">
      <c r="A19126" s="1" t="s">
        <v>19125</v>
      </c>
      <c r="C19126" s="3">
        <v>2</v>
      </c>
    </row>
    <row r="19127" spans="1:3" x14ac:dyDescent="0.25">
      <c r="A19127" s="1" t="s">
        <v>19126</v>
      </c>
      <c r="C19127" s="3">
        <v>2</v>
      </c>
    </row>
    <row r="19128" spans="1:3" x14ac:dyDescent="0.25">
      <c r="A19128" s="1" t="s">
        <v>19127</v>
      </c>
      <c r="C19128" s="3">
        <v>2</v>
      </c>
    </row>
    <row r="19129" spans="1:3" x14ac:dyDescent="0.25">
      <c r="A19129" s="1" t="s">
        <v>19128</v>
      </c>
      <c r="C19129" s="3">
        <v>2</v>
      </c>
    </row>
    <row r="19130" spans="1:3" x14ac:dyDescent="0.25">
      <c r="A19130" s="1" t="s">
        <v>19129</v>
      </c>
      <c r="C19130" s="3">
        <v>2</v>
      </c>
    </row>
    <row r="19131" spans="1:3" x14ac:dyDescent="0.25">
      <c r="A19131" s="1" t="s">
        <v>19130</v>
      </c>
      <c r="C19131" s="3">
        <v>2</v>
      </c>
    </row>
    <row r="19132" spans="1:3" x14ac:dyDescent="0.25">
      <c r="A19132" s="1" t="s">
        <v>19131</v>
      </c>
      <c r="C19132" s="3">
        <v>2</v>
      </c>
    </row>
    <row r="19133" spans="1:3" x14ac:dyDescent="0.25">
      <c r="A19133" s="1" t="s">
        <v>19132</v>
      </c>
      <c r="C19133" s="3">
        <v>2</v>
      </c>
    </row>
    <row r="19134" spans="1:3" x14ac:dyDescent="0.25">
      <c r="A19134" s="1" t="s">
        <v>19133</v>
      </c>
      <c r="C19134" s="3">
        <v>2</v>
      </c>
    </row>
    <row r="19135" spans="1:3" x14ac:dyDescent="0.25">
      <c r="A19135" s="1" t="s">
        <v>19134</v>
      </c>
      <c r="C19135" s="3">
        <v>2</v>
      </c>
    </row>
    <row r="19136" spans="1:3" x14ac:dyDescent="0.25">
      <c r="A19136" s="1" t="s">
        <v>19135</v>
      </c>
      <c r="C19136" s="3">
        <v>2</v>
      </c>
    </row>
    <row r="19137" spans="1:3" x14ac:dyDescent="0.25">
      <c r="A19137" s="1" t="s">
        <v>19136</v>
      </c>
      <c r="C19137" s="3">
        <v>2</v>
      </c>
    </row>
    <row r="19138" spans="1:3" x14ac:dyDescent="0.25">
      <c r="A19138" s="1" t="s">
        <v>19137</v>
      </c>
      <c r="C19138" s="3">
        <v>2</v>
      </c>
    </row>
    <row r="19139" spans="1:3" x14ac:dyDescent="0.25">
      <c r="A19139" s="1" t="s">
        <v>19138</v>
      </c>
      <c r="C19139" s="3">
        <v>2</v>
      </c>
    </row>
    <row r="19140" spans="1:3" x14ac:dyDescent="0.25">
      <c r="A19140" s="1" t="s">
        <v>19139</v>
      </c>
      <c r="C19140" s="3">
        <v>2</v>
      </c>
    </row>
    <row r="19141" spans="1:3" x14ac:dyDescent="0.25">
      <c r="A19141" s="1" t="s">
        <v>19140</v>
      </c>
      <c r="C19141" s="3">
        <v>2</v>
      </c>
    </row>
    <row r="19142" spans="1:3" x14ac:dyDescent="0.25">
      <c r="A19142" s="1" t="s">
        <v>19141</v>
      </c>
      <c r="C19142" s="3">
        <v>2</v>
      </c>
    </row>
    <row r="19143" spans="1:3" x14ac:dyDescent="0.25">
      <c r="A19143" s="1" t="s">
        <v>19142</v>
      </c>
      <c r="C19143" s="3">
        <v>2</v>
      </c>
    </row>
    <row r="19144" spans="1:3" x14ac:dyDescent="0.25">
      <c r="A19144" s="1" t="s">
        <v>19143</v>
      </c>
      <c r="C19144" s="3">
        <v>2</v>
      </c>
    </row>
    <row r="19145" spans="1:3" x14ac:dyDescent="0.25">
      <c r="A19145" s="1" t="s">
        <v>19144</v>
      </c>
      <c r="C19145" s="3">
        <v>2</v>
      </c>
    </row>
    <row r="19146" spans="1:3" x14ac:dyDescent="0.25">
      <c r="A19146" s="1" t="s">
        <v>19145</v>
      </c>
      <c r="C19146" s="3">
        <v>2</v>
      </c>
    </row>
    <row r="19147" spans="1:3" x14ac:dyDescent="0.25">
      <c r="A19147" s="1" t="s">
        <v>19146</v>
      </c>
      <c r="C19147" s="3">
        <v>2</v>
      </c>
    </row>
    <row r="19148" spans="1:3" x14ac:dyDescent="0.25">
      <c r="A19148" s="1" t="s">
        <v>19147</v>
      </c>
      <c r="C19148" s="3">
        <v>2</v>
      </c>
    </row>
    <row r="19149" spans="1:3" x14ac:dyDescent="0.25">
      <c r="A19149" s="1" t="s">
        <v>19148</v>
      </c>
      <c r="C19149" s="3">
        <v>2</v>
      </c>
    </row>
    <row r="19150" spans="1:3" x14ac:dyDescent="0.25">
      <c r="A19150" s="1" t="s">
        <v>19149</v>
      </c>
      <c r="C19150" s="3">
        <v>2</v>
      </c>
    </row>
    <row r="19151" spans="1:3" x14ac:dyDescent="0.25">
      <c r="A19151" s="1" t="s">
        <v>19150</v>
      </c>
      <c r="C19151" s="3">
        <v>2</v>
      </c>
    </row>
    <row r="19152" spans="1:3" x14ac:dyDescent="0.25">
      <c r="A19152" s="1" t="s">
        <v>19151</v>
      </c>
      <c r="C19152" s="3">
        <v>2</v>
      </c>
    </row>
    <row r="19153" spans="1:3" x14ac:dyDescent="0.25">
      <c r="A19153" s="1" t="s">
        <v>19152</v>
      </c>
      <c r="C19153" s="3">
        <v>2</v>
      </c>
    </row>
    <row r="19154" spans="1:3" x14ac:dyDescent="0.25">
      <c r="A19154" s="1" t="s">
        <v>19153</v>
      </c>
      <c r="C19154" s="3">
        <v>2</v>
      </c>
    </row>
    <row r="19155" spans="1:3" x14ac:dyDescent="0.25">
      <c r="A19155" s="1" t="s">
        <v>19154</v>
      </c>
      <c r="C19155" s="3">
        <v>2</v>
      </c>
    </row>
    <row r="19156" spans="1:3" x14ac:dyDescent="0.25">
      <c r="A19156" s="1" t="s">
        <v>19155</v>
      </c>
      <c r="C19156" s="3">
        <v>2</v>
      </c>
    </row>
    <row r="19157" spans="1:3" x14ac:dyDescent="0.25">
      <c r="A19157" s="1" t="s">
        <v>19156</v>
      </c>
      <c r="C19157" s="3">
        <v>2</v>
      </c>
    </row>
    <row r="19158" spans="1:3" x14ac:dyDescent="0.25">
      <c r="A19158" s="1" t="s">
        <v>19157</v>
      </c>
      <c r="C19158" s="3">
        <v>2</v>
      </c>
    </row>
    <row r="19159" spans="1:3" x14ac:dyDescent="0.25">
      <c r="A19159" s="1" t="s">
        <v>19158</v>
      </c>
      <c r="C19159" s="3">
        <v>2</v>
      </c>
    </row>
    <row r="19160" spans="1:3" x14ac:dyDescent="0.25">
      <c r="A19160" s="1" t="s">
        <v>19159</v>
      </c>
      <c r="C19160" s="3">
        <v>2</v>
      </c>
    </row>
    <row r="19161" spans="1:3" x14ac:dyDescent="0.25">
      <c r="A19161" s="1" t="s">
        <v>19160</v>
      </c>
      <c r="C19161" s="3">
        <v>2</v>
      </c>
    </row>
    <row r="19162" spans="1:3" x14ac:dyDescent="0.25">
      <c r="A19162" s="1" t="s">
        <v>19161</v>
      </c>
      <c r="C19162" s="3">
        <v>2</v>
      </c>
    </row>
    <row r="19163" spans="1:3" x14ac:dyDescent="0.25">
      <c r="A19163" s="1" t="s">
        <v>19162</v>
      </c>
      <c r="C19163" s="3">
        <v>2</v>
      </c>
    </row>
    <row r="19164" spans="1:3" x14ac:dyDescent="0.25">
      <c r="A19164" s="1" t="s">
        <v>19163</v>
      </c>
      <c r="C19164" s="3">
        <v>2</v>
      </c>
    </row>
    <row r="19165" spans="1:3" x14ac:dyDescent="0.25">
      <c r="A19165" s="1" t="s">
        <v>19164</v>
      </c>
      <c r="C19165" s="3">
        <v>2</v>
      </c>
    </row>
    <row r="19166" spans="1:3" x14ac:dyDescent="0.25">
      <c r="A19166" s="1" t="s">
        <v>19165</v>
      </c>
      <c r="C19166" s="3">
        <v>2</v>
      </c>
    </row>
    <row r="19167" spans="1:3" x14ac:dyDescent="0.25">
      <c r="A19167" s="1" t="s">
        <v>19166</v>
      </c>
      <c r="C19167" s="3">
        <v>2</v>
      </c>
    </row>
    <row r="19168" spans="1:3" x14ac:dyDescent="0.25">
      <c r="A19168" s="1" t="s">
        <v>19167</v>
      </c>
      <c r="C19168" s="3">
        <v>2</v>
      </c>
    </row>
    <row r="19169" spans="1:3" x14ac:dyDescent="0.25">
      <c r="A19169" s="1" t="s">
        <v>19168</v>
      </c>
      <c r="C19169" s="3">
        <v>2</v>
      </c>
    </row>
    <row r="19170" spans="1:3" x14ac:dyDescent="0.25">
      <c r="A19170" s="1" t="s">
        <v>19169</v>
      </c>
      <c r="C19170" s="3">
        <v>2</v>
      </c>
    </row>
    <row r="19171" spans="1:3" x14ac:dyDescent="0.25">
      <c r="A19171" s="1" t="s">
        <v>19170</v>
      </c>
      <c r="C19171" s="3">
        <v>2</v>
      </c>
    </row>
    <row r="19172" spans="1:3" x14ac:dyDescent="0.25">
      <c r="A19172" s="1" t="s">
        <v>19171</v>
      </c>
      <c r="C19172" s="3">
        <v>2</v>
      </c>
    </row>
    <row r="19173" spans="1:3" x14ac:dyDescent="0.25">
      <c r="A19173" s="1" t="s">
        <v>19172</v>
      </c>
      <c r="C19173" s="3">
        <v>2</v>
      </c>
    </row>
    <row r="19174" spans="1:3" x14ac:dyDescent="0.25">
      <c r="A19174" s="1" t="s">
        <v>19173</v>
      </c>
      <c r="C19174" s="3">
        <v>2</v>
      </c>
    </row>
    <row r="19175" spans="1:3" x14ac:dyDescent="0.25">
      <c r="A19175" s="1" t="s">
        <v>19174</v>
      </c>
      <c r="C19175" s="3">
        <v>2</v>
      </c>
    </row>
    <row r="19176" spans="1:3" x14ac:dyDescent="0.25">
      <c r="A19176" s="1" t="s">
        <v>19175</v>
      </c>
      <c r="C19176" s="3">
        <v>2</v>
      </c>
    </row>
    <row r="19177" spans="1:3" x14ac:dyDescent="0.25">
      <c r="A19177" s="1" t="s">
        <v>19176</v>
      </c>
      <c r="C19177" s="3">
        <v>2</v>
      </c>
    </row>
    <row r="19178" spans="1:3" x14ac:dyDescent="0.25">
      <c r="A19178" s="1" t="s">
        <v>19177</v>
      </c>
      <c r="C19178" s="3">
        <v>2</v>
      </c>
    </row>
    <row r="19179" spans="1:3" x14ac:dyDescent="0.25">
      <c r="A19179" s="1" t="s">
        <v>19178</v>
      </c>
      <c r="C19179" s="3">
        <v>2</v>
      </c>
    </row>
    <row r="19180" spans="1:3" x14ac:dyDescent="0.25">
      <c r="A19180" s="1" t="s">
        <v>19179</v>
      </c>
      <c r="C19180" s="3">
        <v>2</v>
      </c>
    </row>
    <row r="19181" spans="1:3" x14ac:dyDescent="0.25">
      <c r="A19181" s="1" t="s">
        <v>19180</v>
      </c>
      <c r="C19181" s="3">
        <v>2</v>
      </c>
    </row>
    <row r="19182" spans="1:3" x14ac:dyDescent="0.25">
      <c r="A19182" s="1" t="s">
        <v>19181</v>
      </c>
      <c r="C19182" s="3">
        <v>2</v>
      </c>
    </row>
    <row r="19183" spans="1:3" x14ac:dyDescent="0.25">
      <c r="A19183" s="1" t="s">
        <v>19182</v>
      </c>
      <c r="C19183" s="3">
        <v>2</v>
      </c>
    </row>
    <row r="19184" spans="1:3" x14ac:dyDescent="0.25">
      <c r="A19184" s="1" t="s">
        <v>19183</v>
      </c>
      <c r="C19184" s="3">
        <v>2</v>
      </c>
    </row>
    <row r="19185" spans="1:3" x14ac:dyDescent="0.25">
      <c r="A19185" s="1" t="s">
        <v>19184</v>
      </c>
      <c r="C19185" s="3">
        <v>2</v>
      </c>
    </row>
    <row r="19186" spans="1:3" x14ac:dyDescent="0.25">
      <c r="A19186" s="1" t="s">
        <v>19185</v>
      </c>
      <c r="C19186" s="3">
        <v>2</v>
      </c>
    </row>
    <row r="19187" spans="1:3" x14ac:dyDescent="0.25">
      <c r="A19187" s="1" t="s">
        <v>19186</v>
      </c>
      <c r="C19187" s="3">
        <v>2</v>
      </c>
    </row>
    <row r="19188" spans="1:3" x14ac:dyDescent="0.25">
      <c r="A19188" s="1" t="s">
        <v>19187</v>
      </c>
      <c r="C19188" s="3">
        <v>2</v>
      </c>
    </row>
    <row r="19189" spans="1:3" x14ac:dyDescent="0.25">
      <c r="A19189" s="1" t="s">
        <v>19188</v>
      </c>
      <c r="C19189" s="3">
        <v>2</v>
      </c>
    </row>
    <row r="19190" spans="1:3" x14ac:dyDescent="0.25">
      <c r="A19190" s="1" t="s">
        <v>19189</v>
      </c>
      <c r="C19190" s="3">
        <v>2</v>
      </c>
    </row>
    <row r="19191" spans="1:3" x14ac:dyDescent="0.25">
      <c r="A19191" s="1" t="s">
        <v>19190</v>
      </c>
      <c r="C19191" s="3">
        <v>2</v>
      </c>
    </row>
    <row r="19192" spans="1:3" x14ac:dyDescent="0.25">
      <c r="A19192" s="1" t="s">
        <v>19191</v>
      </c>
      <c r="C19192" s="3">
        <v>2</v>
      </c>
    </row>
    <row r="19193" spans="1:3" x14ac:dyDescent="0.25">
      <c r="A19193" s="1" t="s">
        <v>19192</v>
      </c>
      <c r="C19193" s="3">
        <v>2</v>
      </c>
    </row>
    <row r="19194" spans="1:3" x14ac:dyDescent="0.25">
      <c r="A19194" s="1" t="s">
        <v>19193</v>
      </c>
      <c r="C19194" s="3">
        <v>2</v>
      </c>
    </row>
    <row r="19195" spans="1:3" x14ac:dyDescent="0.25">
      <c r="A19195" s="1" t="s">
        <v>19194</v>
      </c>
      <c r="C19195" s="3">
        <v>2</v>
      </c>
    </row>
    <row r="19196" spans="1:3" x14ac:dyDescent="0.25">
      <c r="A19196" s="1" t="s">
        <v>19195</v>
      </c>
      <c r="C19196" s="3">
        <v>2</v>
      </c>
    </row>
    <row r="19197" spans="1:3" x14ac:dyDescent="0.25">
      <c r="A19197" s="1" t="s">
        <v>19196</v>
      </c>
      <c r="C19197" s="3">
        <v>2</v>
      </c>
    </row>
    <row r="19198" spans="1:3" x14ac:dyDescent="0.25">
      <c r="A19198" s="1" t="s">
        <v>19197</v>
      </c>
      <c r="C19198" s="3">
        <v>2</v>
      </c>
    </row>
    <row r="19199" spans="1:3" x14ac:dyDescent="0.25">
      <c r="A19199" s="1" t="s">
        <v>19198</v>
      </c>
      <c r="C19199" s="3">
        <v>2</v>
      </c>
    </row>
    <row r="19200" spans="1:3" x14ac:dyDescent="0.25">
      <c r="A19200" s="1" t="s">
        <v>19199</v>
      </c>
      <c r="C19200" s="3">
        <v>2</v>
      </c>
    </row>
    <row r="19201" spans="1:3" x14ac:dyDescent="0.25">
      <c r="A19201" s="1" t="s">
        <v>19200</v>
      </c>
      <c r="C19201" s="3">
        <v>2</v>
      </c>
    </row>
    <row r="19202" spans="1:3" x14ac:dyDescent="0.25">
      <c r="A19202" s="1" t="s">
        <v>19201</v>
      </c>
      <c r="C19202" s="3">
        <v>2</v>
      </c>
    </row>
    <row r="19203" spans="1:3" x14ac:dyDescent="0.25">
      <c r="A19203" s="1" t="s">
        <v>19202</v>
      </c>
      <c r="C19203" s="3">
        <v>2</v>
      </c>
    </row>
    <row r="19204" spans="1:3" x14ac:dyDescent="0.25">
      <c r="A19204" s="1" t="s">
        <v>19203</v>
      </c>
      <c r="C19204" s="3">
        <v>2</v>
      </c>
    </row>
    <row r="19205" spans="1:3" x14ac:dyDescent="0.25">
      <c r="A19205" s="1" t="s">
        <v>19204</v>
      </c>
      <c r="C19205" s="3">
        <v>2</v>
      </c>
    </row>
    <row r="19206" spans="1:3" x14ac:dyDescent="0.25">
      <c r="A19206" s="1" t="s">
        <v>19205</v>
      </c>
      <c r="C19206" s="3">
        <v>2</v>
      </c>
    </row>
    <row r="19207" spans="1:3" x14ac:dyDescent="0.25">
      <c r="A19207" s="1" t="s">
        <v>19206</v>
      </c>
      <c r="C19207" s="3">
        <v>2</v>
      </c>
    </row>
    <row r="19208" spans="1:3" x14ac:dyDescent="0.25">
      <c r="A19208" s="1" t="s">
        <v>19207</v>
      </c>
      <c r="C19208" s="3">
        <v>2</v>
      </c>
    </row>
    <row r="19209" spans="1:3" x14ac:dyDescent="0.25">
      <c r="A19209" s="1" t="s">
        <v>19208</v>
      </c>
      <c r="C19209" s="3">
        <v>2</v>
      </c>
    </row>
    <row r="19210" spans="1:3" x14ac:dyDescent="0.25">
      <c r="A19210" s="1" t="s">
        <v>19209</v>
      </c>
      <c r="C19210" s="3">
        <v>2</v>
      </c>
    </row>
    <row r="19211" spans="1:3" x14ac:dyDescent="0.25">
      <c r="A19211" s="1" t="s">
        <v>19210</v>
      </c>
      <c r="C19211" s="3">
        <v>2</v>
      </c>
    </row>
    <row r="19212" spans="1:3" x14ac:dyDescent="0.25">
      <c r="A19212" s="1" t="s">
        <v>19211</v>
      </c>
      <c r="C19212" s="3">
        <v>2</v>
      </c>
    </row>
    <row r="19213" spans="1:3" x14ac:dyDescent="0.25">
      <c r="A19213" s="1" t="s">
        <v>19212</v>
      </c>
      <c r="C19213" s="3">
        <v>2</v>
      </c>
    </row>
    <row r="19214" spans="1:3" x14ac:dyDescent="0.25">
      <c r="A19214" s="1" t="s">
        <v>19213</v>
      </c>
      <c r="C19214" s="3">
        <v>2</v>
      </c>
    </row>
    <row r="19215" spans="1:3" x14ac:dyDescent="0.25">
      <c r="A19215" s="1" t="s">
        <v>19214</v>
      </c>
      <c r="C19215" s="3">
        <v>2</v>
      </c>
    </row>
    <row r="19216" spans="1:3" x14ac:dyDescent="0.25">
      <c r="A19216" s="1" t="s">
        <v>19215</v>
      </c>
      <c r="C19216" s="3">
        <v>2</v>
      </c>
    </row>
    <row r="19217" spans="1:3" x14ac:dyDescent="0.25">
      <c r="A19217" s="1" t="s">
        <v>19216</v>
      </c>
      <c r="C19217" s="3">
        <v>2</v>
      </c>
    </row>
    <row r="19218" spans="1:3" x14ac:dyDescent="0.25">
      <c r="A19218" s="1" t="s">
        <v>19217</v>
      </c>
      <c r="C19218" s="3">
        <v>2</v>
      </c>
    </row>
    <row r="19219" spans="1:3" x14ac:dyDescent="0.25">
      <c r="A19219" s="1" t="s">
        <v>19218</v>
      </c>
      <c r="C19219" s="3">
        <v>2</v>
      </c>
    </row>
    <row r="19220" spans="1:3" x14ac:dyDescent="0.25">
      <c r="A19220" s="1" t="s">
        <v>19219</v>
      </c>
      <c r="C19220" s="3">
        <v>2</v>
      </c>
    </row>
    <row r="19221" spans="1:3" x14ac:dyDescent="0.25">
      <c r="A19221" s="1" t="s">
        <v>19220</v>
      </c>
      <c r="C19221" s="3">
        <v>2</v>
      </c>
    </row>
    <row r="19222" spans="1:3" x14ac:dyDescent="0.25">
      <c r="A19222" s="1" t="s">
        <v>19221</v>
      </c>
      <c r="C19222" s="3">
        <v>2</v>
      </c>
    </row>
    <row r="19223" spans="1:3" x14ac:dyDescent="0.25">
      <c r="A19223" s="1" t="s">
        <v>19222</v>
      </c>
      <c r="C19223" s="3">
        <v>2</v>
      </c>
    </row>
    <row r="19224" spans="1:3" x14ac:dyDescent="0.25">
      <c r="A19224" s="1" t="s">
        <v>19223</v>
      </c>
      <c r="C19224" s="3">
        <v>2</v>
      </c>
    </row>
    <row r="19225" spans="1:3" x14ac:dyDescent="0.25">
      <c r="A19225" s="1" t="s">
        <v>19224</v>
      </c>
      <c r="C19225" s="3">
        <v>2</v>
      </c>
    </row>
    <row r="19226" spans="1:3" x14ac:dyDescent="0.25">
      <c r="A19226" s="1" t="s">
        <v>19225</v>
      </c>
      <c r="C19226" s="3">
        <v>2</v>
      </c>
    </row>
    <row r="19227" spans="1:3" x14ac:dyDescent="0.25">
      <c r="A19227" s="1" t="s">
        <v>19226</v>
      </c>
      <c r="C19227" s="3">
        <v>2</v>
      </c>
    </row>
    <row r="19228" spans="1:3" x14ac:dyDescent="0.25">
      <c r="A19228" s="1" t="s">
        <v>19227</v>
      </c>
      <c r="C19228" s="3">
        <v>2</v>
      </c>
    </row>
    <row r="19229" spans="1:3" x14ac:dyDescent="0.25">
      <c r="A19229" s="1" t="s">
        <v>19228</v>
      </c>
      <c r="C19229" s="3">
        <v>2</v>
      </c>
    </row>
    <row r="19230" spans="1:3" x14ac:dyDescent="0.25">
      <c r="A19230" s="1" t="s">
        <v>19229</v>
      </c>
      <c r="C19230" s="3">
        <v>2</v>
      </c>
    </row>
    <row r="19231" spans="1:3" x14ac:dyDescent="0.25">
      <c r="A19231" s="1" t="s">
        <v>19230</v>
      </c>
      <c r="C19231" s="3">
        <v>2</v>
      </c>
    </row>
    <row r="19232" spans="1:3" x14ac:dyDescent="0.25">
      <c r="A19232" s="1" t="s">
        <v>19231</v>
      </c>
      <c r="C19232" s="3">
        <v>2</v>
      </c>
    </row>
    <row r="19233" spans="1:3" x14ac:dyDescent="0.25">
      <c r="A19233" s="1" t="s">
        <v>19232</v>
      </c>
      <c r="C19233" s="3">
        <v>2</v>
      </c>
    </row>
    <row r="19234" spans="1:3" x14ac:dyDescent="0.25">
      <c r="A19234" s="1" t="s">
        <v>19233</v>
      </c>
      <c r="C19234" s="3">
        <v>2</v>
      </c>
    </row>
    <row r="19235" spans="1:3" x14ac:dyDescent="0.25">
      <c r="A19235" s="1" t="s">
        <v>19234</v>
      </c>
      <c r="C19235" s="3">
        <v>2</v>
      </c>
    </row>
    <row r="19236" spans="1:3" x14ac:dyDescent="0.25">
      <c r="A19236" s="1" t="s">
        <v>19235</v>
      </c>
      <c r="C19236" s="3">
        <v>2</v>
      </c>
    </row>
    <row r="19237" spans="1:3" x14ac:dyDescent="0.25">
      <c r="A19237" s="1" t="s">
        <v>19236</v>
      </c>
      <c r="C19237" s="3">
        <v>2</v>
      </c>
    </row>
    <row r="19238" spans="1:3" x14ac:dyDescent="0.25">
      <c r="A19238" s="1" t="s">
        <v>19237</v>
      </c>
      <c r="C19238" s="3">
        <v>2</v>
      </c>
    </row>
    <row r="19239" spans="1:3" x14ac:dyDescent="0.25">
      <c r="A19239" s="1" t="s">
        <v>19238</v>
      </c>
      <c r="C19239" s="3">
        <v>2</v>
      </c>
    </row>
    <row r="19240" spans="1:3" x14ac:dyDescent="0.25">
      <c r="A19240" s="1" t="s">
        <v>19239</v>
      </c>
      <c r="C19240" s="3">
        <v>2</v>
      </c>
    </row>
    <row r="19241" spans="1:3" x14ac:dyDescent="0.25">
      <c r="A19241" s="1" t="s">
        <v>19240</v>
      </c>
      <c r="C19241" s="3">
        <v>2</v>
      </c>
    </row>
    <row r="19242" spans="1:3" x14ac:dyDescent="0.25">
      <c r="A19242" s="1" t="s">
        <v>19241</v>
      </c>
      <c r="C19242" s="3">
        <v>2</v>
      </c>
    </row>
    <row r="19243" spans="1:3" x14ac:dyDescent="0.25">
      <c r="A19243" s="1" t="s">
        <v>19242</v>
      </c>
      <c r="C19243" s="3">
        <v>2</v>
      </c>
    </row>
    <row r="19244" spans="1:3" x14ac:dyDescent="0.25">
      <c r="A19244" s="1" t="s">
        <v>19243</v>
      </c>
      <c r="C19244" s="3">
        <v>2</v>
      </c>
    </row>
    <row r="19245" spans="1:3" x14ac:dyDescent="0.25">
      <c r="A19245" s="1" t="s">
        <v>19244</v>
      </c>
      <c r="C19245" s="3">
        <v>2</v>
      </c>
    </row>
    <row r="19246" spans="1:3" x14ac:dyDescent="0.25">
      <c r="A19246" s="1" t="s">
        <v>19245</v>
      </c>
      <c r="C19246" s="3">
        <v>2</v>
      </c>
    </row>
    <row r="19247" spans="1:3" x14ac:dyDescent="0.25">
      <c r="A19247" s="1" t="s">
        <v>19246</v>
      </c>
      <c r="C19247" s="3">
        <v>2</v>
      </c>
    </row>
    <row r="19248" spans="1:3" x14ac:dyDescent="0.25">
      <c r="A19248" s="1" t="s">
        <v>19247</v>
      </c>
      <c r="C19248" s="3">
        <v>2</v>
      </c>
    </row>
    <row r="19249" spans="1:3" x14ac:dyDescent="0.25">
      <c r="A19249" s="1" t="s">
        <v>19248</v>
      </c>
      <c r="C19249" s="3">
        <v>2</v>
      </c>
    </row>
    <row r="19250" spans="1:3" x14ac:dyDescent="0.25">
      <c r="A19250" s="1" t="s">
        <v>19249</v>
      </c>
      <c r="C19250" s="3">
        <v>2</v>
      </c>
    </row>
    <row r="19251" spans="1:3" x14ac:dyDescent="0.25">
      <c r="A19251" s="1" t="s">
        <v>19250</v>
      </c>
      <c r="C19251" s="3">
        <v>2</v>
      </c>
    </row>
    <row r="19252" spans="1:3" x14ac:dyDescent="0.25">
      <c r="A19252" s="1" t="s">
        <v>19251</v>
      </c>
      <c r="C19252" s="3">
        <v>2</v>
      </c>
    </row>
    <row r="19253" spans="1:3" x14ac:dyDescent="0.25">
      <c r="A19253" s="1" t="s">
        <v>19252</v>
      </c>
      <c r="C19253" s="3">
        <v>2</v>
      </c>
    </row>
    <row r="19254" spans="1:3" x14ac:dyDescent="0.25">
      <c r="A19254" s="1" t="s">
        <v>19253</v>
      </c>
      <c r="C19254" s="3">
        <v>2</v>
      </c>
    </row>
    <row r="19255" spans="1:3" x14ac:dyDescent="0.25">
      <c r="A19255" s="1" t="s">
        <v>19254</v>
      </c>
      <c r="C19255" s="3">
        <v>2</v>
      </c>
    </row>
    <row r="19256" spans="1:3" x14ac:dyDescent="0.25">
      <c r="A19256" s="1" t="s">
        <v>19255</v>
      </c>
      <c r="C19256" s="3">
        <v>2</v>
      </c>
    </row>
    <row r="19257" spans="1:3" x14ac:dyDescent="0.25">
      <c r="A19257" s="1" t="s">
        <v>19256</v>
      </c>
      <c r="C19257" s="3">
        <v>2</v>
      </c>
    </row>
    <row r="19258" spans="1:3" x14ac:dyDescent="0.25">
      <c r="A19258" s="1" t="s">
        <v>19257</v>
      </c>
      <c r="C19258" s="3">
        <v>2</v>
      </c>
    </row>
    <row r="19259" spans="1:3" x14ac:dyDescent="0.25">
      <c r="A19259" s="1" t="s">
        <v>19258</v>
      </c>
      <c r="C19259" s="3">
        <v>2</v>
      </c>
    </row>
    <row r="19260" spans="1:3" x14ac:dyDescent="0.25">
      <c r="A19260" s="1" t="s">
        <v>19259</v>
      </c>
      <c r="C19260" s="3">
        <v>2</v>
      </c>
    </row>
    <row r="19261" spans="1:3" x14ac:dyDescent="0.25">
      <c r="A19261" s="1" t="s">
        <v>19260</v>
      </c>
      <c r="C19261" s="3">
        <v>2</v>
      </c>
    </row>
    <row r="19262" spans="1:3" x14ac:dyDescent="0.25">
      <c r="A19262" s="1" t="s">
        <v>19261</v>
      </c>
      <c r="C19262" s="3">
        <v>2</v>
      </c>
    </row>
    <row r="19263" spans="1:3" x14ac:dyDescent="0.25">
      <c r="A19263" s="1" t="s">
        <v>19262</v>
      </c>
      <c r="C19263" s="3">
        <v>2</v>
      </c>
    </row>
    <row r="19264" spans="1:3" x14ac:dyDescent="0.25">
      <c r="A19264" s="1" t="s">
        <v>19263</v>
      </c>
      <c r="C19264" s="3">
        <v>2</v>
      </c>
    </row>
    <row r="19265" spans="1:3" x14ac:dyDescent="0.25">
      <c r="A19265" s="1" t="s">
        <v>19264</v>
      </c>
      <c r="C19265" s="3">
        <v>2</v>
      </c>
    </row>
    <row r="19266" spans="1:3" x14ac:dyDescent="0.25">
      <c r="A19266" s="1" t="s">
        <v>19265</v>
      </c>
      <c r="C19266" s="3">
        <v>2</v>
      </c>
    </row>
    <row r="19267" spans="1:3" x14ac:dyDescent="0.25">
      <c r="A19267" s="1" t="s">
        <v>19266</v>
      </c>
      <c r="C19267" s="3">
        <v>2</v>
      </c>
    </row>
    <row r="19268" spans="1:3" x14ac:dyDescent="0.25">
      <c r="A19268" s="1" t="s">
        <v>19267</v>
      </c>
      <c r="C19268" s="3">
        <v>2</v>
      </c>
    </row>
    <row r="19269" spans="1:3" x14ac:dyDescent="0.25">
      <c r="A19269" s="1" t="s">
        <v>19268</v>
      </c>
      <c r="C19269" s="3">
        <v>2</v>
      </c>
    </row>
    <row r="19270" spans="1:3" x14ac:dyDescent="0.25">
      <c r="A19270" s="1" t="s">
        <v>19269</v>
      </c>
      <c r="C19270" s="3">
        <v>2</v>
      </c>
    </row>
    <row r="19271" spans="1:3" x14ac:dyDescent="0.25">
      <c r="A19271" s="1" t="s">
        <v>19270</v>
      </c>
      <c r="C19271" s="3">
        <v>2</v>
      </c>
    </row>
    <row r="19272" spans="1:3" x14ac:dyDescent="0.25">
      <c r="A19272" s="1" t="s">
        <v>19271</v>
      </c>
      <c r="C19272" s="3">
        <v>2</v>
      </c>
    </row>
    <row r="19273" spans="1:3" x14ac:dyDescent="0.25">
      <c r="A19273" s="1" t="s">
        <v>19272</v>
      </c>
      <c r="C19273" s="3">
        <v>2</v>
      </c>
    </row>
    <row r="19274" spans="1:3" x14ac:dyDescent="0.25">
      <c r="A19274" s="1" t="s">
        <v>19273</v>
      </c>
      <c r="C19274" s="3">
        <v>2</v>
      </c>
    </row>
    <row r="19275" spans="1:3" x14ac:dyDescent="0.25">
      <c r="A19275" s="1" t="s">
        <v>19274</v>
      </c>
      <c r="C19275" s="3">
        <v>2</v>
      </c>
    </row>
    <row r="19276" spans="1:3" x14ac:dyDescent="0.25">
      <c r="A19276" s="1" t="s">
        <v>19275</v>
      </c>
      <c r="C19276" s="3">
        <v>2</v>
      </c>
    </row>
    <row r="19277" spans="1:3" x14ac:dyDescent="0.25">
      <c r="A19277" s="1" t="s">
        <v>19276</v>
      </c>
      <c r="C19277" s="3">
        <v>2</v>
      </c>
    </row>
    <row r="19278" spans="1:3" x14ac:dyDescent="0.25">
      <c r="A19278" s="1" t="s">
        <v>19277</v>
      </c>
      <c r="C19278" s="3">
        <v>2</v>
      </c>
    </row>
    <row r="19279" spans="1:3" x14ac:dyDescent="0.25">
      <c r="A19279" s="1" t="s">
        <v>19278</v>
      </c>
      <c r="C19279" s="3">
        <v>2</v>
      </c>
    </row>
    <row r="19280" spans="1:3" x14ac:dyDescent="0.25">
      <c r="A19280" s="1" t="s">
        <v>19279</v>
      </c>
      <c r="C19280" s="3">
        <v>2</v>
      </c>
    </row>
    <row r="19281" spans="1:3" x14ac:dyDescent="0.25">
      <c r="A19281" s="1" t="s">
        <v>19280</v>
      </c>
      <c r="C19281" s="3">
        <v>2</v>
      </c>
    </row>
    <row r="19282" spans="1:3" x14ac:dyDescent="0.25">
      <c r="A19282" s="1" t="s">
        <v>19281</v>
      </c>
      <c r="C19282" s="3">
        <v>2</v>
      </c>
    </row>
    <row r="19283" spans="1:3" x14ac:dyDescent="0.25">
      <c r="A19283" s="1" t="s">
        <v>19282</v>
      </c>
      <c r="C19283" s="3">
        <v>2</v>
      </c>
    </row>
    <row r="19284" spans="1:3" x14ac:dyDescent="0.25">
      <c r="A19284" s="1" t="s">
        <v>19283</v>
      </c>
      <c r="C19284" s="3">
        <v>2</v>
      </c>
    </row>
    <row r="19285" spans="1:3" x14ac:dyDescent="0.25">
      <c r="A19285" s="1" t="s">
        <v>19284</v>
      </c>
      <c r="C19285" s="3">
        <v>2</v>
      </c>
    </row>
    <row r="19286" spans="1:3" x14ac:dyDescent="0.25">
      <c r="A19286" s="1" t="s">
        <v>19285</v>
      </c>
      <c r="C19286" s="3">
        <v>2</v>
      </c>
    </row>
    <row r="19287" spans="1:3" x14ac:dyDescent="0.25">
      <c r="A19287" s="1" t="s">
        <v>19286</v>
      </c>
      <c r="C19287" s="3">
        <v>2</v>
      </c>
    </row>
    <row r="19288" spans="1:3" x14ac:dyDescent="0.25">
      <c r="A19288" s="1" t="s">
        <v>19287</v>
      </c>
      <c r="C19288" s="3">
        <v>2</v>
      </c>
    </row>
    <row r="19289" spans="1:3" x14ac:dyDescent="0.25">
      <c r="A19289" s="1" t="s">
        <v>19288</v>
      </c>
      <c r="C19289" s="3">
        <v>2</v>
      </c>
    </row>
    <row r="19290" spans="1:3" x14ac:dyDescent="0.25">
      <c r="A19290" s="1" t="s">
        <v>19289</v>
      </c>
      <c r="C19290" s="3">
        <v>2</v>
      </c>
    </row>
    <row r="19291" spans="1:3" x14ac:dyDescent="0.25">
      <c r="A19291" s="1" t="s">
        <v>19290</v>
      </c>
      <c r="C19291" s="3">
        <v>2</v>
      </c>
    </row>
    <row r="19292" spans="1:3" x14ac:dyDescent="0.25">
      <c r="A19292" s="1" t="s">
        <v>19291</v>
      </c>
      <c r="C19292" s="3">
        <v>2</v>
      </c>
    </row>
    <row r="19293" spans="1:3" x14ac:dyDescent="0.25">
      <c r="A19293" s="1" t="s">
        <v>19292</v>
      </c>
      <c r="C19293" s="3">
        <v>2</v>
      </c>
    </row>
    <row r="19294" spans="1:3" x14ac:dyDescent="0.25">
      <c r="A19294" s="1" t="s">
        <v>19293</v>
      </c>
      <c r="C19294" s="3">
        <v>2</v>
      </c>
    </row>
    <row r="19295" spans="1:3" x14ac:dyDescent="0.25">
      <c r="A19295" s="1" t="s">
        <v>19294</v>
      </c>
      <c r="C19295" s="3">
        <v>2</v>
      </c>
    </row>
    <row r="19296" spans="1:3" x14ac:dyDescent="0.25">
      <c r="A19296" s="1" t="s">
        <v>19295</v>
      </c>
      <c r="C19296" s="3">
        <v>2</v>
      </c>
    </row>
    <row r="19297" spans="1:3" x14ac:dyDescent="0.25">
      <c r="A19297" s="1" t="s">
        <v>19296</v>
      </c>
      <c r="C19297" s="3">
        <v>2</v>
      </c>
    </row>
    <row r="19298" spans="1:3" x14ac:dyDescent="0.25">
      <c r="A19298" s="1" t="s">
        <v>19297</v>
      </c>
      <c r="C19298" s="3">
        <v>2</v>
      </c>
    </row>
    <row r="19299" spans="1:3" x14ac:dyDescent="0.25">
      <c r="A19299" s="1" t="s">
        <v>19298</v>
      </c>
      <c r="C19299" s="3">
        <v>2</v>
      </c>
    </row>
    <row r="19300" spans="1:3" x14ac:dyDescent="0.25">
      <c r="A19300" s="1" t="s">
        <v>19299</v>
      </c>
      <c r="C19300" s="3">
        <v>2</v>
      </c>
    </row>
    <row r="19301" spans="1:3" x14ac:dyDescent="0.25">
      <c r="A19301" s="1" t="s">
        <v>19300</v>
      </c>
      <c r="C19301" s="3">
        <v>2</v>
      </c>
    </row>
    <row r="19302" spans="1:3" x14ac:dyDescent="0.25">
      <c r="A19302" s="1" t="s">
        <v>19301</v>
      </c>
      <c r="C19302" s="3">
        <v>2</v>
      </c>
    </row>
    <row r="19303" spans="1:3" x14ac:dyDescent="0.25">
      <c r="A19303" s="1" t="s">
        <v>19302</v>
      </c>
      <c r="C19303" s="3">
        <v>2</v>
      </c>
    </row>
    <row r="19304" spans="1:3" x14ac:dyDescent="0.25">
      <c r="A19304" s="1" t="s">
        <v>19303</v>
      </c>
      <c r="C19304" s="3">
        <v>2</v>
      </c>
    </row>
    <row r="19305" spans="1:3" x14ac:dyDescent="0.25">
      <c r="A19305" s="1" t="s">
        <v>19304</v>
      </c>
      <c r="C19305" s="3">
        <v>2</v>
      </c>
    </row>
    <row r="19306" spans="1:3" x14ac:dyDescent="0.25">
      <c r="A19306" s="1" t="s">
        <v>19305</v>
      </c>
      <c r="C19306" s="3">
        <v>2</v>
      </c>
    </row>
    <row r="19307" spans="1:3" x14ac:dyDescent="0.25">
      <c r="A19307" s="1" t="s">
        <v>19306</v>
      </c>
      <c r="C19307" s="3">
        <v>2</v>
      </c>
    </row>
    <row r="19308" spans="1:3" x14ac:dyDescent="0.25">
      <c r="A19308" s="1" t="s">
        <v>19307</v>
      </c>
      <c r="C19308" s="3">
        <v>2</v>
      </c>
    </row>
    <row r="19309" spans="1:3" x14ac:dyDescent="0.25">
      <c r="A19309" s="1" t="s">
        <v>19308</v>
      </c>
      <c r="C19309" s="3">
        <v>2</v>
      </c>
    </row>
    <row r="19310" spans="1:3" x14ac:dyDescent="0.25">
      <c r="A19310" s="1" t="s">
        <v>19309</v>
      </c>
      <c r="C19310" s="3">
        <v>2</v>
      </c>
    </row>
    <row r="19311" spans="1:3" x14ac:dyDescent="0.25">
      <c r="A19311" s="1" t="s">
        <v>19310</v>
      </c>
      <c r="C19311" s="3">
        <v>2</v>
      </c>
    </row>
    <row r="19312" spans="1:3" x14ac:dyDescent="0.25">
      <c r="A19312" s="1" t="s">
        <v>19311</v>
      </c>
      <c r="C19312" s="3">
        <v>2</v>
      </c>
    </row>
    <row r="19313" spans="1:3" x14ac:dyDescent="0.25">
      <c r="A19313" s="1" t="s">
        <v>19312</v>
      </c>
      <c r="C19313" s="3">
        <v>2</v>
      </c>
    </row>
    <row r="19314" spans="1:3" x14ac:dyDescent="0.25">
      <c r="A19314" s="1" t="s">
        <v>19313</v>
      </c>
      <c r="C19314" s="3">
        <v>2</v>
      </c>
    </row>
    <row r="19315" spans="1:3" x14ac:dyDescent="0.25">
      <c r="A19315" s="1" t="s">
        <v>19314</v>
      </c>
      <c r="C19315" s="3">
        <v>2</v>
      </c>
    </row>
    <row r="19316" spans="1:3" x14ac:dyDescent="0.25">
      <c r="A19316" s="1" t="s">
        <v>19315</v>
      </c>
      <c r="C19316" s="3">
        <v>2</v>
      </c>
    </row>
    <row r="19317" spans="1:3" x14ac:dyDescent="0.25">
      <c r="A19317" s="1" t="s">
        <v>19316</v>
      </c>
      <c r="C19317" s="3">
        <v>2</v>
      </c>
    </row>
    <row r="19318" spans="1:3" x14ac:dyDescent="0.25">
      <c r="A19318" s="1" t="s">
        <v>19317</v>
      </c>
      <c r="C19318" s="3">
        <v>2</v>
      </c>
    </row>
    <row r="19319" spans="1:3" x14ac:dyDescent="0.25">
      <c r="A19319" s="1" t="s">
        <v>19318</v>
      </c>
      <c r="C19319" s="3">
        <v>2</v>
      </c>
    </row>
    <row r="19320" spans="1:3" x14ac:dyDescent="0.25">
      <c r="A19320" s="1" t="s">
        <v>19319</v>
      </c>
      <c r="C19320" s="3">
        <v>2</v>
      </c>
    </row>
    <row r="19321" spans="1:3" x14ac:dyDescent="0.25">
      <c r="A19321" s="1" t="s">
        <v>19320</v>
      </c>
      <c r="C19321" s="3">
        <v>2</v>
      </c>
    </row>
    <row r="19322" spans="1:3" x14ac:dyDescent="0.25">
      <c r="A19322" s="1" t="s">
        <v>19321</v>
      </c>
      <c r="C19322" s="3">
        <v>2</v>
      </c>
    </row>
    <row r="19323" spans="1:3" x14ac:dyDescent="0.25">
      <c r="A19323" s="1" t="s">
        <v>19322</v>
      </c>
      <c r="C19323" s="3">
        <v>2</v>
      </c>
    </row>
    <row r="19324" spans="1:3" x14ac:dyDescent="0.25">
      <c r="A19324" s="1" t="s">
        <v>19323</v>
      </c>
      <c r="C19324" s="3">
        <v>2</v>
      </c>
    </row>
    <row r="19325" spans="1:3" x14ac:dyDescent="0.25">
      <c r="A19325" s="1" t="s">
        <v>19324</v>
      </c>
      <c r="C19325" s="3">
        <v>2</v>
      </c>
    </row>
    <row r="19326" spans="1:3" x14ac:dyDescent="0.25">
      <c r="A19326" s="1" t="s">
        <v>19325</v>
      </c>
      <c r="C19326" s="3">
        <v>2</v>
      </c>
    </row>
    <row r="19327" spans="1:3" x14ac:dyDescent="0.25">
      <c r="A19327" s="1" t="s">
        <v>19326</v>
      </c>
      <c r="C19327" s="3">
        <v>2</v>
      </c>
    </row>
    <row r="19328" spans="1:3" x14ac:dyDescent="0.25">
      <c r="A19328" s="1" t="s">
        <v>19327</v>
      </c>
      <c r="C19328" s="3">
        <v>2</v>
      </c>
    </row>
    <row r="19329" spans="1:3" x14ac:dyDescent="0.25">
      <c r="A19329" s="1" t="s">
        <v>19328</v>
      </c>
      <c r="C19329" s="3">
        <v>2</v>
      </c>
    </row>
    <row r="19330" spans="1:3" x14ac:dyDescent="0.25">
      <c r="A19330" s="1" t="s">
        <v>19329</v>
      </c>
      <c r="C19330" s="3">
        <v>2</v>
      </c>
    </row>
    <row r="19331" spans="1:3" x14ac:dyDescent="0.25">
      <c r="A19331" s="1" t="s">
        <v>19330</v>
      </c>
      <c r="C19331" s="3">
        <v>2</v>
      </c>
    </row>
    <row r="19332" spans="1:3" x14ac:dyDescent="0.25">
      <c r="A19332" s="1" t="s">
        <v>19331</v>
      </c>
      <c r="C19332" s="3">
        <v>2</v>
      </c>
    </row>
    <row r="19333" spans="1:3" x14ac:dyDescent="0.25">
      <c r="A19333" s="1" t="s">
        <v>19332</v>
      </c>
      <c r="C19333" s="3">
        <v>2</v>
      </c>
    </row>
    <row r="19334" spans="1:3" x14ac:dyDescent="0.25">
      <c r="A19334" s="1" t="s">
        <v>19333</v>
      </c>
      <c r="C19334" s="3">
        <v>2</v>
      </c>
    </row>
    <row r="19335" spans="1:3" x14ac:dyDescent="0.25">
      <c r="A19335" s="1" t="s">
        <v>19334</v>
      </c>
      <c r="C19335" s="3">
        <v>2</v>
      </c>
    </row>
    <row r="19336" spans="1:3" x14ac:dyDescent="0.25">
      <c r="A19336" s="1" t="s">
        <v>19335</v>
      </c>
      <c r="C19336" s="3">
        <v>2</v>
      </c>
    </row>
    <row r="19337" spans="1:3" x14ac:dyDescent="0.25">
      <c r="A19337" s="1" t="s">
        <v>19336</v>
      </c>
      <c r="C19337" s="3">
        <v>2</v>
      </c>
    </row>
    <row r="19338" spans="1:3" x14ac:dyDescent="0.25">
      <c r="A19338" s="1" t="s">
        <v>19337</v>
      </c>
      <c r="C19338" s="3">
        <v>2</v>
      </c>
    </row>
    <row r="19339" spans="1:3" x14ac:dyDescent="0.25">
      <c r="A19339" s="1" t="s">
        <v>19338</v>
      </c>
      <c r="C19339" s="3">
        <v>2</v>
      </c>
    </row>
    <row r="19340" spans="1:3" x14ac:dyDescent="0.25">
      <c r="A19340" s="1" t="s">
        <v>19339</v>
      </c>
      <c r="C19340" s="3">
        <v>2</v>
      </c>
    </row>
    <row r="19341" spans="1:3" x14ac:dyDescent="0.25">
      <c r="A19341" s="1" t="s">
        <v>19340</v>
      </c>
      <c r="C19341" s="3">
        <v>2</v>
      </c>
    </row>
    <row r="19342" spans="1:3" x14ac:dyDescent="0.25">
      <c r="A19342" s="1" t="s">
        <v>19341</v>
      </c>
      <c r="C19342" s="3">
        <v>2</v>
      </c>
    </row>
    <row r="19343" spans="1:3" x14ac:dyDescent="0.25">
      <c r="A19343" s="1" t="s">
        <v>19342</v>
      </c>
      <c r="C19343" s="3">
        <v>2</v>
      </c>
    </row>
    <row r="19344" spans="1:3" x14ac:dyDescent="0.25">
      <c r="A19344" s="1" t="s">
        <v>19343</v>
      </c>
      <c r="C19344" s="3">
        <v>2</v>
      </c>
    </row>
    <row r="19345" spans="1:3" x14ac:dyDescent="0.25">
      <c r="A19345" s="1" t="s">
        <v>19344</v>
      </c>
      <c r="C19345" s="3">
        <v>2</v>
      </c>
    </row>
    <row r="19346" spans="1:3" x14ac:dyDescent="0.25">
      <c r="A19346" s="1" t="s">
        <v>19345</v>
      </c>
      <c r="C19346" s="3">
        <v>2</v>
      </c>
    </row>
    <row r="19347" spans="1:3" x14ac:dyDescent="0.25">
      <c r="A19347" s="1" t="s">
        <v>19346</v>
      </c>
      <c r="C19347" s="3">
        <v>2</v>
      </c>
    </row>
    <row r="19348" spans="1:3" x14ac:dyDescent="0.25">
      <c r="A19348" s="1" t="s">
        <v>19347</v>
      </c>
      <c r="C19348" s="3">
        <v>2</v>
      </c>
    </row>
    <row r="19349" spans="1:3" x14ac:dyDescent="0.25">
      <c r="A19349" s="1" t="s">
        <v>19348</v>
      </c>
      <c r="C19349" s="3">
        <v>2</v>
      </c>
    </row>
    <row r="19350" spans="1:3" x14ac:dyDescent="0.25">
      <c r="A19350" s="1" t="s">
        <v>19349</v>
      </c>
      <c r="C19350" s="3">
        <v>2</v>
      </c>
    </row>
    <row r="19351" spans="1:3" x14ac:dyDescent="0.25">
      <c r="A19351" s="1" t="s">
        <v>19350</v>
      </c>
      <c r="C19351" s="3">
        <v>2</v>
      </c>
    </row>
    <row r="19352" spans="1:3" x14ac:dyDescent="0.25">
      <c r="A19352" s="1" t="s">
        <v>19351</v>
      </c>
      <c r="C19352" s="3">
        <v>2</v>
      </c>
    </row>
    <row r="19353" spans="1:3" x14ac:dyDescent="0.25">
      <c r="A19353" s="1" t="s">
        <v>19352</v>
      </c>
      <c r="C19353" s="3">
        <v>2</v>
      </c>
    </row>
    <row r="19354" spans="1:3" x14ac:dyDescent="0.25">
      <c r="A19354" s="1" t="s">
        <v>19353</v>
      </c>
      <c r="C19354" s="3">
        <v>2</v>
      </c>
    </row>
    <row r="19355" spans="1:3" x14ac:dyDescent="0.25">
      <c r="A19355" s="1" t="s">
        <v>19354</v>
      </c>
      <c r="C19355" s="3">
        <v>2</v>
      </c>
    </row>
    <row r="19356" spans="1:3" x14ac:dyDescent="0.25">
      <c r="A19356" s="1" t="s">
        <v>19355</v>
      </c>
      <c r="C19356" s="3">
        <v>2</v>
      </c>
    </row>
    <row r="19357" spans="1:3" x14ac:dyDescent="0.25">
      <c r="A19357" s="1" t="s">
        <v>19356</v>
      </c>
      <c r="C19357" s="3">
        <v>2</v>
      </c>
    </row>
    <row r="19358" spans="1:3" x14ac:dyDescent="0.25">
      <c r="A19358" s="1" t="s">
        <v>19357</v>
      </c>
      <c r="C19358" s="3">
        <v>2</v>
      </c>
    </row>
    <row r="19359" spans="1:3" x14ac:dyDescent="0.25">
      <c r="A19359" s="1" t="s">
        <v>19358</v>
      </c>
      <c r="C19359" s="3">
        <v>2</v>
      </c>
    </row>
    <row r="19360" spans="1:3" x14ac:dyDescent="0.25">
      <c r="A19360" s="1" t="s">
        <v>19359</v>
      </c>
      <c r="C19360" s="3">
        <v>2</v>
      </c>
    </row>
    <row r="19361" spans="1:3" x14ac:dyDescent="0.25">
      <c r="A19361" s="1" t="s">
        <v>19360</v>
      </c>
      <c r="C19361" s="3">
        <v>2</v>
      </c>
    </row>
    <row r="19362" spans="1:3" x14ac:dyDescent="0.25">
      <c r="A19362" s="1" t="s">
        <v>19361</v>
      </c>
      <c r="C19362" s="3">
        <v>2</v>
      </c>
    </row>
    <row r="19363" spans="1:3" x14ac:dyDescent="0.25">
      <c r="A19363" s="1" t="s">
        <v>19362</v>
      </c>
      <c r="C19363" s="3">
        <v>2</v>
      </c>
    </row>
    <row r="19364" spans="1:3" x14ac:dyDescent="0.25">
      <c r="A19364" s="1" t="s">
        <v>19363</v>
      </c>
      <c r="C19364" s="3">
        <v>2</v>
      </c>
    </row>
    <row r="19365" spans="1:3" x14ac:dyDescent="0.25">
      <c r="A19365" s="1" t="s">
        <v>19364</v>
      </c>
      <c r="C19365" s="3">
        <v>2</v>
      </c>
    </row>
    <row r="19366" spans="1:3" x14ac:dyDescent="0.25">
      <c r="A19366" s="1" t="s">
        <v>19365</v>
      </c>
      <c r="C19366" s="3">
        <v>2</v>
      </c>
    </row>
    <row r="19367" spans="1:3" x14ac:dyDescent="0.25">
      <c r="A19367" s="1" t="s">
        <v>19366</v>
      </c>
      <c r="C19367" s="3">
        <v>2</v>
      </c>
    </row>
    <row r="19368" spans="1:3" x14ac:dyDescent="0.25">
      <c r="A19368" s="1" t="s">
        <v>19367</v>
      </c>
      <c r="C19368" s="3">
        <v>2</v>
      </c>
    </row>
    <row r="19369" spans="1:3" x14ac:dyDescent="0.25">
      <c r="A19369" s="1" t="s">
        <v>19368</v>
      </c>
      <c r="C19369" s="3">
        <v>2</v>
      </c>
    </row>
    <row r="19370" spans="1:3" x14ac:dyDescent="0.25">
      <c r="A19370" s="1" t="s">
        <v>19369</v>
      </c>
      <c r="C19370" s="3">
        <v>2</v>
      </c>
    </row>
    <row r="19371" spans="1:3" x14ac:dyDescent="0.25">
      <c r="A19371" s="1" t="s">
        <v>19370</v>
      </c>
      <c r="C19371" s="3">
        <v>2</v>
      </c>
    </row>
    <row r="19372" spans="1:3" x14ac:dyDescent="0.25">
      <c r="A19372" s="1" t="s">
        <v>19371</v>
      </c>
      <c r="C19372" s="3">
        <v>2</v>
      </c>
    </row>
    <row r="19373" spans="1:3" x14ac:dyDescent="0.25">
      <c r="A19373" s="1" t="s">
        <v>19372</v>
      </c>
      <c r="C19373" s="3">
        <v>2</v>
      </c>
    </row>
    <row r="19374" spans="1:3" x14ac:dyDescent="0.25">
      <c r="A19374" s="1" t="s">
        <v>19373</v>
      </c>
      <c r="C19374" s="3">
        <v>2</v>
      </c>
    </row>
    <row r="19375" spans="1:3" x14ac:dyDescent="0.25">
      <c r="A19375" s="1" t="s">
        <v>19374</v>
      </c>
      <c r="C19375" s="3">
        <v>2</v>
      </c>
    </row>
    <row r="19376" spans="1:3" x14ac:dyDescent="0.25">
      <c r="A19376" s="1" t="s">
        <v>19375</v>
      </c>
      <c r="C19376" s="3">
        <v>2</v>
      </c>
    </row>
    <row r="19377" spans="1:3" x14ac:dyDescent="0.25">
      <c r="A19377" s="1" t="s">
        <v>19376</v>
      </c>
      <c r="C19377" s="3">
        <v>2</v>
      </c>
    </row>
    <row r="19378" spans="1:3" x14ac:dyDescent="0.25">
      <c r="A19378" s="1" t="s">
        <v>19377</v>
      </c>
      <c r="C19378" s="3">
        <v>2</v>
      </c>
    </row>
    <row r="19379" spans="1:3" x14ac:dyDescent="0.25">
      <c r="A19379" s="1" t="s">
        <v>19378</v>
      </c>
      <c r="C19379" s="3">
        <v>2</v>
      </c>
    </row>
    <row r="19380" spans="1:3" x14ac:dyDescent="0.25">
      <c r="A19380" s="1" t="s">
        <v>19379</v>
      </c>
      <c r="C19380" s="3">
        <v>2</v>
      </c>
    </row>
    <row r="19381" spans="1:3" x14ac:dyDescent="0.25">
      <c r="A19381" s="1" t="s">
        <v>19380</v>
      </c>
      <c r="C19381" s="3">
        <v>2</v>
      </c>
    </row>
    <row r="19382" spans="1:3" x14ac:dyDescent="0.25">
      <c r="A19382" s="1" t="s">
        <v>19381</v>
      </c>
      <c r="C19382" s="3">
        <v>2</v>
      </c>
    </row>
    <row r="19383" spans="1:3" x14ac:dyDescent="0.25">
      <c r="A19383" s="1" t="s">
        <v>19382</v>
      </c>
      <c r="C19383" s="3">
        <v>2</v>
      </c>
    </row>
    <row r="19384" spans="1:3" x14ac:dyDescent="0.25">
      <c r="A19384" s="1" t="s">
        <v>19383</v>
      </c>
      <c r="C19384" s="3">
        <v>2</v>
      </c>
    </row>
    <row r="19385" spans="1:3" x14ac:dyDescent="0.25">
      <c r="A19385" s="1" t="s">
        <v>19384</v>
      </c>
      <c r="C19385" s="3">
        <v>2</v>
      </c>
    </row>
    <row r="19386" spans="1:3" x14ac:dyDescent="0.25">
      <c r="A19386" s="1" t="s">
        <v>19385</v>
      </c>
      <c r="C19386" s="3">
        <v>2</v>
      </c>
    </row>
    <row r="19387" spans="1:3" x14ac:dyDescent="0.25">
      <c r="A19387" s="1" t="s">
        <v>19386</v>
      </c>
      <c r="C19387" s="3">
        <v>2</v>
      </c>
    </row>
    <row r="19388" spans="1:3" x14ac:dyDescent="0.25">
      <c r="A19388" s="1" t="s">
        <v>19387</v>
      </c>
      <c r="C19388" s="3">
        <v>2</v>
      </c>
    </row>
    <row r="19389" spans="1:3" x14ac:dyDescent="0.25">
      <c r="A19389" s="1" t="s">
        <v>19388</v>
      </c>
      <c r="C19389" s="3">
        <v>2</v>
      </c>
    </row>
    <row r="19390" spans="1:3" x14ac:dyDescent="0.25">
      <c r="A19390" s="1" t="s">
        <v>19389</v>
      </c>
      <c r="C19390" s="3">
        <v>2</v>
      </c>
    </row>
    <row r="19391" spans="1:3" x14ac:dyDescent="0.25">
      <c r="A19391" s="1" t="s">
        <v>19390</v>
      </c>
      <c r="C19391" s="3">
        <v>2</v>
      </c>
    </row>
    <row r="19392" spans="1:3" x14ac:dyDescent="0.25">
      <c r="A19392" s="1" t="s">
        <v>19391</v>
      </c>
      <c r="C19392" s="3">
        <v>2</v>
      </c>
    </row>
    <row r="19393" spans="1:3" x14ac:dyDescent="0.25">
      <c r="A19393" s="1" t="s">
        <v>19392</v>
      </c>
      <c r="C19393" s="3">
        <v>2</v>
      </c>
    </row>
    <row r="19394" spans="1:3" x14ac:dyDescent="0.25">
      <c r="A19394" s="1" t="s">
        <v>19393</v>
      </c>
      <c r="C19394" s="3">
        <v>2</v>
      </c>
    </row>
    <row r="19395" spans="1:3" x14ac:dyDescent="0.25">
      <c r="A19395" s="1" t="s">
        <v>19394</v>
      </c>
      <c r="C19395" s="3">
        <v>2</v>
      </c>
    </row>
    <row r="19396" spans="1:3" x14ac:dyDescent="0.25">
      <c r="A19396" s="1" t="s">
        <v>19395</v>
      </c>
      <c r="C19396" s="3">
        <v>2</v>
      </c>
    </row>
    <row r="19397" spans="1:3" x14ac:dyDescent="0.25">
      <c r="A19397" s="1" t="s">
        <v>19396</v>
      </c>
      <c r="C19397" s="3">
        <v>2</v>
      </c>
    </row>
    <row r="19398" spans="1:3" x14ac:dyDescent="0.25">
      <c r="A19398" s="1" t="s">
        <v>19397</v>
      </c>
      <c r="C19398" s="3">
        <v>2</v>
      </c>
    </row>
    <row r="19399" spans="1:3" x14ac:dyDescent="0.25">
      <c r="A19399" s="1" t="s">
        <v>19398</v>
      </c>
      <c r="C19399" s="3">
        <v>2</v>
      </c>
    </row>
    <row r="19400" spans="1:3" x14ac:dyDescent="0.25">
      <c r="A19400" s="1" t="s">
        <v>19399</v>
      </c>
      <c r="C19400" s="3">
        <v>2</v>
      </c>
    </row>
    <row r="19401" spans="1:3" x14ac:dyDescent="0.25">
      <c r="A19401" s="1" t="s">
        <v>19400</v>
      </c>
      <c r="C19401" s="3">
        <v>2</v>
      </c>
    </row>
    <row r="19402" spans="1:3" x14ac:dyDescent="0.25">
      <c r="A19402" s="1" t="s">
        <v>19401</v>
      </c>
      <c r="C19402" s="3">
        <v>2</v>
      </c>
    </row>
    <row r="19403" spans="1:3" x14ac:dyDescent="0.25">
      <c r="A19403" s="1" t="s">
        <v>19402</v>
      </c>
      <c r="C19403" s="3">
        <v>2</v>
      </c>
    </row>
    <row r="19404" spans="1:3" x14ac:dyDescent="0.25">
      <c r="A19404" s="1" t="s">
        <v>19403</v>
      </c>
      <c r="C19404" s="3">
        <v>2</v>
      </c>
    </row>
    <row r="19405" spans="1:3" x14ac:dyDescent="0.25">
      <c r="A19405" s="1" t="s">
        <v>19404</v>
      </c>
      <c r="C19405" s="3">
        <v>2</v>
      </c>
    </row>
    <row r="19406" spans="1:3" x14ac:dyDescent="0.25">
      <c r="A19406" s="1" t="s">
        <v>19405</v>
      </c>
      <c r="C19406" s="3">
        <v>2</v>
      </c>
    </row>
    <row r="19407" spans="1:3" x14ac:dyDescent="0.25">
      <c r="A19407" s="1" t="s">
        <v>19406</v>
      </c>
      <c r="C19407" s="3">
        <v>2</v>
      </c>
    </row>
    <row r="19408" spans="1:3" x14ac:dyDescent="0.25">
      <c r="A19408" s="1" t="s">
        <v>19407</v>
      </c>
      <c r="C19408" s="3">
        <v>2</v>
      </c>
    </row>
    <row r="19409" spans="1:3" x14ac:dyDescent="0.25">
      <c r="A19409" s="1" t="s">
        <v>19408</v>
      </c>
      <c r="C19409" s="3">
        <v>2</v>
      </c>
    </row>
    <row r="19410" spans="1:3" x14ac:dyDescent="0.25">
      <c r="A19410" s="1" t="s">
        <v>19409</v>
      </c>
      <c r="C19410" s="3">
        <v>2</v>
      </c>
    </row>
    <row r="19411" spans="1:3" x14ac:dyDescent="0.25">
      <c r="A19411" s="1" t="s">
        <v>19410</v>
      </c>
      <c r="C19411" s="3">
        <v>2</v>
      </c>
    </row>
    <row r="19412" spans="1:3" x14ac:dyDescent="0.25">
      <c r="A19412" s="1" t="s">
        <v>19411</v>
      </c>
      <c r="C19412" s="3">
        <v>2</v>
      </c>
    </row>
    <row r="19413" spans="1:3" x14ac:dyDescent="0.25">
      <c r="A19413" s="1" t="s">
        <v>19412</v>
      </c>
      <c r="C19413" s="3">
        <v>2</v>
      </c>
    </row>
    <row r="19414" spans="1:3" x14ac:dyDescent="0.25">
      <c r="A19414" s="1" t="s">
        <v>19413</v>
      </c>
      <c r="C19414" s="3">
        <v>2</v>
      </c>
    </row>
    <row r="19415" spans="1:3" x14ac:dyDescent="0.25">
      <c r="A19415" s="1" t="s">
        <v>19414</v>
      </c>
      <c r="C19415" s="3">
        <v>2</v>
      </c>
    </row>
    <row r="19416" spans="1:3" x14ac:dyDescent="0.25">
      <c r="A19416" s="1" t="s">
        <v>19415</v>
      </c>
      <c r="C19416" s="3">
        <v>2</v>
      </c>
    </row>
    <row r="19417" spans="1:3" x14ac:dyDescent="0.25">
      <c r="A19417" s="1" t="s">
        <v>19416</v>
      </c>
      <c r="C19417" s="3">
        <v>2</v>
      </c>
    </row>
    <row r="19418" spans="1:3" x14ac:dyDescent="0.25">
      <c r="A19418" s="1" t="s">
        <v>19417</v>
      </c>
      <c r="C19418" s="3">
        <v>2</v>
      </c>
    </row>
    <row r="19419" spans="1:3" x14ac:dyDescent="0.25">
      <c r="A19419" s="1" t="s">
        <v>19418</v>
      </c>
      <c r="C19419" s="3">
        <v>2</v>
      </c>
    </row>
    <row r="19420" spans="1:3" x14ac:dyDescent="0.25">
      <c r="A19420" s="1" t="s">
        <v>19419</v>
      </c>
      <c r="C19420" s="3">
        <v>2</v>
      </c>
    </row>
    <row r="19421" spans="1:3" x14ac:dyDescent="0.25">
      <c r="A19421" s="1" t="s">
        <v>19420</v>
      </c>
      <c r="C19421" s="3">
        <v>2</v>
      </c>
    </row>
    <row r="19422" spans="1:3" x14ac:dyDescent="0.25">
      <c r="A19422" s="1" t="s">
        <v>19421</v>
      </c>
      <c r="C19422" s="3">
        <v>2</v>
      </c>
    </row>
    <row r="19423" spans="1:3" x14ac:dyDescent="0.25">
      <c r="A19423" s="1" t="s">
        <v>19422</v>
      </c>
      <c r="C19423" s="3">
        <v>2</v>
      </c>
    </row>
    <row r="19424" spans="1:3" x14ac:dyDescent="0.25">
      <c r="A19424" s="1" t="s">
        <v>19423</v>
      </c>
      <c r="C19424" s="3">
        <v>2</v>
      </c>
    </row>
    <row r="19425" spans="1:3" x14ac:dyDescent="0.25">
      <c r="A19425" s="1" t="s">
        <v>19424</v>
      </c>
      <c r="C19425" s="3">
        <v>2</v>
      </c>
    </row>
    <row r="19426" spans="1:3" x14ac:dyDescent="0.25">
      <c r="A19426" s="1" t="s">
        <v>19425</v>
      </c>
      <c r="C19426" s="3">
        <v>2</v>
      </c>
    </row>
    <row r="19427" spans="1:3" x14ac:dyDescent="0.25">
      <c r="A19427" s="1" t="s">
        <v>19426</v>
      </c>
      <c r="C19427" s="3">
        <v>2</v>
      </c>
    </row>
    <row r="19428" spans="1:3" x14ac:dyDescent="0.25">
      <c r="A19428" s="1" t="s">
        <v>19427</v>
      </c>
      <c r="C19428" s="3">
        <v>2</v>
      </c>
    </row>
    <row r="19429" spans="1:3" x14ac:dyDescent="0.25">
      <c r="A19429" s="1" t="s">
        <v>19428</v>
      </c>
      <c r="C19429" s="3">
        <v>2</v>
      </c>
    </row>
    <row r="19430" spans="1:3" x14ac:dyDescent="0.25">
      <c r="A19430" s="1" t="s">
        <v>19429</v>
      </c>
      <c r="C19430" s="3">
        <v>2</v>
      </c>
    </row>
    <row r="19431" spans="1:3" x14ac:dyDescent="0.25">
      <c r="A19431" s="1" t="s">
        <v>19430</v>
      </c>
      <c r="C19431" s="3">
        <v>2</v>
      </c>
    </row>
    <row r="19432" spans="1:3" x14ac:dyDescent="0.25">
      <c r="A19432" s="1" t="s">
        <v>19431</v>
      </c>
      <c r="C19432" s="3">
        <v>2</v>
      </c>
    </row>
    <row r="19433" spans="1:3" x14ac:dyDescent="0.25">
      <c r="A19433" s="1" t="s">
        <v>19432</v>
      </c>
      <c r="C19433" s="3">
        <v>2</v>
      </c>
    </row>
    <row r="19434" spans="1:3" x14ac:dyDescent="0.25">
      <c r="A19434" s="1" t="s">
        <v>19433</v>
      </c>
      <c r="C19434" s="3">
        <v>2</v>
      </c>
    </row>
    <row r="19435" spans="1:3" x14ac:dyDescent="0.25">
      <c r="A19435" s="1" t="s">
        <v>19434</v>
      </c>
      <c r="C19435" s="3">
        <v>2</v>
      </c>
    </row>
    <row r="19436" spans="1:3" x14ac:dyDescent="0.25">
      <c r="A19436" s="1" t="s">
        <v>19435</v>
      </c>
      <c r="C19436" s="3">
        <v>2</v>
      </c>
    </row>
    <row r="19437" spans="1:3" x14ac:dyDescent="0.25">
      <c r="A19437" s="1" t="s">
        <v>19436</v>
      </c>
      <c r="C19437" s="3">
        <v>2</v>
      </c>
    </row>
    <row r="19438" spans="1:3" x14ac:dyDescent="0.25">
      <c r="A19438" s="1" t="s">
        <v>19437</v>
      </c>
      <c r="C19438" s="3">
        <v>2</v>
      </c>
    </row>
    <row r="19439" spans="1:3" x14ac:dyDescent="0.25">
      <c r="A19439" s="1" t="s">
        <v>19438</v>
      </c>
      <c r="C19439" s="3">
        <v>2</v>
      </c>
    </row>
    <row r="19440" spans="1:3" x14ac:dyDescent="0.25">
      <c r="A19440" s="1" t="s">
        <v>19439</v>
      </c>
      <c r="C19440" s="3">
        <v>2</v>
      </c>
    </row>
    <row r="19441" spans="1:3" x14ac:dyDescent="0.25">
      <c r="A19441" s="1" t="s">
        <v>19440</v>
      </c>
      <c r="C19441" s="3">
        <v>2</v>
      </c>
    </row>
    <row r="19442" spans="1:3" x14ac:dyDescent="0.25">
      <c r="A19442" s="1" t="s">
        <v>19441</v>
      </c>
      <c r="C19442" s="3">
        <v>2</v>
      </c>
    </row>
    <row r="19443" spans="1:3" x14ac:dyDescent="0.25">
      <c r="A19443" s="1" t="s">
        <v>19442</v>
      </c>
      <c r="C19443" s="3">
        <v>2</v>
      </c>
    </row>
    <row r="19444" spans="1:3" x14ac:dyDescent="0.25">
      <c r="A19444" s="1" t="s">
        <v>19443</v>
      </c>
      <c r="C19444" s="3">
        <v>2</v>
      </c>
    </row>
    <row r="19445" spans="1:3" x14ac:dyDescent="0.25">
      <c r="A19445" s="1" t="s">
        <v>19444</v>
      </c>
      <c r="C19445" s="3">
        <v>2</v>
      </c>
    </row>
    <row r="19446" spans="1:3" x14ac:dyDescent="0.25">
      <c r="A19446" s="1" t="s">
        <v>19445</v>
      </c>
      <c r="C19446" s="3">
        <v>2</v>
      </c>
    </row>
    <row r="19447" spans="1:3" x14ac:dyDescent="0.25">
      <c r="A19447" s="1" t="s">
        <v>19446</v>
      </c>
      <c r="C19447" s="3">
        <v>2</v>
      </c>
    </row>
    <row r="19448" spans="1:3" x14ac:dyDescent="0.25">
      <c r="A19448" s="1" t="s">
        <v>19447</v>
      </c>
      <c r="C19448" s="3">
        <v>2</v>
      </c>
    </row>
    <row r="19449" spans="1:3" x14ac:dyDescent="0.25">
      <c r="A19449" s="1" t="s">
        <v>19448</v>
      </c>
      <c r="C19449" s="3">
        <v>2</v>
      </c>
    </row>
    <row r="19450" spans="1:3" x14ac:dyDescent="0.25">
      <c r="A19450" s="1" t="s">
        <v>19449</v>
      </c>
      <c r="C19450" s="3">
        <v>2</v>
      </c>
    </row>
    <row r="19451" spans="1:3" x14ac:dyDescent="0.25">
      <c r="A19451" s="1" t="s">
        <v>19450</v>
      </c>
      <c r="C19451" s="3">
        <v>2</v>
      </c>
    </row>
    <row r="19452" spans="1:3" x14ac:dyDescent="0.25">
      <c r="A19452" s="1" t="s">
        <v>19451</v>
      </c>
      <c r="C19452" s="3">
        <v>2</v>
      </c>
    </row>
    <row r="19453" spans="1:3" x14ac:dyDescent="0.25">
      <c r="A19453" s="1" t="s">
        <v>19452</v>
      </c>
      <c r="C19453" s="3">
        <v>2</v>
      </c>
    </row>
    <row r="19454" spans="1:3" x14ac:dyDescent="0.25">
      <c r="A19454" s="1" t="s">
        <v>19453</v>
      </c>
      <c r="C19454" s="3">
        <v>2</v>
      </c>
    </row>
    <row r="19455" spans="1:3" x14ac:dyDescent="0.25">
      <c r="A19455" s="1" t="s">
        <v>19454</v>
      </c>
      <c r="C19455" s="3">
        <v>2</v>
      </c>
    </row>
    <row r="19456" spans="1:3" x14ac:dyDescent="0.25">
      <c r="A19456" s="1" t="s">
        <v>19455</v>
      </c>
      <c r="C19456" s="3">
        <v>2</v>
      </c>
    </row>
    <row r="19457" spans="1:3" x14ac:dyDescent="0.25">
      <c r="A19457" s="1" t="s">
        <v>19456</v>
      </c>
      <c r="C19457" s="3">
        <v>2</v>
      </c>
    </row>
    <row r="19458" spans="1:3" x14ac:dyDescent="0.25">
      <c r="A19458" s="1" t="s">
        <v>19457</v>
      </c>
      <c r="C19458" s="3">
        <v>2</v>
      </c>
    </row>
    <row r="19459" spans="1:3" x14ac:dyDescent="0.25">
      <c r="A19459" s="1" t="s">
        <v>19458</v>
      </c>
      <c r="C19459" s="3">
        <v>2</v>
      </c>
    </row>
    <row r="19460" spans="1:3" x14ac:dyDescent="0.25">
      <c r="A19460" s="1" t="s">
        <v>19459</v>
      </c>
      <c r="C19460" s="3">
        <v>2</v>
      </c>
    </row>
    <row r="19461" spans="1:3" x14ac:dyDescent="0.25">
      <c r="A19461" s="1" t="s">
        <v>19460</v>
      </c>
      <c r="C19461" s="3">
        <v>2</v>
      </c>
    </row>
    <row r="19462" spans="1:3" x14ac:dyDescent="0.25">
      <c r="A19462" s="1" t="s">
        <v>19461</v>
      </c>
      <c r="C19462" s="3">
        <v>2</v>
      </c>
    </row>
    <row r="19463" spans="1:3" x14ac:dyDescent="0.25">
      <c r="A19463" s="1" t="s">
        <v>19462</v>
      </c>
      <c r="C19463" s="3">
        <v>2</v>
      </c>
    </row>
    <row r="19464" spans="1:3" x14ac:dyDescent="0.25">
      <c r="A19464" s="1" t="s">
        <v>19463</v>
      </c>
      <c r="C19464" s="3">
        <v>2</v>
      </c>
    </row>
    <row r="19465" spans="1:3" x14ac:dyDescent="0.25">
      <c r="A19465" s="1" t="s">
        <v>19464</v>
      </c>
      <c r="C19465" s="3">
        <v>2</v>
      </c>
    </row>
    <row r="19466" spans="1:3" x14ac:dyDescent="0.25">
      <c r="A19466" s="1" t="s">
        <v>19465</v>
      </c>
      <c r="C19466" s="3">
        <v>2</v>
      </c>
    </row>
    <row r="19467" spans="1:3" x14ac:dyDescent="0.25">
      <c r="A19467" s="1" t="s">
        <v>19466</v>
      </c>
      <c r="C19467" s="3">
        <v>2</v>
      </c>
    </row>
    <row r="19468" spans="1:3" x14ac:dyDescent="0.25">
      <c r="A19468" s="1" t="s">
        <v>19467</v>
      </c>
      <c r="C19468" s="3">
        <v>2</v>
      </c>
    </row>
    <row r="19469" spans="1:3" x14ac:dyDescent="0.25">
      <c r="A19469" s="1" t="s">
        <v>19468</v>
      </c>
      <c r="C19469" s="3">
        <v>2</v>
      </c>
    </row>
    <row r="19470" spans="1:3" x14ac:dyDescent="0.25">
      <c r="A19470" s="1" t="s">
        <v>19469</v>
      </c>
      <c r="C19470" s="3">
        <v>2</v>
      </c>
    </row>
    <row r="19471" spans="1:3" x14ac:dyDescent="0.25">
      <c r="A19471" s="1" t="s">
        <v>19470</v>
      </c>
      <c r="C19471" s="3">
        <v>2</v>
      </c>
    </row>
    <row r="19472" spans="1:3" x14ac:dyDescent="0.25">
      <c r="A19472" s="1" t="s">
        <v>19471</v>
      </c>
      <c r="C19472" s="3">
        <v>2</v>
      </c>
    </row>
    <row r="19473" spans="1:3" x14ac:dyDescent="0.25">
      <c r="A19473" s="1" t="s">
        <v>19472</v>
      </c>
      <c r="C19473" s="3">
        <v>2</v>
      </c>
    </row>
    <row r="19474" spans="1:3" x14ac:dyDescent="0.25">
      <c r="A19474" s="1" t="s">
        <v>19473</v>
      </c>
      <c r="C19474" s="3">
        <v>2</v>
      </c>
    </row>
    <row r="19475" spans="1:3" x14ac:dyDescent="0.25">
      <c r="A19475" s="1" t="s">
        <v>19474</v>
      </c>
      <c r="C19475" s="3">
        <v>2</v>
      </c>
    </row>
    <row r="19476" spans="1:3" x14ac:dyDescent="0.25">
      <c r="A19476" s="1" t="s">
        <v>19475</v>
      </c>
      <c r="C19476" s="3">
        <v>2</v>
      </c>
    </row>
    <row r="19477" spans="1:3" x14ac:dyDescent="0.25">
      <c r="A19477" s="1" t="s">
        <v>19476</v>
      </c>
      <c r="C19477" s="3">
        <v>2</v>
      </c>
    </row>
    <row r="19478" spans="1:3" x14ac:dyDescent="0.25">
      <c r="A19478" s="1" t="s">
        <v>19477</v>
      </c>
      <c r="C19478" s="3">
        <v>2</v>
      </c>
    </row>
    <row r="19479" spans="1:3" x14ac:dyDescent="0.25">
      <c r="A19479" s="1" t="s">
        <v>19478</v>
      </c>
      <c r="C19479" s="3">
        <v>2</v>
      </c>
    </row>
    <row r="19480" spans="1:3" x14ac:dyDescent="0.25">
      <c r="A19480" s="1" t="s">
        <v>19479</v>
      </c>
      <c r="C19480" s="3">
        <v>2</v>
      </c>
    </row>
    <row r="19481" spans="1:3" x14ac:dyDescent="0.25">
      <c r="A19481" s="1" t="s">
        <v>19480</v>
      </c>
      <c r="C19481" s="3">
        <v>2</v>
      </c>
    </row>
    <row r="19482" spans="1:3" x14ac:dyDescent="0.25">
      <c r="A19482" s="1" t="s">
        <v>19481</v>
      </c>
      <c r="C19482" s="3">
        <v>2</v>
      </c>
    </row>
    <row r="19483" spans="1:3" x14ac:dyDescent="0.25">
      <c r="A19483" s="1" t="s">
        <v>19482</v>
      </c>
      <c r="C19483" s="3">
        <v>2</v>
      </c>
    </row>
    <row r="19484" spans="1:3" x14ac:dyDescent="0.25">
      <c r="A19484" s="1" t="s">
        <v>19483</v>
      </c>
      <c r="C19484" s="3">
        <v>2</v>
      </c>
    </row>
    <row r="19485" spans="1:3" x14ac:dyDescent="0.25">
      <c r="A19485" s="1" t="s">
        <v>19484</v>
      </c>
      <c r="C19485" s="3">
        <v>2</v>
      </c>
    </row>
    <row r="19486" spans="1:3" x14ac:dyDescent="0.25">
      <c r="A19486" s="1" t="s">
        <v>19485</v>
      </c>
      <c r="C19486" s="3">
        <v>2</v>
      </c>
    </row>
    <row r="19487" spans="1:3" x14ac:dyDescent="0.25">
      <c r="A19487" s="1" t="s">
        <v>19486</v>
      </c>
      <c r="C19487" s="3">
        <v>2</v>
      </c>
    </row>
    <row r="19488" spans="1:3" x14ac:dyDescent="0.25">
      <c r="A19488" s="1" t="s">
        <v>19487</v>
      </c>
      <c r="C19488" s="3">
        <v>2</v>
      </c>
    </row>
    <row r="19489" spans="1:3" x14ac:dyDescent="0.25">
      <c r="A19489" s="1" t="s">
        <v>19488</v>
      </c>
      <c r="C19489" s="3">
        <v>2</v>
      </c>
    </row>
    <row r="19490" spans="1:3" x14ac:dyDescent="0.25">
      <c r="A19490" s="1" t="s">
        <v>19489</v>
      </c>
      <c r="C19490" s="3">
        <v>2</v>
      </c>
    </row>
    <row r="19491" spans="1:3" x14ac:dyDescent="0.25">
      <c r="A19491" s="1" t="s">
        <v>19490</v>
      </c>
      <c r="C19491" s="3">
        <v>2</v>
      </c>
    </row>
    <row r="19492" spans="1:3" x14ac:dyDescent="0.25">
      <c r="A19492" s="1" t="s">
        <v>19491</v>
      </c>
      <c r="C19492" s="3">
        <v>2</v>
      </c>
    </row>
    <row r="19493" spans="1:3" x14ac:dyDescent="0.25">
      <c r="A19493" s="1" t="s">
        <v>19492</v>
      </c>
      <c r="C19493" s="3">
        <v>2</v>
      </c>
    </row>
    <row r="19494" spans="1:3" x14ac:dyDescent="0.25">
      <c r="A19494" s="1" t="s">
        <v>19493</v>
      </c>
      <c r="C19494" s="3">
        <v>2</v>
      </c>
    </row>
    <row r="19495" spans="1:3" x14ac:dyDescent="0.25">
      <c r="A19495" s="1" t="s">
        <v>19494</v>
      </c>
      <c r="C19495" s="3">
        <v>2</v>
      </c>
    </row>
    <row r="19496" spans="1:3" x14ac:dyDescent="0.25">
      <c r="A19496" s="1" t="s">
        <v>19495</v>
      </c>
      <c r="C19496" s="3">
        <v>2</v>
      </c>
    </row>
    <row r="19497" spans="1:3" x14ac:dyDescent="0.25">
      <c r="A19497" s="1" t="s">
        <v>19496</v>
      </c>
      <c r="C19497" s="3">
        <v>2</v>
      </c>
    </row>
    <row r="19498" spans="1:3" x14ac:dyDescent="0.25">
      <c r="A19498" s="1" t="s">
        <v>19497</v>
      </c>
      <c r="C19498" s="3">
        <v>2</v>
      </c>
    </row>
    <row r="19499" spans="1:3" x14ac:dyDescent="0.25">
      <c r="A19499" s="1" t="s">
        <v>19498</v>
      </c>
      <c r="C19499" s="3">
        <v>2</v>
      </c>
    </row>
    <row r="19500" spans="1:3" x14ac:dyDescent="0.25">
      <c r="A19500" s="1" t="s">
        <v>19499</v>
      </c>
      <c r="C19500" s="3">
        <v>2</v>
      </c>
    </row>
    <row r="19501" spans="1:3" x14ac:dyDescent="0.25">
      <c r="A19501" s="1" t="s">
        <v>19500</v>
      </c>
      <c r="C19501" s="3">
        <v>2</v>
      </c>
    </row>
    <row r="19502" spans="1:3" x14ac:dyDescent="0.25">
      <c r="A19502" s="1" t="s">
        <v>19501</v>
      </c>
      <c r="C19502" s="3">
        <v>2</v>
      </c>
    </row>
    <row r="19503" spans="1:3" x14ac:dyDescent="0.25">
      <c r="A19503" s="1" t="s">
        <v>19502</v>
      </c>
      <c r="C19503" s="3">
        <v>2</v>
      </c>
    </row>
    <row r="19504" spans="1:3" x14ac:dyDescent="0.25">
      <c r="A19504" s="1" t="s">
        <v>19503</v>
      </c>
      <c r="C19504" s="3">
        <v>2</v>
      </c>
    </row>
    <row r="19505" spans="1:3" x14ac:dyDescent="0.25">
      <c r="A19505" s="1" t="s">
        <v>19504</v>
      </c>
      <c r="C19505" s="3">
        <v>2</v>
      </c>
    </row>
    <row r="19506" spans="1:3" x14ac:dyDescent="0.25">
      <c r="A19506" s="1" t="s">
        <v>19505</v>
      </c>
      <c r="C19506" s="3">
        <v>2</v>
      </c>
    </row>
    <row r="19507" spans="1:3" x14ac:dyDescent="0.25">
      <c r="A19507" s="1" t="s">
        <v>19506</v>
      </c>
      <c r="C19507" s="3">
        <v>2</v>
      </c>
    </row>
    <row r="19508" spans="1:3" x14ac:dyDescent="0.25">
      <c r="A19508" s="1" t="s">
        <v>19507</v>
      </c>
      <c r="C19508" s="3">
        <v>2</v>
      </c>
    </row>
    <row r="19509" spans="1:3" x14ac:dyDescent="0.25">
      <c r="A19509" s="1" t="s">
        <v>19508</v>
      </c>
      <c r="C19509" s="3">
        <v>2</v>
      </c>
    </row>
    <row r="19510" spans="1:3" x14ac:dyDescent="0.25">
      <c r="A19510" s="1" t="s">
        <v>19509</v>
      </c>
      <c r="C19510" s="3">
        <v>2</v>
      </c>
    </row>
    <row r="19511" spans="1:3" x14ac:dyDescent="0.25">
      <c r="A19511" s="1" t="s">
        <v>19510</v>
      </c>
      <c r="C19511" s="3">
        <v>2</v>
      </c>
    </row>
    <row r="19512" spans="1:3" x14ac:dyDescent="0.25">
      <c r="A19512" s="1" t="s">
        <v>19511</v>
      </c>
      <c r="C19512" s="3">
        <v>2</v>
      </c>
    </row>
    <row r="19513" spans="1:3" x14ac:dyDescent="0.25">
      <c r="A19513" s="1" t="s">
        <v>19512</v>
      </c>
      <c r="C19513" s="3">
        <v>2</v>
      </c>
    </row>
    <row r="19514" spans="1:3" x14ac:dyDescent="0.25">
      <c r="A19514" s="1" t="s">
        <v>19513</v>
      </c>
      <c r="C19514" s="3">
        <v>2</v>
      </c>
    </row>
    <row r="19515" spans="1:3" x14ac:dyDescent="0.25">
      <c r="A19515" s="1" t="s">
        <v>19514</v>
      </c>
      <c r="C19515" s="3">
        <v>2</v>
      </c>
    </row>
    <row r="19516" spans="1:3" x14ac:dyDescent="0.25">
      <c r="A19516" s="1" t="s">
        <v>19515</v>
      </c>
      <c r="C19516" s="3">
        <v>2</v>
      </c>
    </row>
    <row r="19517" spans="1:3" x14ac:dyDescent="0.25">
      <c r="A19517" s="1" t="s">
        <v>19516</v>
      </c>
      <c r="C19517" s="3">
        <v>2</v>
      </c>
    </row>
    <row r="19518" spans="1:3" x14ac:dyDescent="0.25">
      <c r="A19518" s="1" t="s">
        <v>19517</v>
      </c>
      <c r="C19518" s="3">
        <v>2</v>
      </c>
    </row>
    <row r="19519" spans="1:3" x14ac:dyDescent="0.25">
      <c r="A19519" s="1" t="s">
        <v>19518</v>
      </c>
      <c r="C19519" s="3">
        <v>2</v>
      </c>
    </row>
    <row r="19520" spans="1:3" x14ac:dyDescent="0.25">
      <c r="A19520" s="1" t="s">
        <v>19519</v>
      </c>
      <c r="C19520" s="3">
        <v>2</v>
      </c>
    </row>
    <row r="19521" spans="1:3" x14ac:dyDescent="0.25">
      <c r="A19521" s="1" t="s">
        <v>19520</v>
      </c>
      <c r="C19521" s="3">
        <v>2</v>
      </c>
    </row>
    <row r="19522" spans="1:3" x14ac:dyDescent="0.25">
      <c r="A19522" s="1" t="s">
        <v>19521</v>
      </c>
      <c r="C19522" s="3">
        <v>2</v>
      </c>
    </row>
    <row r="19523" spans="1:3" x14ac:dyDescent="0.25">
      <c r="A19523" s="1" t="s">
        <v>19522</v>
      </c>
      <c r="C19523" s="3">
        <v>2</v>
      </c>
    </row>
    <row r="19524" spans="1:3" x14ac:dyDescent="0.25">
      <c r="A19524" s="1" t="s">
        <v>19523</v>
      </c>
      <c r="C19524" s="3">
        <v>2</v>
      </c>
    </row>
    <row r="19525" spans="1:3" x14ac:dyDescent="0.25">
      <c r="A19525" s="1" t="s">
        <v>19524</v>
      </c>
      <c r="C19525" s="3">
        <v>2</v>
      </c>
    </row>
    <row r="19526" spans="1:3" x14ac:dyDescent="0.25">
      <c r="A19526" s="1" t="s">
        <v>19525</v>
      </c>
      <c r="C19526" s="3">
        <v>2</v>
      </c>
    </row>
    <row r="19527" spans="1:3" x14ac:dyDescent="0.25">
      <c r="A19527" s="1" t="s">
        <v>19526</v>
      </c>
      <c r="C19527" s="3">
        <v>2</v>
      </c>
    </row>
    <row r="19528" spans="1:3" x14ac:dyDescent="0.25">
      <c r="A19528" s="1" t="s">
        <v>19527</v>
      </c>
      <c r="C19528" s="3">
        <v>2</v>
      </c>
    </row>
    <row r="19529" spans="1:3" x14ac:dyDescent="0.25">
      <c r="A19529" s="1" t="s">
        <v>19528</v>
      </c>
      <c r="C19529" s="3">
        <v>2</v>
      </c>
    </row>
    <row r="19530" spans="1:3" x14ac:dyDescent="0.25">
      <c r="A19530" s="1" t="s">
        <v>19529</v>
      </c>
      <c r="C19530" s="3">
        <v>2</v>
      </c>
    </row>
    <row r="19531" spans="1:3" x14ac:dyDescent="0.25">
      <c r="A19531" s="1" t="s">
        <v>19530</v>
      </c>
      <c r="C19531" s="3">
        <v>2</v>
      </c>
    </row>
    <row r="19532" spans="1:3" x14ac:dyDescent="0.25">
      <c r="A19532" s="1" t="s">
        <v>19531</v>
      </c>
      <c r="C19532" s="3">
        <v>2</v>
      </c>
    </row>
    <row r="19533" spans="1:3" x14ac:dyDescent="0.25">
      <c r="A19533" s="1" t="s">
        <v>19532</v>
      </c>
      <c r="C19533" s="3">
        <v>2</v>
      </c>
    </row>
    <row r="19534" spans="1:3" x14ac:dyDescent="0.25">
      <c r="A19534" s="1" t="s">
        <v>19533</v>
      </c>
      <c r="C19534" s="3">
        <v>2</v>
      </c>
    </row>
    <row r="19535" spans="1:3" x14ac:dyDescent="0.25">
      <c r="A19535" s="1" t="s">
        <v>19534</v>
      </c>
      <c r="C19535" s="3">
        <v>2</v>
      </c>
    </row>
    <row r="19536" spans="1:3" x14ac:dyDescent="0.25">
      <c r="A19536" s="1" t="s">
        <v>19535</v>
      </c>
      <c r="C19536" s="3">
        <v>2</v>
      </c>
    </row>
    <row r="19537" spans="1:3" x14ac:dyDescent="0.25">
      <c r="A19537" s="1" t="s">
        <v>19536</v>
      </c>
      <c r="C19537" s="3">
        <v>2</v>
      </c>
    </row>
    <row r="19538" spans="1:3" x14ac:dyDescent="0.25">
      <c r="A19538" s="1" t="s">
        <v>19537</v>
      </c>
      <c r="C19538" s="3">
        <v>2</v>
      </c>
    </row>
    <row r="19539" spans="1:3" x14ac:dyDescent="0.25">
      <c r="A19539" s="1" t="s">
        <v>19538</v>
      </c>
      <c r="C19539" s="3">
        <v>2</v>
      </c>
    </row>
    <row r="19540" spans="1:3" x14ac:dyDescent="0.25">
      <c r="A19540" s="1" t="s">
        <v>19539</v>
      </c>
      <c r="C19540" s="3">
        <v>2</v>
      </c>
    </row>
    <row r="19541" spans="1:3" x14ac:dyDescent="0.25">
      <c r="A19541" s="1" t="s">
        <v>19540</v>
      </c>
      <c r="C19541" s="3">
        <v>2</v>
      </c>
    </row>
    <row r="19542" spans="1:3" x14ac:dyDescent="0.25">
      <c r="A19542" s="1" t="s">
        <v>19541</v>
      </c>
      <c r="C19542" s="3">
        <v>2</v>
      </c>
    </row>
    <row r="19543" spans="1:3" x14ac:dyDescent="0.25">
      <c r="A19543" s="1" t="s">
        <v>19542</v>
      </c>
      <c r="C19543" s="3">
        <v>2</v>
      </c>
    </row>
    <row r="19544" spans="1:3" x14ac:dyDescent="0.25">
      <c r="A19544" s="1" t="s">
        <v>19543</v>
      </c>
      <c r="C19544" s="3">
        <v>2</v>
      </c>
    </row>
    <row r="19545" spans="1:3" x14ac:dyDescent="0.25">
      <c r="A19545" s="1" t="s">
        <v>19544</v>
      </c>
      <c r="C19545" s="3">
        <v>2</v>
      </c>
    </row>
    <row r="19546" spans="1:3" x14ac:dyDescent="0.25">
      <c r="A19546" s="1" t="s">
        <v>19545</v>
      </c>
      <c r="C19546" s="3">
        <v>2</v>
      </c>
    </row>
    <row r="19547" spans="1:3" x14ac:dyDescent="0.25">
      <c r="A19547" s="1" t="s">
        <v>19546</v>
      </c>
      <c r="C19547" s="3">
        <v>2</v>
      </c>
    </row>
    <row r="19548" spans="1:3" x14ac:dyDescent="0.25">
      <c r="A19548" s="1" t="s">
        <v>19547</v>
      </c>
      <c r="C19548" s="3">
        <v>2</v>
      </c>
    </row>
    <row r="19549" spans="1:3" x14ac:dyDescent="0.25">
      <c r="A19549" s="1" t="s">
        <v>19548</v>
      </c>
      <c r="C19549" s="3">
        <v>2</v>
      </c>
    </row>
    <row r="19550" spans="1:3" x14ac:dyDescent="0.25">
      <c r="A19550" s="1" t="s">
        <v>19549</v>
      </c>
      <c r="C19550" s="3">
        <v>2</v>
      </c>
    </row>
    <row r="19551" spans="1:3" x14ac:dyDescent="0.25">
      <c r="A19551" s="1" t="s">
        <v>19550</v>
      </c>
      <c r="C19551" s="3">
        <v>2</v>
      </c>
    </row>
    <row r="19552" spans="1:3" x14ac:dyDescent="0.25">
      <c r="A19552" s="1" t="s">
        <v>19551</v>
      </c>
      <c r="C19552" s="3">
        <v>2</v>
      </c>
    </row>
    <row r="19553" spans="1:3" x14ac:dyDescent="0.25">
      <c r="A19553" s="1" t="s">
        <v>19552</v>
      </c>
      <c r="C19553" s="3">
        <v>2</v>
      </c>
    </row>
    <row r="19554" spans="1:3" x14ac:dyDescent="0.25">
      <c r="A19554" s="1" t="s">
        <v>19553</v>
      </c>
      <c r="C19554" s="3">
        <v>2</v>
      </c>
    </row>
    <row r="19555" spans="1:3" x14ac:dyDescent="0.25">
      <c r="A19555" s="1" t="s">
        <v>19554</v>
      </c>
      <c r="C19555" s="3">
        <v>2</v>
      </c>
    </row>
    <row r="19556" spans="1:3" x14ac:dyDescent="0.25">
      <c r="A19556" s="1" t="s">
        <v>19555</v>
      </c>
      <c r="C19556" s="3">
        <v>2</v>
      </c>
    </row>
    <row r="19557" spans="1:3" x14ac:dyDescent="0.25">
      <c r="A19557" s="1" t="s">
        <v>19556</v>
      </c>
      <c r="C19557" s="3">
        <v>2</v>
      </c>
    </row>
    <row r="19558" spans="1:3" x14ac:dyDescent="0.25">
      <c r="A19558" s="1" t="s">
        <v>19557</v>
      </c>
      <c r="C19558" s="3">
        <v>2</v>
      </c>
    </row>
    <row r="19559" spans="1:3" x14ac:dyDescent="0.25">
      <c r="A19559" s="1" t="s">
        <v>19558</v>
      </c>
      <c r="C19559" s="3">
        <v>2</v>
      </c>
    </row>
    <row r="19560" spans="1:3" x14ac:dyDescent="0.25">
      <c r="A19560" s="1" t="s">
        <v>19559</v>
      </c>
      <c r="C19560" s="3">
        <v>2</v>
      </c>
    </row>
    <row r="19561" spans="1:3" x14ac:dyDescent="0.25">
      <c r="A19561" s="1" t="s">
        <v>19560</v>
      </c>
      <c r="C19561" s="3">
        <v>2</v>
      </c>
    </row>
    <row r="19562" spans="1:3" x14ac:dyDescent="0.25">
      <c r="A19562" s="1" t="s">
        <v>19561</v>
      </c>
      <c r="C19562" s="3">
        <v>2</v>
      </c>
    </row>
    <row r="19563" spans="1:3" x14ac:dyDescent="0.25">
      <c r="A19563" s="1" t="s">
        <v>19562</v>
      </c>
      <c r="C19563" s="3">
        <v>2</v>
      </c>
    </row>
    <row r="19564" spans="1:3" x14ac:dyDescent="0.25">
      <c r="A19564" s="1" t="s">
        <v>19563</v>
      </c>
      <c r="C19564" s="3">
        <v>2</v>
      </c>
    </row>
    <row r="19565" spans="1:3" x14ac:dyDescent="0.25">
      <c r="A19565" s="1" t="s">
        <v>19564</v>
      </c>
      <c r="C19565" s="3">
        <v>2</v>
      </c>
    </row>
    <row r="19566" spans="1:3" x14ac:dyDescent="0.25">
      <c r="A19566" s="1" t="s">
        <v>19565</v>
      </c>
      <c r="C19566" s="3">
        <v>2</v>
      </c>
    </row>
    <row r="19567" spans="1:3" x14ac:dyDescent="0.25">
      <c r="A19567" s="1" t="s">
        <v>19566</v>
      </c>
      <c r="C19567" s="3">
        <v>2</v>
      </c>
    </row>
    <row r="19568" spans="1:3" x14ac:dyDescent="0.25">
      <c r="A19568" s="1" t="s">
        <v>19567</v>
      </c>
      <c r="C19568" s="3">
        <v>2</v>
      </c>
    </row>
    <row r="19569" spans="1:3" x14ac:dyDescent="0.25">
      <c r="A19569" s="1" t="s">
        <v>19568</v>
      </c>
      <c r="C19569" s="3">
        <v>2</v>
      </c>
    </row>
    <row r="19570" spans="1:3" x14ac:dyDescent="0.25">
      <c r="A19570" s="1" t="s">
        <v>19569</v>
      </c>
      <c r="C19570" s="3">
        <v>2</v>
      </c>
    </row>
    <row r="19571" spans="1:3" x14ac:dyDescent="0.25">
      <c r="A19571" s="1" t="s">
        <v>19570</v>
      </c>
      <c r="C19571" s="3">
        <v>2</v>
      </c>
    </row>
    <row r="19572" spans="1:3" x14ac:dyDescent="0.25">
      <c r="A19572" s="1" t="s">
        <v>19571</v>
      </c>
      <c r="C19572" s="3">
        <v>2</v>
      </c>
    </row>
    <row r="19573" spans="1:3" x14ac:dyDescent="0.25">
      <c r="A19573" s="1" t="s">
        <v>19572</v>
      </c>
      <c r="C19573" s="3">
        <v>2</v>
      </c>
    </row>
    <row r="19574" spans="1:3" x14ac:dyDescent="0.25">
      <c r="A19574" s="1" t="s">
        <v>19573</v>
      </c>
      <c r="C19574" s="3">
        <v>2</v>
      </c>
    </row>
    <row r="19575" spans="1:3" x14ac:dyDescent="0.25">
      <c r="A19575" s="1" t="s">
        <v>19574</v>
      </c>
      <c r="C19575" s="3">
        <v>2</v>
      </c>
    </row>
    <row r="19576" spans="1:3" x14ac:dyDescent="0.25">
      <c r="A19576" s="1" t="s">
        <v>19575</v>
      </c>
      <c r="C19576" s="3">
        <v>2</v>
      </c>
    </row>
    <row r="19577" spans="1:3" x14ac:dyDescent="0.25">
      <c r="A19577" s="1" t="s">
        <v>19576</v>
      </c>
      <c r="C19577" s="3">
        <v>2</v>
      </c>
    </row>
    <row r="19578" spans="1:3" x14ac:dyDescent="0.25">
      <c r="A19578" s="1" t="s">
        <v>19577</v>
      </c>
      <c r="C19578" s="3">
        <v>2</v>
      </c>
    </row>
    <row r="19579" spans="1:3" x14ac:dyDescent="0.25">
      <c r="A19579" s="1" t="s">
        <v>19578</v>
      </c>
      <c r="C19579" s="3">
        <v>2</v>
      </c>
    </row>
    <row r="19580" spans="1:3" x14ac:dyDescent="0.25">
      <c r="A19580" s="1" t="s">
        <v>19579</v>
      </c>
      <c r="C19580" s="3">
        <v>2</v>
      </c>
    </row>
    <row r="19581" spans="1:3" x14ac:dyDescent="0.25">
      <c r="A19581" s="1" t="s">
        <v>19580</v>
      </c>
      <c r="C19581" s="3">
        <v>2</v>
      </c>
    </row>
    <row r="19582" spans="1:3" x14ac:dyDescent="0.25">
      <c r="A19582" s="1" t="s">
        <v>19581</v>
      </c>
      <c r="C19582" s="3">
        <v>2</v>
      </c>
    </row>
    <row r="19583" spans="1:3" x14ac:dyDescent="0.25">
      <c r="A19583" s="1" t="s">
        <v>19582</v>
      </c>
      <c r="C19583" s="3">
        <v>2</v>
      </c>
    </row>
    <row r="19584" spans="1:3" x14ac:dyDescent="0.25">
      <c r="A19584" s="1" t="s">
        <v>19583</v>
      </c>
      <c r="C19584" s="3">
        <v>2</v>
      </c>
    </row>
    <row r="19585" spans="1:3" x14ac:dyDescent="0.25">
      <c r="A19585" s="1" t="s">
        <v>19584</v>
      </c>
      <c r="C19585" s="3">
        <v>2</v>
      </c>
    </row>
    <row r="19586" spans="1:3" x14ac:dyDescent="0.25">
      <c r="A19586" s="1" t="s">
        <v>19585</v>
      </c>
      <c r="C19586" s="3">
        <v>2</v>
      </c>
    </row>
    <row r="19587" spans="1:3" x14ac:dyDescent="0.25">
      <c r="A19587" s="1" t="s">
        <v>19586</v>
      </c>
      <c r="C19587" s="3">
        <v>2</v>
      </c>
    </row>
    <row r="19588" spans="1:3" x14ac:dyDescent="0.25">
      <c r="A19588" s="1" t="s">
        <v>19587</v>
      </c>
      <c r="C19588" s="3">
        <v>2</v>
      </c>
    </row>
    <row r="19589" spans="1:3" x14ac:dyDescent="0.25">
      <c r="A19589" s="1" t="s">
        <v>19588</v>
      </c>
      <c r="C19589" s="3">
        <v>2</v>
      </c>
    </row>
    <row r="19590" spans="1:3" x14ac:dyDescent="0.25">
      <c r="A19590" s="1" t="s">
        <v>19589</v>
      </c>
      <c r="C19590" s="3">
        <v>2</v>
      </c>
    </row>
    <row r="19591" spans="1:3" x14ac:dyDescent="0.25">
      <c r="A19591" s="1" t="s">
        <v>19590</v>
      </c>
      <c r="C19591" s="3">
        <v>2</v>
      </c>
    </row>
    <row r="19592" spans="1:3" x14ac:dyDescent="0.25">
      <c r="A19592" s="1" t="s">
        <v>19591</v>
      </c>
      <c r="C19592" s="3">
        <v>2</v>
      </c>
    </row>
    <row r="19593" spans="1:3" x14ac:dyDescent="0.25">
      <c r="A19593" s="1" t="s">
        <v>19592</v>
      </c>
      <c r="C19593" s="3">
        <v>2</v>
      </c>
    </row>
    <row r="19594" spans="1:3" x14ac:dyDescent="0.25">
      <c r="A19594" s="1" t="s">
        <v>19593</v>
      </c>
      <c r="C19594" s="3">
        <v>2</v>
      </c>
    </row>
    <row r="19595" spans="1:3" x14ac:dyDescent="0.25">
      <c r="A19595" s="1" t="s">
        <v>19594</v>
      </c>
      <c r="C19595" s="3">
        <v>2</v>
      </c>
    </row>
    <row r="19596" spans="1:3" x14ac:dyDescent="0.25">
      <c r="A19596" s="1" t="s">
        <v>19595</v>
      </c>
      <c r="C19596" s="3">
        <v>2</v>
      </c>
    </row>
    <row r="19597" spans="1:3" x14ac:dyDescent="0.25">
      <c r="A19597" s="1" t="s">
        <v>19596</v>
      </c>
      <c r="C19597" s="3">
        <v>2</v>
      </c>
    </row>
    <row r="19598" spans="1:3" x14ac:dyDescent="0.25">
      <c r="A19598" s="1" t="s">
        <v>19597</v>
      </c>
      <c r="C19598" s="3">
        <v>2</v>
      </c>
    </row>
    <row r="19599" spans="1:3" x14ac:dyDescent="0.25">
      <c r="A19599" s="1" t="s">
        <v>19598</v>
      </c>
      <c r="C19599" s="3">
        <v>2</v>
      </c>
    </row>
    <row r="19600" spans="1:3" x14ac:dyDescent="0.25">
      <c r="A19600" s="1" t="s">
        <v>19599</v>
      </c>
      <c r="C19600" s="3">
        <v>2</v>
      </c>
    </row>
    <row r="19601" spans="1:3" x14ac:dyDescent="0.25">
      <c r="A19601" s="1" t="s">
        <v>19600</v>
      </c>
      <c r="C19601" s="3">
        <v>2</v>
      </c>
    </row>
    <row r="19602" spans="1:3" x14ac:dyDescent="0.25">
      <c r="A19602" s="1" t="s">
        <v>19601</v>
      </c>
      <c r="C19602" s="3">
        <v>2</v>
      </c>
    </row>
    <row r="19603" spans="1:3" x14ac:dyDescent="0.25">
      <c r="A19603" s="1" t="s">
        <v>19602</v>
      </c>
      <c r="C19603" s="3">
        <v>2</v>
      </c>
    </row>
    <row r="19604" spans="1:3" x14ac:dyDescent="0.25">
      <c r="A19604" s="1" t="s">
        <v>19603</v>
      </c>
      <c r="C19604" s="3">
        <v>2</v>
      </c>
    </row>
    <row r="19605" spans="1:3" x14ac:dyDescent="0.25">
      <c r="A19605" s="1" t="s">
        <v>19604</v>
      </c>
      <c r="C19605" s="3">
        <v>2</v>
      </c>
    </row>
    <row r="19606" spans="1:3" x14ac:dyDescent="0.25">
      <c r="A19606" s="1" t="s">
        <v>19605</v>
      </c>
      <c r="C19606" s="3">
        <v>2</v>
      </c>
    </row>
    <row r="19607" spans="1:3" x14ac:dyDescent="0.25">
      <c r="A19607" s="1" t="s">
        <v>19606</v>
      </c>
      <c r="C19607" s="3">
        <v>2</v>
      </c>
    </row>
    <row r="19608" spans="1:3" x14ac:dyDescent="0.25">
      <c r="A19608" s="1" t="s">
        <v>19607</v>
      </c>
      <c r="C19608" s="3">
        <v>2</v>
      </c>
    </row>
    <row r="19609" spans="1:3" x14ac:dyDescent="0.25">
      <c r="A19609" s="1" t="s">
        <v>19608</v>
      </c>
      <c r="C19609" s="3">
        <v>2</v>
      </c>
    </row>
    <row r="19610" spans="1:3" x14ac:dyDescent="0.25">
      <c r="A19610" s="1" t="s">
        <v>19609</v>
      </c>
      <c r="C19610" s="3">
        <v>2</v>
      </c>
    </row>
    <row r="19611" spans="1:3" x14ac:dyDescent="0.25">
      <c r="A19611" s="1" t="s">
        <v>19610</v>
      </c>
      <c r="C19611" s="3">
        <v>2</v>
      </c>
    </row>
    <row r="19612" spans="1:3" x14ac:dyDescent="0.25">
      <c r="A19612" s="1" t="s">
        <v>19611</v>
      </c>
      <c r="C19612" s="3">
        <v>2</v>
      </c>
    </row>
    <row r="19613" spans="1:3" x14ac:dyDescent="0.25">
      <c r="A19613" s="1" t="s">
        <v>19612</v>
      </c>
      <c r="C19613" s="3">
        <v>2</v>
      </c>
    </row>
    <row r="19614" spans="1:3" x14ac:dyDescent="0.25">
      <c r="A19614" s="1" t="s">
        <v>19613</v>
      </c>
      <c r="C19614" s="3">
        <v>2</v>
      </c>
    </row>
    <row r="19615" spans="1:3" x14ac:dyDescent="0.25">
      <c r="A19615" s="1" t="s">
        <v>19614</v>
      </c>
      <c r="C19615" s="3">
        <v>2</v>
      </c>
    </row>
    <row r="19616" spans="1:3" x14ac:dyDescent="0.25">
      <c r="A19616" s="1" t="s">
        <v>19615</v>
      </c>
      <c r="C19616" s="3">
        <v>2</v>
      </c>
    </row>
    <row r="19617" spans="1:3" x14ac:dyDescent="0.25">
      <c r="A19617" s="1" t="s">
        <v>19616</v>
      </c>
      <c r="C19617" s="3">
        <v>2</v>
      </c>
    </row>
    <row r="19618" spans="1:3" x14ac:dyDescent="0.25">
      <c r="A19618" s="1" t="s">
        <v>19617</v>
      </c>
      <c r="C19618" s="3">
        <v>2</v>
      </c>
    </row>
    <row r="19619" spans="1:3" x14ac:dyDescent="0.25">
      <c r="A19619" s="1" t="s">
        <v>19618</v>
      </c>
      <c r="C19619" s="3">
        <v>2</v>
      </c>
    </row>
    <row r="19620" spans="1:3" x14ac:dyDescent="0.25">
      <c r="A19620" s="1" t="s">
        <v>19619</v>
      </c>
      <c r="C19620" s="3">
        <v>2</v>
      </c>
    </row>
    <row r="19621" spans="1:3" x14ac:dyDescent="0.25">
      <c r="A19621" s="1" t="s">
        <v>19620</v>
      </c>
      <c r="C19621" s="3">
        <v>2</v>
      </c>
    </row>
    <row r="19622" spans="1:3" x14ac:dyDescent="0.25">
      <c r="A19622" s="1" t="s">
        <v>19621</v>
      </c>
      <c r="C19622" s="3">
        <v>2</v>
      </c>
    </row>
    <row r="19623" spans="1:3" x14ac:dyDescent="0.25">
      <c r="A19623" s="1" t="s">
        <v>19622</v>
      </c>
      <c r="C19623" s="3">
        <v>2</v>
      </c>
    </row>
    <row r="19624" spans="1:3" x14ac:dyDescent="0.25">
      <c r="A19624" s="1" t="s">
        <v>19623</v>
      </c>
      <c r="C19624" s="3">
        <v>2</v>
      </c>
    </row>
    <row r="19625" spans="1:3" x14ac:dyDescent="0.25">
      <c r="A19625" s="1" t="s">
        <v>19624</v>
      </c>
      <c r="C19625" s="3">
        <v>2</v>
      </c>
    </row>
    <row r="19626" spans="1:3" x14ac:dyDescent="0.25">
      <c r="A19626" s="1" t="s">
        <v>19625</v>
      </c>
      <c r="C19626" s="3">
        <v>2</v>
      </c>
    </row>
    <row r="19627" spans="1:3" x14ac:dyDescent="0.25">
      <c r="A19627" s="1" t="s">
        <v>19626</v>
      </c>
      <c r="C19627" s="3">
        <v>2</v>
      </c>
    </row>
    <row r="19628" spans="1:3" x14ac:dyDescent="0.25">
      <c r="A19628" s="1" t="s">
        <v>19627</v>
      </c>
      <c r="C19628" s="3">
        <v>2</v>
      </c>
    </row>
    <row r="19629" spans="1:3" x14ac:dyDescent="0.25">
      <c r="A19629" s="1" t="s">
        <v>19628</v>
      </c>
      <c r="C19629" s="3">
        <v>2</v>
      </c>
    </row>
    <row r="19630" spans="1:3" x14ac:dyDescent="0.25">
      <c r="A19630" s="1" t="s">
        <v>19629</v>
      </c>
      <c r="C19630" s="3">
        <v>2</v>
      </c>
    </row>
    <row r="19631" spans="1:3" x14ac:dyDescent="0.25">
      <c r="A19631" s="1" t="s">
        <v>19630</v>
      </c>
      <c r="C19631" s="3">
        <v>2</v>
      </c>
    </row>
    <row r="19632" spans="1:3" x14ac:dyDescent="0.25">
      <c r="A19632" s="1" t="s">
        <v>19631</v>
      </c>
      <c r="C19632" s="3">
        <v>2</v>
      </c>
    </row>
    <row r="19633" spans="1:3" x14ac:dyDescent="0.25">
      <c r="A19633" s="1" t="s">
        <v>19632</v>
      </c>
      <c r="C19633" s="3">
        <v>2</v>
      </c>
    </row>
    <row r="19634" spans="1:3" x14ac:dyDescent="0.25">
      <c r="A19634" s="1" t="s">
        <v>19633</v>
      </c>
      <c r="C19634" s="3">
        <v>2</v>
      </c>
    </row>
    <row r="19635" spans="1:3" x14ac:dyDescent="0.25">
      <c r="A19635" s="1" t="s">
        <v>19634</v>
      </c>
      <c r="C19635" s="3">
        <v>2</v>
      </c>
    </row>
    <row r="19636" spans="1:3" x14ac:dyDescent="0.25">
      <c r="A19636" s="1" t="s">
        <v>19635</v>
      </c>
      <c r="C19636" s="3">
        <v>2</v>
      </c>
    </row>
    <row r="19637" spans="1:3" x14ac:dyDescent="0.25">
      <c r="A19637" s="1" t="s">
        <v>19636</v>
      </c>
      <c r="C19637" s="3">
        <v>2</v>
      </c>
    </row>
    <row r="19638" spans="1:3" x14ac:dyDescent="0.25">
      <c r="A19638" s="1" t="s">
        <v>19637</v>
      </c>
      <c r="C19638" s="3">
        <v>2</v>
      </c>
    </row>
    <row r="19639" spans="1:3" x14ac:dyDescent="0.25">
      <c r="A19639" s="1" t="s">
        <v>19638</v>
      </c>
      <c r="C19639" s="3">
        <v>2</v>
      </c>
    </row>
    <row r="19640" spans="1:3" x14ac:dyDescent="0.25">
      <c r="A19640" s="1" t="s">
        <v>19639</v>
      </c>
      <c r="C19640" s="3">
        <v>2</v>
      </c>
    </row>
    <row r="19641" spans="1:3" x14ac:dyDescent="0.25">
      <c r="A19641" s="1" t="s">
        <v>19640</v>
      </c>
      <c r="C19641" s="3">
        <v>2</v>
      </c>
    </row>
    <row r="19642" spans="1:3" x14ac:dyDescent="0.25">
      <c r="A19642" s="1" t="s">
        <v>19641</v>
      </c>
      <c r="C19642" s="3">
        <v>2</v>
      </c>
    </row>
    <row r="19643" spans="1:3" x14ac:dyDescent="0.25">
      <c r="A19643" s="1" t="s">
        <v>19642</v>
      </c>
      <c r="C19643" s="3">
        <v>2</v>
      </c>
    </row>
    <row r="19644" spans="1:3" x14ac:dyDescent="0.25">
      <c r="A19644" s="1" t="s">
        <v>19643</v>
      </c>
      <c r="C19644" s="3">
        <v>2</v>
      </c>
    </row>
    <row r="19645" spans="1:3" x14ac:dyDescent="0.25">
      <c r="A19645" s="1" t="s">
        <v>19644</v>
      </c>
      <c r="C19645" s="3">
        <v>2</v>
      </c>
    </row>
    <row r="19646" spans="1:3" x14ac:dyDescent="0.25">
      <c r="A19646" s="1" t="s">
        <v>19645</v>
      </c>
      <c r="C19646" s="3">
        <v>2</v>
      </c>
    </row>
    <row r="19647" spans="1:3" x14ac:dyDescent="0.25">
      <c r="A19647" s="1" t="s">
        <v>19646</v>
      </c>
      <c r="C19647" s="3">
        <v>2</v>
      </c>
    </row>
    <row r="19648" spans="1:3" x14ac:dyDescent="0.25">
      <c r="A19648" s="1" t="s">
        <v>19647</v>
      </c>
      <c r="C19648" s="3">
        <v>2</v>
      </c>
    </row>
    <row r="19649" spans="1:3" x14ac:dyDescent="0.25">
      <c r="A19649" s="1" t="s">
        <v>19648</v>
      </c>
      <c r="C19649" s="3">
        <v>2</v>
      </c>
    </row>
    <row r="19650" spans="1:3" x14ac:dyDescent="0.25">
      <c r="A19650" s="1" t="s">
        <v>19649</v>
      </c>
      <c r="C19650" s="3">
        <v>2</v>
      </c>
    </row>
    <row r="19651" spans="1:3" x14ac:dyDescent="0.25">
      <c r="A19651" s="1" t="s">
        <v>19650</v>
      </c>
      <c r="C19651" s="3">
        <v>2</v>
      </c>
    </row>
    <row r="19652" spans="1:3" x14ac:dyDescent="0.25">
      <c r="A19652" s="1" t="s">
        <v>19651</v>
      </c>
      <c r="C19652" s="3">
        <v>2</v>
      </c>
    </row>
    <row r="19653" spans="1:3" x14ac:dyDescent="0.25">
      <c r="A19653" s="1" t="s">
        <v>19652</v>
      </c>
      <c r="C19653" s="3">
        <v>2</v>
      </c>
    </row>
    <row r="19654" spans="1:3" x14ac:dyDescent="0.25">
      <c r="A19654" s="1" t="s">
        <v>19653</v>
      </c>
      <c r="C19654" s="3">
        <v>2</v>
      </c>
    </row>
    <row r="19655" spans="1:3" x14ac:dyDescent="0.25">
      <c r="A19655" s="1" t="s">
        <v>19654</v>
      </c>
      <c r="C19655" s="3">
        <v>2</v>
      </c>
    </row>
    <row r="19656" spans="1:3" x14ac:dyDescent="0.25">
      <c r="A19656" s="1" t="s">
        <v>19655</v>
      </c>
      <c r="C19656" s="3">
        <v>2</v>
      </c>
    </row>
    <row r="19657" spans="1:3" x14ac:dyDescent="0.25">
      <c r="A19657" s="1" t="s">
        <v>19656</v>
      </c>
      <c r="C19657" s="3">
        <v>2</v>
      </c>
    </row>
    <row r="19658" spans="1:3" x14ac:dyDescent="0.25">
      <c r="A19658" s="1" t="s">
        <v>19657</v>
      </c>
      <c r="C19658" s="3">
        <v>2</v>
      </c>
    </row>
    <row r="19659" spans="1:3" x14ac:dyDescent="0.25">
      <c r="A19659" s="1" t="s">
        <v>19658</v>
      </c>
      <c r="C19659" s="3">
        <v>2</v>
      </c>
    </row>
    <row r="19660" spans="1:3" x14ac:dyDescent="0.25">
      <c r="A19660" s="1" t="s">
        <v>19659</v>
      </c>
      <c r="C19660" s="3">
        <v>2</v>
      </c>
    </row>
    <row r="19661" spans="1:3" x14ac:dyDescent="0.25">
      <c r="A19661" s="1" t="s">
        <v>19660</v>
      </c>
      <c r="C19661" s="3">
        <v>2</v>
      </c>
    </row>
    <row r="19662" spans="1:3" x14ac:dyDescent="0.25">
      <c r="A19662" s="1" t="s">
        <v>19661</v>
      </c>
      <c r="C19662" s="3">
        <v>2</v>
      </c>
    </row>
    <row r="19663" spans="1:3" x14ac:dyDescent="0.25">
      <c r="A19663" s="1" t="s">
        <v>19662</v>
      </c>
      <c r="C19663" s="3">
        <v>2</v>
      </c>
    </row>
    <row r="19664" spans="1:3" x14ac:dyDescent="0.25">
      <c r="A19664" s="1" t="s">
        <v>19663</v>
      </c>
      <c r="C19664" s="3">
        <v>2</v>
      </c>
    </row>
    <row r="19665" spans="1:3" x14ac:dyDescent="0.25">
      <c r="A19665" s="1" t="s">
        <v>19664</v>
      </c>
      <c r="C19665" s="3">
        <v>2</v>
      </c>
    </row>
    <row r="19666" spans="1:3" x14ac:dyDescent="0.25">
      <c r="A19666" s="1" t="s">
        <v>19665</v>
      </c>
      <c r="C19666" s="3">
        <v>2</v>
      </c>
    </row>
    <row r="19667" spans="1:3" x14ac:dyDescent="0.25">
      <c r="A19667" s="1" t="s">
        <v>19666</v>
      </c>
      <c r="C19667" s="3">
        <v>2</v>
      </c>
    </row>
    <row r="19668" spans="1:3" x14ac:dyDescent="0.25">
      <c r="A19668" s="1" t="s">
        <v>19667</v>
      </c>
      <c r="C19668" s="3">
        <v>2</v>
      </c>
    </row>
    <row r="19669" spans="1:3" x14ac:dyDescent="0.25">
      <c r="A19669" s="1" t="s">
        <v>19668</v>
      </c>
      <c r="C19669" s="3">
        <v>2</v>
      </c>
    </row>
    <row r="19670" spans="1:3" x14ac:dyDescent="0.25">
      <c r="A19670" s="1" t="s">
        <v>19669</v>
      </c>
      <c r="C19670" s="3">
        <v>2</v>
      </c>
    </row>
    <row r="19671" spans="1:3" x14ac:dyDescent="0.25">
      <c r="A19671" s="1" t="s">
        <v>19670</v>
      </c>
      <c r="C19671" s="3">
        <v>2</v>
      </c>
    </row>
    <row r="19672" spans="1:3" x14ac:dyDescent="0.25">
      <c r="A19672" s="1" t="s">
        <v>19671</v>
      </c>
      <c r="C19672" s="3">
        <v>2</v>
      </c>
    </row>
    <row r="19673" spans="1:3" x14ac:dyDescent="0.25">
      <c r="A19673" s="1" t="s">
        <v>19672</v>
      </c>
      <c r="C19673" s="3">
        <v>2</v>
      </c>
    </row>
    <row r="19674" spans="1:3" x14ac:dyDescent="0.25">
      <c r="A19674" s="1" t="s">
        <v>19673</v>
      </c>
      <c r="C19674" s="3">
        <v>2</v>
      </c>
    </row>
    <row r="19675" spans="1:3" x14ac:dyDescent="0.25">
      <c r="A19675" s="1" t="s">
        <v>19674</v>
      </c>
      <c r="C19675" s="3">
        <v>2</v>
      </c>
    </row>
    <row r="19676" spans="1:3" x14ac:dyDescent="0.25">
      <c r="A19676" s="1" t="s">
        <v>19675</v>
      </c>
      <c r="C19676" s="3">
        <v>2</v>
      </c>
    </row>
    <row r="19677" spans="1:3" x14ac:dyDescent="0.25">
      <c r="A19677" s="1" t="s">
        <v>19676</v>
      </c>
      <c r="C19677" s="3">
        <v>2</v>
      </c>
    </row>
    <row r="19678" spans="1:3" x14ac:dyDescent="0.25">
      <c r="A19678" s="1" t="s">
        <v>19677</v>
      </c>
      <c r="C19678" s="3">
        <v>2</v>
      </c>
    </row>
    <row r="19679" spans="1:3" x14ac:dyDescent="0.25">
      <c r="A19679" s="1" t="s">
        <v>19678</v>
      </c>
      <c r="C19679" s="3">
        <v>2</v>
      </c>
    </row>
    <row r="19680" spans="1:3" x14ac:dyDescent="0.25">
      <c r="A19680" s="1" t="s">
        <v>19679</v>
      </c>
      <c r="C19680" s="3">
        <v>2</v>
      </c>
    </row>
    <row r="19681" spans="1:3" x14ac:dyDescent="0.25">
      <c r="A19681" s="1" t="s">
        <v>19680</v>
      </c>
      <c r="C19681" s="3">
        <v>2</v>
      </c>
    </row>
    <row r="19682" spans="1:3" x14ac:dyDescent="0.25">
      <c r="A19682" s="1" t="s">
        <v>19681</v>
      </c>
      <c r="C19682" s="3">
        <v>2</v>
      </c>
    </row>
    <row r="19683" spans="1:3" x14ac:dyDescent="0.25">
      <c r="A19683" s="1" t="s">
        <v>19682</v>
      </c>
      <c r="C19683" s="3">
        <v>2</v>
      </c>
    </row>
    <row r="19684" spans="1:3" x14ac:dyDescent="0.25">
      <c r="A19684" s="1" t="s">
        <v>19683</v>
      </c>
      <c r="C19684" s="3">
        <v>2</v>
      </c>
    </row>
    <row r="19685" spans="1:3" x14ac:dyDescent="0.25">
      <c r="A19685" s="1" t="s">
        <v>19684</v>
      </c>
      <c r="C19685" s="3">
        <v>2</v>
      </c>
    </row>
    <row r="19686" spans="1:3" x14ac:dyDescent="0.25">
      <c r="A19686" s="1" t="s">
        <v>19685</v>
      </c>
      <c r="C19686" s="3">
        <v>2</v>
      </c>
    </row>
    <row r="19687" spans="1:3" x14ac:dyDescent="0.25">
      <c r="A19687" s="1" t="s">
        <v>19686</v>
      </c>
      <c r="C19687" s="3">
        <v>2</v>
      </c>
    </row>
    <row r="19688" spans="1:3" x14ac:dyDescent="0.25">
      <c r="A19688" s="1" t="s">
        <v>19687</v>
      </c>
      <c r="C19688" s="3">
        <v>2</v>
      </c>
    </row>
    <row r="19689" spans="1:3" x14ac:dyDescent="0.25">
      <c r="A19689" s="1" t="s">
        <v>19688</v>
      </c>
      <c r="C19689" s="3">
        <v>2</v>
      </c>
    </row>
    <row r="19690" spans="1:3" x14ac:dyDescent="0.25">
      <c r="A19690" s="1" t="s">
        <v>19689</v>
      </c>
      <c r="C19690" s="3">
        <v>2</v>
      </c>
    </row>
    <row r="19691" spans="1:3" x14ac:dyDescent="0.25">
      <c r="A19691" s="1" t="s">
        <v>19690</v>
      </c>
      <c r="C19691" s="3">
        <v>2</v>
      </c>
    </row>
    <row r="19692" spans="1:3" x14ac:dyDescent="0.25">
      <c r="A19692" s="1" t="s">
        <v>19691</v>
      </c>
      <c r="C19692" s="3">
        <v>2</v>
      </c>
    </row>
    <row r="19693" spans="1:3" x14ac:dyDescent="0.25">
      <c r="A19693" s="1" t="s">
        <v>19692</v>
      </c>
      <c r="C19693" s="3">
        <v>2</v>
      </c>
    </row>
    <row r="19694" spans="1:3" x14ac:dyDescent="0.25">
      <c r="A19694" s="1" t="s">
        <v>19693</v>
      </c>
      <c r="C19694" s="3">
        <v>2</v>
      </c>
    </row>
    <row r="19695" spans="1:3" x14ac:dyDescent="0.25">
      <c r="A19695" s="1" t="s">
        <v>19694</v>
      </c>
      <c r="C19695" s="3">
        <v>2</v>
      </c>
    </row>
    <row r="19696" spans="1:3" x14ac:dyDescent="0.25">
      <c r="A19696" s="1" t="s">
        <v>19695</v>
      </c>
      <c r="C19696" s="3">
        <v>2</v>
      </c>
    </row>
    <row r="19697" spans="1:3" x14ac:dyDescent="0.25">
      <c r="A19697" s="1" t="s">
        <v>19696</v>
      </c>
      <c r="C19697" s="3">
        <v>2</v>
      </c>
    </row>
    <row r="19698" spans="1:3" x14ac:dyDescent="0.25">
      <c r="A19698" s="1" t="s">
        <v>19697</v>
      </c>
      <c r="C19698" s="3">
        <v>2</v>
      </c>
    </row>
    <row r="19699" spans="1:3" x14ac:dyDescent="0.25">
      <c r="A19699" s="1" t="s">
        <v>19698</v>
      </c>
      <c r="C19699" s="3">
        <v>2</v>
      </c>
    </row>
    <row r="19700" spans="1:3" x14ac:dyDescent="0.25">
      <c r="A19700" s="1" t="s">
        <v>19699</v>
      </c>
      <c r="C19700" s="3">
        <v>2</v>
      </c>
    </row>
    <row r="19701" spans="1:3" x14ac:dyDescent="0.25">
      <c r="A19701" s="1" t="s">
        <v>19700</v>
      </c>
      <c r="C19701" s="3">
        <v>2</v>
      </c>
    </row>
    <row r="19702" spans="1:3" x14ac:dyDescent="0.25">
      <c r="A19702" s="1" t="s">
        <v>19701</v>
      </c>
      <c r="C19702" s="3">
        <v>2</v>
      </c>
    </row>
    <row r="19703" spans="1:3" x14ac:dyDescent="0.25">
      <c r="A19703" s="1" t="s">
        <v>19702</v>
      </c>
      <c r="C19703" s="3">
        <v>2</v>
      </c>
    </row>
    <row r="19704" spans="1:3" x14ac:dyDescent="0.25">
      <c r="A19704" s="1" t="s">
        <v>19703</v>
      </c>
      <c r="C19704" s="3">
        <v>2</v>
      </c>
    </row>
    <row r="19705" spans="1:3" x14ac:dyDescent="0.25">
      <c r="A19705" s="1" t="s">
        <v>19704</v>
      </c>
      <c r="C19705" s="3">
        <v>2</v>
      </c>
    </row>
    <row r="19706" spans="1:3" x14ac:dyDescent="0.25">
      <c r="A19706" s="1" t="s">
        <v>19705</v>
      </c>
      <c r="C19706" s="3">
        <v>2</v>
      </c>
    </row>
    <row r="19707" spans="1:3" x14ac:dyDescent="0.25">
      <c r="A19707" s="1" t="s">
        <v>19706</v>
      </c>
      <c r="C19707" s="3">
        <v>2</v>
      </c>
    </row>
    <row r="19708" spans="1:3" x14ac:dyDescent="0.25">
      <c r="A19708" s="1" t="s">
        <v>19707</v>
      </c>
      <c r="C19708" s="3">
        <v>2</v>
      </c>
    </row>
    <row r="19709" spans="1:3" x14ac:dyDescent="0.25">
      <c r="A19709" s="1" t="s">
        <v>19708</v>
      </c>
      <c r="C19709" s="3">
        <v>2</v>
      </c>
    </row>
    <row r="19710" spans="1:3" x14ac:dyDescent="0.25">
      <c r="A19710" s="1" t="s">
        <v>19709</v>
      </c>
      <c r="C19710" s="3">
        <v>2</v>
      </c>
    </row>
    <row r="19711" spans="1:3" x14ac:dyDescent="0.25">
      <c r="A19711" s="1" t="s">
        <v>19710</v>
      </c>
      <c r="C19711" s="3">
        <v>2</v>
      </c>
    </row>
    <row r="19712" spans="1:3" x14ac:dyDescent="0.25">
      <c r="A19712" s="1" t="s">
        <v>19711</v>
      </c>
      <c r="C19712" s="3">
        <v>2</v>
      </c>
    </row>
    <row r="19713" spans="1:3" x14ac:dyDescent="0.25">
      <c r="A19713" s="1" t="s">
        <v>19712</v>
      </c>
      <c r="C19713" s="3">
        <v>2</v>
      </c>
    </row>
    <row r="19714" spans="1:3" x14ac:dyDescent="0.25">
      <c r="A19714" s="1" t="s">
        <v>19713</v>
      </c>
      <c r="C19714" s="3">
        <v>2</v>
      </c>
    </row>
    <row r="19715" spans="1:3" x14ac:dyDescent="0.25">
      <c r="A19715" s="1" t="s">
        <v>19714</v>
      </c>
      <c r="C19715" s="3">
        <v>2</v>
      </c>
    </row>
    <row r="19716" spans="1:3" x14ac:dyDescent="0.25">
      <c r="A19716" s="1" t="s">
        <v>19715</v>
      </c>
      <c r="C19716" s="3">
        <v>2</v>
      </c>
    </row>
    <row r="19717" spans="1:3" x14ac:dyDescent="0.25">
      <c r="A19717" s="1" t="s">
        <v>19716</v>
      </c>
      <c r="C19717" s="3">
        <v>2</v>
      </c>
    </row>
    <row r="19718" spans="1:3" x14ac:dyDescent="0.25">
      <c r="A19718" s="1" t="s">
        <v>19717</v>
      </c>
      <c r="C19718" s="3">
        <v>2</v>
      </c>
    </row>
    <row r="19719" spans="1:3" x14ac:dyDescent="0.25">
      <c r="A19719" s="1" t="s">
        <v>19718</v>
      </c>
      <c r="C19719" s="3">
        <v>2</v>
      </c>
    </row>
    <row r="19720" spans="1:3" x14ac:dyDescent="0.25">
      <c r="A19720" s="1" t="s">
        <v>19719</v>
      </c>
      <c r="C19720" s="3">
        <v>2</v>
      </c>
    </row>
    <row r="19721" spans="1:3" x14ac:dyDescent="0.25">
      <c r="A19721" s="1" t="s">
        <v>19720</v>
      </c>
      <c r="C19721" s="3">
        <v>2</v>
      </c>
    </row>
    <row r="19722" spans="1:3" x14ac:dyDescent="0.25">
      <c r="A19722" s="1" t="s">
        <v>19721</v>
      </c>
      <c r="C19722" s="3">
        <v>2</v>
      </c>
    </row>
    <row r="19723" spans="1:3" x14ac:dyDescent="0.25">
      <c r="A19723" s="1" t="s">
        <v>19722</v>
      </c>
      <c r="C19723" s="3">
        <v>2</v>
      </c>
    </row>
    <row r="19724" spans="1:3" x14ac:dyDescent="0.25">
      <c r="A19724" s="1" t="s">
        <v>19723</v>
      </c>
      <c r="C19724" s="3">
        <v>2</v>
      </c>
    </row>
    <row r="19725" spans="1:3" x14ac:dyDescent="0.25">
      <c r="A19725" s="1" t="s">
        <v>19724</v>
      </c>
      <c r="C19725" s="3">
        <v>2</v>
      </c>
    </row>
    <row r="19726" spans="1:3" x14ac:dyDescent="0.25">
      <c r="A19726" s="1" t="s">
        <v>19725</v>
      </c>
      <c r="C19726" s="3">
        <v>2</v>
      </c>
    </row>
    <row r="19727" spans="1:3" x14ac:dyDescent="0.25">
      <c r="A19727" s="1" t="s">
        <v>19726</v>
      </c>
      <c r="C19727" s="3">
        <v>2</v>
      </c>
    </row>
    <row r="19728" spans="1:3" x14ac:dyDescent="0.25">
      <c r="A19728" s="1" t="s">
        <v>19727</v>
      </c>
      <c r="C19728" s="3">
        <v>2</v>
      </c>
    </row>
    <row r="19729" spans="1:3" x14ac:dyDescent="0.25">
      <c r="A19729" s="1" t="s">
        <v>19728</v>
      </c>
      <c r="C19729" s="3">
        <v>2</v>
      </c>
    </row>
    <row r="19730" spans="1:3" x14ac:dyDescent="0.25">
      <c r="A19730" s="1" t="s">
        <v>19729</v>
      </c>
      <c r="C19730" s="3">
        <v>2</v>
      </c>
    </row>
    <row r="19731" spans="1:3" x14ac:dyDescent="0.25">
      <c r="A19731" s="1" t="s">
        <v>19730</v>
      </c>
      <c r="C19731" s="3">
        <v>2</v>
      </c>
    </row>
    <row r="19732" spans="1:3" x14ac:dyDescent="0.25">
      <c r="A19732" s="1" t="s">
        <v>19731</v>
      </c>
      <c r="C19732" s="3">
        <v>2</v>
      </c>
    </row>
    <row r="19733" spans="1:3" x14ac:dyDescent="0.25">
      <c r="A19733" s="1" t="s">
        <v>19732</v>
      </c>
      <c r="C19733" s="3">
        <v>2</v>
      </c>
    </row>
    <row r="19734" spans="1:3" x14ac:dyDescent="0.25">
      <c r="A19734" s="1" t="s">
        <v>19733</v>
      </c>
      <c r="C19734" s="3">
        <v>2</v>
      </c>
    </row>
    <row r="19735" spans="1:3" x14ac:dyDescent="0.25">
      <c r="A19735" s="1" t="s">
        <v>19734</v>
      </c>
      <c r="C19735" s="3">
        <v>2</v>
      </c>
    </row>
    <row r="19736" spans="1:3" x14ac:dyDescent="0.25">
      <c r="A19736" s="1" t="s">
        <v>19735</v>
      </c>
      <c r="C19736" s="3">
        <v>2</v>
      </c>
    </row>
    <row r="19737" spans="1:3" x14ac:dyDescent="0.25">
      <c r="A19737" s="1" t="s">
        <v>19736</v>
      </c>
      <c r="C19737" s="3">
        <v>2</v>
      </c>
    </row>
    <row r="19738" spans="1:3" x14ac:dyDescent="0.25">
      <c r="A19738" s="1" t="s">
        <v>19737</v>
      </c>
      <c r="C19738" s="3">
        <v>2</v>
      </c>
    </row>
    <row r="19739" spans="1:3" x14ac:dyDescent="0.25">
      <c r="A19739" s="1" t="s">
        <v>19738</v>
      </c>
      <c r="C19739" s="3">
        <v>2</v>
      </c>
    </row>
    <row r="19740" spans="1:3" x14ac:dyDescent="0.25">
      <c r="A19740" s="1" t="s">
        <v>19739</v>
      </c>
      <c r="C19740" s="3">
        <v>2</v>
      </c>
    </row>
    <row r="19741" spans="1:3" x14ac:dyDescent="0.25">
      <c r="A19741" s="1" t="s">
        <v>19740</v>
      </c>
      <c r="C19741" s="3">
        <v>2</v>
      </c>
    </row>
    <row r="19742" spans="1:3" x14ac:dyDescent="0.25">
      <c r="A19742" s="1" t="s">
        <v>19741</v>
      </c>
      <c r="C19742" s="3">
        <v>2</v>
      </c>
    </row>
    <row r="19743" spans="1:3" x14ac:dyDescent="0.25">
      <c r="A19743" s="1" t="s">
        <v>19742</v>
      </c>
      <c r="C19743" s="3">
        <v>2</v>
      </c>
    </row>
    <row r="19744" spans="1:3" x14ac:dyDescent="0.25">
      <c r="A19744" s="1" t="s">
        <v>19743</v>
      </c>
      <c r="C19744" s="3">
        <v>2</v>
      </c>
    </row>
    <row r="19745" spans="1:3" x14ac:dyDescent="0.25">
      <c r="A19745" s="1" t="s">
        <v>19744</v>
      </c>
      <c r="C19745" s="3">
        <v>2</v>
      </c>
    </row>
    <row r="19746" spans="1:3" x14ac:dyDescent="0.25">
      <c r="A19746" s="1" t="s">
        <v>19745</v>
      </c>
      <c r="C19746" s="3">
        <v>2</v>
      </c>
    </row>
    <row r="19747" spans="1:3" x14ac:dyDescent="0.25">
      <c r="A19747" s="1" t="s">
        <v>19746</v>
      </c>
      <c r="C19747" s="3">
        <v>2</v>
      </c>
    </row>
    <row r="19748" spans="1:3" x14ac:dyDescent="0.25">
      <c r="A19748" s="1" t="s">
        <v>19747</v>
      </c>
      <c r="C19748" s="3">
        <v>2</v>
      </c>
    </row>
    <row r="19749" spans="1:3" x14ac:dyDescent="0.25">
      <c r="A19749" s="1" t="s">
        <v>19748</v>
      </c>
      <c r="C19749" s="3">
        <v>2</v>
      </c>
    </row>
    <row r="19750" spans="1:3" x14ac:dyDescent="0.25">
      <c r="A19750" s="1" t="s">
        <v>19749</v>
      </c>
      <c r="C19750" s="3">
        <v>2</v>
      </c>
    </row>
    <row r="19751" spans="1:3" x14ac:dyDescent="0.25">
      <c r="A19751" s="1" t="s">
        <v>19750</v>
      </c>
      <c r="C19751" s="3">
        <v>2</v>
      </c>
    </row>
    <row r="19752" spans="1:3" x14ac:dyDescent="0.25">
      <c r="A19752" s="1" t="s">
        <v>19751</v>
      </c>
      <c r="C19752" s="3">
        <v>2</v>
      </c>
    </row>
    <row r="19753" spans="1:3" x14ac:dyDescent="0.25">
      <c r="A19753" s="1" t="s">
        <v>19752</v>
      </c>
      <c r="C19753" s="3">
        <v>2</v>
      </c>
    </row>
    <row r="19754" spans="1:3" x14ac:dyDescent="0.25">
      <c r="A19754" s="1" t="s">
        <v>19753</v>
      </c>
      <c r="C19754" s="3">
        <v>2</v>
      </c>
    </row>
    <row r="19755" spans="1:3" x14ac:dyDescent="0.25">
      <c r="A19755" s="1" t="s">
        <v>19754</v>
      </c>
      <c r="C19755" s="3">
        <v>2</v>
      </c>
    </row>
    <row r="19756" spans="1:3" x14ac:dyDescent="0.25">
      <c r="A19756" s="1" t="s">
        <v>19755</v>
      </c>
      <c r="C19756" s="3">
        <v>2</v>
      </c>
    </row>
    <row r="19757" spans="1:3" x14ac:dyDescent="0.25">
      <c r="A19757" s="1" t="s">
        <v>19756</v>
      </c>
      <c r="C19757" s="3">
        <v>2</v>
      </c>
    </row>
    <row r="19758" spans="1:3" x14ac:dyDescent="0.25">
      <c r="A19758" s="1" t="s">
        <v>19757</v>
      </c>
      <c r="C19758" s="3">
        <v>2</v>
      </c>
    </row>
    <row r="19759" spans="1:3" x14ac:dyDescent="0.25">
      <c r="A19759" s="1" t="s">
        <v>19758</v>
      </c>
      <c r="C19759" s="3">
        <v>2</v>
      </c>
    </row>
    <row r="19760" spans="1:3" x14ac:dyDescent="0.25">
      <c r="A19760" s="1" t="s">
        <v>19759</v>
      </c>
      <c r="C19760" s="3">
        <v>2</v>
      </c>
    </row>
    <row r="19761" spans="1:3" x14ac:dyDescent="0.25">
      <c r="A19761" s="1" t="s">
        <v>19760</v>
      </c>
      <c r="C19761" s="3">
        <v>2</v>
      </c>
    </row>
    <row r="19762" spans="1:3" x14ac:dyDescent="0.25">
      <c r="A19762" s="1" t="s">
        <v>19761</v>
      </c>
      <c r="C19762" s="3">
        <v>2</v>
      </c>
    </row>
    <row r="19763" spans="1:3" x14ac:dyDescent="0.25">
      <c r="A19763" s="1" t="s">
        <v>19762</v>
      </c>
      <c r="C19763" s="3">
        <v>2</v>
      </c>
    </row>
    <row r="19764" spans="1:3" x14ac:dyDescent="0.25">
      <c r="A19764" s="1" t="s">
        <v>19763</v>
      </c>
      <c r="C19764" s="3">
        <v>2</v>
      </c>
    </row>
    <row r="19765" spans="1:3" x14ac:dyDescent="0.25">
      <c r="A19765" s="1" t="s">
        <v>19764</v>
      </c>
      <c r="C19765" s="3">
        <v>2</v>
      </c>
    </row>
    <row r="19766" spans="1:3" x14ac:dyDescent="0.25">
      <c r="A19766" s="1" t="s">
        <v>19765</v>
      </c>
      <c r="C19766" s="3">
        <v>2</v>
      </c>
    </row>
    <row r="19767" spans="1:3" x14ac:dyDescent="0.25">
      <c r="A19767" s="1" t="s">
        <v>19766</v>
      </c>
      <c r="C19767" s="3">
        <v>2</v>
      </c>
    </row>
    <row r="19768" spans="1:3" x14ac:dyDescent="0.25">
      <c r="A19768" s="1" t="s">
        <v>19767</v>
      </c>
      <c r="C19768" s="3">
        <v>2</v>
      </c>
    </row>
    <row r="19769" spans="1:3" x14ac:dyDescent="0.25">
      <c r="A19769" s="1" t="s">
        <v>19768</v>
      </c>
      <c r="C19769" s="3">
        <v>2</v>
      </c>
    </row>
    <row r="19770" spans="1:3" x14ac:dyDescent="0.25">
      <c r="A19770" s="1" t="s">
        <v>19769</v>
      </c>
      <c r="C19770" s="3">
        <v>2</v>
      </c>
    </row>
    <row r="19771" spans="1:3" x14ac:dyDescent="0.25">
      <c r="A19771" s="1" t="s">
        <v>19770</v>
      </c>
      <c r="C19771" s="3">
        <v>2</v>
      </c>
    </row>
    <row r="19772" spans="1:3" x14ac:dyDescent="0.25">
      <c r="A19772" s="1" t="s">
        <v>19771</v>
      </c>
      <c r="C19772" s="3">
        <v>2</v>
      </c>
    </row>
    <row r="19773" spans="1:3" x14ac:dyDescent="0.25">
      <c r="A19773" s="1" t="s">
        <v>19772</v>
      </c>
      <c r="C19773" s="3">
        <v>2</v>
      </c>
    </row>
    <row r="19774" spans="1:3" x14ac:dyDescent="0.25">
      <c r="A19774" s="1" t="s">
        <v>19773</v>
      </c>
      <c r="C19774" s="3">
        <v>2</v>
      </c>
    </row>
    <row r="19775" spans="1:3" x14ac:dyDescent="0.25">
      <c r="A19775" s="1" t="s">
        <v>19774</v>
      </c>
      <c r="C19775" s="3">
        <v>2</v>
      </c>
    </row>
    <row r="19776" spans="1:3" x14ac:dyDescent="0.25">
      <c r="A19776" s="1" t="s">
        <v>19775</v>
      </c>
      <c r="C19776" s="3">
        <v>2</v>
      </c>
    </row>
    <row r="19777" spans="1:3" x14ac:dyDescent="0.25">
      <c r="A19777" s="1" t="s">
        <v>19776</v>
      </c>
      <c r="C19777" s="3">
        <v>2</v>
      </c>
    </row>
    <row r="19778" spans="1:3" x14ac:dyDescent="0.25">
      <c r="A19778" s="1" t="s">
        <v>19777</v>
      </c>
      <c r="C19778" s="3">
        <v>2</v>
      </c>
    </row>
    <row r="19779" spans="1:3" x14ac:dyDescent="0.25">
      <c r="A19779" s="1" t="s">
        <v>19778</v>
      </c>
      <c r="C19779" s="3">
        <v>2</v>
      </c>
    </row>
    <row r="19780" spans="1:3" x14ac:dyDescent="0.25">
      <c r="A19780" s="1" t="s">
        <v>19779</v>
      </c>
      <c r="C19780" s="3">
        <v>2</v>
      </c>
    </row>
    <row r="19781" spans="1:3" x14ac:dyDescent="0.25">
      <c r="A19781" s="1" t="s">
        <v>19780</v>
      </c>
      <c r="C19781" s="3">
        <v>2</v>
      </c>
    </row>
    <row r="19782" spans="1:3" x14ac:dyDescent="0.25">
      <c r="A19782" s="1" t="s">
        <v>19781</v>
      </c>
      <c r="C19782" s="3">
        <v>2</v>
      </c>
    </row>
    <row r="19783" spans="1:3" x14ac:dyDescent="0.25">
      <c r="A19783" s="1" t="s">
        <v>19782</v>
      </c>
      <c r="C19783" s="3">
        <v>2</v>
      </c>
    </row>
    <row r="19784" spans="1:3" x14ac:dyDescent="0.25">
      <c r="A19784" s="1" t="s">
        <v>19783</v>
      </c>
      <c r="C19784" s="3">
        <v>2</v>
      </c>
    </row>
    <row r="19785" spans="1:3" x14ac:dyDescent="0.25">
      <c r="A19785" s="1" t="s">
        <v>19784</v>
      </c>
      <c r="C19785" s="3">
        <v>2</v>
      </c>
    </row>
    <row r="19786" spans="1:3" x14ac:dyDescent="0.25">
      <c r="A19786" s="1" t="s">
        <v>19785</v>
      </c>
      <c r="C19786" s="3">
        <v>2</v>
      </c>
    </row>
    <row r="19787" spans="1:3" x14ac:dyDescent="0.25">
      <c r="A19787" s="1" t="s">
        <v>19786</v>
      </c>
      <c r="C19787" s="3">
        <v>2</v>
      </c>
    </row>
    <row r="19788" spans="1:3" x14ac:dyDescent="0.25">
      <c r="A19788" s="1" t="s">
        <v>19787</v>
      </c>
      <c r="C19788" s="3">
        <v>2</v>
      </c>
    </row>
    <row r="19789" spans="1:3" x14ac:dyDescent="0.25">
      <c r="A19789" s="1" t="s">
        <v>19788</v>
      </c>
      <c r="C19789" s="3">
        <v>2</v>
      </c>
    </row>
    <row r="19790" spans="1:3" x14ac:dyDescent="0.25">
      <c r="A19790" s="1" t="s">
        <v>19789</v>
      </c>
      <c r="C19790" s="3">
        <v>2</v>
      </c>
    </row>
    <row r="19791" spans="1:3" x14ac:dyDescent="0.25">
      <c r="A19791" s="1" t="s">
        <v>19790</v>
      </c>
      <c r="C19791" s="3">
        <v>2</v>
      </c>
    </row>
    <row r="19792" spans="1:3" x14ac:dyDescent="0.25">
      <c r="A19792" s="1" t="s">
        <v>19791</v>
      </c>
      <c r="C19792" s="3">
        <v>2</v>
      </c>
    </row>
    <row r="19793" spans="1:3" x14ac:dyDescent="0.25">
      <c r="A19793" s="1" t="s">
        <v>19792</v>
      </c>
      <c r="C19793" s="3">
        <v>2</v>
      </c>
    </row>
    <row r="19794" spans="1:3" x14ac:dyDescent="0.25">
      <c r="A19794" s="1" t="s">
        <v>19793</v>
      </c>
      <c r="C19794" s="3">
        <v>2</v>
      </c>
    </row>
    <row r="19795" spans="1:3" x14ac:dyDescent="0.25">
      <c r="A19795" s="1" t="s">
        <v>19794</v>
      </c>
      <c r="C19795" s="3">
        <v>2</v>
      </c>
    </row>
    <row r="19796" spans="1:3" x14ac:dyDescent="0.25">
      <c r="A19796" s="1" t="s">
        <v>19795</v>
      </c>
      <c r="C19796" s="3">
        <v>2</v>
      </c>
    </row>
    <row r="19797" spans="1:3" x14ac:dyDescent="0.25">
      <c r="A19797" s="1" t="s">
        <v>19796</v>
      </c>
      <c r="C19797" s="3">
        <v>2</v>
      </c>
    </row>
    <row r="19798" spans="1:3" x14ac:dyDescent="0.25">
      <c r="A19798" s="1" t="s">
        <v>19797</v>
      </c>
      <c r="C19798" s="3">
        <v>2</v>
      </c>
    </row>
    <row r="19799" spans="1:3" x14ac:dyDescent="0.25">
      <c r="A19799" s="1" t="s">
        <v>19798</v>
      </c>
      <c r="C19799" s="3">
        <v>2</v>
      </c>
    </row>
    <row r="19800" spans="1:3" x14ac:dyDescent="0.25">
      <c r="A19800" s="1" t="s">
        <v>19799</v>
      </c>
      <c r="C19800" s="3">
        <v>2</v>
      </c>
    </row>
    <row r="19801" spans="1:3" x14ac:dyDescent="0.25">
      <c r="A19801" s="1" t="s">
        <v>19800</v>
      </c>
      <c r="C19801" s="3">
        <v>2</v>
      </c>
    </row>
    <row r="19802" spans="1:3" x14ac:dyDescent="0.25">
      <c r="A19802" s="1" t="s">
        <v>19801</v>
      </c>
      <c r="C19802" s="3">
        <v>2</v>
      </c>
    </row>
    <row r="19803" spans="1:3" x14ac:dyDescent="0.25">
      <c r="A19803" s="1" t="s">
        <v>19802</v>
      </c>
      <c r="C19803" s="3">
        <v>2</v>
      </c>
    </row>
    <row r="19804" spans="1:3" x14ac:dyDescent="0.25">
      <c r="A19804" s="1" t="s">
        <v>19803</v>
      </c>
      <c r="C19804" s="3">
        <v>2</v>
      </c>
    </row>
    <row r="19805" spans="1:3" x14ac:dyDescent="0.25">
      <c r="A19805" s="1" t="s">
        <v>19804</v>
      </c>
      <c r="C19805" s="3">
        <v>2</v>
      </c>
    </row>
    <row r="19806" spans="1:3" x14ac:dyDescent="0.25">
      <c r="A19806" s="1" t="s">
        <v>19805</v>
      </c>
      <c r="C19806" s="3">
        <v>2</v>
      </c>
    </row>
    <row r="19807" spans="1:3" x14ac:dyDescent="0.25">
      <c r="A19807" s="1" t="s">
        <v>19806</v>
      </c>
      <c r="C19807" s="3">
        <v>2</v>
      </c>
    </row>
    <row r="19808" spans="1:3" x14ac:dyDescent="0.25">
      <c r="A19808" s="1" t="s">
        <v>19807</v>
      </c>
      <c r="C19808" s="3">
        <v>2</v>
      </c>
    </row>
    <row r="19809" spans="1:3" x14ac:dyDescent="0.25">
      <c r="A19809" s="1" t="s">
        <v>19808</v>
      </c>
      <c r="C19809" s="3">
        <v>2</v>
      </c>
    </row>
    <row r="19810" spans="1:3" x14ac:dyDescent="0.25">
      <c r="A19810" s="1" t="s">
        <v>19809</v>
      </c>
      <c r="C19810" s="3">
        <v>2</v>
      </c>
    </row>
    <row r="19811" spans="1:3" x14ac:dyDescent="0.25">
      <c r="A19811" s="1" t="s">
        <v>19810</v>
      </c>
      <c r="C19811" s="3">
        <v>2</v>
      </c>
    </row>
    <row r="19812" spans="1:3" x14ac:dyDescent="0.25">
      <c r="A19812" s="1" t="s">
        <v>19811</v>
      </c>
      <c r="C19812" s="3">
        <v>2</v>
      </c>
    </row>
    <row r="19813" spans="1:3" x14ac:dyDescent="0.25">
      <c r="A19813" s="1" t="s">
        <v>19812</v>
      </c>
      <c r="C19813" s="3">
        <v>2</v>
      </c>
    </row>
    <row r="19814" spans="1:3" x14ac:dyDescent="0.25">
      <c r="A19814" s="1" t="s">
        <v>19813</v>
      </c>
      <c r="C19814" s="3">
        <v>2</v>
      </c>
    </row>
    <row r="19815" spans="1:3" x14ac:dyDescent="0.25">
      <c r="A19815" s="1" t="s">
        <v>19814</v>
      </c>
      <c r="C19815" s="3">
        <v>2</v>
      </c>
    </row>
    <row r="19816" spans="1:3" x14ac:dyDescent="0.25">
      <c r="A19816" s="1" t="s">
        <v>19815</v>
      </c>
      <c r="C19816" s="3">
        <v>2</v>
      </c>
    </row>
    <row r="19817" spans="1:3" x14ac:dyDescent="0.25">
      <c r="A19817" s="1" t="s">
        <v>19816</v>
      </c>
      <c r="C19817" s="3">
        <v>2</v>
      </c>
    </row>
    <row r="19818" spans="1:3" x14ac:dyDescent="0.25">
      <c r="A19818" s="1" t="s">
        <v>19817</v>
      </c>
      <c r="C19818" s="3">
        <v>2</v>
      </c>
    </row>
    <row r="19819" spans="1:3" x14ac:dyDescent="0.25">
      <c r="A19819" s="1" t="s">
        <v>19818</v>
      </c>
      <c r="C19819" s="3">
        <v>2</v>
      </c>
    </row>
    <row r="19820" spans="1:3" x14ac:dyDescent="0.25">
      <c r="A19820" s="1" t="s">
        <v>19819</v>
      </c>
      <c r="C19820" s="3">
        <v>2</v>
      </c>
    </row>
    <row r="19821" spans="1:3" x14ac:dyDescent="0.25">
      <c r="A19821" s="1" t="s">
        <v>19820</v>
      </c>
      <c r="C19821" s="3">
        <v>2</v>
      </c>
    </row>
    <row r="19822" spans="1:3" x14ac:dyDescent="0.25">
      <c r="A19822" s="1" t="s">
        <v>19821</v>
      </c>
      <c r="C19822" s="3">
        <v>2</v>
      </c>
    </row>
    <row r="19823" spans="1:3" x14ac:dyDescent="0.25">
      <c r="A19823" s="1" t="s">
        <v>19822</v>
      </c>
      <c r="C19823" s="3">
        <v>2</v>
      </c>
    </row>
    <row r="19824" spans="1:3" x14ac:dyDescent="0.25">
      <c r="A19824" s="1" t="s">
        <v>19823</v>
      </c>
      <c r="C19824" s="3">
        <v>2</v>
      </c>
    </row>
    <row r="19825" spans="1:3" x14ac:dyDescent="0.25">
      <c r="A19825" s="1" t="s">
        <v>19824</v>
      </c>
      <c r="C19825" s="3">
        <v>2</v>
      </c>
    </row>
    <row r="19826" spans="1:3" x14ac:dyDescent="0.25">
      <c r="A19826" s="1" t="s">
        <v>19825</v>
      </c>
      <c r="C19826" s="3">
        <v>2</v>
      </c>
    </row>
    <row r="19827" spans="1:3" x14ac:dyDescent="0.25">
      <c r="A19827" s="1" t="s">
        <v>19826</v>
      </c>
      <c r="C19827" s="3">
        <v>2</v>
      </c>
    </row>
    <row r="19828" spans="1:3" x14ac:dyDescent="0.25">
      <c r="A19828" s="1" t="s">
        <v>19827</v>
      </c>
      <c r="C19828" s="3">
        <v>2</v>
      </c>
    </row>
    <row r="19829" spans="1:3" x14ac:dyDescent="0.25">
      <c r="A19829" s="1" t="s">
        <v>19828</v>
      </c>
      <c r="C19829" s="3">
        <v>2</v>
      </c>
    </row>
    <row r="19830" spans="1:3" x14ac:dyDescent="0.25">
      <c r="A19830" s="1" t="s">
        <v>19829</v>
      </c>
      <c r="C19830" s="3">
        <v>2</v>
      </c>
    </row>
    <row r="19831" spans="1:3" x14ac:dyDescent="0.25">
      <c r="A19831" s="1" t="s">
        <v>19830</v>
      </c>
      <c r="C19831" s="3">
        <v>2</v>
      </c>
    </row>
    <row r="19832" spans="1:3" x14ac:dyDescent="0.25">
      <c r="A19832" s="1" t="s">
        <v>19831</v>
      </c>
      <c r="C19832" s="3">
        <v>2</v>
      </c>
    </row>
    <row r="19833" spans="1:3" x14ac:dyDescent="0.25">
      <c r="A19833" s="1" t="s">
        <v>19832</v>
      </c>
      <c r="C19833" s="3">
        <v>2</v>
      </c>
    </row>
    <row r="19834" spans="1:3" x14ac:dyDescent="0.25">
      <c r="A19834" s="1" t="s">
        <v>19833</v>
      </c>
      <c r="C19834" s="3">
        <v>2</v>
      </c>
    </row>
    <row r="19835" spans="1:3" x14ac:dyDescent="0.25">
      <c r="A19835" s="1" t="s">
        <v>19834</v>
      </c>
      <c r="C19835" s="3">
        <v>2</v>
      </c>
    </row>
    <row r="19836" spans="1:3" x14ac:dyDescent="0.25">
      <c r="A19836" s="1" t="s">
        <v>19835</v>
      </c>
      <c r="C19836" s="3">
        <v>2</v>
      </c>
    </row>
    <row r="19837" spans="1:3" x14ac:dyDescent="0.25">
      <c r="A19837" s="1" t="s">
        <v>19836</v>
      </c>
      <c r="C19837" s="3">
        <v>2</v>
      </c>
    </row>
    <row r="19838" spans="1:3" x14ac:dyDescent="0.25">
      <c r="A19838" s="1" t="s">
        <v>19837</v>
      </c>
      <c r="C19838" s="3">
        <v>2</v>
      </c>
    </row>
    <row r="19839" spans="1:3" x14ac:dyDescent="0.25">
      <c r="A19839" s="1" t="s">
        <v>19838</v>
      </c>
      <c r="C19839" s="3">
        <v>2</v>
      </c>
    </row>
    <row r="19840" spans="1:3" x14ac:dyDescent="0.25">
      <c r="A19840" s="1" t="s">
        <v>19839</v>
      </c>
      <c r="C19840" s="3">
        <v>2</v>
      </c>
    </row>
    <row r="19841" spans="1:3" x14ac:dyDescent="0.25">
      <c r="A19841" s="1" t="s">
        <v>19840</v>
      </c>
      <c r="C19841" s="3">
        <v>2</v>
      </c>
    </row>
    <row r="19842" spans="1:3" x14ac:dyDescent="0.25">
      <c r="A19842" s="1" t="s">
        <v>19841</v>
      </c>
      <c r="C19842" s="3">
        <v>2</v>
      </c>
    </row>
    <row r="19843" spans="1:3" x14ac:dyDescent="0.25">
      <c r="A19843" s="1" t="s">
        <v>19842</v>
      </c>
      <c r="C19843" s="3">
        <v>2</v>
      </c>
    </row>
    <row r="19844" spans="1:3" x14ac:dyDescent="0.25">
      <c r="A19844" s="1" t="s">
        <v>19843</v>
      </c>
      <c r="C19844" s="3">
        <v>2</v>
      </c>
    </row>
    <row r="19845" spans="1:3" x14ac:dyDescent="0.25">
      <c r="A19845" s="1" t="s">
        <v>19844</v>
      </c>
      <c r="C19845" s="3">
        <v>2</v>
      </c>
    </row>
    <row r="19846" spans="1:3" x14ac:dyDescent="0.25">
      <c r="A19846" s="1" t="s">
        <v>19845</v>
      </c>
      <c r="C19846" s="3">
        <v>2</v>
      </c>
    </row>
    <row r="19847" spans="1:3" x14ac:dyDescent="0.25">
      <c r="A19847" s="1" t="s">
        <v>19846</v>
      </c>
      <c r="C19847" s="3">
        <v>2</v>
      </c>
    </row>
    <row r="19848" spans="1:3" x14ac:dyDescent="0.25">
      <c r="A19848" s="1" t="s">
        <v>19847</v>
      </c>
      <c r="C19848" s="3">
        <v>2</v>
      </c>
    </row>
    <row r="19849" spans="1:3" x14ac:dyDescent="0.25">
      <c r="A19849" s="1" t="s">
        <v>19848</v>
      </c>
      <c r="C19849" s="3">
        <v>2</v>
      </c>
    </row>
    <row r="19850" spans="1:3" x14ac:dyDescent="0.25">
      <c r="A19850" s="1" t="s">
        <v>19849</v>
      </c>
      <c r="C19850" s="3">
        <v>2</v>
      </c>
    </row>
    <row r="19851" spans="1:3" x14ac:dyDescent="0.25">
      <c r="A19851" s="1" t="s">
        <v>19850</v>
      </c>
      <c r="C19851" s="3">
        <v>2</v>
      </c>
    </row>
    <row r="19852" spans="1:3" x14ac:dyDescent="0.25">
      <c r="A19852" s="1" t="s">
        <v>19851</v>
      </c>
      <c r="C19852" s="3">
        <v>2</v>
      </c>
    </row>
    <row r="19853" spans="1:3" x14ac:dyDescent="0.25">
      <c r="A19853" s="1" t="s">
        <v>19852</v>
      </c>
      <c r="C19853" s="3">
        <v>2</v>
      </c>
    </row>
    <row r="19854" spans="1:3" x14ac:dyDescent="0.25">
      <c r="A19854" s="1" t="s">
        <v>19853</v>
      </c>
      <c r="C19854" s="3">
        <v>2</v>
      </c>
    </row>
    <row r="19855" spans="1:3" x14ac:dyDescent="0.25">
      <c r="A19855" s="1" t="s">
        <v>19854</v>
      </c>
      <c r="C19855" s="3">
        <v>2</v>
      </c>
    </row>
    <row r="19856" spans="1:3" x14ac:dyDescent="0.25">
      <c r="A19856" s="1" t="s">
        <v>19855</v>
      </c>
      <c r="C19856" s="3">
        <v>2</v>
      </c>
    </row>
    <row r="19857" spans="1:3" x14ac:dyDescent="0.25">
      <c r="A19857" s="1" t="s">
        <v>19856</v>
      </c>
      <c r="C19857" s="3">
        <v>2</v>
      </c>
    </row>
    <row r="19858" spans="1:3" x14ac:dyDescent="0.25">
      <c r="A19858" s="1" t="s">
        <v>19857</v>
      </c>
      <c r="C19858" s="3">
        <v>2</v>
      </c>
    </row>
    <row r="19859" spans="1:3" x14ac:dyDescent="0.25">
      <c r="A19859" s="1" t="s">
        <v>19858</v>
      </c>
      <c r="C19859" s="3">
        <v>2</v>
      </c>
    </row>
    <row r="19860" spans="1:3" x14ac:dyDescent="0.25">
      <c r="A19860" s="1" t="s">
        <v>19859</v>
      </c>
      <c r="C19860" s="3">
        <v>2</v>
      </c>
    </row>
    <row r="19861" spans="1:3" x14ac:dyDescent="0.25">
      <c r="A19861" s="1" t="s">
        <v>19860</v>
      </c>
      <c r="C19861" s="3">
        <v>2</v>
      </c>
    </row>
    <row r="19862" spans="1:3" x14ac:dyDescent="0.25">
      <c r="A19862" s="1" t="s">
        <v>19861</v>
      </c>
      <c r="C19862" s="3">
        <v>2</v>
      </c>
    </row>
    <row r="19863" spans="1:3" x14ac:dyDescent="0.25">
      <c r="A19863" s="1" t="s">
        <v>19862</v>
      </c>
      <c r="C19863" s="3">
        <v>2</v>
      </c>
    </row>
    <row r="19864" spans="1:3" x14ac:dyDescent="0.25">
      <c r="A19864" s="1" t="s">
        <v>19863</v>
      </c>
      <c r="C19864" s="3">
        <v>2</v>
      </c>
    </row>
    <row r="19865" spans="1:3" x14ac:dyDescent="0.25">
      <c r="A19865" s="1" t="s">
        <v>19864</v>
      </c>
      <c r="C19865" s="3">
        <v>2</v>
      </c>
    </row>
    <row r="19866" spans="1:3" x14ac:dyDescent="0.25">
      <c r="A19866" s="1" t="s">
        <v>19865</v>
      </c>
      <c r="C19866" s="3">
        <v>2</v>
      </c>
    </row>
    <row r="19867" spans="1:3" x14ac:dyDescent="0.25">
      <c r="A19867" s="1" t="s">
        <v>19866</v>
      </c>
      <c r="C19867" s="3">
        <v>2</v>
      </c>
    </row>
    <row r="19868" spans="1:3" x14ac:dyDescent="0.25">
      <c r="A19868" s="1" t="s">
        <v>19867</v>
      </c>
      <c r="C19868" s="3">
        <v>2</v>
      </c>
    </row>
    <row r="19869" spans="1:3" x14ac:dyDescent="0.25">
      <c r="A19869" s="1" t="s">
        <v>19868</v>
      </c>
      <c r="C19869" s="3">
        <v>2</v>
      </c>
    </row>
    <row r="19870" spans="1:3" x14ac:dyDescent="0.25">
      <c r="A19870" s="1" t="s">
        <v>19869</v>
      </c>
      <c r="C19870" s="3">
        <v>2</v>
      </c>
    </row>
    <row r="19871" spans="1:3" x14ac:dyDescent="0.25">
      <c r="A19871" s="1" t="s">
        <v>19870</v>
      </c>
      <c r="C19871" s="3">
        <v>2</v>
      </c>
    </row>
    <row r="19872" spans="1:3" x14ac:dyDescent="0.25">
      <c r="A19872" s="1" t="s">
        <v>19871</v>
      </c>
      <c r="C19872" s="3">
        <v>2</v>
      </c>
    </row>
    <row r="19873" spans="1:3" x14ac:dyDescent="0.25">
      <c r="A19873" s="1" t="s">
        <v>19872</v>
      </c>
      <c r="C19873" s="3">
        <v>2</v>
      </c>
    </row>
    <row r="19874" spans="1:3" x14ac:dyDescent="0.25">
      <c r="A19874" s="1" t="s">
        <v>19873</v>
      </c>
      <c r="C19874" s="3">
        <v>2</v>
      </c>
    </row>
    <row r="19875" spans="1:3" x14ac:dyDescent="0.25">
      <c r="A19875" s="1" t="s">
        <v>19874</v>
      </c>
      <c r="C19875" s="3">
        <v>2</v>
      </c>
    </row>
    <row r="19876" spans="1:3" x14ac:dyDescent="0.25">
      <c r="A19876" s="1" t="s">
        <v>19875</v>
      </c>
      <c r="C19876" s="3">
        <v>2</v>
      </c>
    </row>
    <row r="19877" spans="1:3" x14ac:dyDescent="0.25">
      <c r="A19877" s="1" t="s">
        <v>19876</v>
      </c>
      <c r="C19877" s="3">
        <v>2</v>
      </c>
    </row>
    <row r="19878" spans="1:3" x14ac:dyDescent="0.25">
      <c r="A19878" s="1" t="s">
        <v>19877</v>
      </c>
      <c r="C19878" s="3">
        <v>2</v>
      </c>
    </row>
    <row r="19879" spans="1:3" x14ac:dyDescent="0.25">
      <c r="A19879" s="1" t="s">
        <v>19878</v>
      </c>
      <c r="C19879" s="3">
        <v>2</v>
      </c>
    </row>
    <row r="19880" spans="1:3" x14ac:dyDescent="0.25">
      <c r="A19880" s="1" t="s">
        <v>19879</v>
      </c>
      <c r="C19880" s="3">
        <v>2</v>
      </c>
    </row>
    <row r="19881" spans="1:3" x14ac:dyDescent="0.25">
      <c r="A19881" s="1" t="s">
        <v>19880</v>
      </c>
      <c r="C19881" s="3">
        <v>2</v>
      </c>
    </row>
    <row r="19882" spans="1:3" x14ac:dyDescent="0.25">
      <c r="A19882" s="1" t="s">
        <v>19881</v>
      </c>
      <c r="C19882" s="3">
        <v>2</v>
      </c>
    </row>
    <row r="19883" spans="1:3" x14ac:dyDescent="0.25">
      <c r="A19883" s="1" t="s">
        <v>19882</v>
      </c>
      <c r="C19883" s="3">
        <v>2</v>
      </c>
    </row>
    <row r="19884" spans="1:3" x14ac:dyDescent="0.25">
      <c r="A19884" s="1" t="s">
        <v>19883</v>
      </c>
      <c r="C19884" s="3">
        <v>2</v>
      </c>
    </row>
    <row r="19885" spans="1:3" x14ac:dyDescent="0.25">
      <c r="A19885" s="1" t="s">
        <v>19884</v>
      </c>
      <c r="C19885" s="3">
        <v>2</v>
      </c>
    </row>
    <row r="19886" spans="1:3" x14ac:dyDescent="0.25">
      <c r="A19886" s="1" t="s">
        <v>19885</v>
      </c>
      <c r="C19886" s="3">
        <v>2</v>
      </c>
    </row>
    <row r="19887" spans="1:3" x14ac:dyDescent="0.25">
      <c r="A19887" s="1" t="s">
        <v>19886</v>
      </c>
      <c r="C19887" s="3">
        <v>2</v>
      </c>
    </row>
    <row r="19888" spans="1:3" x14ac:dyDescent="0.25">
      <c r="A19888" s="1" t="s">
        <v>19887</v>
      </c>
      <c r="C19888" s="3">
        <v>2</v>
      </c>
    </row>
    <row r="19889" spans="1:3" x14ac:dyDescent="0.25">
      <c r="A19889" s="1" t="s">
        <v>19888</v>
      </c>
      <c r="C19889" s="3">
        <v>2</v>
      </c>
    </row>
    <row r="19890" spans="1:3" x14ac:dyDescent="0.25">
      <c r="A19890" s="1" t="s">
        <v>19889</v>
      </c>
      <c r="C19890" s="3">
        <v>2</v>
      </c>
    </row>
    <row r="19891" spans="1:3" x14ac:dyDescent="0.25">
      <c r="A19891" s="1" t="s">
        <v>19890</v>
      </c>
      <c r="C19891" s="3">
        <v>2</v>
      </c>
    </row>
    <row r="19892" spans="1:3" x14ac:dyDescent="0.25">
      <c r="A19892" s="1" t="s">
        <v>19891</v>
      </c>
      <c r="C19892" s="3">
        <v>2</v>
      </c>
    </row>
    <row r="19893" spans="1:3" x14ac:dyDescent="0.25">
      <c r="A19893" s="1" t="s">
        <v>19892</v>
      </c>
      <c r="C19893" s="3">
        <v>2</v>
      </c>
    </row>
    <row r="19894" spans="1:3" x14ac:dyDescent="0.25">
      <c r="A19894" s="1" t="s">
        <v>19893</v>
      </c>
      <c r="C19894" s="3">
        <v>2</v>
      </c>
    </row>
    <row r="19895" spans="1:3" x14ac:dyDescent="0.25">
      <c r="A19895" s="1" t="s">
        <v>19894</v>
      </c>
      <c r="C19895" s="3">
        <v>2</v>
      </c>
    </row>
    <row r="19896" spans="1:3" x14ac:dyDescent="0.25">
      <c r="A19896" s="1" t="s">
        <v>19895</v>
      </c>
      <c r="C19896" s="3">
        <v>2</v>
      </c>
    </row>
    <row r="19897" spans="1:3" x14ac:dyDescent="0.25">
      <c r="A19897" s="1" t="s">
        <v>19896</v>
      </c>
      <c r="C19897" s="3">
        <v>2</v>
      </c>
    </row>
    <row r="19898" spans="1:3" x14ac:dyDescent="0.25">
      <c r="A19898" s="1" t="s">
        <v>19897</v>
      </c>
      <c r="C19898" s="3">
        <v>2</v>
      </c>
    </row>
    <row r="19899" spans="1:3" x14ac:dyDescent="0.25">
      <c r="A19899" s="1" t="s">
        <v>19898</v>
      </c>
      <c r="C19899" s="3">
        <v>2</v>
      </c>
    </row>
    <row r="19900" spans="1:3" x14ac:dyDescent="0.25">
      <c r="A19900" s="1" t="s">
        <v>19899</v>
      </c>
      <c r="C19900" s="3">
        <v>2</v>
      </c>
    </row>
    <row r="19901" spans="1:3" x14ac:dyDescent="0.25">
      <c r="A19901" s="1" t="s">
        <v>19900</v>
      </c>
      <c r="C19901" s="3">
        <v>2</v>
      </c>
    </row>
    <row r="19902" spans="1:3" x14ac:dyDescent="0.25">
      <c r="A19902" s="1" t="s">
        <v>19901</v>
      </c>
      <c r="C19902" s="3">
        <v>2</v>
      </c>
    </row>
    <row r="19903" spans="1:3" x14ac:dyDescent="0.25">
      <c r="A19903" s="1" t="s">
        <v>19902</v>
      </c>
      <c r="C19903" s="3">
        <v>2</v>
      </c>
    </row>
    <row r="19904" spans="1:3" x14ac:dyDescent="0.25">
      <c r="A19904" s="1" t="s">
        <v>19903</v>
      </c>
      <c r="C19904" s="3">
        <v>2</v>
      </c>
    </row>
    <row r="19905" spans="1:3" x14ac:dyDescent="0.25">
      <c r="A19905" s="1" t="s">
        <v>19904</v>
      </c>
      <c r="C19905" s="3">
        <v>2</v>
      </c>
    </row>
    <row r="19906" spans="1:3" x14ac:dyDescent="0.25">
      <c r="A19906" s="1" t="s">
        <v>19905</v>
      </c>
      <c r="C19906" s="3">
        <v>2</v>
      </c>
    </row>
    <row r="19907" spans="1:3" x14ac:dyDescent="0.25">
      <c r="A19907" s="1" t="s">
        <v>19906</v>
      </c>
      <c r="C19907" s="3">
        <v>2</v>
      </c>
    </row>
    <row r="19908" spans="1:3" x14ac:dyDescent="0.25">
      <c r="A19908" s="1" t="s">
        <v>19907</v>
      </c>
      <c r="C19908" s="3">
        <v>2</v>
      </c>
    </row>
    <row r="19909" spans="1:3" x14ac:dyDescent="0.25">
      <c r="A19909" s="1" t="s">
        <v>19908</v>
      </c>
      <c r="C19909" s="3">
        <v>2</v>
      </c>
    </row>
    <row r="19910" spans="1:3" x14ac:dyDescent="0.25">
      <c r="A19910" s="1" t="s">
        <v>19909</v>
      </c>
      <c r="C19910" s="3">
        <v>2</v>
      </c>
    </row>
    <row r="19911" spans="1:3" x14ac:dyDescent="0.25">
      <c r="A19911" s="1" t="s">
        <v>19910</v>
      </c>
      <c r="C19911" s="3">
        <v>2</v>
      </c>
    </row>
    <row r="19912" spans="1:3" x14ac:dyDescent="0.25">
      <c r="A19912" s="1" t="s">
        <v>19911</v>
      </c>
      <c r="C19912" s="3">
        <v>2</v>
      </c>
    </row>
    <row r="19913" spans="1:3" x14ac:dyDescent="0.25">
      <c r="A19913" s="1" t="s">
        <v>19912</v>
      </c>
      <c r="C19913" s="3">
        <v>2</v>
      </c>
    </row>
    <row r="19914" spans="1:3" x14ac:dyDescent="0.25">
      <c r="A19914" s="1" t="s">
        <v>19913</v>
      </c>
      <c r="C19914" s="3">
        <v>2</v>
      </c>
    </row>
    <row r="19915" spans="1:3" x14ac:dyDescent="0.25">
      <c r="A19915" s="1" t="s">
        <v>19914</v>
      </c>
      <c r="C19915" s="3">
        <v>2</v>
      </c>
    </row>
    <row r="19916" spans="1:3" x14ac:dyDescent="0.25">
      <c r="A19916" s="1" t="s">
        <v>19915</v>
      </c>
      <c r="C19916" s="3">
        <v>2</v>
      </c>
    </row>
    <row r="19917" spans="1:3" x14ac:dyDescent="0.25">
      <c r="A19917" s="1" t="s">
        <v>19916</v>
      </c>
      <c r="C19917" s="3">
        <v>2</v>
      </c>
    </row>
    <row r="19918" spans="1:3" x14ac:dyDescent="0.25">
      <c r="A19918" s="1" t="s">
        <v>19917</v>
      </c>
      <c r="C19918" s="3">
        <v>2</v>
      </c>
    </row>
    <row r="19919" spans="1:3" x14ac:dyDescent="0.25">
      <c r="A19919" s="1" t="s">
        <v>19918</v>
      </c>
      <c r="C19919" s="3">
        <v>2</v>
      </c>
    </row>
    <row r="19920" spans="1:3" x14ac:dyDescent="0.25">
      <c r="A19920" s="1" t="s">
        <v>19919</v>
      </c>
      <c r="C19920" s="3">
        <v>2</v>
      </c>
    </row>
    <row r="19921" spans="1:3" x14ac:dyDescent="0.25">
      <c r="A19921" s="1" t="s">
        <v>19920</v>
      </c>
      <c r="C19921" s="3">
        <v>2</v>
      </c>
    </row>
    <row r="19922" spans="1:3" x14ac:dyDescent="0.25">
      <c r="A19922" s="1" t="s">
        <v>19921</v>
      </c>
      <c r="C19922" s="3">
        <v>2</v>
      </c>
    </row>
    <row r="19923" spans="1:3" x14ac:dyDescent="0.25">
      <c r="A19923" s="1" t="s">
        <v>19922</v>
      </c>
      <c r="C19923" s="3">
        <v>2</v>
      </c>
    </row>
    <row r="19924" spans="1:3" x14ac:dyDescent="0.25">
      <c r="A19924" s="1" t="s">
        <v>19923</v>
      </c>
      <c r="C19924" s="3">
        <v>2</v>
      </c>
    </row>
    <row r="19925" spans="1:3" x14ac:dyDescent="0.25">
      <c r="A19925" s="1" t="s">
        <v>19924</v>
      </c>
      <c r="C19925" s="3">
        <v>2</v>
      </c>
    </row>
    <row r="19926" spans="1:3" x14ac:dyDescent="0.25">
      <c r="A19926" s="1" t="s">
        <v>19925</v>
      </c>
      <c r="C19926" s="3">
        <v>2</v>
      </c>
    </row>
    <row r="19927" spans="1:3" x14ac:dyDescent="0.25">
      <c r="A19927" s="1" t="s">
        <v>19926</v>
      </c>
      <c r="C19927" s="3">
        <v>2</v>
      </c>
    </row>
    <row r="19928" spans="1:3" x14ac:dyDescent="0.25">
      <c r="A19928" s="1" t="s">
        <v>19927</v>
      </c>
      <c r="C19928" s="3">
        <v>2</v>
      </c>
    </row>
    <row r="19929" spans="1:3" x14ac:dyDescent="0.25">
      <c r="A19929" s="1" t="s">
        <v>19928</v>
      </c>
      <c r="C19929" s="3">
        <v>2</v>
      </c>
    </row>
    <row r="19930" spans="1:3" x14ac:dyDescent="0.25">
      <c r="A19930" s="1" t="s">
        <v>19929</v>
      </c>
      <c r="C19930" s="3">
        <v>2</v>
      </c>
    </row>
    <row r="19931" spans="1:3" x14ac:dyDescent="0.25">
      <c r="A19931" s="1" t="s">
        <v>19930</v>
      </c>
      <c r="C19931" s="3">
        <v>2</v>
      </c>
    </row>
    <row r="19932" spans="1:3" x14ac:dyDescent="0.25">
      <c r="A19932" s="1" t="s">
        <v>19931</v>
      </c>
      <c r="C19932" s="3">
        <v>2</v>
      </c>
    </row>
    <row r="19933" spans="1:3" x14ac:dyDescent="0.25">
      <c r="A19933" s="1" t="s">
        <v>19932</v>
      </c>
      <c r="C19933" s="3">
        <v>2</v>
      </c>
    </row>
    <row r="19934" spans="1:3" x14ac:dyDescent="0.25">
      <c r="A19934" s="1" t="s">
        <v>19933</v>
      </c>
      <c r="C19934" s="3">
        <v>2</v>
      </c>
    </row>
    <row r="19935" spans="1:3" x14ac:dyDescent="0.25">
      <c r="A19935" s="1" t="s">
        <v>19934</v>
      </c>
      <c r="C19935" s="3">
        <v>2</v>
      </c>
    </row>
    <row r="19936" spans="1:3" x14ac:dyDescent="0.25">
      <c r="A19936" s="1" t="s">
        <v>19935</v>
      </c>
      <c r="C19936" s="3">
        <v>2</v>
      </c>
    </row>
    <row r="19937" spans="1:3" x14ac:dyDescent="0.25">
      <c r="A19937" s="1" t="s">
        <v>19936</v>
      </c>
      <c r="C19937" s="3">
        <v>2</v>
      </c>
    </row>
    <row r="19938" spans="1:3" x14ac:dyDescent="0.25">
      <c r="A19938" s="1" t="s">
        <v>19937</v>
      </c>
      <c r="C19938" s="3">
        <v>2</v>
      </c>
    </row>
    <row r="19939" spans="1:3" x14ac:dyDescent="0.25">
      <c r="A19939" s="1" t="s">
        <v>19938</v>
      </c>
      <c r="C19939" s="3">
        <v>2</v>
      </c>
    </row>
    <row r="19940" spans="1:3" x14ac:dyDescent="0.25">
      <c r="A19940" s="1" t="s">
        <v>19939</v>
      </c>
      <c r="C19940" s="3">
        <v>2</v>
      </c>
    </row>
    <row r="19941" spans="1:3" x14ac:dyDescent="0.25">
      <c r="A19941" s="1" t="s">
        <v>19940</v>
      </c>
      <c r="C19941" s="3">
        <v>2</v>
      </c>
    </row>
    <row r="19942" spans="1:3" x14ac:dyDescent="0.25">
      <c r="A19942" s="1" t="s">
        <v>19941</v>
      </c>
      <c r="C19942" s="3">
        <v>2</v>
      </c>
    </row>
    <row r="19943" spans="1:3" x14ac:dyDescent="0.25">
      <c r="A19943" s="1" t="s">
        <v>19942</v>
      </c>
      <c r="C19943" s="3">
        <v>2</v>
      </c>
    </row>
    <row r="19944" spans="1:3" x14ac:dyDescent="0.25">
      <c r="A19944" s="1" t="s">
        <v>19943</v>
      </c>
      <c r="C19944" s="3">
        <v>2</v>
      </c>
    </row>
    <row r="19945" spans="1:3" x14ac:dyDescent="0.25">
      <c r="A19945" s="1" t="s">
        <v>19944</v>
      </c>
      <c r="C19945" s="3">
        <v>2</v>
      </c>
    </row>
    <row r="19946" spans="1:3" x14ac:dyDescent="0.25">
      <c r="A19946" s="1" t="s">
        <v>19945</v>
      </c>
      <c r="C19946" s="3">
        <v>2</v>
      </c>
    </row>
    <row r="19947" spans="1:3" x14ac:dyDescent="0.25">
      <c r="A19947" s="1" t="s">
        <v>19946</v>
      </c>
      <c r="C19947" s="3">
        <v>2</v>
      </c>
    </row>
    <row r="19948" spans="1:3" x14ac:dyDescent="0.25">
      <c r="A19948" s="1" t="s">
        <v>19947</v>
      </c>
      <c r="C19948" s="3">
        <v>2</v>
      </c>
    </row>
    <row r="19949" spans="1:3" x14ac:dyDescent="0.25">
      <c r="A19949" s="1" t="s">
        <v>19948</v>
      </c>
      <c r="C19949" s="3">
        <v>2</v>
      </c>
    </row>
    <row r="19950" spans="1:3" x14ac:dyDescent="0.25">
      <c r="A19950" s="1" t="s">
        <v>19949</v>
      </c>
      <c r="C19950" s="3">
        <v>2</v>
      </c>
    </row>
    <row r="19951" spans="1:3" x14ac:dyDescent="0.25">
      <c r="A19951" s="1" t="s">
        <v>19950</v>
      </c>
      <c r="C19951" s="3">
        <v>2</v>
      </c>
    </row>
    <row r="19952" spans="1:3" x14ac:dyDescent="0.25">
      <c r="A19952" s="1" t="s">
        <v>19951</v>
      </c>
      <c r="C19952" s="3">
        <v>2</v>
      </c>
    </row>
    <row r="19953" spans="1:3" x14ac:dyDescent="0.25">
      <c r="A19953" s="1" t="s">
        <v>19952</v>
      </c>
      <c r="C19953" s="3">
        <v>2</v>
      </c>
    </row>
    <row r="19954" spans="1:3" x14ac:dyDescent="0.25">
      <c r="A19954" s="1" t="s">
        <v>19953</v>
      </c>
      <c r="C19954" s="3">
        <v>2</v>
      </c>
    </row>
    <row r="19955" spans="1:3" x14ac:dyDescent="0.25">
      <c r="A19955" s="1" t="s">
        <v>19954</v>
      </c>
      <c r="C19955" s="3">
        <v>2</v>
      </c>
    </row>
    <row r="19956" spans="1:3" x14ac:dyDescent="0.25">
      <c r="A19956" s="1" t="s">
        <v>19955</v>
      </c>
      <c r="C19956" s="3">
        <v>2</v>
      </c>
    </row>
    <row r="19957" spans="1:3" x14ac:dyDescent="0.25">
      <c r="A19957" s="1" t="s">
        <v>19956</v>
      </c>
      <c r="C19957" s="3">
        <v>2</v>
      </c>
    </row>
    <row r="19958" spans="1:3" x14ac:dyDescent="0.25">
      <c r="A19958" s="1" t="s">
        <v>19957</v>
      </c>
      <c r="C19958" s="3">
        <v>2</v>
      </c>
    </row>
    <row r="19959" spans="1:3" x14ac:dyDescent="0.25">
      <c r="A19959" s="1" t="s">
        <v>19958</v>
      </c>
      <c r="C19959" s="3">
        <v>2</v>
      </c>
    </row>
    <row r="19960" spans="1:3" x14ac:dyDescent="0.25">
      <c r="A19960" s="1" t="s">
        <v>19959</v>
      </c>
      <c r="C19960" s="3">
        <v>2</v>
      </c>
    </row>
    <row r="19961" spans="1:3" x14ac:dyDescent="0.25">
      <c r="A19961" s="1" t="s">
        <v>19960</v>
      </c>
      <c r="C19961" s="3">
        <v>2</v>
      </c>
    </row>
    <row r="19962" spans="1:3" x14ac:dyDescent="0.25">
      <c r="A19962" s="1" t="s">
        <v>19961</v>
      </c>
      <c r="C19962" s="3">
        <v>2</v>
      </c>
    </row>
    <row r="19963" spans="1:3" x14ac:dyDescent="0.25">
      <c r="A19963" s="1" t="s">
        <v>19962</v>
      </c>
      <c r="C19963" s="3">
        <v>2</v>
      </c>
    </row>
    <row r="19964" spans="1:3" x14ac:dyDescent="0.25">
      <c r="A19964" s="1" t="s">
        <v>19963</v>
      </c>
      <c r="C19964" s="3">
        <v>2</v>
      </c>
    </row>
    <row r="19965" spans="1:3" x14ac:dyDescent="0.25">
      <c r="A19965" s="1" t="s">
        <v>19964</v>
      </c>
      <c r="C19965" s="3">
        <v>2</v>
      </c>
    </row>
    <row r="19966" spans="1:3" x14ac:dyDescent="0.25">
      <c r="A19966" s="1" t="s">
        <v>19965</v>
      </c>
      <c r="C19966" s="3">
        <v>2</v>
      </c>
    </row>
    <row r="19967" spans="1:3" x14ac:dyDescent="0.25">
      <c r="A19967" s="1" t="s">
        <v>19966</v>
      </c>
      <c r="C19967" s="3">
        <v>2</v>
      </c>
    </row>
    <row r="19968" spans="1:3" x14ac:dyDescent="0.25">
      <c r="A19968" s="1" t="s">
        <v>19967</v>
      </c>
      <c r="C19968" s="3">
        <v>2</v>
      </c>
    </row>
    <row r="19969" spans="1:3" x14ac:dyDescent="0.25">
      <c r="A19969" s="1" t="s">
        <v>19968</v>
      </c>
      <c r="C19969" s="3">
        <v>2</v>
      </c>
    </row>
    <row r="19970" spans="1:3" x14ac:dyDescent="0.25">
      <c r="A19970" s="1" t="s">
        <v>19969</v>
      </c>
      <c r="C19970" s="3">
        <v>2</v>
      </c>
    </row>
    <row r="19971" spans="1:3" x14ac:dyDescent="0.25">
      <c r="A19971" s="1" t="s">
        <v>19970</v>
      </c>
      <c r="C19971" s="3">
        <v>2</v>
      </c>
    </row>
    <row r="19972" spans="1:3" x14ac:dyDescent="0.25">
      <c r="A19972" s="1" t="s">
        <v>19971</v>
      </c>
      <c r="C19972" s="3">
        <v>2</v>
      </c>
    </row>
    <row r="19973" spans="1:3" x14ac:dyDescent="0.25">
      <c r="A19973" s="1" t="s">
        <v>19972</v>
      </c>
      <c r="C19973" s="3">
        <v>2</v>
      </c>
    </row>
    <row r="19974" spans="1:3" x14ac:dyDescent="0.25">
      <c r="A19974" s="1" t="s">
        <v>19973</v>
      </c>
      <c r="C19974" s="3">
        <v>2</v>
      </c>
    </row>
    <row r="19975" spans="1:3" x14ac:dyDescent="0.25">
      <c r="A19975" s="1" t="s">
        <v>19974</v>
      </c>
      <c r="C19975" s="3">
        <v>2</v>
      </c>
    </row>
    <row r="19976" spans="1:3" x14ac:dyDescent="0.25">
      <c r="A19976" s="1" t="s">
        <v>19975</v>
      </c>
      <c r="C19976" s="3">
        <v>2</v>
      </c>
    </row>
    <row r="19977" spans="1:3" x14ac:dyDescent="0.25">
      <c r="A19977" s="1" t="s">
        <v>19976</v>
      </c>
      <c r="C19977" s="3">
        <v>2</v>
      </c>
    </row>
    <row r="19978" spans="1:3" x14ac:dyDescent="0.25">
      <c r="A19978" s="1" t="s">
        <v>19977</v>
      </c>
      <c r="C19978" s="3">
        <v>2</v>
      </c>
    </row>
    <row r="19979" spans="1:3" x14ac:dyDescent="0.25">
      <c r="A19979" s="1" t="s">
        <v>19978</v>
      </c>
      <c r="C19979" s="3">
        <v>2</v>
      </c>
    </row>
    <row r="19980" spans="1:3" x14ac:dyDescent="0.25">
      <c r="A19980" s="1" t="s">
        <v>19979</v>
      </c>
      <c r="C19980" s="3">
        <v>2</v>
      </c>
    </row>
    <row r="19981" spans="1:3" x14ac:dyDescent="0.25">
      <c r="A19981" s="1" t="s">
        <v>19980</v>
      </c>
      <c r="C19981" s="3">
        <v>2</v>
      </c>
    </row>
    <row r="19982" spans="1:3" x14ac:dyDescent="0.25">
      <c r="A19982" s="1" t="s">
        <v>19981</v>
      </c>
      <c r="C19982" s="3">
        <v>2</v>
      </c>
    </row>
    <row r="19983" spans="1:3" x14ac:dyDescent="0.25">
      <c r="A19983" s="1" t="s">
        <v>19982</v>
      </c>
      <c r="C19983" s="3">
        <v>2</v>
      </c>
    </row>
    <row r="19984" spans="1:3" x14ac:dyDescent="0.25">
      <c r="A19984" s="1" t="s">
        <v>19983</v>
      </c>
      <c r="C19984" s="3">
        <v>2</v>
      </c>
    </row>
    <row r="19985" spans="1:3" x14ac:dyDescent="0.25">
      <c r="A19985" s="1" t="s">
        <v>19984</v>
      </c>
      <c r="C19985" s="3">
        <v>2</v>
      </c>
    </row>
    <row r="19986" spans="1:3" x14ac:dyDescent="0.25">
      <c r="A19986" s="1" t="s">
        <v>19985</v>
      </c>
      <c r="C19986" s="3">
        <v>2</v>
      </c>
    </row>
    <row r="19987" spans="1:3" x14ac:dyDescent="0.25">
      <c r="A19987" s="1" t="s">
        <v>19986</v>
      </c>
      <c r="C19987" s="3">
        <v>2</v>
      </c>
    </row>
    <row r="19988" spans="1:3" x14ac:dyDescent="0.25">
      <c r="A19988" s="1" t="s">
        <v>19987</v>
      </c>
      <c r="C19988" s="3">
        <v>2</v>
      </c>
    </row>
    <row r="19989" spans="1:3" x14ac:dyDescent="0.25">
      <c r="A19989" s="1" t="s">
        <v>19988</v>
      </c>
      <c r="C19989" s="3">
        <v>2</v>
      </c>
    </row>
    <row r="19990" spans="1:3" x14ac:dyDescent="0.25">
      <c r="A19990" s="1" t="s">
        <v>19989</v>
      </c>
      <c r="C19990" s="3">
        <v>2</v>
      </c>
    </row>
    <row r="19991" spans="1:3" x14ac:dyDescent="0.25">
      <c r="A19991" s="1" t="s">
        <v>19990</v>
      </c>
      <c r="C19991" s="3">
        <v>2</v>
      </c>
    </row>
    <row r="19992" spans="1:3" x14ac:dyDescent="0.25">
      <c r="A19992" s="1" t="s">
        <v>19991</v>
      </c>
      <c r="C19992" s="3">
        <v>2</v>
      </c>
    </row>
    <row r="19993" spans="1:3" x14ac:dyDescent="0.25">
      <c r="A19993" s="1" t="s">
        <v>19992</v>
      </c>
      <c r="C19993" s="3">
        <v>2</v>
      </c>
    </row>
    <row r="19994" spans="1:3" x14ac:dyDescent="0.25">
      <c r="A19994" s="1" t="s">
        <v>19993</v>
      </c>
      <c r="C19994" s="3">
        <v>2</v>
      </c>
    </row>
    <row r="19995" spans="1:3" x14ac:dyDescent="0.25">
      <c r="A19995" s="1" t="s">
        <v>19994</v>
      </c>
      <c r="C19995" s="3">
        <v>2</v>
      </c>
    </row>
    <row r="19996" spans="1:3" x14ac:dyDescent="0.25">
      <c r="A19996" s="1" t="s">
        <v>19995</v>
      </c>
      <c r="C19996" s="3">
        <v>2</v>
      </c>
    </row>
    <row r="19997" spans="1:3" x14ac:dyDescent="0.25">
      <c r="A19997" s="1" t="s">
        <v>19996</v>
      </c>
      <c r="C19997" s="3">
        <v>2</v>
      </c>
    </row>
    <row r="19998" spans="1:3" x14ac:dyDescent="0.25">
      <c r="A19998" s="1" t="s">
        <v>19997</v>
      </c>
      <c r="C19998" s="3">
        <v>2</v>
      </c>
    </row>
    <row r="19999" spans="1:3" x14ac:dyDescent="0.25">
      <c r="A19999" s="1" t="s">
        <v>19998</v>
      </c>
      <c r="C19999" s="3">
        <v>2</v>
      </c>
    </row>
    <row r="20000" spans="1:3" x14ac:dyDescent="0.25">
      <c r="A20000" s="1" t="s">
        <v>19999</v>
      </c>
      <c r="C20000" s="3">
        <v>2</v>
      </c>
    </row>
    <row r="20001" spans="1:3" x14ac:dyDescent="0.25">
      <c r="A20001" s="1" t="s">
        <v>20000</v>
      </c>
      <c r="C20001" s="3">
        <v>2</v>
      </c>
    </row>
    <row r="20002" spans="1:3" x14ac:dyDescent="0.25">
      <c r="A20002" s="1" t="s">
        <v>20001</v>
      </c>
      <c r="C20002" s="3">
        <v>2</v>
      </c>
    </row>
    <row r="20003" spans="1:3" x14ac:dyDescent="0.25">
      <c r="A20003" s="1" t="s">
        <v>20002</v>
      </c>
      <c r="C20003" s="3">
        <v>2</v>
      </c>
    </row>
    <row r="20004" spans="1:3" x14ac:dyDescent="0.25">
      <c r="A20004" s="1" t="s">
        <v>20003</v>
      </c>
      <c r="C20004" s="3">
        <v>2</v>
      </c>
    </row>
    <row r="20005" spans="1:3" x14ac:dyDescent="0.25">
      <c r="A20005" s="1" t="s">
        <v>20004</v>
      </c>
      <c r="C20005" s="3">
        <v>2</v>
      </c>
    </row>
    <row r="20006" spans="1:3" x14ac:dyDescent="0.25">
      <c r="A20006" s="1" t="s">
        <v>20005</v>
      </c>
      <c r="C20006" s="3">
        <v>2</v>
      </c>
    </row>
    <row r="20007" spans="1:3" x14ac:dyDescent="0.25">
      <c r="A20007" s="1" t="s">
        <v>20006</v>
      </c>
      <c r="C20007" s="3">
        <v>2</v>
      </c>
    </row>
    <row r="20008" spans="1:3" x14ac:dyDescent="0.25">
      <c r="A20008" s="1" t="s">
        <v>20007</v>
      </c>
      <c r="C20008" s="3">
        <v>2</v>
      </c>
    </row>
    <row r="20009" spans="1:3" x14ac:dyDescent="0.25">
      <c r="A20009" s="1" t="s">
        <v>20008</v>
      </c>
      <c r="C20009" s="3">
        <v>2</v>
      </c>
    </row>
    <row r="20010" spans="1:3" x14ac:dyDescent="0.25">
      <c r="A20010" s="1" t="s">
        <v>20009</v>
      </c>
      <c r="C20010" s="3">
        <v>2</v>
      </c>
    </row>
    <row r="20011" spans="1:3" x14ac:dyDescent="0.25">
      <c r="A20011" s="1" t="s">
        <v>20010</v>
      </c>
      <c r="C20011" s="3">
        <v>2</v>
      </c>
    </row>
    <row r="20012" spans="1:3" x14ac:dyDescent="0.25">
      <c r="A20012" s="1" t="s">
        <v>20011</v>
      </c>
      <c r="C20012" s="3">
        <v>2</v>
      </c>
    </row>
    <row r="20013" spans="1:3" x14ac:dyDescent="0.25">
      <c r="A20013" s="1" t="s">
        <v>20012</v>
      </c>
      <c r="C20013" s="3">
        <v>2</v>
      </c>
    </row>
    <row r="20014" spans="1:3" x14ac:dyDescent="0.25">
      <c r="A20014" s="1" t="s">
        <v>20013</v>
      </c>
      <c r="C20014" s="3">
        <v>2</v>
      </c>
    </row>
    <row r="20015" spans="1:3" x14ac:dyDescent="0.25">
      <c r="A20015" s="1" t="s">
        <v>20014</v>
      </c>
      <c r="C20015" s="3">
        <v>2</v>
      </c>
    </row>
    <row r="20016" spans="1:3" x14ac:dyDescent="0.25">
      <c r="A20016" s="1" t="s">
        <v>20015</v>
      </c>
      <c r="C20016" s="3">
        <v>2</v>
      </c>
    </row>
    <row r="20017" spans="1:3" x14ac:dyDescent="0.25">
      <c r="A20017" s="1" t="s">
        <v>20016</v>
      </c>
      <c r="C20017" s="3">
        <v>2</v>
      </c>
    </row>
    <row r="20018" spans="1:3" x14ac:dyDescent="0.25">
      <c r="A20018" s="1" t="s">
        <v>20017</v>
      </c>
      <c r="C20018" s="3">
        <v>2</v>
      </c>
    </row>
    <row r="20019" spans="1:3" x14ac:dyDescent="0.25">
      <c r="A20019" s="1" t="s">
        <v>20018</v>
      </c>
      <c r="C20019" s="3">
        <v>2</v>
      </c>
    </row>
    <row r="20020" spans="1:3" x14ac:dyDescent="0.25">
      <c r="A20020" s="1" t="s">
        <v>20019</v>
      </c>
      <c r="C20020" s="3">
        <v>2</v>
      </c>
    </row>
    <row r="20021" spans="1:3" x14ac:dyDescent="0.25">
      <c r="A20021" s="1" t="s">
        <v>20020</v>
      </c>
      <c r="C20021" s="3">
        <v>2</v>
      </c>
    </row>
    <row r="20022" spans="1:3" x14ac:dyDescent="0.25">
      <c r="A20022" s="1" t="s">
        <v>20021</v>
      </c>
      <c r="C20022" s="3">
        <v>2</v>
      </c>
    </row>
    <row r="20023" spans="1:3" x14ac:dyDescent="0.25">
      <c r="A20023" s="1" t="s">
        <v>20022</v>
      </c>
      <c r="C20023" s="3">
        <v>2</v>
      </c>
    </row>
    <row r="20024" spans="1:3" x14ac:dyDescent="0.25">
      <c r="A20024" s="1" t="s">
        <v>20023</v>
      </c>
      <c r="C20024" s="3">
        <v>2</v>
      </c>
    </row>
    <row r="20025" spans="1:3" x14ac:dyDescent="0.25">
      <c r="A20025" s="1" t="s">
        <v>20024</v>
      </c>
      <c r="C20025" s="3">
        <v>2</v>
      </c>
    </row>
    <row r="20026" spans="1:3" x14ac:dyDescent="0.25">
      <c r="A20026" s="1" t="s">
        <v>20025</v>
      </c>
      <c r="C20026" s="3">
        <v>2</v>
      </c>
    </row>
    <row r="20027" spans="1:3" x14ac:dyDescent="0.25">
      <c r="A20027" s="1" t="s">
        <v>20026</v>
      </c>
      <c r="C20027" s="3">
        <v>2</v>
      </c>
    </row>
    <row r="20028" spans="1:3" x14ac:dyDescent="0.25">
      <c r="A20028" s="1" t="s">
        <v>20027</v>
      </c>
      <c r="C20028" s="3">
        <v>2</v>
      </c>
    </row>
    <row r="20029" spans="1:3" x14ac:dyDescent="0.25">
      <c r="A20029" s="1" t="s">
        <v>20028</v>
      </c>
      <c r="C20029" s="3">
        <v>2</v>
      </c>
    </row>
    <row r="20030" spans="1:3" x14ac:dyDescent="0.25">
      <c r="A20030" s="1" t="s">
        <v>20029</v>
      </c>
      <c r="C20030" s="3">
        <v>2</v>
      </c>
    </row>
    <row r="20031" spans="1:3" x14ac:dyDescent="0.25">
      <c r="A20031" s="1" t="s">
        <v>20030</v>
      </c>
      <c r="C20031" s="3">
        <v>2</v>
      </c>
    </row>
    <row r="20032" spans="1:3" x14ac:dyDescent="0.25">
      <c r="A20032" s="1" t="s">
        <v>20031</v>
      </c>
      <c r="C20032" s="3">
        <v>2</v>
      </c>
    </row>
    <row r="20033" spans="1:3" x14ac:dyDescent="0.25">
      <c r="A20033" s="1" t="s">
        <v>20032</v>
      </c>
      <c r="C20033" s="3">
        <v>2</v>
      </c>
    </row>
    <row r="20034" spans="1:3" x14ac:dyDescent="0.25">
      <c r="A20034" s="1" t="s">
        <v>20033</v>
      </c>
      <c r="C20034" s="3">
        <v>2</v>
      </c>
    </row>
    <row r="20035" spans="1:3" x14ac:dyDescent="0.25">
      <c r="A20035" s="1" t="s">
        <v>20034</v>
      </c>
      <c r="C20035" s="3">
        <v>2</v>
      </c>
    </row>
    <row r="20036" spans="1:3" x14ac:dyDescent="0.25">
      <c r="A20036" s="1" t="s">
        <v>20035</v>
      </c>
      <c r="C20036" s="3">
        <v>2</v>
      </c>
    </row>
    <row r="20037" spans="1:3" x14ac:dyDescent="0.25">
      <c r="A20037" s="1" t="s">
        <v>20036</v>
      </c>
      <c r="C20037" s="3">
        <v>2</v>
      </c>
    </row>
    <row r="20038" spans="1:3" x14ac:dyDescent="0.25">
      <c r="A20038" s="1" t="s">
        <v>20037</v>
      </c>
      <c r="C20038" s="3">
        <v>2</v>
      </c>
    </row>
    <row r="20039" spans="1:3" x14ac:dyDescent="0.25">
      <c r="A20039" s="1" t="s">
        <v>20038</v>
      </c>
      <c r="C20039" s="3">
        <v>2</v>
      </c>
    </row>
    <row r="20040" spans="1:3" x14ac:dyDescent="0.25">
      <c r="A20040" s="1" t="s">
        <v>20039</v>
      </c>
      <c r="C20040" s="3">
        <v>2</v>
      </c>
    </row>
    <row r="20041" spans="1:3" x14ac:dyDescent="0.25">
      <c r="A20041" s="1" t="s">
        <v>20040</v>
      </c>
      <c r="C20041" s="3">
        <v>2</v>
      </c>
    </row>
    <row r="20042" spans="1:3" x14ac:dyDescent="0.25">
      <c r="A20042" s="1" t="s">
        <v>20041</v>
      </c>
      <c r="C20042" s="3">
        <v>2</v>
      </c>
    </row>
    <row r="20043" spans="1:3" x14ac:dyDescent="0.25">
      <c r="A20043" s="1" t="s">
        <v>20042</v>
      </c>
      <c r="C20043" s="3">
        <v>2</v>
      </c>
    </row>
    <row r="20044" spans="1:3" x14ac:dyDescent="0.25">
      <c r="A20044" s="1" t="s">
        <v>20043</v>
      </c>
      <c r="C20044" s="3">
        <v>2</v>
      </c>
    </row>
    <row r="20045" spans="1:3" x14ac:dyDescent="0.25">
      <c r="A20045" s="1" t="s">
        <v>20044</v>
      </c>
      <c r="C20045" s="3">
        <v>2</v>
      </c>
    </row>
    <row r="20046" spans="1:3" x14ac:dyDescent="0.25">
      <c r="A20046" s="1" t="s">
        <v>20045</v>
      </c>
      <c r="C20046" s="3">
        <v>2</v>
      </c>
    </row>
    <row r="20047" spans="1:3" x14ac:dyDescent="0.25">
      <c r="A20047" s="1" t="s">
        <v>20046</v>
      </c>
      <c r="C20047" s="3">
        <v>2</v>
      </c>
    </row>
    <row r="20048" spans="1:3" x14ac:dyDescent="0.25">
      <c r="A20048" s="1" t="s">
        <v>20047</v>
      </c>
      <c r="C20048" s="3">
        <v>2</v>
      </c>
    </row>
    <row r="20049" spans="1:3" x14ac:dyDescent="0.25">
      <c r="A20049" s="1" t="s">
        <v>20048</v>
      </c>
      <c r="C20049" s="3">
        <v>2</v>
      </c>
    </row>
    <row r="20050" spans="1:3" x14ac:dyDescent="0.25">
      <c r="A20050" s="1" t="s">
        <v>20049</v>
      </c>
      <c r="C20050" s="3">
        <v>2</v>
      </c>
    </row>
    <row r="20051" spans="1:3" x14ac:dyDescent="0.25">
      <c r="A20051" s="1" t="s">
        <v>20050</v>
      </c>
      <c r="C20051" s="3">
        <v>2</v>
      </c>
    </row>
    <row r="20052" spans="1:3" x14ac:dyDescent="0.25">
      <c r="A20052" s="1" t="s">
        <v>20051</v>
      </c>
      <c r="C20052" s="3">
        <v>2</v>
      </c>
    </row>
    <row r="20053" spans="1:3" x14ac:dyDescent="0.25">
      <c r="A20053" s="1" t="s">
        <v>20052</v>
      </c>
      <c r="C20053" s="3">
        <v>2</v>
      </c>
    </row>
    <row r="20054" spans="1:3" x14ac:dyDescent="0.25">
      <c r="A20054" s="1" t="s">
        <v>20053</v>
      </c>
      <c r="C20054" s="3">
        <v>2</v>
      </c>
    </row>
    <row r="20055" spans="1:3" x14ac:dyDescent="0.25">
      <c r="A20055" s="1" t="s">
        <v>20054</v>
      </c>
      <c r="C20055" s="3">
        <v>2</v>
      </c>
    </row>
    <row r="20056" spans="1:3" x14ac:dyDescent="0.25">
      <c r="A20056" s="1" t="s">
        <v>20055</v>
      </c>
      <c r="C20056" s="3">
        <v>2</v>
      </c>
    </row>
    <row r="20057" spans="1:3" x14ac:dyDescent="0.25">
      <c r="A20057" s="1" t="s">
        <v>20056</v>
      </c>
      <c r="C20057" s="3">
        <v>2</v>
      </c>
    </row>
    <row r="20058" spans="1:3" x14ac:dyDescent="0.25">
      <c r="A20058" s="1" t="s">
        <v>20057</v>
      </c>
      <c r="C20058" s="3">
        <v>2</v>
      </c>
    </row>
    <row r="20059" spans="1:3" x14ac:dyDescent="0.25">
      <c r="A20059" s="1" t="s">
        <v>20058</v>
      </c>
      <c r="C20059" s="3">
        <v>2</v>
      </c>
    </row>
    <row r="20060" spans="1:3" x14ac:dyDescent="0.25">
      <c r="A20060" s="1" t="s">
        <v>20059</v>
      </c>
      <c r="C20060" s="3">
        <v>2</v>
      </c>
    </row>
    <row r="20061" spans="1:3" x14ac:dyDescent="0.25">
      <c r="A20061" s="1" t="s">
        <v>20060</v>
      </c>
      <c r="C20061" s="3">
        <v>2</v>
      </c>
    </row>
    <row r="20062" spans="1:3" x14ac:dyDescent="0.25">
      <c r="A20062" s="1" t="s">
        <v>20061</v>
      </c>
      <c r="C20062" s="3">
        <v>2</v>
      </c>
    </row>
    <row r="20063" spans="1:3" x14ac:dyDescent="0.25">
      <c r="A20063" s="1" t="s">
        <v>20062</v>
      </c>
      <c r="C20063" s="3">
        <v>2</v>
      </c>
    </row>
    <row r="20064" spans="1:3" x14ac:dyDescent="0.25">
      <c r="A20064" s="1" t="s">
        <v>20063</v>
      </c>
      <c r="C20064" s="3">
        <v>2</v>
      </c>
    </row>
    <row r="20065" spans="1:3" x14ac:dyDescent="0.25">
      <c r="A20065" s="1" t="s">
        <v>20064</v>
      </c>
      <c r="C20065" s="3">
        <v>2</v>
      </c>
    </row>
    <row r="20066" spans="1:3" x14ac:dyDescent="0.25">
      <c r="A20066" s="1" t="s">
        <v>20065</v>
      </c>
      <c r="C20066" s="3">
        <v>2</v>
      </c>
    </row>
    <row r="20067" spans="1:3" x14ac:dyDescent="0.25">
      <c r="A20067" s="1" t="s">
        <v>20066</v>
      </c>
      <c r="C20067" s="3">
        <v>2</v>
      </c>
    </row>
    <row r="20068" spans="1:3" x14ac:dyDescent="0.25">
      <c r="A20068" s="1" t="s">
        <v>20067</v>
      </c>
      <c r="C20068" s="3">
        <v>2</v>
      </c>
    </row>
    <row r="20069" spans="1:3" x14ac:dyDescent="0.25">
      <c r="A20069" s="1" t="s">
        <v>20068</v>
      </c>
      <c r="C20069" s="3">
        <v>2</v>
      </c>
    </row>
    <row r="20070" spans="1:3" x14ac:dyDescent="0.25">
      <c r="A20070" s="1" t="s">
        <v>20069</v>
      </c>
      <c r="C20070" s="3">
        <v>2</v>
      </c>
    </row>
    <row r="20071" spans="1:3" x14ac:dyDescent="0.25">
      <c r="A20071" s="1" t="s">
        <v>20070</v>
      </c>
      <c r="C20071" s="3">
        <v>2</v>
      </c>
    </row>
    <row r="20072" spans="1:3" x14ac:dyDescent="0.25">
      <c r="A20072" s="1" t="s">
        <v>20071</v>
      </c>
      <c r="C20072" s="3">
        <v>2</v>
      </c>
    </row>
    <row r="20073" spans="1:3" x14ac:dyDescent="0.25">
      <c r="A20073" s="1" t="s">
        <v>20072</v>
      </c>
      <c r="C20073" s="3">
        <v>2</v>
      </c>
    </row>
    <row r="20074" spans="1:3" x14ac:dyDescent="0.25">
      <c r="A20074" s="1" t="s">
        <v>20073</v>
      </c>
      <c r="C20074" s="3">
        <v>2</v>
      </c>
    </row>
    <row r="20075" spans="1:3" x14ac:dyDescent="0.25">
      <c r="A20075" s="1" t="s">
        <v>20074</v>
      </c>
      <c r="C20075" s="3">
        <v>2</v>
      </c>
    </row>
    <row r="20076" spans="1:3" x14ac:dyDescent="0.25">
      <c r="A20076" s="1" t="s">
        <v>20075</v>
      </c>
      <c r="C20076" s="3">
        <v>2</v>
      </c>
    </row>
    <row r="20077" spans="1:3" x14ac:dyDescent="0.25">
      <c r="A20077" s="1" t="s">
        <v>20076</v>
      </c>
      <c r="C20077" s="3">
        <v>2</v>
      </c>
    </row>
    <row r="20078" spans="1:3" x14ac:dyDescent="0.25">
      <c r="A20078" s="1" t="s">
        <v>20077</v>
      </c>
      <c r="C20078" s="3">
        <v>2</v>
      </c>
    </row>
    <row r="20079" spans="1:3" x14ac:dyDescent="0.25">
      <c r="A20079" s="1" t="s">
        <v>20078</v>
      </c>
      <c r="C20079" s="3">
        <v>2</v>
      </c>
    </row>
    <row r="20080" spans="1:3" x14ac:dyDescent="0.25">
      <c r="A20080" s="1" t="s">
        <v>20079</v>
      </c>
      <c r="C20080" s="3">
        <v>2</v>
      </c>
    </row>
    <row r="20081" spans="1:3" x14ac:dyDescent="0.25">
      <c r="A20081" s="1" t="s">
        <v>20080</v>
      </c>
      <c r="C20081" s="3">
        <v>2</v>
      </c>
    </row>
    <row r="20082" spans="1:3" x14ac:dyDescent="0.25">
      <c r="A20082" s="1" t="s">
        <v>20081</v>
      </c>
      <c r="C20082" s="3">
        <v>2</v>
      </c>
    </row>
    <row r="20083" spans="1:3" x14ac:dyDescent="0.25">
      <c r="A20083" s="1" t="s">
        <v>20082</v>
      </c>
      <c r="C20083" s="3">
        <v>2</v>
      </c>
    </row>
    <row r="20084" spans="1:3" x14ac:dyDescent="0.25">
      <c r="A20084" s="1" t="s">
        <v>20083</v>
      </c>
      <c r="C20084" s="3">
        <v>2</v>
      </c>
    </row>
    <row r="20085" spans="1:3" x14ac:dyDescent="0.25">
      <c r="A20085" s="1" t="s">
        <v>20084</v>
      </c>
      <c r="C20085" s="3">
        <v>2</v>
      </c>
    </row>
    <row r="20086" spans="1:3" x14ac:dyDescent="0.25">
      <c r="A20086" s="1" t="s">
        <v>20085</v>
      </c>
      <c r="C20086" s="3">
        <v>2</v>
      </c>
    </row>
    <row r="20087" spans="1:3" x14ac:dyDescent="0.25">
      <c r="A20087" s="1" t="s">
        <v>20086</v>
      </c>
      <c r="C20087" s="3">
        <v>2</v>
      </c>
    </row>
    <row r="20088" spans="1:3" x14ac:dyDescent="0.25">
      <c r="A20088" s="1" t="s">
        <v>20087</v>
      </c>
      <c r="C20088" s="3">
        <v>2</v>
      </c>
    </row>
    <row r="20089" spans="1:3" x14ac:dyDescent="0.25">
      <c r="A20089" s="1" t="s">
        <v>20088</v>
      </c>
      <c r="C20089" s="3">
        <v>2</v>
      </c>
    </row>
    <row r="20090" spans="1:3" x14ac:dyDescent="0.25">
      <c r="A20090" s="1" t="s">
        <v>20089</v>
      </c>
      <c r="C20090" s="3">
        <v>2</v>
      </c>
    </row>
    <row r="20091" spans="1:3" x14ac:dyDescent="0.25">
      <c r="A20091" s="1" t="s">
        <v>20090</v>
      </c>
      <c r="C20091" s="3">
        <v>2</v>
      </c>
    </row>
    <row r="20092" spans="1:3" x14ac:dyDescent="0.25">
      <c r="A20092" s="1" t="s">
        <v>20091</v>
      </c>
      <c r="C20092" s="3">
        <v>2</v>
      </c>
    </row>
    <row r="20093" spans="1:3" x14ac:dyDescent="0.25">
      <c r="A20093" s="1" t="s">
        <v>20092</v>
      </c>
      <c r="C20093" s="3">
        <v>2</v>
      </c>
    </row>
    <row r="20094" spans="1:3" x14ac:dyDescent="0.25">
      <c r="A20094" s="1" t="s">
        <v>20093</v>
      </c>
      <c r="C20094" s="3">
        <v>2</v>
      </c>
    </row>
    <row r="20095" spans="1:3" x14ac:dyDescent="0.25">
      <c r="A20095" s="1" t="s">
        <v>20094</v>
      </c>
      <c r="C20095" s="3">
        <v>2</v>
      </c>
    </row>
    <row r="20096" spans="1:3" x14ac:dyDescent="0.25">
      <c r="A20096" s="1" t="s">
        <v>20095</v>
      </c>
      <c r="C20096" s="3">
        <v>2</v>
      </c>
    </row>
    <row r="20097" spans="1:3" x14ac:dyDescent="0.25">
      <c r="A20097" s="1" t="s">
        <v>20096</v>
      </c>
      <c r="C20097" s="3">
        <v>2</v>
      </c>
    </row>
    <row r="20098" spans="1:3" x14ac:dyDescent="0.25">
      <c r="A20098" s="1" t="s">
        <v>20097</v>
      </c>
      <c r="C20098" s="3">
        <v>2</v>
      </c>
    </row>
    <row r="20099" spans="1:3" x14ac:dyDescent="0.25">
      <c r="A20099" s="1" t="s">
        <v>20098</v>
      </c>
      <c r="C20099" s="3">
        <v>2</v>
      </c>
    </row>
    <row r="20100" spans="1:3" x14ac:dyDescent="0.25">
      <c r="A20100" s="1" t="s">
        <v>20099</v>
      </c>
      <c r="C20100" s="3">
        <v>2</v>
      </c>
    </row>
    <row r="20101" spans="1:3" x14ac:dyDescent="0.25">
      <c r="A20101" s="1" t="s">
        <v>20100</v>
      </c>
      <c r="C20101" s="3">
        <v>2</v>
      </c>
    </row>
    <row r="20102" spans="1:3" x14ac:dyDescent="0.25">
      <c r="A20102" s="1" t="s">
        <v>20101</v>
      </c>
      <c r="C20102" s="3">
        <v>2</v>
      </c>
    </row>
    <row r="20103" spans="1:3" x14ac:dyDescent="0.25">
      <c r="A20103" s="1" t="s">
        <v>20102</v>
      </c>
      <c r="C20103" s="3">
        <v>2</v>
      </c>
    </row>
    <row r="20104" spans="1:3" x14ac:dyDescent="0.25">
      <c r="A20104" s="1" t="s">
        <v>20103</v>
      </c>
      <c r="C20104" s="3">
        <v>2</v>
      </c>
    </row>
    <row r="20105" spans="1:3" x14ac:dyDescent="0.25">
      <c r="A20105" s="1" t="s">
        <v>20104</v>
      </c>
      <c r="C20105" s="3">
        <v>2</v>
      </c>
    </row>
    <row r="20106" spans="1:3" x14ac:dyDescent="0.25">
      <c r="A20106" s="1" t="s">
        <v>20105</v>
      </c>
      <c r="C20106" s="3">
        <v>2</v>
      </c>
    </row>
    <row r="20107" spans="1:3" x14ac:dyDescent="0.25">
      <c r="A20107" s="1" t="s">
        <v>20106</v>
      </c>
      <c r="C20107" s="3">
        <v>2</v>
      </c>
    </row>
    <row r="20108" spans="1:3" x14ac:dyDescent="0.25">
      <c r="A20108" s="1" t="s">
        <v>20107</v>
      </c>
      <c r="C20108" s="3">
        <v>2</v>
      </c>
    </row>
    <row r="20109" spans="1:3" x14ac:dyDescent="0.25">
      <c r="A20109" s="1" t="s">
        <v>20108</v>
      </c>
      <c r="C20109" s="3">
        <v>2</v>
      </c>
    </row>
    <row r="20110" spans="1:3" x14ac:dyDescent="0.25">
      <c r="A20110" s="1" t="s">
        <v>20109</v>
      </c>
      <c r="C20110" s="3">
        <v>2</v>
      </c>
    </row>
    <row r="20111" spans="1:3" x14ac:dyDescent="0.25">
      <c r="A20111" s="1" t="s">
        <v>20110</v>
      </c>
      <c r="C20111" s="3">
        <v>2</v>
      </c>
    </row>
    <row r="20112" spans="1:3" x14ac:dyDescent="0.25">
      <c r="A20112" s="1" t="s">
        <v>20111</v>
      </c>
      <c r="C20112" s="3">
        <v>2</v>
      </c>
    </row>
    <row r="20113" spans="1:3" x14ac:dyDescent="0.25">
      <c r="A20113" s="1" t="s">
        <v>20112</v>
      </c>
      <c r="C20113" s="3">
        <v>2</v>
      </c>
    </row>
    <row r="20114" spans="1:3" x14ac:dyDescent="0.25">
      <c r="A20114" s="1" t="s">
        <v>20113</v>
      </c>
      <c r="C20114" s="3">
        <v>2</v>
      </c>
    </row>
    <row r="20115" spans="1:3" x14ac:dyDescent="0.25">
      <c r="A20115" s="1" t="s">
        <v>20114</v>
      </c>
      <c r="C20115" s="3">
        <v>2</v>
      </c>
    </row>
    <row r="20116" spans="1:3" x14ac:dyDescent="0.25">
      <c r="A20116" s="1" t="s">
        <v>20115</v>
      </c>
      <c r="C20116" s="3">
        <v>2</v>
      </c>
    </row>
    <row r="20117" spans="1:3" x14ac:dyDescent="0.25">
      <c r="A20117" s="1" t="s">
        <v>20116</v>
      </c>
      <c r="C20117" s="3">
        <v>2</v>
      </c>
    </row>
    <row r="20118" spans="1:3" x14ac:dyDescent="0.25">
      <c r="A20118" s="1" t="s">
        <v>20117</v>
      </c>
      <c r="C20118" s="3">
        <v>2</v>
      </c>
    </row>
    <row r="20119" spans="1:3" x14ac:dyDescent="0.25">
      <c r="A20119" s="1" t="s">
        <v>20118</v>
      </c>
      <c r="C20119" s="3">
        <v>2</v>
      </c>
    </row>
    <row r="20120" spans="1:3" x14ac:dyDescent="0.25">
      <c r="A20120" s="1" t="s">
        <v>20119</v>
      </c>
      <c r="C20120" s="3">
        <v>2</v>
      </c>
    </row>
    <row r="20121" spans="1:3" x14ac:dyDescent="0.25">
      <c r="A20121" s="1" t="s">
        <v>20120</v>
      </c>
      <c r="C20121" s="3">
        <v>2</v>
      </c>
    </row>
    <row r="20122" spans="1:3" x14ac:dyDescent="0.25">
      <c r="A20122" s="1" t="s">
        <v>20121</v>
      </c>
      <c r="C20122" s="3">
        <v>2</v>
      </c>
    </row>
    <row r="20123" spans="1:3" x14ac:dyDescent="0.25">
      <c r="A20123" s="1" t="s">
        <v>20122</v>
      </c>
      <c r="C20123" s="3">
        <v>2</v>
      </c>
    </row>
    <row r="20124" spans="1:3" x14ac:dyDescent="0.25">
      <c r="A20124" s="1" t="s">
        <v>20123</v>
      </c>
      <c r="C20124" s="3">
        <v>2</v>
      </c>
    </row>
    <row r="20125" spans="1:3" x14ac:dyDescent="0.25">
      <c r="A20125" s="1" t="s">
        <v>20124</v>
      </c>
      <c r="C20125" s="3">
        <v>2</v>
      </c>
    </row>
    <row r="20126" spans="1:3" x14ac:dyDescent="0.25">
      <c r="A20126" s="1" t="s">
        <v>20125</v>
      </c>
      <c r="C20126" s="3">
        <v>2</v>
      </c>
    </row>
    <row r="20127" spans="1:3" x14ac:dyDescent="0.25">
      <c r="A20127" s="1" t="s">
        <v>20126</v>
      </c>
      <c r="C20127" s="3">
        <v>2</v>
      </c>
    </row>
    <row r="20128" spans="1:3" x14ac:dyDescent="0.25">
      <c r="A20128" s="1" t="s">
        <v>20127</v>
      </c>
      <c r="C20128" s="3">
        <v>2</v>
      </c>
    </row>
    <row r="20129" spans="1:3" x14ac:dyDescent="0.25">
      <c r="A20129" s="1" t="s">
        <v>20128</v>
      </c>
      <c r="C20129" s="3">
        <v>2</v>
      </c>
    </row>
    <row r="20130" spans="1:3" x14ac:dyDescent="0.25">
      <c r="A20130" s="1" t="s">
        <v>20129</v>
      </c>
      <c r="C20130" s="3">
        <v>2</v>
      </c>
    </row>
    <row r="20131" spans="1:3" x14ac:dyDescent="0.25">
      <c r="A20131" s="1" t="s">
        <v>20130</v>
      </c>
      <c r="C20131" s="3">
        <v>2</v>
      </c>
    </row>
    <row r="20132" spans="1:3" x14ac:dyDescent="0.25">
      <c r="A20132" s="1" t="s">
        <v>20131</v>
      </c>
      <c r="C20132" s="3">
        <v>2</v>
      </c>
    </row>
    <row r="20133" spans="1:3" x14ac:dyDescent="0.25">
      <c r="A20133" s="1" t="s">
        <v>20132</v>
      </c>
      <c r="C20133" s="3">
        <v>2</v>
      </c>
    </row>
    <row r="20134" spans="1:3" x14ac:dyDescent="0.25">
      <c r="A20134" s="1" t="s">
        <v>20133</v>
      </c>
      <c r="C20134" s="3">
        <v>2</v>
      </c>
    </row>
    <row r="20135" spans="1:3" x14ac:dyDescent="0.25">
      <c r="A20135" s="1" t="s">
        <v>20134</v>
      </c>
      <c r="C20135" s="3">
        <v>2</v>
      </c>
    </row>
    <row r="20136" spans="1:3" x14ac:dyDescent="0.25">
      <c r="A20136" s="1" t="s">
        <v>20135</v>
      </c>
      <c r="C20136" s="3">
        <v>2</v>
      </c>
    </row>
    <row r="20137" spans="1:3" x14ac:dyDescent="0.25">
      <c r="A20137" s="1" t="s">
        <v>20136</v>
      </c>
      <c r="C20137" s="3">
        <v>2</v>
      </c>
    </row>
    <row r="20138" spans="1:3" x14ac:dyDescent="0.25">
      <c r="A20138" s="1" t="s">
        <v>20137</v>
      </c>
      <c r="C20138" s="3">
        <v>2</v>
      </c>
    </row>
    <row r="20139" spans="1:3" x14ac:dyDescent="0.25">
      <c r="A20139" s="1" t="s">
        <v>20138</v>
      </c>
      <c r="C20139" s="3">
        <v>2</v>
      </c>
    </row>
    <row r="20140" spans="1:3" x14ac:dyDescent="0.25">
      <c r="A20140" s="1" t="s">
        <v>20139</v>
      </c>
      <c r="C20140" s="3">
        <v>2</v>
      </c>
    </row>
    <row r="20141" spans="1:3" x14ac:dyDescent="0.25">
      <c r="A20141" s="1" t="s">
        <v>20140</v>
      </c>
      <c r="C20141" s="3">
        <v>2</v>
      </c>
    </row>
    <row r="20142" spans="1:3" x14ac:dyDescent="0.25">
      <c r="A20142" s="1" t="s">
        <v>20141</v>
      </c>
      <c r="C20142" s="3">
        <v>2</v>
      </c>
    </row>
    <row r="20143" spans="1:3" x14ac:dyDescent="0.25">
      <c r="A20143" s="1" t="s">
        <v>20142</v>
      </c>
      <c r="C20143" s="3">
        <v>2</v>
      </c>
    </row>
    <row r="20144" spans="1:3" x14ac:dyDescent="0.25">
      <c r="A20144" s="1" t="s">
        <v>20143</v>
      </c>
      <c r="C20144" s="3">
        <v>2</v>
      </c>
    </row>
    <row r="20145" spans="1:3" x14ac:dyDescent="0.25">
      <c r="A20145" s="1" t="s">
        <v>20144</v>
      </c>
      <c r="C20145" s="3">
        <v>2</v>
      </c>
    </row>
    <row r="20146" spans="1:3" x14ac:dyDescent="0.25">
      <c r="A20146" s="1" t="s">
        <v>20145</v>
      </c>
      <c r="C20146" s="3">
        <v>2</v>
      </c>
    </row>
    <row r="20147" spans="1:3" x14ac:dyDescent="0.25">
      <c r="A20147" s="1" t="s">
        <v>20146</v>
      </c>
      <c r="C20147" s="3">
        <v>2</v>
      </c>
    </row>
    <row r="20148" spans="1:3" x14ac:dyDescent="0.25">
      <c r="A20148" s="1" t="s">
        <v>20147</v>
      </c>
      <c r="C20148" s="3">
        <v>2</v>
      </c>
    </row>
    <row r="20149" spans="1:3" x14ac:dyDescent="0.25">
      <c r="A20149" s="1" t="s">
        <v>20148</v>
      </c>
      <c r="C20149" s="3">
        <v>2</v>
      </c>
    </row>
    <row r="20150" spans="1:3" x14ac:dyDescent="0.25">
      <c r="A20150" s="1" t="s">
        <v>20149</v>
      </c>
      <c r="C20150" s="3">
        <v>2</v>
      </c>
    </row>
    <row r="20151" spans="1:3" x14ac:dyDescent="0.25">
      <c r="A20151" s="1" t="s">
        <v>20150</v>
      </c>
      <c r="C20151" s="3">
        <v>2</v>
      </c>
    </row>
    <row r="20152" spans="1:3" x14ac:dyDescent="0.25">
      <c r="A20152" s="1" t="s">
        <v>20151</v>
      </c>
      <c r="C20152" s="3">
        <v>2</v>
      </c>
    </row>
    <row r="20153" spans="1:3" x14ac:dyDescent="0.25">
      <c r="A20153" s="1" t="s">
        <v>20152</v>
      </c>
      <c r="C20153" s="3">
        <v>2</v>
      </c>
    </row>
    <row r="20154" spans="1:3" x14ac:dyDescent="0.25">
      <c r="A20154" s="1" t="s">
        <v>20153</v>
      </c>
      <c r="C20154" s="3">
        <v>2</v>
      </c>
    </row>
    <row r="20155" spans="1:3" x14ac:dyDescent="0.25">
      <c r="A20155" s="1" t="s">
        <v>20154</v>
      </c>
      <c r="C20155" s="3">
        <v>2</v>
      </c>
    </row>
    <row r="20156" spans="1:3" x14ac:dyDescent="0.25">
      <c r="A20156" s="1" t="s">
        <v>20155</v>
      </c>
      <c r="C20156" s="3">
        <v>2</v>
      </c>
    </row>
    <row r="20157" spans="1:3" x14ac:dyDescent="0.25">
      <c r="A20157" s="1" t="s">
        <v>20156</v>
      </c>
      <c r="C20157" s="3">
        <v>2</v>
      </c>
    </row>
    <row r="20158" spans="1:3" x14ac:dyDescent="0.25">
      <c r="A20158" s="1" t="s">
        <v>20157</v>
      </c>
      <c r="C20158" s="3">
        <v>2</v>
      </c>
    </row>
    <row r="20159" spans="1:3" x14ac:dyDescent="0.25">
      <c r="A20159" s="1" t="s">
        <v>20158</v>
      </c>
      <c r="C20159" s="3">
        <v>2</v>
      </c>
    </row>
    <row r="20160" spans="1:3" x14ac:dyDescent="0.25">
      <c r="A20160" s="1" t="s">
        <v>20159</v>
      </c>
      <c r="C20160" s="3">
        <v>2</v>
      </c>
    </row>
    <row r="20161" spans="1:3" x14ac:dyDescent="0.25">
      <c r="A20161" s="1" t="s">
        <v>20160</v>
      </c>
      <c r="C20161" s="3">
        <v>2</v>
      </c>
    </row>
    <row r="20162" spans="1:3" x14ac:dyDescent="0.25">
      <c r="A20162" s="1" t="s">
        <v>20161</v>
      </c>
      <c r="C20162" s="3">
        <v>2</v>
      </c>
    </row>
    <row r="20163" spans="1:3" x14ac:dyDescent="0.25">
      <c r="A20163" s="1" t="s">
        <v>20162</v>
      </c>
      <c r="C20163" s="3">
        <v>2</v>
      </c>
    </row>
    <row r="20164" spans="1:3" x14ac:dyDescent="0.25">
      <c r="A20164" s="1" t="s">
        <v>20163</v>
      </c>
      <c r="C20164" s="3">
        <v>2</v>
      </c>
    </row>
    <row r="20165" spans="1:3" x14ac:dyDescent="0.25">
      <c r="A20165" s="1" t="s">
        <v>20164</v>
      </c>
      <c r="C20165" s="3">
        <v>2</v>
      </c>
    </row>
    <row r="20166" spans="1:3" x14ac:dyDescent="0.25">
      <c r="A20166" s="1" t="s">
        <v>20165</v>
      </c>
      <c r="C20166" s="3">
        <v>2</v>
      </c>
    </row>
    <row r="20167" spans="1:3" x14ac:dyDescent="0.25">
      <c r="A20167" s="1" t="s">
        <v>20166</v>
      </c>
      <c r="C20167" s="3">
        <v>2</v>
      </c>
    </row>
    <row r="20168" spans="1:3" x14ac:dyDescent="0.25">
      <c r="A20168" s="1" t="s">
        <v>20167</v>
      </c>
      <c r="C20168" s="3">
        <v>2</v>
      </c>
    </row>
    <row r="20169" spans="1:3" x14ac:dyDescent="0.25">
      <c r="A20169" s="1" t="s">
        <v>20168</v>
      </c>
      <c r="C20169" s="3">
        <v>2</v>
      </c>
    </row>
    <row r="20170" spans="1:3" x14ac:dyDescent="0.25">
      <c r="A20170" s="1" t="s">
        <v>20169</v>
      </c>
      <c r="C20170" s="3">
        <v>2</v>
      </c>
    </row>
    <row r="20171" spans="1:3" x14ac:dyDescent="0.25">
      <c r="A20171" s="1" t="s">
        <v>20170</v>
      </c>
      <c r="C20171" s="3">
        <v>2</v>
      </c>
    </row>
    <row r="20172" spans="1:3" x14ac:dyDescent="0.25">
      <c r="A20172" s="1" t="s">
        <v>20171</v>
      </c>
      <c r="C20172" s="3">
        <v>2</v>
      </c>
    </row>
    <row r="20173" spans="1:3" x14ac:dyDescent="0.25">
      <c r="A20173" s="1" t="s">
        <v>20172</v>
      </c>
      <c r="C20173" s="3">
        <v>2</v>
      </c>
    </row>
    <row r="20174" spans="1:3" x14ac:dyDescent="0.25">
      <c r="A20174" s="1" t="s">
        <v>20173</v>
      </c>
      <c r="C20174" s="3">
        <v>2</v>
      </c>
    </row>
    <row r="20175" spans="1:3" x14ac:dyDescent="0.25">
      <c r="A20175" s="1" t="s">
        <v>20174</v>
      </c>
      <c r="C20175" s="3">
        <v>2</v>
      </c>
    </row>
    <row r="20176" spans="1:3" x14ac:dyDescent="0.25">
      <c r="A20176" s="1" t="s">
        <v>20175</v>
      </c>
      <c r="C20176" s="3">
        <v>2</v>
      </c>
    </row>
    <row r="20177" spans="1:3" x14ac:dyDescent="0.25">
      <c r="A20177" s="1" t="s">
        <v>20176</v>
      </c>
      <c r="C20177" s="3">
        <v>2</v>
      </c>
    </row>
    <row r="20178" spans="1:3" x14ac:dyDescent="0.25">
      <c r="A20178" s="1" t="s">
        <v>20177</v>
      </c>
      <c r="C20178" s="3">
        <v>2</v>
      </c>
    </row>
    <row r="20179" spans="1:3" x14ac:dyDescent="0.25">
      <c r="A20179" s="1" t="s">
        <v>20178</v>
      </c>
      <c r="C20179" s="3">
        <v>2</v>
      </c>
    </row>
    <row r="20180" spans="1:3" x14ac:dyDescent="0.25">
      <c r="A20180" s="1" t="s">
        <v>20179</v>
      </c>
      <c r="C20180" s="3">
        <v>2</v>
      </c>
    </row>
    <row r="20181" spans="1:3" x14ac:dyDescent="0.25">
      <c r="A20181" s="1" t="s">
        <v>20180</v>
      </c>
      <c r="C20181" s="3">
        <v>2</v>
      </c>
    </row>
    <row r="20182" spans="1:3" x14ac:dyDescent="0.25">
      <c r="A20182" s="1" t="s">
        <v>20181</v>
      </c>
      <c r="C20182" s="3">
        <v>2</v>
      </c>
    </row>
    <row r="20183" spans="1:3" x14ac:dyDescent="0.25">
      <c r="A20183" s="1" t="s">
        <v>20182</v>
      </c>
      <c r="C20183" s="3">
        <v>2</v>
      </c>
    </row>
    <row r="20184" spans="1:3" x14ac:dyDescent="0.25">
      <c r="A20184" s="1" t="s">
        <v>20183</v>
      </c>
      <c r="C20184" s="3">
        <v>2</v>
      </c>
    </row>
    <row r="20185" spans="1:3" x14ac:dyDescent="0.25">
      <c r="A20185" s="1" t="s">
        <v>20184</v>
      </c>
      <c r="C20185" s="3">
        <v>2</v>
      </c>
    </row>
    <row r="20186" spans="1:3" x14ac:dyDescent="0.25">
      <c r="A20186" s="1" t="s">
        <v>20185</v>
      </c>
      <c r="C20186" s="3">
        <v>2</v>
      </c>
    </row>
    <row r="20187" spans="1:3" x14ac:dyDescent="0.25">
      <c r="A20187" s="1" t="s">
        <v>20186</v>
      </c>
      <c r="C20187" s="3">
        <v>2</v>
      </c>
    </row>
    <row r="20188" spans="1:3" x14ac:dyDescent="0.25">
      <c r="A20188" s="1" t="s">
        <v>20187</v>
      </c>
      <c r="C20188" s="3">
        <v>2</v>
      </c>
    </row>
    <row r="20189" spans="1:3" x14ac:dyDescent="0.25">
      <c r="A20189" s="1" t="s">
        <v>20188</v>
      </c>
      <c r="C20189" s="3">
        <v>2</v>
      </c>
    </row>
    <row r="20190" spans="1:3" x14ac:dyDescent="0.25">
      <c r="A20190" s="1" t="s">
        <v>20189</v>
      </c>
      <c r="C20190" s="3">
        <v>2</v>
      </c>
    </row>
    <row r="20191" spans="1:3" x14ac:dyDescent="0.25">
      <c r="A20191" s="1" t="s">
        <v>20190</v>
      </c>
      <c r="C20191" s="3">
        <v>2</v>
      </c>
    </row>
    <row r="20192" spans="1:3" x14ac:dyDescent="0.25">
      <c r="A20192" s="1" t="s">
        <v>20191</v>
      </c>
      <c r="C20192" s="3">
        <v>2</v>
      </c>
    </row>
    <row r="20193" spans="1:3" x14ac:dyDescent="0.25">
      <c r="A20193" s="1" t="s">
        <v>20192</v>
      </c>
      <c r="C20193" s="3">
        <v>2</v>
      </c>
    </row>
    <row r="20194" spans="1:3" x14ac:dyDescent="0.25">
      <c r="A20194" s="1" t="s">
        <v>20193</v>
      </c>
      <c r="C20194" s="3">
        <v>2</v>
      </c>
    </row>
    <row r="20195" spans="1:3" x14ac:dyDescent="0.25">
      <c r="A20195" s="1" t="s">
        <v>20194</v>
      </c>
      <c r="C20195" s="3">
        <v>2</v>
      </c>
    </row>
    <row r="20196" spans="1:3" x14ac:dyDescent="0.25">
      <c r="A20196" s="1" t="s">
        <v>20195</v>
      </c>
      <c r="C20196" s="3">
        <v>2</v>
      </c>
    </row>
    <row r="20197" spans="1:3" x14ac:dyDescent="0.25">
      <c r="A20197" s="1" t="s">
        <v>20196</v>
      </c>
      <c r="C20197" s="3">
        <v>2</v>
      </c>
    </row>
    <row r="20198" spans="1:3" x14ac:dyDescent="0.25">
      <c r="A20198" s="1" t="s">
        <v>20197</v>
      </c>
      <c r="C20198" s="3">
        <v>2</v>
      </c>
    </row>
    <row r="20199" spans="1:3" x14ac:dyDescent="0.25">
      <c r="A20199" s="1" t="s">
        <v>20198</v>
      </c>
      <c r="C20199" s="3">
        <v>2</v>
      </c>
    </row>
    <row r="20200" spans="1:3" x14ac:dyDescent="0.25">
      <c r="A20200" s="1" t="s">
        <v>20199</v>
      </c>
      <c r="C20200" s="3">
        <v>2</v>
      </c>
    </row>
    <row r="20201" spans="1:3" x14ac:dyDescent="0.25">
      <c r="A20201" s="1" t="s">
        <v>20200</v>
      </c>
      <c r="C20201" s="3">
        <v>2</v>
      </c>
    </row>
    <row r="20202" spans="1:3" x14ac:dyDescent="0.25">
      <c r="A20202" s="1" t="s">
        <v>20201</v>
      </c>
      <c r="C20202" s="3">
        <v>2</v>
      </c>
    </row>
    <row r="20203" spans="1:3" x14ac:dyDescent="0.25">
      <c r="A20203" s="1" t="s">
        <v>20202</v>
      </c>
      <c r="C20203" s="3">
        <v>2</v>
      </c>
    </row>
    <row r="20204" spans="1:3" x14ac:dyDescent="0.25">
      <c r="A20204" s="1" t="s">
        <v>20203</v>
      </c>
      <c r="C20204" s="3">
        <v>2</v>
      </c>
    </row>
    <row r="20205" spans="1:3" x14ac:dyDescent="0.25">
      <c r="A20205" s="1" t="s">
        <v>20204</v>
      </c>
      <c r="C20205" s="3">
        <v>2</v>
      </c>
    </row>
    <row r="20206" spans="1:3" x14ac:dyDescent="0.25">
      <c r="A20206" s="1" t="s">
        <v>20205</v>
      </c>
      <c r="C20206" s="3">
        <v>2</v>
      </c>
    </row>
    <row r="20207" spans="1:3" x14ac:dyDescent="0.25">
      <c r="A20207" s="1" t="s">
        <v>20206</v>
      </c>
      <c r="C20207" s="3">
        <v>2</v>
      </c>
    </row>
    <row r="20208" spans="1:3" x14ac:dyDescent="0.25">
      <c r="A20208" s="1" t="s">
        <v>20207</v>
      </c>
      <c r="C20208" s="3">
        <v>2</v>
      </c>
    </row>
    <row r="20209" spans="1:3" x14ac:dyDescent="0.25">
      <c r="A20209" s="1" t="s">
        <v>20208</v>
      </c>
      <c r="C20209" s="3">
        <v>2</v>
      </c>
    </row>
    <row r="20210" spans="1:3" x14ac:dyDescent="0.25">
      <c r="A20210" s="1" t="s">
        <v>20209</v>
      </c>
      <c r="C20210" s="3">
        <v>2</v>
      </c>
    </row>
    <row r="20211" spans="1:3" x14ac:dyDescent="0.25">
      <c r="A20211" s="1" t="s">
        <v>20210</v>
      </c>
      <c r="C20211" s="3">
        <v>2</v>
      </c>
    </row>
    <row r="20212" spans="1:3" x14ac:dyDescent="0.25">
      <c r="A20212" s="1" t="s">
        <v>20211</v>
      </c>
      <c r="C20212" s="3">
        <v>2</v>
      </c>
    </row>
    <row r="20213" spans="1:3" x14ac:dyDescent="0.25">
      <c r="A20213" s="1" t="s">
        <v>20212</v>
      </c>
      <c r="C20213" s="3">
        <v>2</v>
      </c>
    </row>
    <row r="20214" spans="1:3" x14ac:dyDescent="0.25">
      <c r="A20214" s="1" t="s">
        <v>20213</v>
      </c>
      <c r="C20214" s="3">
        <v>2</v>
      </c>
    </row>
    <row r="20215" spans="1:3" x14ac:dyDescent="0.25">
      <c r="A20215" s="1" t="s">
        <v>20214</v>
      </c>
      <c r="C20215" s="3">
        <v>2</v>
      </c>
    </row>
    <row r="20216" spans="1:3" x14ac:dyDescent="0.25">
      <c r="A20216" s="1" t="s">
        <v>20215</v>
      </c>
      <c r="C20216" s="3">
        <v>2</v>
      </c>
    </row>
    <row r="20217" spans="1:3" x14ac:dyDescent="0.25">
      <c r="A20217" s="1" t="s">
        <v>20216</v>
      </c>
      <c r="C20217" s="3">
        <v>2</v>
      </c>
    </row>
    <row r="20218" spans="1:3" x14ac:dyDescent="0.25">
      <c r="A20218" s="1" t="s">
        <v>20217</v>
      </c>
      <c r="C20218" s="3">
        <v>2</v>
      </c>
    </row>
    <row r="20219" spans="1:3" x14ac:dyDescent="0.25">
      <c r="A20219" s="1" t="s">
        <v>20218</v>
      </c>
      <c r="C20219" s="3">
        <v>2</v>
      </c>
    </row>
    <row r="20220" spans="1:3" x14ac:dyDescent="0.25">
      <c r="A20220" s="1" t="s">
        <v>20219</v>
      </c>
      <c r="C20220" s="3">
        <v>2</v>
      </c>
    </row>
    <row r="20221" spans="1:3" x14ac:dyDescent="0.25">
      <c r="A20221" s="1" t="s">
        <v>20220</v>
      </c>
      <c r="C20221" s="3">
        <v>2</v>
      </c>
    </row>
    <row r="20222" spans="1:3" x14ac:dyDescent="0.25">
      <c r="A20222" s="1" t="s">
        <v>20221</v>
      </c>
      <c r="C20222" s="3">
        <v>2</v>
      </c>
    </row>
    <row r="20223" spans="1:3" x14ac:dyDescent="0.25">
      <c r="A20223" s="1" t="s">
        <v>20222</v>
      </c>
      <c r="C20223" s="3">
        <v>2</v>
      </c>
    </row>
    <row r="20224" spans="1:3" x14ac:dyDescent="0.25">
      <c r="A20224" s="1" t="s">
        <v>20223</v>
      </c>
      <c r="C20224" s="3">
        <v>2</v>
      </c>
    </row>
    <row r="20225" spans="1:3" x14ac:dyDescent="0.25">
      <c r="A20225" s="1" t="s">
        <v>20224</v>
      </c>
      <c r="C20225" s="3">
        <v>2</v>
      </c>
    </row>
    <row r="20226" spans="1:3" x14ac:dyDescent="0.25">
      <c r="A20226" s="1" t="s">
        <v>20225</v>
      </c>
      <c r="C20226" s="3">
        <v>2</v>
      </c>
    </row>
    <row r="20227" spans="1:3" x14ac:dyDescent="0.25">
      <c r="A20227" s="1" t="s">
        <v>20226</v>
      </c>
      <c r="C20227" s="3">
        <v>2</v>
      </c>
    </row>
    <row r="20228" spans="1:3" x14ac:dyDescent="0.25">
      <c r="A20228" s="1" t="s">
        <v>20227</v>
      </c>
      <c r="C20228" s="3">
        <v>2</v>
      </c>
    </row>
    <row r="20229" spans="1:3" x14ac:dyDescent="0.25">
      <c r="A20229" s="1" t="s">
        <v>20228</v>
      </c>
      <c r="C20229" s="3">
        <v>2</v>
      </c>
    </row>
    <row r="20230" spans="1:3" x14ac:dyDescent="0.25">
      <c r="A20230" s="1" t="s">
        <v>20229</v>
      </c>
      <c r="C20230" s="3">
        <v>2</v>
      </c>
    </row>
    <row r="20231" spans="1:3" x14ac:dyDescent="0.25">
      <c r="A20231" s="1" t="s">
        <v>20230</v>
      </c>
      <c r="C20231" s="3">
        <v>2</v>
      </c>
    </row>
    <row r="20232" spans="1:3" x14ac:dyDescent="0.25">
      <c r="A20232" s="1" t="s">
        <v>20231</v>
      </c>
      <c r="C20232" s="3">
        <v>2</v>
      </c>
    </row>
    <row r="20233" spans="1:3" x14ac:dyDescent="0.25">
      <c r="A20233" s="1" t="s">
        <v>20232</v>
      </c>
      <c r="C20233" s="3">
        <v>2</v>
      </c>
    </row>
    <row r="20234" spans="1:3" x14ac:dyDescent="0.25">
      <c r="A20234" s="1" t="s">
        <v>20233</v>
      </c>
      <c r="C20234" s="3">
        <v>2</v>
      </c>
    </row>
    <row r="20235" spans="1:3" x14ac:dyDescent="0.25">
      <c r="A20235" s="1" t="s">
        <v>20234</v>
      </c>
      <c r="C20235" s="3">
        <v>2</v>
      </c>
    </row>
    <row r="20236" spans="1:3" x14ac:dyDescent="0.25">
      <c r="A20236" s="1" t="s">
        <v>20235</v>
      </c>
      <c r="C20236" s="3">
        <v>2</v>
      </c>
    </row>
    <row r="20237" spans="1:3" x14ac:dyDescent="0.25">
      <c r="A20237" s="1" t="s">
        <v>20236</v>
      </c>
      <c r="C20237" s="3">
        <v>2</v>
      </c>
    </row>
    <row r="20238" spans="1:3" x14ac:dyDescent="0.25">
      <c r="A20238" s="1" t="s">
        <v>20237</v>
      </c>
      <c r="C20238" s="3">
        <v>2</v>
      </c>
    </row>
    <row r="20239" spans="1:3" x14ac:dyDescent="0.25">
      <c r="A20239" s="1" t="s">
        <v>20238</v>
      </c>
      <c r="C20239" s="3">
        <v>2</v>
      </c>
    </row>
    <row r="20240" spans="1:3" x14ac:dyDescent="0.25">
      <c r="A20240" s="1" t="s">
        <v>20239</v>
      </c>
      <c r="C20240" s="3">
        <v>2</v>
      </c>
    </row>
    <row r="20241" spans="1:3" x14ac:dyDescent="0.25">
      <c r="A20241" s="1" t="s">
        <v>20240</v>
      </c>
      <c r="C20241" s="3">
        <v>2</v>
      </c>
    </row>
    <row r="20242" spans="1:3" x14ac:dyDescent="0.25">
      <c r="A20242" s="1" t="s">
        <v>20241</v>
      </c>
      <c r="C20242" s="3">
        <v>2</v>
      </c>
    </row>
    <row r="20243" spans="1:3" x14ac:dyDescent="0.25">
      <c r="A20243" s="1" t="s">
        <v>20242</v>
      </c>
      <c r="C20243" s="3">
        <v>2</v>
      </c>
    </row>
    <row r="20244" spans="1:3" x14ac:dyDescent="0.25">
      <c r="A20244" s="1" t="s">
        <v>20243</v>
      </c>
      <c r="C20244" s="3">
        <v>2</v>
      </c>
    </row>
    <row r="20245" spans="1:3" x14ac:dyDescent="0.25">
      <c r="A20245" s="1" t="s">
        <v>20244</v>
      </c>
      <c r="C20245" s="3">
        <v>2</v>
      </c>
    </row>
    <row r="20246" spans="1:3" x14ac:dyDescent="0.25">
      <c r="A20246" s="1" t="s">
        <v>20245</v>
      </c>
      <c r="C20246" s="3">
        <v>2</v>
      </c>
    </row>
    <row r="20247" spans="1:3" x14ac:dyDescent="0.25">
      <c r="A20247" s="1" t="s">
        <v>20246</v>
      </c>
      <c r="C20247" s="3">
        <v>2</v>
      </c>
    </row>
    <row r="20248" spans="1:3" x14ac:dyDescent="0.25">
      <c r="A20248" s="1" t="s">
        <v>20247</v>
      </c>
      <c r="C20248" s="3">
        <v>2</v>
      </c>
    </row>
    <row r="20249" spans="1:3" x14ac:dyDescent="0.25">
      <c r="A20249" s="1" t="s">
        <v>20248</v>
      </c>
      <c r="C20249" s="3">
        <v>2</v>
      </c>
    </row>
    <row r="20250" spans="1:3" x14ac:dyDescent="0.25">
      <c r="A20250" s="1" t="s">
        <v>20249</v>
      </c>
      <c r="C20250" s="3">
        <v>2</v>
      </c>
    </row>
    <row r="20251" spans="1:3" x14ac:dyDescent="0.25">
      <c r="A20251" s="1" t="s">
        <v>20250</v>
      </c>
      <c r="C20251" s="3">
        <v>2</v>
      </c>
    </row>
    <row r="20252" spans="1:3" x14ac:dyDescent="0.25">
      <c r="A20252" s="1" t="s">
        <v>20251</v>
      </c>
      <c r="C20252" s="3">
        <v>2</v>
      </c>
    </row>
    <row r="20253" spans="1:3" x14ac:dyDescent="0.25">
      <c r="A20253" s="1" t="s">
        <v>20252</v>
      </c>
      <c r="C20253" s="3">
        <v>2</v>
      </c>
    </row>
    <row r="20254" spans="1:3" x14ac:dyDescent="0.25">
      <c r="A20254" s="1" t="s">
        <v>20253</v>
      </c>
      <c r="C20254" s="3">
        <v>2</v>
      </c>
    </row>
    <row r="20255" spans="1:3" x14ac:dyDescent="0.25">
      <c r="A20255" s="1" t="s">
        <v>20254</v>
      </c>
      <c r="C20255" s="3">
        <v>2</v>
      </c>
    </row>
    <row r="20256" spans="1:3" x14ac:dyDescent="0.25">
      <c r="A20256" s="1" t="s">
        <v>20255</v>
      </c>
      <c r="C20256" s="3">
        <v>2</v>
      </c>
    </row>
    <row r="20257" spans="1:3" x14ac:dyDescent="0.25">
      <c r="A20257" s="1" t="s">
        <v>20256</v>
      </c>
      <c r="C20257" s="3">
        <v>2</v>
      </c>
    </row>
    <row r="20258" spans="1:3" x14ac:dyDescent="0.25">
      <c r="A20258" s="1" t="s">
        <v>20257</v>
      </c>
      <c r="C20258" s="3">
        <v>2</v>
      </c>
    </row>
    <row r="20259" spans="1:3" x14ac:dyDescent="0.25">
      <c r="A20259" s="1" t="s">
        <v>20258</v>
      </c>
      <c r="C20259" s="3">
        <v>2</v>
      </c>
    </row>
    <row r="20260" spans="1:3" x14ac:dyDescent="0.25">
      <c r="A20260" s="1" t="s">
        <v>20259</v>
      </c>
      <c r="C20260" s="3">
        <v>2</v>
      </c>
    </row>
    <row r="20261" spans="1:3" x14ac:dyDescent="0.25">
      <c r="A20261" s="1" t="s">
        <v>20260</v>
      </c>
      <c r="C20261" s="3">
        <v>2</v>
      </c>
    </row>
    <row r="20262" spans="1:3" x14ac:dyDescent="0.25">
      <c r="A20262" s="1" t="s">
        <v>20261</v>
      </c>
      <c r="C20262" s="3">
        <v>2</v>
      </c>
    </row>
    <row r="20263" spans="1:3" x14ac:dyDescent="0.25">
      <c r="A20263" s="1" t="s">
        <v>20262</v>
      </c>
      <c r="C20263" s="3">
        <v>2</v>
      </c>
    </row>
    <row r="20264" spans="1:3" x14ac:dyDescent="0.25">
      <c r="A20264" s="1" t="s">
        <v>20263</v>
      </c>
      <c r="C20264" s="3">
        <v>2</v>
      </c>
    </row>
    <row r="20265" spans="1:3" x14ac:dyDescent="0.25">
      <c r="A20265" s="1" t="s">
        <v>20264</v>
      </c>
      <c r="C20265" s="3">
        <v>2</v>
      </c>
    </row>
    <row r="20266" spans="1:3" x14ac:dyDescent="0.25">
      <c r="A20266" s="1" t="s">
        <v>20265</v>
      </c>
      <c r="C20266" s="3">
        <v>2</v>
      </c>
    </row>
    <row r="20267" spans="1:3" x14ac:dyDescent="0.25">
      <c r="A20267" s="1" t="s">
        <v>20266</v>
      </c>
      <c r="C20267" s="3">
        <v>2</v>
      </c>
    </row>
    <row r="20268" spans="1:3" x14ac:dyDescent="0.25">
      <c r="A20268" s="1" t="s">
        <v>20267</v>
      </c>
      <c r="C20268" s="3">
        <v>2</v>
      </c>
    </row>
    <row r="20269" spans="1:3" x14ac:dyDescent="0.25">
      <c r="A20269" s="1" t="s">
        <v>20268</v>
      </c>
      <c r="C20269" s="3">
        <v>2</v>
      </c>
    </row>
    <row r="20270" spans="1:3" x14ac:dyDescent="0.25">
      <c r="A20270" s="1" t="s">
        <v>20269</v>
      </c>
      <c r="C20270" s="3">
        <v>2</v>
      </c>
    </row>
    <row r="20271" spans="1:3" x14ac:dyDescent="0.25">
      <c r="A20271" s="1" t="s">
        <v>20270</v>
      </c>
      <c r="C20271" s="3">
        <v>2</v>
      </c>
    </row>
    <row r="20272" spans="1:3" x14ac:dyDescent="0.25">
      <c r="A20272" s="1" t="s">
        <v>20271</v>
      </c>
      <c r="C20272" s="3">
        <v>2</v>
      </c>
    </row>
    <row r="20273" spans="1:3" x14ac:dyDescent="0.25">
      <c r="A20273" s="1" t="s">
        <v>20272</v>
      </c>
      <c r="C20273" s="3">
        <v>2</v>
      </c>
    </row>
    <row r="20274" spans="1:3" x14ac:dyDescent="0.25">
      <c r="A20274" s="1" t="s">
        <v>20273</v>
      </c>
      <c r="C20274" s="3">
        <v>2</v>
      </c>
    </row>
    <row r="20275" spans="1:3" x14ac:dyDescent="0.25">
      <c r="A20275" s="1" t="s">
        <v>20274</v>
      </c>
      <c r="C20275" s="3">
        <v>2</v>
      </c>
    </row>
    <row r="20276" spans="1:3" x14ac:dyDescent="0.25">
      <c r="A20276" s="1" t="s">
        <v>20275</v>
      </c>
      <c r="C20276" s="3">
        <v>2</v>
      </c>
    </row>
    <row r="20277" spans="1:3" x14ac:dyDescent="0.25">
      <c r="A20277" s="1" t="s">
        <v>20276</v>
      </c>
      <c r="C20277" s="3">
        <v>2</v>
      </c>
    </row>
    <row r="20278" spans="1:3" x14ac:dyDescent="0.25">
      <c r="A20278" s="1" t="s">
        <v>20277</v>
      </c>
      <c r="C20278" s="3">
        <v>2</v>
      </c>
    </row>
    <row r="20279" spans="1:3" x14ac:dyDescent="0.25">
      <c r="A20279" s="1" t="s">
        <v>20278</v>
      </c>
      <c r="C20279" s="3">
        <v>2</v>
      </c>
    </row>
    <row r="20280" spans="1:3" x14ac:dyDescent="0.25">
      <c r="A20280" s="1" t="s">
        <v>20279</v>
      </c>
      <c r="C20280" s="3">
        <v>2</v>
      </c>
    </row>
    <row r="20281" spans="1:3" x14ac:dyDescent="0.25">
      <c r="A20281" s="1" t="s">
        <v>20280</v>
      </c>
      <c r="C20281" s="3">
        <v>2</v>
      </c>
    </row>
    <row r="20282" spans="1:3" x14ac:dyDescent="0.25">
      <c r="A20282" s="1" t="s">
        <v>20281</v>
      </c>
      <c r="C20282" s="3">
        <v>2</v>
      </c>
    </row>
    <row r="20283" spans="1:3" x14ac:dyDescent="0.25">
      <c r="A20283" s="1" t="s">
        <v>20282</v>
      </c>
      <c r="C20283" s="3">
        <v>2</v>
      </c>
    </row>
    <row r="20284" spans="1:3" x14ac:dyDescent="0.25">
      <c r="A20284" s="1" t="s">
        <v>20283</v>
      </c>
      <c r="C20284" s="3">
        <v>2</v>
      </c>
    </row>
    <row r="20285" spans="1:3" x14ac:dyDescent="0.25">
      <c r="A20285" s="1" t="s">
        <v>20284</v>
      </c>
      <c r="C20285" s="3">
        <v>2</v>
      </c>
    </row>
    <row r="20286" spans="1:3" x14ac:dyDescent="0.25">
      <c r="A20286" s="1" t="s">
        <v>20285</v>
      </c>
      <c r="C20286" s="3">
        <v>2</v>
      </c>
    </row>
    <row r="20287" spans="1:3" x14ac:dyDescent="0.25">
      <c r="A20287" s="1" t="s">
        <v>20286</v>
      </c>
      <c r="C20287" s="3">
        <v>2</v>
      </c>
    </row>
    <row r="20288" spans="1:3" x14ac:dyDescent="0.25">
      <c r="A20288" s="1" t="s">
        <v>20287</v>
      </c>
      <c r="C20288" s="3">
        <v>2</v>
      </c>
    </row>
    <row r="20289" spans="1:3" x14ac:dyDescent="0.25">
      <c r="A20289" s="1" t="s">
        <v>20288</v>
      </c>
      <c r="C20289" s="3">
        <v>2</v>
      </c>
    </row>
    <row r="20290" spans="1:3" x14ac:dyDescent="0.25">
      <c r="A20290" s="1" t="s">
        <v>20289</v>
      </c>
      <c r="C20290" s="3">
        <v>2</v>
      </c>
    </row>
    <row r="20291" spans="1:3" x14ac:dyDescent="0.25">
      <c r="A20291" s="1" t="s">
        <v>20290</v>
      </c>
      <c r="C20291" s="3">
        <v>2</v>
      </c>
    </row>
    <row r="20292" spans="1:3" x14ac:dyDescent="0.25">
      <c r="A20292" s="1" t="s">
        <v>20291</v>
      </c>
      <c r="C20292" s="3">
        <v>2</v>
      </c>
    </row>
    <row r="20293" spans="1:3" x14ac:dyDescent="0.25">
      <c r="A20293" s="1" t="s">
        <v>20292</v>
      </c>
      <c r="C20293" s="3">
        <v>2</v>
      </c>
    </row>
    <row r="20294" spans="1:3" x14ac:dyDescent="0.25">
      <c r="A20294" s="1" t="s">
        <v>20293</v>
      </c>
      <c r="C20294" s="3">
        <v>2</v>
      </c>
    </row>
    <row r="20295" spans="1:3" x14ac:dyDescent="0.25">
      <c r="A20295" s="1" t="s">
        <v>20294</v>
      </c>
      <c r="C20295" s="3">
        <v>2</v>
      </c>
    </row>
    <row r="20296" spans="1:3" x14ac:dyDescent="0.25">
      <c r="A20296" s="1" t="s">
        <v>20295</v>
      </c>
      <c r="C20296" s="3">
        <v>2</v>
      </c>
    </row>
    <row r="20297" spans="1:3" x14ac:dyDescent="0.25">
      <c r="A20297" s="1" t="s">
        <v>20296</v>
      </c>
      <c r="C20297" s="3">
        <v>2</v>
      </c>
    </row>
    <row r="20298" spans="1:3" x14ac:dyDescent="0.25">
      <c r="A20298" s="1" t="s">
        <v>20297</v>
      </c>
      <c r="C20298" s="3">
        <v>2</v>
      </c>
    </row>
    <row r="20299" spans="1:3" x14ac:dyDescent="0.25">
      <c r="A20299" s="1" t="s">
        <v>20298</v>
      </c>
      <c r="C20299" s="3">
        <v>2</v>
      </c>
    </row>
    <row r="20300" spans="1:3" x14ac:dyDescent="0.25">
      <c r="A20300" s="1" t="s">
        <v>20299</v>
      </c>
      <c r="C20300" s="3">
        <v>2</v>
      </c>
    </row>
    <row r="20301" spans="1:3" x14ac:dyDescent="0.25">
      <c r="A20301" s="1" t="s">
        <v>20300</v>
      </c>
      <c r="C20301" s="3">
        <v>2</v>
      </c>
    </row>
    <row r="20302" spans="1:3" x14ac:dyDescent="0.25">
      <c r="A20302" s="1" t="s">
        <v>20301</v>
      </c>
      <c r="C20302" s="3">
        <v>2</v>
      </c>
    </row>
    <row r="20303" spans="1:3" x14ac:dyDescent="0.25">
      <c r="A20303" s="1" t="s">
        <v>20302</v>
      </c>
      <c r="C20303" s="3">
        <v>2</v>
      </c>
    </row>
    <row r="20304" spans="1:3" x14ac:dyDescent="0.25">
      <c r="A20304" s="1" t="s">
        <v>20303</v>
      </c>
      <c r="C20304" s="3">
        <v>2</v>
      </c>
    </row>
    <row r="20305" spans="1:3" x14ac:dyDescent="0.25">
      <c r="A20305" s="1" t="s">
        <v>20304</v>
      </c>
      <c r="C20305" s="3">
        <v>2</v>
      </c>
    </row>
    <row r="20306" spans="1:3" x14ac:dyDescent="0.25">
      <c r="A20306" s="1" t="s">
        <v>20305</v>
      </c>
      <c r="C20306" s="3">
        <v>2</v>
      </c>
    </row>
    <row r="20307" spans="1:3" x14ac:dyDescent="0.25">
      <c r="A20307" s="1" t="s">
        <v>20306</v>
      </c>
      <c r="C20307" s="3">
        <v>2</v>
      </c>
    </row>
    <row r="20308" spans="1:3" x14ac:dyDescent="0.25">
      <c r="A20308" s="1" t="s">
        <v>20307</v>
      </c>
      <c r="C20308" s="3">
        <v>2</v>
      </c>
    </row>
    <row r="20309" spans="1:3" x14ac:dyDescent="0.25">
      <c r="A20309" s="1" t="s">
        <v>20308</v>
      </c>
      <c r="C20309" s="3">
        <v>2</v>
      </c>
    </row>
    <row r="20310" spans="1:3" x14ac:dyDescent="0.25">
      <c r="A20310" s="1" t="s">
        <v>20309</v>
      </c>
      <c r="C20310" s="3">
        <v>2</v>
      </c>
    </row>
    <row r="20311" spans="1:3" x14ac:dyDescent="0.25">
      <c r="A20311" s="1" t="s">
        <v>20310</v>
      </c>
      <c r="C20311" s="3">
        <v>2</v>
      </c>
    </row>
    <row r="20312" spans="1:3" x14ac:dyDescent="0.25">
      <c r="A20312" s="1" t="s">
        <v>20311</v>
      </c>
      <c r="C20312" s="3">
        <v>2</v>
      </c>
    </row>
    <row r="20313" spans="1:3" x14ac:dyDescent="0.25">
      <c r="A20313" s="1" t="s">
        <v>20312</v>
      </c>
      <c r="C20313" s="3">
        <v>2</v>
      </c>
    </row>
    <row r="20314" spans="1:3" x14ac:dyDescent="0.25">
      <c r="A20314" s="1" t="s">
        <v>20313</v>
      </c>
      <c r="C20314" s="3">
        <v>2</v>
      </c>
    </row>
    <row r="20315" spans="1:3" x14ac:dyDescent="0.25">
      <c r="A20315" s="1" t="s">
        <v>20314</v>
      </c>
      <c r="C20315" s="3">
        <v>2</v>
      </c>
    </row>
    <row r="20316" spans="1:3" x14ac:dyDescent="0.25">
      <c r="A20316" s="1" t="s">
        <v>20315</v>
      </c>
      <c r="C20316" s="3">
        <v>2</v>
      </c>
    </row>
    <row r="20317" spans="1:3" x14ac:dyDescent="0.25">
      <c r="A20317" s="1" t="s">
        <v>20316</v>
      </c>
      <c r="C20317" s="3">
        <v>2</v>
      </c>
    </row>
    <row r="20318" spans="1:3" x14ac:dyDescent="0.25">
      <c r="A20318" s="1" t="s">
        <v>20317</v>
      </c>
      <c r="C20318" s="3">
        <v>2</v>
      </c>
    </row>
    <row r="20319" spans="1:3" x14ac:dyDescent="0.25">
      <c r="A20319" s="1" t="s">
        <v>20318</v>
      </c>
      <c r="C20319" s="3">
        <v>2</v>
      </c>
    </row>
    <row r="20320" spans="1:3" x14ac:dyDescent="0.25">
      <c r="A20320" s="1" t="s">
        <v>20319</v>
      </c>
      <c r="C20320" s="3">
        <v>2</v>
      </c>
    </row>
    <row r="20321" spans="1:3" x14ac:dyDescent="0.25">
      <c r="A20321" s="1" t="s">
        <v>20320</v>
      </c>
      <c r="C20321" s="3">
        <v>2</v>
      </c>
    </row>
    <row r="20322" spans="1:3" x14ac:dyDescent="0.25">
      <c r="A20322" s="1" t="s">
        <v>20321</v>
      </c>
      <c r="C20322" s="3">
        <v>2</v>
      </c>
    </row>
    <row r="20323" spans="1:3" x14ac:dyDescent="0.25">
      <c r="A20323" s="1" t="s">
        <v>20322</v>
      </c>
      <c r="C20323" s="3">
        <v>2</v>
      </c>
    </row>
    <row r="20324" spans="1:3" x14ac:dyDescent="0.25">
      <c r="A20324" s="1" t="s">
        <v>20323</v>
      </c>
      <c r="C20324" s="3">
        <v>2</v>
      </c>
    </row>
    <row r="20325" spans="1:3" x14ac:dyDescent="0.25">
      <c r="A20325" s="1" t="s">
        <v>20324</v>
      </c>
      <c r="C20325" s="3">
        <v>2</v>
      </c>
    </row>
    <row r="20326" spans="1:3" x14ac:dyDescent="0.25">
      <c r="A20326" s="1" t="s">
        <v>20325</v>
      </c>
      <c r="C20326" s="3">
        <v>2</v>
      </c>
    </row>
    <row r="20327" spans="1:3" x14ac:dyDescent="0.25">
      <c r="A20327" s="1" t="s">
        <v>20326</v>
      </c>
      <c r="C20327" s="3">
        <v>2</v>
      </c>
    </row>
    <row r="20328" spans="1:3" x14ac:dyDescent="0.25">
      <c r="A20328" s="1" t="s">
        <v>20327</v>
      </c>
      <c r="C20328" s="3">
        <v>2</v>
      </c>
    </row>
    <row r="20329" spans="1:3" x14ac:dyDescent="0.25">
      <c r="A20329" s="1" t="s">
        <v>20328</v>
      </c>
      <c r="C20329" s="3">
        <v>2</v>
      </c>
    </row>
    <row r="20330" spans="1:3" x14ac:dyDescent="0.25">
      <c r="A20330" s="1" t="s">
        <v>20329</v>
      </c>
      <c r="C20330" s="3">
        <v>2</v>
      </c>
    </row>
    <row r="20331" spans="1:3" x14ac:dyDescent="0.25">
      <c r="A20331" s="1" t="s">
        <v>20330</v>
      </c>
      <c r="C20331" s="3">
        <v>2</v>
      </c>
    </row>
    <row r="20332" spans="1:3" x14ac:dyDescent="0.25">
      <c r="A20332" s="1" t="s">
        <v>20331</v>
      </c>
      <c r="C20332" s="3">
        <v>2</v>
      </c>
    </row>
    <row r="20333" spans="1:3" x14ac:dyDescent="0.25">
      <c r="A20333" s="1" t="s">
        <v>20332</v>
      </c>
      <c r="C20333" s="3">
        <v>2</v>
      </c>
    </row>
    <row r="20334" spans="1:3" x14ac:dyDescent="0.25">
      <c r="A20334" s="1" t="s">
        <v>20333</v>
      </c>
      <c r="C20334" s="3">
        <v>2</v>
      </c>
    </row>
    <row r="20335" spans="1:3" x14ac:dyDescent="0.25">
      <c r="A20335" s="1" t="s">
        <v>20334</v>
      </c>
      <c r="C20335" s="3">
        <v>2</v>
      </c>
    </row>
    <row r="20336" spans="1:3" x14ac:dyDescent="0.25">
      <c r="A20336" s="1" t="s">
        <v>20335</v>
      </c>
      <c r="C20336" s="3">
        <v>2</v>
      </c>
    </row>
    <row r="20337" spans="1:3" x14ac:dyDescent="0.25">
      <c r="A20337" s="1" t="s">
        <v>20336</v>
      </c>
      <c r="C20337" s="3">
        <v>2</v>
      </c>
    </row>
    <row r="20338" spans="1:3" x14ac:dyDescent="0.25">
      <c r="A20338" s="1" t="s">
        <v>20337</v>
      </c>
      <c r="C20338" s="3">
        <v>2</v>
      </c>
    </row>
    <row r="20339" spans="1:3" x14ac:dyDescent="0.25">
      <c r="A20339" s="1" t="s">
        <v>20338</v>
      </c>
      <c r="C20339" s="3">
        <v>2</v>
      </c>
    </row>
    <row r="20340" spans="1:3" x14ac:dyDescent="0.25">
      <c r="A20340" s="1" t="s">
        <v>20339</v>
      </c>
      <c r="C20340" s="3">
        <v>2</v>
      </c>
    </row>
    <row r="20341" spans="1:3" x14ac:dyDescent="0.25">
      <c r="A20341" s="1" t="s">
        <v>20340</v>
      </c>
      <c r="C20341" s="3">
        <v>2</v>
      </c>
    </row>
    <row r="20342" spans="1:3" x14ac:dyDescent="0.25">
      <c r="A20342" s="1" t="s">
        <v>20341</v>
      </c>
      <c r="C20342" s="3">
        <v>2</v>
      </c>
    </row>
    <row r="20343" spans="1:3" x14ac:dyDescent="0.25">
      <c r="A20343" s="1" t="s">
        <v>20342</v>
      </c>
      <c r="C20343" s="3">
        <v>2</v>
      </c>
    </row>
    <row r="20344" spans="1:3" x14ac:dyDescent="0.25">
      <c r="A20344" s="1" t="s">
        <v>20343</v>
      </c>
      <c r="C20344" s="3">
        <v>2</v>
      </c>
    </row>
    <row r="20345" spans="1:3" x14ac:dyDescent="0.25">
      <c r="A20345" s="1" t="s">
        <v>20344</v>
      </c>
      <c r="C20345" s="3">
        <v>2</v>
      </c>
    </row>
    <row r="20346" spans="1:3" x14ac:dyDescent="0.25">
      <c r="A20346" s="1" t="s">
        <v>20345</v>
      </c>
      <c r="C20346" s="3">
        <v>2</v>
      </c>
    </row>
    <row r="20347" spans="1:3" x14ac:dyDescent="0.25">
      <c r="A20347" s="1" t="s">
        <v>20346</v>
      </c>
      <c r="C20347" s="3">
        <v>2</v>
      </c>
    </row>
    <row r="20348" spans="1:3" x14ac:dyDescent="0.25">
      <c r="A20348" s="1" t="s">
        <v>20347</v>
      </c>
      <c r="C20348" s="3">
        <v>2</v>
      </c>
    </row>
    <row r="20349" spans="1:3" x14ac:dyDescent="0.25">
      <c r="A20349" s="1" t="s">
        <v>20348</v>
      </c>
      <c r="C20349" s="3">
        <v>2</v>
      </c>
    </row>
    <row r="20350" spans="1:3" x14ac:dyDescent="0.25">
      <c r="A20350" s="1" t="s">
        <v>20349</v>
      </c>
      <c r="C20350" s="3">
        <v>2</v>
      </c>
    </row>
    <row r="20351" spans="1:3" x14ac:dyDescent="0.25">
      <c r="A20351" s="1" t="s">
        <v>20350</v>
      </c>
      <c r="C20351" s="3">
        <v>2</v>
      </c>
    </row>
    <row r="20352" spans="1:3" x14ac:dyDescent="0.25">
      <c r="A20352" s="1" t="s">
        <v>20351</v>
      </c>
      <c r="C20352" s="3">
        <v>2</v>
      </c>
    </row>
    <row r="20353" spans="1:3" x14ac:dyDescent="0.25">
      <c r="A20353" s="1" t="s">
        <v>20352</v>
      </c>
      <c r="C20353" s="3">
        <v>2</v>
      </c>
    </row>
    <row r="20354" spans="1:3" x14ac:dyDescent="0.25">
      <c r="A20354" s="1" t="s">
        <v>20353</v>
      </c>
      <c r="C20354" s="3">
        <v>2</v>
      </c>
    </row>
    <row r="20355" spans="1:3" x14ac:dyDescent="0.25">
      <c r="A20355" s="1" t="s">
        <v>20354</v>
      </c>
      <c r="C20355" s="3">
        <v>2</v>
      </c>
    </row>
    <row r="20356" spans="1:3" x14ac:dyDescent="0.25">
      <c r="A20356" s="1" t="s">
        <v>20355</v>
      </c>
      <c r="C20356" s="3">
        <v>2</v>
      </c>
    </row>
    <row r="20357" spans="1:3" x14ac:dyDescent="0.25">
      <c r="A20357" s="1" t="s">
        <v>20356</v>
      </c>
      <c r="C20357" s="3">
        <v>2</v>
      </c>
    </row>
    <row r="20358" spans="1:3" x14ac:dyDescent="0.25">
      <c r="A20358" s="1" t="s">
        <v>20357</v>
      </c>
      <c r="C20358" s="3">
        <v>2</v>
      </c>
    </row>
    <row r="20359" spans="1:3" x14ac:dyDescent="0.25">
      <c r="A20359" s="1" t="s">
        <v>20358</v>
      </c>
      <c r="C20359" s="3">
        <v>2</v>
      </c>
    </row>
    <row r="20360" spans="1:3" x14ac:dyDescent="0.25">
      <c r="A20360" s="1" t="s">
        <v>20359</v>
      </c>
      <c r="C20360" s="3">
        <v>2</v>
      </c>
    </row>
    <row r="20361" spans="1:3" x14ac:dyDescent="0.25">
      <c r="A20361" s="1" t="s">
        <v>20360</v>
      </c>
      <c r="C20361" s="3">
        <v>2</v>
      </c>
    </row>
    <row r="20362" spans="1:3" x14ac:dyDescent="0.25">
      <c r="A20362" s="1" t="s">
        <v>20361</v>
      </c>
      <c r="C20362" s="3">
        <v>2</v>
      </c>
    </row>
    <row r="20363" spans="1:3" x14ac:dyDescent="0.25">
      <c r="A20363" s="1" t="s">
        <v>20362</v>
      </c>
      <c r="C20363" s="3">
        <v>2</v>
      </c>
    </row>
    <row r="20364" spans="1:3" x14ac:dyDescent="0.25">
      <c r="A20364" s="1" t="s">
        <v>20363</v>
      </c>
      <c r="C20364" s="3">
        <v>2</v>
      </c>
    </row>
    <row r="20365" spans="1:3" x14ac:dyDescent="0.25">
      <c r="A20365" s="1" t="s">
        <v>20364</v>
      </c>
      <c r="C20365" s="3">
        <v>2</v>
      </c>
    </row>
    <row r="20366" spans="1:3" x14ac:dyDescent="0.25">
      <c r="A20366" s="1" t="s">
        <v>20365</v>
      </c>
      <c r="C20366" s="3">
        <v>2</v>
      </c>
    </row>
    <row r="20367" spans="1:3" x14ac:dyDescent="0.25">
      <c r="A20367" s="1" t="s">
        <v>20366</v>
      </c>
      <c r="C20367" s="3">
        <v>2</v>
      </c>
    </row>
    <row r="20368" spans="1:3" x14ac:dyDescent="0.25">
      <c r="A20368" s="1" t="s">
        <v>20367</v>
      </c>
      <c r="C20368" s="3">
        <v>2</v>
      </c>
    </row>
    <row r="20369" spans="1:3" x14ac:dyDescent="0.25">
      <c r="A20369" s="1" t="s">
        <v>20368</v>
      </c>
      <c r="C20369" s="3">
        <v>2</v>
      </c>
    </row>
    <row r="20370" spans="1:3" x14ac:dyDescent="0.25">
      <c r="A20370" s="1" t="s">
        <v>20369</v>
      </c>
      <c r="C20370" s="3">
        <v>2</v>
      </c>
    </row>
    <row r="20371" spans="1:3" x14ac:dyDescent="0.25">
      <c r="A20371" s="1" t="s">
        <v>20370</v>
      </c>
      <c r="C20371" s="3">
        <v>2</v>
      </c>
    </row>
    <row r="20372" spans="1:3" x14ac:dyDescent="0.25">
      <c r="A20372" s="1" t="s">
        <v>20371</v>
      </c>
      <c r="C20372" s="3">
        <v>2</v>
      </c>
    </row>
    <row r="20373" spans="1:3" x14ac:dyDescent="0.25">
      <c r="A20373" s="1" t="s">
        <v>20372</v>
      </c>
      <c r="C20373" s="3">
        <v>2</v>
      </c>
    </row>
    <row r="20374" spans="1:3" x14ac:dyDescent="0.25">
      <c r="A20374" s="1" t="s">
        <v>20373</v>
      </c>
      <c r="C20374" s="3">
        <v>2</v>
      </c>
    </row>
    <row r="20375" spans="1:3" x14ac:dyDescent="0.25">
      <c r="A20375" s="1" t="s">
        <v>20374</v>
      </c>
      <c r="C20375" s="3">
        <v>2</v>
      </c>
    </row>
    <row r="20376" spans="1:3" x14ac:dyDescent="0.25">
      <c r="A20376" s="1" t="s">
        <v>20375</v>
      </c>
      <c r="C20376" s="3">
        <v>2</v>
      </c>
    </row>
    <row r="20377" spans="1:3" x14ac:dyDescent="0.25">
      <c r="A20377" s="1" t="s">
        <v>20376</v>
      </c>
      <c r="C20377" s="3">
        <v>2</v>
      </c>
    </row>
    <row r="20378" spans="1:3" x14ac:dyDescent="0.25">
      <c r="A20378" s="1" t="s">
        <v>20377</v>
      </c>
      <c r="C20378" s="3">
        <v>2</v>
      </c>
    </row>
    <row r="20379" spans="1:3" x14ac:dyDescent="0.25">
      <c r="A20379" s="1" t="s">
        <v>20378</v>
      </c>
      <c r="C20379" s="3">
        <v>2</v>
      </c>
    </row>
    <row r="20380" spans="1:3" x14ac:dyDescent="0.25">
      <c r="A20380" s="1" t="s">
        <v>20379</v>
      </c>
      <c r="C20380" s="3">
        <v>2</v>
      </c>
    </row>
    <row r="20381" spans="1:3" x14ac:dyDescent="0.25">
      <c r="A20381" s="1" t="s">
        <v>20380</v>
      </c>
      <c r="C20381" s="3">
        <v>2</v>
      </c>
    </row>
    <row r="20382" spans="1:3" x14ac:dyDescent="0.25">
      <c r="A20382" s="1" t="s">
        <v>20381</v>
      </c>
      <c r="C20382" s="3">
        <v>2</v>
      </c>
    </row>
    <row r="20383" spans="1:3" x14ac:dyDescent="0.25">
      <c r="A20383" s="1" t="s">
        <v>20382</v>
      </c>
      <c r="C20383" s="3">
        <v>2</v>
      </c>
    </row>
    <row r="20384" spans="1:3" x14ac:dyDescent="0.25">
      <c r="A20384" s="1" t="s">
        <v>20383</v>
      </c>
      <c r="C20384" s="3">
        <v>2</v>
      </c>
    </row>
    <row r="20385" spans="1:3" x14ac:dyDescent="0.25">
      <c r="A20385" s="1" t="s">
        <v>20384</v>
      </c>
      <c r="C20385" s="3">
        <v>2</v>
      </c>
    </row>
    <row r="20386" spans="1:3" x14ac:dyDescent="0.25">
      <c r="A20386" s="1" t="s">
        <v>20385</v>
      </c>
      <c r="C20386" s="3">
        <v>2</v>
      </c>
    </row>
    <row r="20387" spans="1:3" x14ac:dyDescent="0.25">
      <c r="A20387" s="1" t="s">
        <v>20386</v>
      </c>
      <c r="C20387" s="3">
        <v>2</v>
      </c>
    </row>
    <row r="20388" spans="1:3" x14ac:dyDescent="0.25">
      <c r="A20388" s="1" t="s">
        <v>20387</v>
      </c>
      <c r="C20388" s="3">
        <v>2</v>
      </c>
    </row>
    <row r="20389" spans="1:3" x14ac:dyDescent="0.25">
      <c r="A20389" s="1" t="s">
        <v>20388</v>
      </c>
      <c r="C20389" s="3">
        <v>2</v>
      </c>
    </row>
    <row r="20390" spans="1:3" x14ac:dyDescent="0.25">
      <c r="A20390" s="1" t="s">
        <v>20389</v>
      </c>
      <c r="C20390" s="3">
        <v>2</v>
      </c>
    </row>
    <row r="20391" spans="1:3" x14ac:dyDescent="0.25">
      <c r="A20391" s="1" t="s">
        <v>20390</v>
      </c>
      <c r="C20391" s="3">
        <v>2</v>
      </c>
    </row>
    <row r="20392" spans="1:3" x14ac:dyDescent="0.25">
      <c r="A20392" s="1" t="s">
        <v>20391</v>
      </c>
      <c r="C20392" s="3">
        <v>2</v>
      </c>
    </row>
    <row r="20393" spans="1:3" x14ac:dyDescent="0.25">
      <c r="A20393" s="1" t="s">
        <v>20392</v>
      </c>
      <c r="C20393" s="3">
        <v>2</v>
      </c>
    </row>
    <row r="20394" spans="1:3" x14ac:dyDescent="0.25">
      <c r="A20394" s="1" t="s">
        <v>20393</v>
      </c>
      <c r="C20394" s="3">
        <v>2</v>
      </c>
    </row>
    <row r="20395" spans="1:3" x14ac:dyDescent="0.25">
      <c r="A20395" s="1" t="s">
        <v>20394</v>
      </c>
      <c r="C20395" s="3">
        <v>2</v>
      </c>
    </row>
    <row r="20396" spans="1:3" x14ac:dyDescent="0.25">
      <c r="A20396" s="1" t="s">
        <v>20395</v>
      </c>
      <c r="C20396" s="3">
        <v>2</v>
      </c>
    </row>
    <row r="20397" spans="1:3" x14ac:dyDescent="0.25">
      <c r="A20397" s="1" t="s">
        <v>20396</v>
      </c>
      <c r="C20397" s="3">
        <v>2</v>
      </c>
    </row>
    <row r="20398" spans="1:3" x14ac:dyDescent="0.25">
      <c r="A20398" s="1" t="s">
        <v>20397</v>
      </c>
      <c r="C20398" s="3">
        <v>2</v>
      </c>
    </row>
    <row r="20399" spans="1:3" x14ac:dyDescent="0.25">
      <c r="A20399" s="1" t="s">
        <v>20398</v>
      </c>
      <c r="C20399" s="3">
        <v>2</v>
      </c>
    </row>
    <row r="20400" spans="1:3" x14ac:dyDescent="0.25">
      <c r="A20400" s="1" t="s">
        <v>20399</v>
      </c>
      <c r="C20400" s="3">
        <v>2</v>
      </c>
    </row>
    <row r="20401" spans="1:3" x14ac:dyDescent="0.25">
      <c r="A20401" s="1" t="s">
        <v>20400</v>
      </c>
      <c r="C20401" s="3">
        <v>2</v>
      </c>
    </row>
    <row r="20402" spans="1:3" x14ac:dyDescent="0.25">
      <c r="A20402" s="1" t="s">
        <v>20401</v>
      </c>
      <c r="C20402" s="3">
        <v>2</v>
      </c>
    </row>
    <row r="20403" spans="1:3" x14ac:dyDescent="0.25">
      <c r="A20403" s="1" t="s">
        <v>20402</v>
      </c>
      <c r="C20403" s="3">
        <v>2</v>
      </c>
    </row>
    <row r="20404" spans="1:3" x14ac:dyDescent="0.25">
      <c r="A20404" s="1" t="s">
        <v>20403</v>
      </c>
      <c r="C20404" s="3">
        <v>2</v>
      </c>
    </row>
    <row r="20405" spans="1:3" x14ac:dyDescent="0.25">
      <c r="A20405" s="1" t="s">
        <v>20404</v>
      </c>
      <c r="C20405" s="3">
        <v>2</v>
      </c>
    </row>
    <row r="20406" spans="1:3" x14ac:dyDescent="0.25">
      <c r="A20406" s="1" t="s">
        <v>20405</v>
      </c>
      <c r="C20406" s="3">
        <v>2</v>
      </c>
    </row>
    <row r="20407" spans="1:3" x14ac:dyDescent="0.25">
      <c r="A20407" s="1" t="s">
        <v>20406</v>
      </c>
      <c r="C20407" s="3">
        <v>2</v>
      </c>
    </row>
    <row r="20408" spans="1:3" x14ac:dyDescent="0.25">
      <c r="A20408" s="1" t="s">
        <v>20407</v>
      </c>
      <c r="C20408" s="3">
        <v>2</v>
      </c>
    </row>
    <row r="20409" spans="1:3" x14ac:dyDescent="0.25">
      <c r="A20409" s="1" t="s">
        <v>20408</v>
      </c>
      <c r="C20409" s="3">
        <v>2</v>
      </c>
    </row>
    <row r="20410" spans="1:3" x14ac:dyDescent="0.25">
      <c r="A20410" s="1" t="s">
        <v>20409</v>
      </c>
      <c r="C20410" s="3">
        <v>2</v>
      </c>
    </row>
    <row r="20411" spans="1:3" x14ac:dyDescent="0.25">
      <c r="A20411" s="1" t="s">
        <v>20410</v>
      </c>
      <c r="C20411" s="3">
        <v>2</v>
      </c>
    </row>
    <row r="20412" spans="1:3" x14ac:dyDescent="0.25">
      <c r="A20412" s="1" t="s">
        <v>20411</v>
      </c>
      <c r="C20412" s="3">
        <v>2</v>
      </c>
    </row>
    <row r="20413" spans="1:3" x14ac:dyDescent="0.25">
      <c r="A20413" s="1" t="s">
        <v>20412</v>
      </c>
      <c r="C20413" s="3">
        <v>2</v>
      </c>
    </row>
    <row r="20414" spans="1:3" x14ac:dyDescent="0.25">
      <c r="A20414" s="1" t="s">
        <v>20413</v>
      </c>
      <c r="C20414" s="3">
        <v>2</v>
      </c>
    </row>
    <row r="20415" spans="1:3" x14ac:dyDescent="0.25">
      <c r="A20415" s="1" t="s">
        <v>20414</v>
      </c>
      <c r="C20415" s="3">
        <v>2</v>
      </c>
    </row>
    <row r="20416" spans="1:3" x14ac:dyDescent="0.25">
      <c r="A20416" s="1" t="s">
        <v>20415</v>
      </c>
      <c r="C20416" s="3">
        <v>2</v>
      </c>
    </row>
    <row r="20417" spans="1:3" x14ac:dyDescent="0.25">
      <c r="A20417" s="1" t="s">
        <v>20416</v>
      </c>
      <c r="C20417" s="3">
        <v>2</v>
      </c>
    </row>
    <row r="20418" spans="1:3" x14ac:dyDescent="0.25">
      <c r="A20418" s="1" t="s">
        <v>20417</v>
      </c>
      <c r="C20418" s="3">
        <v>2</v>
      </c>
    </row>
    <row r="20419" spans="1:3" x14ac:dyDescent="0.25">
      <c r="A20419" s="1" t="s">
        <v>20418</v>
      </c>
      <c r="C20419" s="3">
        <v>2</v>
      </c>
    </row>
    <row r="20420" spans="1:3" x14ac:dyDescent="0.25">
      <c r="A20420" s="1" t="s">
        <v>20419</v>
      </c>
      <c r="C20420" s="3">
        <v>2</v>
      </c>
    </row>
    <row r="20421" spans="1:3" x14ac:dyDescent="0.25">
      <c r="A20421" s="1" t="s">
        <v>20420</v>
      </c>
      <c r="C20421" s="3">
        <v>2</v>
      </c>
    </row>
    <row r="20422" spans="1:3" x14ac:dyDescent="0.25">
      <c r="A20422" s="1" t="s">
        <v>20421</v>
      </c>
      <c r="C20422" s="3">
        <v>2</v>
      </c>
    </row>
    <row r="20423" spans="1:3" x14ac:dyDescent="0.25">
      <c r="A20423" s="1" t="s">
        <v>20422</v>
      </c>
      <c r="C20423" s="3">
        <v>2</v>
      </c>
    </row>
    <row r="20424" spans="1:3" x14ac:dyDescent="0.25">
      <c r="A20424" s="1" t="s">
        <v>20423</v>
      </c>
      <c r="C20424" s="3">
        <v>2</v>
      </c>
    </row>
    <row r="20425" spans="1:3" x14ac:dyDescent="0.25">
      <c r="A20425" s="1" t="s">
        <v>20424</v>
      </c>
      <c r="C20425" s="3">
        <v>2</v>
      </c>
    </row>
    <row r="20426" spans="1:3" x14ac:dyDescent="0.25">
      <c r="A20426" s="1" t="s">
        <v>20425</v>
      </c>
      <c r="C20426" s="3">
        <v>2</v>
      </c>
    </row>
    <row r="20427" spans="1:3" x14ac:dyDescent="0.25">
      <c r="A20427" s="1" t="s">
        <v>20426</v>
      </c>
      <c r="C20427" s="3">
        <v>2</v>
      </c>
    </row>
    <row r="20428" spans="1:3" x14ac:dyDescent="0.25">
      <c r="A20428" s="1" t="s">
        <v>20427</v>
      </c>
      <c r="C20428" s="3">
        <v>2</v>
      </c>
    </row>
    <row r="20429" spans="1:3" x14ac:dyDescent="0.25">
      <c r="A20429" s="1" t="s">
        <v>20428</v>
      </c>
      <c r="C20429" s="3">
        <v>2</v>
      </c>
    </row>
    <row r="20430" spans="1:3" x14ac:dyDescent="0.25">
      <c r="A20430" s="1" t="s">
        <v>20429</v>
      </c>
      <c r="C20430" s="3">
        <v>2</v>
      </c>
    </row>
    <row r="20431" spans="1:3" x14ac:dyDescent="0.25">
      <c r="A20431" s="1" t="s">
        <v>20430</v>
      </c>
      <c r="C20431" s="3">
        <v>2</v>
      </c>
    </row>
    <row r="20432" spans="1:3" x14ac:dyDescent="0.25">
      <c r="A20432" s="1" t="s">
        <v>20431</v>
      </c>
      <c r="C20432" s="3">
        <v>2</v>
      </c>
    </row>
    <row r="20433" spans="1:3" x14ac:dyDescent="0.25">
      <c r="A20433" s="1" t="s">
        <v>20432</v>
      </c>
      <c r="C20433" s="3">
        <v>2</v>
      </c>
    </row>
    <row r="20434" spans="1:3" x14ac:dyDescent="0.25">
      <c r="A20434" s="1" t="s">
        <v>20433</v>
      </c>
      <c r="C20434" s="3">
        <v>2</v>
      </c>
    </row>
    <row r="20435" spans="1:3" x14ac:dyDescent="0.25">
      <c r="A20435" s="1" t="s">
        <v>20434</v>
      </c>
      <c r="C20435" s="3">
        <v>2</v>
      </c>
    </row>
    <row r="20436" spans="1:3" x14ac:dyDescent="0.25">
      <c r="A20436" s="1" t="s">
        <v>20435</v>
      </c>
      <c r="C20436" s="3">
        <v>2</v>
      </c>
    </row>
    <row r="20437" spans="1:3" x14ac:dyDescent="0.25">
      <c r="A20437" s="1" t="s">
        <v>20436</v>
      </c>
      <c r="C20437" s="3">
        <v>2</v>
      </c>
    </row>
    <row r="20438" spans="1:3" x14ac:dyDescent="0.25">
      <c r="A20438" s="1" t="s">
        <v>20437</v>
      </c>
      <c r="C20438" s="3">
        <v>2</v>
      </c>
    </row>
    <row r="20439" spans="1:3" x14ac:dyDescent="0.25">
      <c r="A20439" s="1" t="s">
        <v>20438</v>
      </c>
      <c r="C20439" s="3">
        <v>2</v>
      </c>
    </row>
    <row r="20440" spans="1:3" x14ac:dyDescent="0.25">
      <c r="A20440" s="1" t="s">
        <v>20439</v>
      </c>
      <c r="C20440" s="3">
        <v>2</v>
      </c>
    </row>
    <row r="20441" spans="1:3" x14ac:dyDescent="0.25">
      <c r="A20441" s="1" t="s">
        <v>20440</v>
      </c>
      <c r="C20441" s="3">
        <v>2</v>
      </c>
    </row>
    <row r="20442" spans="1:3" x14ac:dyDescent="0.25">
      <c r="A20442" s="1" t="s">
        <v>20441</v>
      </c>
      <c r="C20442" s="3">
        <v>2</v>
      </c>
    </row>
    <row r="20443" spans="1:3" x14ac:dyDescent="0.25">
      <c r="A20443" s="1" t="s">
        <v>20442</v>
      </c>
      <c r="C20443" s="3">
        <v>2</v>
      </c>
    </row>
    <row r="20444" spans="1:3" x14ac:dyDescent="0.25">
      <c r="A20444" s="1" t="s">
        <v>20443</v>
      </c>
      <c r="C20444" s="3">
        <v>2</v>
      </c>
    </row>
    <row r="20445" spans="1:3" x14ac:dyDescent="0.25">
      <c r="A20445" s="1" t="s">
        <v>20444</v>
      </c>
      <c r="C20445" s="3">
        <v>2</v>
      </c>
    </row>
    <row r="20446" spans="1:3" x14ac:dyDescent="0.25">
      <c r="A20446" s="1" t="s">
        <v>20445</v>
      </c>
      <c r="C20446" s="3">
        <v>2</v>
      </c>
    </row>
    <row r="20447" spans="1:3" x14ac:dyDescent="0.25">
      <c r="A20447" s="1" t="s">
        <v>20446</v>
      </c>
      <c r="C20447" s="3">
        <v>2</v>
      </c>
    </row>
    <row r="20448" spans="1:3" x14ac:dyDescent="0.25">
      <c r="A20448" s="1" t="s">
        <v>20447</v>
      </c>
      <c r="C20448" s="3">
        <v>2</v>
      </c>
    </row>
    <row r="20449" spans="1:3" x14ac:dyDescent="0.25">
      <c r="A20449" s="1" t="s">
        <v>20448</v>
      </c>
      <c r="C20449" s="3">
        <v>2</v>
      </c>
    </row>
    <row r="20450" spans="1:3" x14ac:dyDescent="0.25">
      <c r="A20450" s="1" t="s">
        <v>20449</v>
      </c>
      <c r="C20450" s="3">
        <v>2</v>
      </c>
    </row>
    <row r="20451" spans="1:3" x14ac:dyDescent="0.25">
      <c r="A20451" s="1" t="s">
        <v>20450</v>
      </c>
      <c r="C20451" s="3">
        <v>2</v>
      </c>
    </row>
    <row r="20452" spans="1:3" x14ac:dyDescent="0.25">
      <c r="A20452" s="1" t="s">
        <v>20451</v>
      </c>
      <c r="C20452" s="3">
        <v>2</v>
      </c>
    </row>
    <row r="20453" spans="1:3" x14ac:dyDescent="0.25">
      <c r="A20453" s="1" t="s">
        <v>20452</v>
      </c>
      <c r="C20453" s="3">
        <v>2</v>
      </c>
    </row>
    <row r="20454" spans="1:3" x14ac:dyDescent="0.25">
      <c r="A20454" s="1" t="s">
        <v>20453</v>
      </c>
      <c r="C20454" s="3">
        <v>2</v>
      </c>
    </row>
    <row r="20455" spans="1:3" x14ac:dyDescent="0.25">
      <c r="A20455" s="1" t="s">
        <v>20454</v>
      </c>
      <c r="C20455" s="3">
        <v>2</v>
      </c>
    </row>
    <row r="20456" spans="1:3" x14ac:dyDescent="0.25">
      <c r="A20456" s="1" t="s">
        <v>20455</v>
      </c>
      <c r="C20456" s="3">
        <v>2</v>
      </c>
    </row>
    <row r="20457" spans="1:3" x14ac:dyDescent="0.25">
      <c r="A20457" s="1" t="s">
        <v>20456</v>
      </c>
      <c r="C20457" s="3">
        <v>2</v>
      </c>
    </row>
    <row r="20458" spans="1:3" x14ac:dyDescent="0.25">
      <c r="A20458" s="1" t="s">
        <v>20457</v>
      </c>
      <c r="C20458" s="3">
        <v>2</v>
      </c>
    </row>
    <row r="20459" spans="1:3" x14ac:dyDescent="0.25">
      <c r="A20459" s="1" t="s">
        <v>20458</v>
      </c>
      <c r="C20459" s="3">
        <v>2</v>
      </c>
    </row>
    <row r="20460" spans="1:3" x14ac:dyDescent="0.25">
      <c r="A20460" s="1" t="s">
        <v>20459</v>
      </c>
      <c r="C20460" s="3">
        <v>2</v>
      </c>
    </row>
    <row r="20461" spans="1:3" x14ac:dyDescent="0.25">
      <c r="A20461" s="1" t="s">
        <v>20460</v>
      </c>
      <c r="C20461" s="3">
        <v>2</v>
      </c>
    </row>
    <row r="20462" spans="1:3" x14ac:dyDescent="0.25">
      <c r="A20462" s="1" t="s">
        <v>20461</v>
      </c>
      <c r="C20462" s="3">
        <v>2</v>
      </c>
    </row>
    <row r="20463" spans="1:3" x14ac:dyDescent="0.25">
      <c r="A20463" s="1" t="s">
        <v>20462</v>
      </c>
      <c r="C20463" s="3">
        <v>2</v>
      </c>
    </row>
    <row r="20464" spans="1:3" x14ac:dyDescent="0.25">
      <c r="A20464" s="1" t="s">
        <v>20463</v>
      </c>
      <c r="C20464" s="3">
        <v>2</v>
      </c>
    </row>
    <row r="20465" spans="1:3" x14ac:dyDescent="0.25">
      <c r="A20465" s="1" t="s">
        <v>20464</v>
      </c>
      <c r="C20465" s="3">
        <v>2</v>
      </c>
    </row>
    <row r="20466" spans="1:3" x14ac:dyDescent="0.25">
      <c r="A20466" s="1" t="s">
        <v>20465</v>
      </c>
      <c r="C20466" s="3">
        <v>2</v>
      </c>
    </row>
    <row r="20467" spans="1:3" x14ac:dyDescent="0.25">
      <c r="A20467" s="1" t="s">
        <v>20466</v>
      </c>
      <c r="C20467" s="3">
        <v>2</v>
      </c>
    </row>
    <row r="20468" spans="1:3" x14ac:dyDescent="0.25">
      <c r="A20468" s="1" t="s">
        <v>20467</v>
      </c>
      <c r="C20468" s="3">
        <v>2</v>
      </c>
    </row>
    <row r="20469" spans="1:3" x14ac:dyDescent="0.25">
      <c r="A20469" s="1" t="s">
        <v>20468</v>
      </c>
      <c r="C20469" s="3">
        <v>2</v>
      </c>
    </row>
    <row r="20470" spans="1:3" x14ac:dyDescent="0.25">
      <c r="A20470" s="1" t="s">
        <v>20469</v>
      </c>
      <c r="C20470" s="3">
        <v>2</v>
      </c>
    </row>
    <row r="20471" spans="1:3" x14ac:dyDescent="0.25">
      <c r="A20471" s="1" t="s">
        <v>20470</v>
      </c>
      <c r="C20471" s="3">
        <v>2</v>
      </c>
    </row>
    <row r="20472" spans="1:3" x14ac:dyDescent="0.25">
      <c r="A20472" s="1" t="s">
        <v>20471</v>
      </c>
      <c r="C20472" s="3">
        <v>2</v>
      </c>
    </row>
    <row r="20473" spans="1:3" x14ac:dyDescent="0.25">
      <c r="A20473" s="1" t="s">
        <v>20472</v>
      </c>
      <c r="C20473" s="3">
        <v>2</v>
      </c>
    </row>
    <row r="20474" spans="1:3" x14ac:dyDescent="0.25">
      <c r="A20474" s="1" t="s">
        <v>20473</v>
      </c>
      <c r="C20474" s="3">
        <v>2</v>
      </c>
    </row>
    <row r="20475" spans="1:3" x14ac:dyDescent="0.25">
      <c r="A20475" s="1" t="s">
        <v>20474</v>
      </c>
      <c r="C20475" s="3">
        <v>2</v>
      </c>
    </row>
    <row r="20476" spans="1:3" x14ac:dyDescent="0.25">
      <c r="A20476" s="1" t="s">
        <v>20475</v>
      </c>
      <c r="C20476" s="3">
        <v>2</v>
      </c>
    </row>
    <row r="20477" spans="1:3" x14ac:dyDescent="0.25">
      <c r="A20477" s="1" t="s">
        <v>20476</v>
      </c>
      <c r="C20477" s="3">
        <v>2</v>
      </c>
    </row>
    <row r="20478" spans="1:3" x14ac:dyDescent="0.25">
      <c r="A20478" s="1" t="s">
        <v>20477</v>
      </c>
      <c r="C20478" s="3">
        <v>2</v>
      </c>
    </row>
    <row r="20479" spans="1:3" x14ac:dyDescent="0.25">
      <c r="A20479" s="1" t="s">
        <v>20478</v>
      </c>
      <c r="C20479" s="3">
        <v>2</v>
      </c>
    </row>
    <row r="20480" spans="1:3" x14ac:dyDescent="0.25">
      <c r="A20480" s="1" t="s">
        <v>20479</v>
      </c>
      <c r="C20480" s="3">
        <v>2</v>
      </c>
    </row>
    <row r="20481" spans="1:3" x14ac:dyDescent="0.25">
      <c r="A20481" s="1" t="s">
        <v>20480</v>
      </c>
      <c r="C20481" s="3">
        <v>2</v>
      </c>
    </row>
    <row r="20482" spans="1:3" x14ac:dyDescent="0.25">
      <c r="A20482" s="1" t="s">
        <v>20481</v>
      </c>
      <c r="C20482" s="3">
        <v>2</v>
      </c>
    </row>
    <row r="20483" spans="1:3" x14ac:dyDescent="0.25">
      <c r="A20483" s="1" t="s">
        <v>20482</v>
      </c>
      <c r="C20483" s="3">
        <v>2</v>
      </c>
    </row>
    <row r="20484" spans="1:3" x14ac:dyDescent="0.25">
      <c r="A20484" s="1" t="s">
        <v>20483</v>
      </c>
      <c r="C20484" s="3">
        <v>2</v>
      </c>
    </row>
    <row r="20485" spans="1:3" x14ac:dyDescent="0.25">
      <c r="A20485" s="1" t="s">
        <v>20484</v>
      </c>
      <c r="C20485" s="3">
        <v>2</v>
      </c>
    </row>
    <row r="20486" spans="1:3" x14ac:dyDescent="0.25">
      <c r="A20486" s="1" t="s">
        <v>20485</v>
      </c>
      <c r="C20486" s="3">
        <v>2</v>
      </c>
    </row>
    <row r="20487" spans="1:3" x14ac:dyDescent="0.25">
      <c r="A20487" s="1" t="s">
        <v>20486</v>
      </c>
      <c r="C20487" s="3">
        <v>2</v>
      </c>
    </row>
    <row r="20488" spans="1:3" x14ac:dyDescent="0.25">
      <c r="A20488" s="1" t="s">
        <v>20487</v>
      </c>
      <c r="C20488" s="3">
        <v>2</v>
      </c>
    </row>
    <row r="20489" spans="1:3" x14ac:dyDescent="0.25">
      <c r="A20489" s="1" t="s">
        <v>20488</v>
      </c>
      <c r="C20489" s="3">
        <v>2</v>
      </c>
    </row>
    <row r="20490" spans="1:3" x14ac:dyDescent="0.25">
      <c r="A20490" s="1" t="s">
        <v>20489</v>
      </c>
      <c r="C20490" s="3">
        <v>2</v>
      </c>
    </row>
    <row r="20491" spans="1:3" x14ac:dyDescent="0.25">
      <c r="A20491" s="1" t="s">
        <v>20490</v>
      </c>
      <c r="C20491" s="3">
        <v>2</v>
      </c>
    </row>
    <row r="20492" spans="1:3" x14ac:dyDescent="0.25">
      <c r="A20492" s="1" t="s">
        <v>20491</v>
      </c>
      <c r="C20492" s="3">
        <v>2</v>
      </c>
    </row>
    <row r="20493" spans="1:3" x14ac:dyDescent="0.25">
      <c r="A20493" s="1" t="s">
        <v>20492</v>
      </c>
      <c r="C20493" s="3">
        <v>2</v>
      </c>
    </row>
    <row r="20494" spans="1:3" x14ac:dyDescent="0.25">
      <c r="A20494" s="1" t="s">
        <v>20493</v>
      </c>
      <c r="C20494" s="3">
        <v>2</v>
      </c>
    </row>
    <row r="20495" spans="1:3" x14ac:dyDescent="0.25">
      <c r="A20495" s="1" t="s">
        <v>20494</v>
      </c>
      <c r="C20495" s="3">
        <v>2</v>
      </c>
    </row>
    <row r="20496" spans="1:3" x14ac:dyDescent="0.25">
      <c r="A20496" s="1" t="s">
        <v>20495</v>
      </c>
      <c r="C20496" s="3">
        <v>2</v>
      </c>
    </row>
    <row r="20497" spans="1:3" x14ac:dyDescent="0.25">
      <c r="A20497" s="1" t="s">
        <v>20496</v>
      </c>
      <c r="C20497" s="3">
        <v>2</v>
      </c>
    </row>
    <row r="20498" spans="1:3" x14ac:dyDescent="0.25">
      <c r="A20498" s="1" t="s">
        <v>20497</v>
      </c>
      <c r="C20498" s="3">
        <v>2</v>
      </c>
    </row>
    <row r="20499" spans="1:3" x14ac:dyDescent="0.25">
      <c r="A20499" s="1" t="s">
        <v>20498</v>
      </c>
      <c r="C20499" s="3">
        <v>2</v>
      </c>
    </row>
    <row r="20500" spans="1:3" x14ac:dyDescent="0.25">
      <c r="A20500" s="1" t="s">
        <v>20499</v>
      </c>
      <c r="C20500" s="3">
        <v>2</v>
      </c>
    </row>
    <row r="20501" spans="1:3" x14ac:dyDescent="0.25">
      <c r="A20501" s="1" t="s">
        <v>20500</v>
      </c>
      <c r="C20501" s="3">
        <v>2</v>
      </c>
    </row>
    <row r="20502" spans="1:3" x14ac:dyDescent="0.25">
      <c r="A20502" s="1" t="s">
        <v>20501</v>
      </c>
      <c r="C20502" s="3">
        <v>2</v>
      </c>
    </row>
    <row r="20503" spans="1:3" x14ac:dyDescent="0.25">
      <c r="A20503" s="1" t="s">
        <v>20502</v>
      </c>
      <c r="C20503" s="3">
        <v>2</v>
      </c>
    </row>
    <row r="20504" spans="1:3" x14ac:dyDescent="0.25">
      <c r="A20504" s="1" t="s">
        <v>20503</v>
      </c>
      <c r="C20504" s="3">
        <v>2</v>
      </c>
    </row>
    <row r="20505" spans="1:3" x14ac:dyDescent="0.25">
      <c r="A20505" s="1" t="s">
        <v>20504</v>
      </c>
      <c r="C20505" s="3">
        <v>2</v>
      </c>
    </row>
    <row r="20506" spans="1:3" x14ac:dyDescent="0.25">
      <c r="A20506" s="1" t="s">
        <v>20505</v>
      </c>
      <c r="C20506" s="3">
        <v>2</v>
      </c>
    </row>
    <row r="20507" spans="1:3" x14ac:dyDescent="0.25">
      <c r="A20507" s="1" t="s">
        <v>20506</v>
      </c>
      <c r="C20507" s="3">
        <v>2</v>
      </c>
    </row>
    <row r="20508" spans="1:3" x14ac:dyDescent="0.25">
      <c r="A20508" s="1" t="s">
        <v>20507</v>
      </c>
      <c r="C20508" s="3">
        <v>2</v>
      </c>
    </row>
    <row r="20509" spans="1:3" x14ac:dyDescent="0.25">
      <c r="A20509" s="1" t="s">
        <v>20508</v>
      </c>
      <c r="C20509" s="3">
        <v>2</v>
      </c>
    </row>
    <row r="20510" spans="1:3" x14ac:dyDescent="0.25">
      <c r="A20510" s="1" t="s">
        <v>20509</v>
      </c>
      <c r="C20510" s="3">
        <v>2</v>
      </c>
    </row>
    <row r="20511" spans="1:3" x14ac:dyDescent="0.25">
      <c r="A20511" s="1" t="s">
        <v>20510</v>
      </c>
      <c r="C20511" s="3">
        <v>2</v>
      </c>
    </row>
    <row r="20512" spans="1:3" x14ac:dyDescent="0.25">
      <c r="A20512" s="1" t="s">
        <v>20511</v>
      </c>
      <c r="C20512" s="3">
        <v>2</v>
      </c>
    </row>
    <row r="20513" spans="1:3" x14ac:dyDescent="0.25">
      <c r="A20513" s="1" t="s">
        <v>20512</v>
      </c>
      <c r="C20513" s="3">
        <v>2</v>
      </c>
    </row>
    <row r="20514" spans="1:3" x14ac:dyDescent="0.25">
      <c r="A20514" s="1" t="s">
        <v>20513</v>
      </c>
      <c r="C20514" s="3">
        <v>2</v>
      </c>
    </row>
    <row r="20515" spans="1:3" x14ac:dyDescent="0.25">
      <c r="A20515" s="1" t="s">
        <v>20514</v>
      </c>
      <c r="C20515" s="3">
        <v>2</v>
      </c>
    </row>
    <row r="20516" spans="1:3" x14ac:dyDescent="0.25">
      <c r="A20516" s="1" t="s">
        <v>20515</v>
      </c>
      <c r="C20516" s="3">
        <v>2</v>
      </c>
    </row>
    <row r="20517" spans="1:3" x14ac:dyDescent="0.25">
      <c r="A20517" s="1" t="s">
        <v>20516</v>
      </c>
      <c r="C20517" s="3">
        <v>2</v>
      </c>
    </row>
    <row r="20518" spans="1:3" x14ac:dyDescent="0.25">
      <c r="A20518" s="1" t="s">
        <v>20517</v>
      </c>
      <c r="C20518" s="3">
        <v>2</v>
      </c>
    </row>
    <row r="20519" spans="1:3" x14ac:dyDescent="0.25">
      <c r="A20519" s="1" t="s">
        <v>20518</v>
      </c>
      <c r="C20519" s="3">
        <v>2</v>
      </c>
    </row>
    <row r="20520" spans="1:3" x14ac:dyDescent="0.25">
      <c r="A20520" s="1" t="s">
        <v>20519</v>
      </c>
      <c r="C20520" s="3">
        <v>2</v>
      </c>
    </row>
    <row r="20521" spans="1:3" x14ac:dyDescent="0.25">
      <c r="A20521" s="1" t="s">
        <v>20520</v>
      </c>
      <c r="C20521" s="3">
        <v>2</v>
      </c>
    </row>
    <row r="20522" spans="1:3" x14ac:dyDescent="0.25">
      <c r="A20522" s="1" t="s">
        <v>20521</v>
      </c>
      <c r="C20522" s="3">
        <v>2</v>
      </c>
    </row>
    <row r="20523" spans="1:3" x14ac:dyDescent="0.25">
      <c r="A20523" s="1" t="s">
        <v>20522</v>
      </c>
      <c r="C20523" s="3">
        <v>2</v>
      </c>
    </row>
    <row r="20524" spans="1:3" x14ac:dyDescent="0.25">
      <c r="A20524" s="1" t="s">
        <v>20523</v>
      </c>
      <c r="C20524" s="3">
        <v>2</v>
      </c>
    </row>
    <row r="20525" spans="1:3" x14ac:dyDescent="0.25">
      <c r="A20525" s="1" t="s">
        <v>20524</v>
      </c>
      <c r="C20525" s="3">
        <v>2</v>
      </c>
    </row>
    <row r="20526" spans="1:3" x14ac:dyDescent="0.25">
      <c r="A20526" s="1" t="s">
        <v>20525</v>
      </c>
      <c r="C20526" s="3">
        <v>2</v>
      </c>
    </row>
    <row r="20527" spans="1:3" x14ac:dyDescent="0.25">
      <c r="A20527" s="1" t="s">
        <v>20526</v>
      </c>
      <c r="C20527" s="3">
        <v>2</v>
      </c>
    </row>
    <row r="20528" spans="1:3" x14ac:dyDescent="0.25">
      <c r="A20528" s="1" t="s">
        <v>20527</v>
      </c>
      <c r="C20528" s="3">
        <v>2</v>
      </c>
    </row>
    <row r="20529" spans="1:3" x14ac:dyDescent="0.25">
      <c r="A20529" s="1" t="s">
        <v>20528</v>
      </c>
      <c r="C20529" s="3">
        <v>2</v>
      </c>
    </row>
    <row r="20530" spans="1:3" x14ac:dyDescent="0.25">
      <c r="A20530" s="1" t="s">
        <v>20529</v>
      </c>
      <c r="C20530" s="3">
        <v>2</v>
      </c>
    </row>
    <row r="20531" spans="1:3" x14ac:dyDescent="0.25">
      <c r="A20531" s="1" t="s">
        <v>20530</v>
      </c>
      <c r="C20531" s="3">
        <v>2</v>
      </c>
    </row>
    <row r="20532" spans="1:3" x14ac:dyDescent="0.25">
      <c r="A20532" s="1" t="s">
        <v>20531</v>
      </c>
      <c r="C20532" s="3">
        <v>2</v>
      </c>
    </row>
    <row r="20533" spans="1:3" x14ac:dyDescent="0.25">
      <c r="A20533" s="1" t="s">
        <v>20532</v>
      </c>
      <c r="C20533" s="3">
        <v>2</v>
      </c>
    </row>
    <row r="20534" spans="1:3" x14ac:dyDescent="0.25">
      <c r="A20534" s="1" t="s">
        <v>20533</v>
      </c>
      <c r="C20534" s="3">
        <v>2</v>
      </c>
    </row>
    <row r="20535" spans="1:3" x14ac:dyDescent="0.25">
      <c r="A20535" s="1" t="s">
        <v>20534</v>
      </c>
      <c r="C20535" s="3">
        <v>2</v>
      </c>
    </row>
    <row r="20536" spans="1:3" x14ac:dyDescent="0.25">
      <c r="A20536" s="1" t="s">
        <v>20535</v>
      </c>
      <c r="C20536" s="3">
        <v>2</v>
      </c>
    </row>
    <row r="20537" spans="1:3" x14ac:dyDescent="0.25">
      <c r="A20537" s="1" t="s">
        <v>20536</v>
      </c>
      <c r="C20537" s="3">
        <v>2</v>
      </c>
    </row>
    <row r="20538" spans="1:3" x14ac:dyDescent="0.25">
      <c r="A20538" s="1" t="s">
        <v>20537</v>
      </c>
      <c r="C20538" s="3">
        <v>2</v>
      </c>
    </row>
    <row r="20539" spans="1:3" x14ac:dyDescent="0.25">
      <c r="A20539" s="1" t="s">
        <v>20538</v>
      </c>
      <c r="C20539" s="3">
        <v>2</v>
      </c>
    </row>
    <row r="20540" spans="1:3" x14ac:dyDescent="0.25">
      <c r="A20540" s="1" t="s">
        <v>20539</v>
      </c>
      <c r="C20540" s="3">
        <v>2</v>
      </c>
    </row>
    <row r="20541" spans="1:3" x14ac:dyDescent="0.25">
      <c r="A20541" s="1" t="s">
        <v>20540</v>
      </c>
      <c r="C20541" s="3">
        <v>2</v>
      </c>
    </row>
    <row r="20542" spans="1:3" x14ac:dyDescent="0.25">
      <c r="A20542" s="1" t="s">
        <v>20541</v>
      </c>
      <c r="C20542" s="3">
        <v>2</v>
      </c>
    </row>
    <row r="20543" spans="1:3" x14ac:dyDescent="0.25">
      <c r="A20543" s="1" t="s">
        <v>20542</v>
      </c>
      <c r="C20543" s="3">
        <v>2</v>
      </c>
    </row>
    <row r="20544" spans="1:3" x14ac:dyDescent="0.25">
      <c r="A20544" s="1" t="s">
        <v>20543</v>
      </c>
      <c r="C20544" s="3">
        <v>2</v>
      </c>
    </row>
    <row r="20545" spans="1:3" x14ac:dyDescent="0.25">
      <c r="A20545" s="1" t="s">
        <v>20544</v>
      </c>
      <c r="C20545" s="3">
        <v>2</v>
      </c>
    </row>
    <row r="20546" spans="1:3" x14ac:dyDescent="0.25">
      <c r="A20546" s="1" t="s">
        <v>20545</v>
      </c>
      <c r="C20546" s="3">
        <v>2</v>
      </c>
    </row>
    <row r="20547" spans="1:3" x14ac:dyDescent="0.25">
      <c r="A20547" s="1" t="s">
        <v>20546</v>
      </c>
      <c r="C20547" s="3">
        <v>2</v>
      </c>
    </row>
    <row r="20548" spans="1:3" x14ac:dyDescent="0.25">
      <c r="A20548" s="1" t="s">
        <v>20547</v>
      </c>
      <c r="C20548" s="3">
        <v>2</v>
      </c>
    </row>
    <row r="20549" spans="1:3" x14ac:dyDescent="0.25">
      <c r="A20549" s="1" t="s">
        <v>20548</v>
      </c>
      <c r="C20549" s="3">
        <v>2</v>
      </c>
    </row>
    <row r="20550" spans="1:3" x14ac:dyDescent="0.25">
      <c r="A20550" s="1" t="s">
        <v>20549</v>
      </c>
      <c r="C20550" s="3">
        <v>2</v>
      </c>
    </row>
    <row r="20551" spans="1:3" x14ac:dyDescent="0.25">
      <c r="A20551" s="1" t="s">
        <v>20550</v>
      </c>
      <c r="C20551" s="3">
        <v>2</v>
      </c>
    </row>
    <row r="20552" spans="1:3" x14ac:dyDescent="0.25">
      <c r="A20552" s="1" t="s">
        <v>20551</v>
      </c>
      <c r="C20552" s="3">
        <v>2</v>
      </c>
    </row>
    <row r="20553" spans="1:3" x14ac:dyDescent="0.25">
      <c r="A20553" s="1" t="s">
        <v>20552</v>
      </c>
      <c r="C20553" s="3">
        <v>2</v>
      </c>
    </row>
    <row r="20554" spans="1:3" x14ac:dyDescent="0.25">
      <c r="A20554" s="1" t="s">
        <v>20553</v>
      </c>
      <c r="C20554" s="3">
        <v>2</v>
      </c>
    </row>
    <row r="20555" spans="1:3" x14ac:dyDescent="0.25">
      <c r="A20555" s="1" t="s">
        <v>20554</v>
      </c>
      <c r="C20555" s="3">
        <v>2</v>
      </c>
    </row>
    <row r="20556" spans="1:3" x14ac:dyDescent="0.25">
      <c r="A20556" s="1" t="s">
        <v>20555</v>
      </c>
      <c r="C20556" s="3">
        <v>2</v>
      </c>
    </row>
    <row r="20557" spans="1:3" x14ac:dyDescent="0.25">
      <c r="A20557" s="1" t="s">
        <v>20556</v>
      </c>
      <c r="C20557" s="3">
        <v>2</v>
      </c>
    </row>
    <row r="20558" spans="1:3" x14ac:dyDescent="0.25">
      <c r="A20558" s="1" t="s">
        <v>20557</v>
      </c>
      <c r="C20558" s="3">
        <v>2</v>
      </c>
    </row>
    <row r="20559" spans="1:3" x14ac:dyDescent="0.25">
      <c r="A20559" s="1" t="s">
        <v>20558</v>
      </c>
      <c r="C20559" s="3">
        <v>2</v>
      </c>
    </row>
    <row r="20560" spans="1:3" x14ac:dyDescent="0.25">
      <c r="A20560" s="1" t="s">
        <v>20559</v>
      </c>
      <c r="C20560" s="3">
        <v>2</v>
      </c>
    </row>
    <row r="20561" spans="1:3" x14ac:dyDescent="0.25">
      <c r="A20561" s="1" t="s">
        <v>20560</v>
      </c>
      <c r="C20561" s="3">
        <v>2</v>
      </c>
    </row>
    <row r="20562" spans="1:3" x14ac:dyDescent="0.25">
      <c r="A20562" s="1" t="s">
        <v>20561</v>
      </c>
      <c r="C20562" s="3">
        <v>2</v>
      </c>
    </row>
    <row r="20563" spans="1:3" x14ac:dyDescent="0.25">
      <c r="A20563" s="1" t="s">
        <v>20562</v>
      </c>
      <c r="C20563" s="3">
        <v>2</v>
      </c>
    </row>
    <row r="20564" spans="1:3" x14ac:dyDescent="0.25">
      <c r="A20564" s="1" t="s">
        <v>20563</v>
      </c>
      <c r="C20564" s="3">
        <v>2</v>
      </c>
    </row>
    <row r="20565" spans="1:3" x14ac:dyDescent="0.25">
      <c r="A20565" s="1" t="s">
        <v>20564</v>
      </c>
      <c r="C20565" s="3">
        <v>2</v>
      </c>
    </row>
    <row r="20566" spans="1:3" x14ac:dyDescent="0.25">
      <c r="A20566" s="1" t="s">
        <v>20565</v>
      </c>
      <c r="C20566" s="3">
        <v>2</v>
      </c>
    </row>
    <row r="20567" spans="1:3" x14ac:dyDescent="0.25">
      <c r="A20567" s="1" t="s">
        <v>20566</v>
      </c>
      <c r="C20567" s="3">
        <v>2</v>
      </c>
    </row>
    <row r="20568" spans="1:3" x14ac:dyDescent="0.25">
      <c r="A20568" s="1" t="s">
        <v>20567</v>
      </c>
      <c r="C20568" s="3">
        <v>2</v>
      </c>
    </row>
    <row r="20569" spans="1:3" x14ac:dyDescent="0.25">
      <c r="A20569" s="1" t="s">
        <v>20568</v>
      </c>
      <c r="C20569" s="3">
        <v>2</v>
      </c>
    </row>
    <row r="20570" spans="1:3" x14ac:dyDescent="0.25">
      <c r="A20570" s="1" t="s">
        <v>20569</v>
      </c>
      <c r="C20570" s="3">
        <v>2</v>
      </c>
    </row>
    <row r="20571" spans="1:3" x14ac:dyDescent="0.25">
      <c r="A20571" s="1" t="s">
        <v>20570</v>
      </c>
      <c r="C20571" s="3">
        <v>2</v>
      </c>
    </row>
    <row r="20572" spans="1:3" x14ac:dyDescent="0.25">
      <c r="A20572" s="1" t="s">
        <v>20571</v>
      </c>
      <c r="C20572" s="3">
        <v>2</v>
      </c>
    </row>
    <row r="20573" spans="1:3" x14ac:dyDescent="0.25">
      <c r="A20573" s="1" t="s">
        <v>20572</v>
      </c>
      <c r="C20573" s="3">
        <v>2</v>
      </c>
    </row>
    <row r="20574" spans="1:3" x14ac:dyDescent="0.25">
      <c r="A20574" s="1" t="s">
        <v>20573</v>
      </c>
      <c r="C20574" s="3">
        <v>2</v>
      </c>
    </row>
    <row r="20575" spans="1:3" x14ac:dyDescent="0.25">
      <c r="A20575" s="1" t="s">
        <v>20574</v>
      </c>
      <c r="C20575" s="3">
        <v>2</v>
      </c>
    </row>
    <row r="20576" spans="1:3" x14ac:dyDescent="0.25">
      <c r="A20576" s="1" t="s">
        <v>20575</v>
      </c>
      <c r="C20576" s="3">
        <v>2</v>
      </c>
    </row>
    <row r="20577" spans="1:3" x14ac:dyDescent="0.25">
      <c r="A20577" s="1" t="s">
        <v>20576</v>
      </c>
      <c r="C20577" s="3">
        <v>2</v>
      </c>
    </row>
    <row r="20578" spans="1:3" x14ac:dyDescent="0.25">
      <c r="A20578" s="1" t="s">
        <v>20577</v>
      </c>
      <c r="C20578" s="3">
        <v>2</v>
      </c>
    </row>
    <row r="20579" spans="1:3" x14ac:dyDescent="0.25">
      <c r="A20579" s="1" t="s">
        <v>20578</v>
      </c>
      <c r="C20579" s="3">
        <v>2</v>
      </c>
    </row>
    <row r="20580" spans="1:3" x14ac:dyDescent="0.25">
      <c r="A20580" s="1" t="s">
        <v>20579</v>
      </c>
      <c r="C20580" s="3">
        <v>2</v>
      </c>
    </row>
    <row r="20581" spans="1:3" x14ac:dyDescent="0.25">
      <c r="A20581" s="1" t="s">
        <v>20580</v>
      </c>
      <c r="C20581" s="3">
        <v>2</v>
      </c>
    </row>
    <row r="20582" spans="1:3" x14ac:dyDescent="0.25">
      <c r="A20582" s="1" t="s">
        <v>20581</v>
      </c>
      <c r="C20582" s="3">
        <v>2</v>
      </c>
    </row>
    <row r="20583" spans="1:3" x14ac:dyDescent="0.25">
      <c r="A20583" s="1" t="s">
        <v>20582</v>
      </c>
      <c r="C20583" s="3">
        <v>2</v>
      </c>
    </row>
    <row r="20584" spans="1:3" x14ac:dyDescent="0.25">
      <c r="A20584" s="1" t="s">
        <v>20583</v>
      </c>
      <c r="C20584" s="3">
        <v>2</v>
      </c>
    </row>
    <row r="20585" spans="1:3" x14ac:dyDescent="0.25">
      <c r="A20585" s="1" t="s">
        <v>20584</v>
      </c>
      <c r="C20585" s="3">
        <v>2</v>
      </c>
    </row>
    <row r="20586" spans="1:3" x14ac:dyDescent="0.25">
      <c r="A20586" s="1" t="s">
        <v>20585</v>
      </c>
      <c r="C20586" s="3">
        <v>2</v>
      </c>
    </row>
    <row r="20587" spans="1:3" x14ac:dyDescent="0.25">
      <c r="A20587" s="1" t="s">
        <v>20586</v>
      </c>
      <c r="C20587" s="3">
        <v>2</v>
      </c>
    </row>
    <row r="20588" spans="1:3" x14ac:dyDescent="0.25">
      <c r="A20588" s="1" t="s">
        <v>20587</v>
      </c>
      <c r="C20588" s="3">
        <v>2</v>
      </c>
    </row>
    <row r="20589" spans="1:3" x14ac:dyDescent="0.25">
      <c r="A20589" s="1" t="s">
        <v>20588</v>
      </c>
      <c r="C20589" s="3">
        <v>2</v>
      </c>
    </row>
    <row r="20590" spans="1:3" x14ac:dyDescent="0.25">
      <c r="A20590" s="1" t="s">
        <v>20589</v>
      </c>
      <c r="C20590" s="3">
        <v>2</v>
      </c>
    </row>
    <row r="20591" spans="1:3" x14ac:dyDescent="0.25">
      <c r="A20591" s="1" t="s">
        <v>20590</v>
      </c>
      <c r="C20591" s="3">
        <v>2</v>
      </c>
    </row>
    <row r="20592" spans="1:3" x14ac:dyDescent="0.25">
      <c r="A20592" s="1" t="s">
        <v>20591</v>
      </c>
      <c r="C20592" s="3">
        <v>2</v>
      </c>
    </row>
    <row r="20593" spans="1:3" x14ac:dyDescent="0.25">
      <c r="A20593" s="1" t="s">
        <v>20592</v>
      </c>
      <c r="C20593" s="3">
        <v>2</v>
      </c>
    </row>
    <row r="20594" spans="1:3" x14ac:dyDescent="0.25">
      <c r="A20594" s="1" t="s">
        <v>20593</v>
      </c>
      <c r="C20594" s="3">
        <v>2</v>
      </c>
    </row>
    <row r="20595" spans="1:3" x14ac:dyDescent="0.25">
      <c r="A20595" s="1" t="s">
        <v>20594</v>
      </c>
      <c r="C20595" s="3">
        <v>2</v>
      </c>
    </row>
    <row r="20596" spans="1:3" x14ac:dyDescent="0.25">
      <c r="A20596" s="1" t="s">
        <v>20595</v>
      </c>
      <c r="C20596" s="3">
        <v>2</v>
      </c>
    </row>
    <row r="20597" spans="1:3" x14ac:dyDescent="0.25">
      <c r="A20597" s="1" t="s">
        <v>20596</v>
      </c>
      <c r="C20597" s="3">
        <v>2</v>
      </c>
    </row>
    <row r="20598" spans="1:3" x14ac:dyDescent="0.25">
      <c r="A20598" s="1" t="s">
        <v>20597</v>
      </c>
      <c r="C20598" s="3">
        <v>2</v>
      </c>
    </row>
    <row r="20599" spans="1:3" x14ac:dyDescent="0.25">
      <c r="A20599" s="1" t="s">
        <v>20598</v>
      </c>
      <c r="C20599" s="3">
        <v>2</v>
      </c>
    </row>
    <row r="20600" spans="1:3" x14ac:dyDescent="0.25">
      <c r="A20600" s="1" t="s">
        <v>20599</v>
      </c>
      <c r="C20600" s="3">
        <v>2</v>
      </c>
    </row>
    <row r="20601" spans="1:3" x14ac:dyDescent="0.25">
      <c r="A20601" s="1" t="s">
        <v>20600</v>
      </c>
      <c r="C20601" s="3">
        <v>2</v>
      </c>
    </row>
    <row r="20602" spans="1:3" x14ac:dyDescent="0.25">
      <c r="A20602" s="1" t="s">
        <v>20601</v>
      </c>
      <c r="C20602" s="3">
        <v>2</v>
      </c>
    </row>
    <row r="20603" spans="1:3" x14ac:dyDescent="0.25">
      <c r="A20603" s="1" t="s">
        <v>20602</v>
      </c>
      <c r="C20603" s="3">
        <v>2</v>
      </c>
    </row>
    <row r="20604" spans="1:3" x14ac:dyDescent="0.25">
      <c r="A20604" s="1" t="s">
        <v>20603</v>
      </c>
      <c r="C20604" s="3">
        <v>2</v>
      </c>
    </row>
    <row r="20605" spans="1:3" x14ac:dyDescent="0.25">
      <c r="A20605" s="1" t="s">
        <v>20604</v>
      </c>
      <c r="C20605" s="3">
        <v>2</v>
      </c>
    </row>
    <row r="20606" spans="1:3" x14ac:dyDescent="0.25">
      <c r="A20606" s="1" t="s">
        <v>20605</v>
      </c>
      <c r="C20606" s="3">
        <v>2</v>
      </c>
    </row>
    <row r="20607" spans="1:3" x14ac:dyDescent="0.25">
      <c r="A20607" s="1" t="s">
        <v>20606</v>
      </c>
      <c r="C20607" s="3">
        <v>2</v>
      </c>
    </row>
    <row r="20608" spans="1:3" x14ac:dyDescent="0.25">
      <c r="A20608" s="1" t="s">
        <v>20607</v>
      </c>
      <c r="C20608" s="3">
        <v>2</v>
      </c>
    </row>
    <row r="20609" spans="1:3" x14ac:dyDescent="0.25">
      <c r="A20609" s="1" t="s">
        <v>20608</v>
      </c>
      <c r="C20609" s="3">
        <v>2</v>
      </c>
    </row>
    <row r="20610" spans="1:3" x14ac:dyDescent="0.25">
      <c r="A20610" s="1" t="s">
        <v>20609</v>
      </c>
      <c r="C20610" s="3">
        <v>2</v>
      </c>
    </row>
    <row r="20611" spans="1:3" x14ac:dyDescent="0.25">
      <c r="A20611" s="1" t="s">
        <v>20610</v>
      </c>
      <c r="C20611" s="3">
        <v>2</v>
      </c>
    </row>
    <row r="20612" spans="1:3" x14ac:dyDescent="0.25">
      <c r="A20612" s="1" t="s">
        <v>20611</v>
      </c>
      <c r="C20612" s="3">
        <v>2</v>
      </c>
    </row>
    <row r="20613" spans="1:3" x14ac:dyDescent="0.25">
      <c r="A20613" s="1" t="s">
        <v>20612</v>
      </c>
      <c r="C20613" s="3">
        <v>2</v>
      </c>
    </row>
    <row r="20614" spans="1:3" x14ac:dyDescent="0.25">
      <c r="A20614" s="1" t="s">
        <v>20613</v>
      </c>
      <c r="C20614" s="3">
        <v>2</v>
      </c>
    </row>
    <row r="20615" spans="1:3" x14ac:dyDescent="0.25">
      <c r="A20615" s="1" t="s">
        <v>20614</v>
      </c>
      <c r="C20615" s="3">
        <v>2</v>
      </c>
    </row>
    <row r="20616" spans="1:3" x14ac:dyDescent="0.25">
      <c r="A20616" s="1" t="s">
        <v>20615</v>
      </c>
      <c r="C20616" s="3">
        <v>2</v>
      </c>
    </row>
    <row r="20617" spans="1:3" x14ac:dyDescent="0.25">
      <c r="A20617" s="1" t="s">
        <v>20616</v>
      </c>
      <c r="C20617" s="3">
        <v>2</v>
      </c>
    </row>
    <row r="20618" spans="1:3" x14ac:dyDescent="0.25">
      <c r="A20618" s="1" t="s">
        <v>20617</v>
      </c>
      <c r="C20618" s="3">
        <v>2</v>
      </c>
    </row>
    <row r="20619" spans="1:3" x14ac:dyDescent="0.25">
      <c r="A20619" s="1" t="s">
        <v>20618</v>
      </c>
      <c r="C20619" s="3">
        <v>2</v>
      </c>
    </row>
    <row r="20620" spans="1:3" x14ac:dyDescent="0.25">
      <c r="A20620" s="1" t="s">
        <v>20619</v>
      </c>
      <c r="C20620" s="3">
        <v>2</v>
      </c>
    </row>
    <row r="20621" spans="1:3" x14ac:dyDescent="0.25">
      <c r="A20621" s="1" t="s">
        <v>20620</v>
      </c>
      <c r="C20621" s="3">
        <v>2</v>
      </c>
    </row>
    <row r="20622" spans="1:3" x14ac:dyDescent="0.25">
      <c r="A20622" s="1" t="s">
        <v>20621</v>
      </c>
      <c r="C20622" s="3">
        <v>2</v>
      </c>
    </row>
    <row r="20623" spans="1:3" x14ac:dyDescent="0.25">
      <c r="A20623" s="1" t="s">
        <v>20622</v>
      </c>
      <c r="C20623" s="3">
        <v>2</v>
      </c>
    </row>
    <row r="20624" spans="1:3" x14ac:dyDescent="0.25">
      <c r="A20624" s="1" t="s">
        <v>20623</v>
      </c>
      <c r="C20624" s="3">
        <v>2</v>
      </c>
    </row>
    <row r="20625" spans="1:3" x14ac:dyDescent="0.25">
      <c r="A20625" s="1" t="s">
        <v>20624</v>
      </c>
      <c r="C20625" s="3">
        <v>2</v>
      </c>
    </row>
    <row r="20626" spans="1:3" x14ac:dyDescent="0.25">
      <c r="A20626" s="1" t="s">
        <v>20625</v>
      </c>
      <c r="C20626" s="3">
        <v>2</v>
      </c>
    </row>
    <row r="20627" spans="1:3" x14ac:dyDescent="0.25">
      <c r="A20627" s="1" t="s">
        <v>20626</v>
      </c>
      <c r="C20627" s="3">
        <v>2</v>
      </c>
    </row>
    <row r="20628" spans="1:3" x14ac:dyDescent="0.25">
      <c r="A20628" s="1" t="s">
        <v>20627</v>
      </c>
      <c r="C20628" s="3">
        <v>2</v>
      </c>
    </row>
    <row r="20629" spans="1:3" x14ac:dyDescent="0.25">
      <c r="A20629" s="1" t="s">
        <v>20628</v>
      </c>
      <c r="C20629" s="3">
        <v>2</v>
      </c>
    </row>
    <row r="20630" spans="1:3" x14ac:dyDescent="0.25">
      <c r="A20630" s="1" t="s">
        <v>20629</v>
      </c>
      <c r="C20630" s="3">
        <v>2</v>
      </c>
    </row>
    <row r="20631" spans="1:3" x14ac:dyDescent="0.25">
      <c r="A20631" s="1" t="s">
        <v>20630</v>
      </c>
      <c r="C20631" s="3">
        <v>2</v>
      </c>
    </row>
    <row r="20632" spans="1:3" x14ac:dyDescent="0.25">
      <c r="A20632" s="1" t="s">
        <v>20631</v>
      </c>
      <c r="C20632" s="3">
        <v>2</v>
      </c>
    </row>
    <row r="20633" spans="1:3" x14ac:dyDescent="0.25">
      <c r="A20633" s="1" t="s">
        <v>20632</v>
      </c>
      <c r="C20633" s="3">
        <v>2</v>
      </c>
    </row>
    <row r="20634" spans="1:3" x14ac:dyDescent="0.25">
      <c r="A20634" s="1" t="s">
        <v>20633</v>
      </c>
      <c r="C20634" s="3">
        <v>2</v>
      </c>
    </row>
    <row r="20635" spans="1:3" x14ac:dyDescent="0.25">
      <c r="A20635" s="1" t="s">
        <v>20634</v>
      </c>
      <c r="C20635" s="3">
        <v>2</v>
      </c>
    </row>
    <row r="20636" spans="1:3" x14ac:dyDescent="0.25">
      <c r="A20636" s="1" t="s">
        <v>20635</v>
      </c>
      <c r="C20636" s="3">
        <v>2</v>
      </c>
    </row>
    <row r="20637" spans="1:3" x14ac:dyDescent="0.25">
      <c r="A20637" s="1" t="s">
        <v>20636</v>
      </c>
      <c r="C20637" s="3">
        <v>2</v>
      </c>
    </row>
    <row r="20638" spans="1:3" x14ac:dyDescent="0.25">
      <c r="A20638" s="1" t="s">
        <v>20637</v>
      </c>
      <c r="C20638" s="3">
        <v>2</v>
      </c>
    </row>
    <row r="20639" spans="1:3" x14ac:dyDescent="0.25">
      <c r="A20639" s="1" t="s">
        <v>20638</v>
      </c>
      <c r="C20639" s="3">
        <v>2</v>
      </c>
    </row>
    <row r="20640" spans="1:3" x14ac:dyDescent="0.25">
      <c r="A20640" s="1" t="s">
        <v>20639</v>
      </c>
      <c r="C20640" s="3">
        <v>2</v>
      </c>
    </row>
    <row r="20641" spans="1:3" x14ac:dyDescent="0.25">
      <c r="A20641" s="1" t="s">
        <v>20640</v>
      </c>
      <c r="C20641" s="3">
        <v>2</v>
      </c>
    </row>
    <row r="20642" spans="1:3" x14ac:dyDescent="0.25">
      <c r="A20642" s="1" t="s">
        <v>20641</v>
      </c>
      <c r="C20642" s="3">
        <v>2</v>
      </c>
    </row>
    <row r="20643" spans="1:3" x14ac:dyDescent="0.25">
      <c r="A20643" s="1" t="s">
        <v>20642</v>
      </c>
      <c r="C20643" s="3">
        <v>2</v>
      </c>
    </row>
    <row r="20644" spans="1:3" x14ac:dyDescent="0.25">
      <c r="A20644" s="1" t="s">
        <v>20643</v>
      </c>
      <c r="C20644" s="3">
        <v>2</v>
      </c>
    </row>
    <row r="20645" spans="1:3" x14ac:dyDescent="0.25">
      <c r="A20645" s="1" t="s">
        <v>20644</v>
      </c>
      <c r="C20645" s="3">
        <v>2</v>
      </c>
    </row>
    <row r="20646" spans="1:3" x14ac:dyDescent="0.25">
      <c r="A20646" s="1" t="s">
        <v>20645</v>
      </c>
      <c r="C20646" s="3">
        <v>2</v>
      </c>
    </row>
    <row r="20647" spans="1:3" x14ac:dyDescent="0.25">
      <c r="A20647" s="1" t="s">
        <v>20646</v>
      </c>
      <c r="C20647" s="3">
        <v>2</v>
      </c>
    </row>
    <row r="20648" spans="1:3" x14ac:dyDescent="0.25">
      <c r="A20648" s="1" t="s">
        <v>20647</v>
      </c>
      <c r="C20648" s="3">
        <v>2</v>
      </c>
    </row>
    <row r="20649" spans="1:3" x14ac:dyDescent="0.25">
      <c r="A20649" s="1" t="s">
        <v>20648</v>
      </c>
      <c r="C20649" s="3">
        <v>2</v>
      </c>
    </row>
    <row r="20650" spans="1:3" x14ac:dyDescent="0.25">
      <c r="A20650" s="1" t="s">
        <v>20649</v>
      </c>
      <c r="C20650" s="3">
        <v>2</v>
      </c>
    </row>
    <row r="20651" spans="1:3" x14ac:dyDescent="0.25">
      <c r="A20651" s="1" t="s">
        <v>20650</v>
      </c>
      <c r="C20651" s="3">
        <v>2</v>
      </c>
    </row>
    <row r="20652" spans="1:3" x14ac:dyDescent="0.25">
      <c r="A20652" s="1" t="s">
        <v>20651</v>
      </c>
      <c r="C20652" s="3">
        <v>2</v>
      </c>
    </row>
    <row r="20653" spans="1:3" x14ac:dyDescent="0.25">
      <c r="A20653" s="1" t="s">
        <v>20652</v>
      </c>
      <c r="C20653" s="3">
        <v>2</v>
      </c>
    </row>
    <row r="20654" spans="1:3" x14ac:dyDescent="0.25">
      <c r="A20654" s="1" t="s">
        <v>20653</v>
      </c>
      <c r="C20654" s="3">
        <v>2</v>
      </c>
    </row>
    <row r="20655" spans="1:3" x14ac:dyDescent="0.25">
      <c r="A20655" s="1" t="s">
        <v>20654</v>
      </c>
      <c r="C20655" s="3">
        <v>2</v>
      </c>
    </row>
    <row r="20656" spans="1:3" x14ac:dyDescent="0.25">
      <c r="A20656" s="1" t="s">
        <v>20655</v>
      </c>
      <c r="C20656" s="3">
        <v>2</v>
      </c>
    </row>
    <row r="20657" spans="1:3" x14ac:dyDescent="0.25">
      <c r="A20657" s="1" t="s">
        <v>20656</v>
      </c>
      <c r="C20657" s="3">
        <v>2</v>
      </c>
    </row>
    <row r="20658" spans="1:3" x14ac:dyDescent="0.25">
      <c r="A20658" s="1" t="s">
        <v>20657</v>
      </c>
      <c r="C20658" s="3">
        <v>2</v>
      </c>
    </row>
    <row r="20659" spans="1:3" x14ac:dyDescent="0.25">
      <c r="A20659" s="1" t="s">
        <v>20658</v>
      </c>
      <c r="C20659" s="3">
        <v>2</v>
      </c>
    </row>
    <row r="20660" spans="1:3" x14ac:dyDescent="0.25">
      <c r="A20660" s="1" t="s">
        <v>20659</v>
      </c>
      <c r="C20660" s="3">
        <v>2</v>
      </c>
    </row>
    <row r="20661" spans="1:3" x14ac:dyDescent="0.25">
      <c r="A20661" s="1" t="s">
        <v>20660</v>
      </c>
      <c r="C20661" s="3">
        <v>2</v>
      </c>
    </row>
    <row r="20662" spans="1:3" x14ac:dyDescent="0.25">
      <c r="A20662" s="1" t="s">
        <v>20661</v>
      </c>
      <c r="C20662" s="3">
        <v>2</v>
      </c>
    </row>
    <row r="20663" spans="1:3" x14ac:dyDescent="0.25">
      <c r="A20663" s="1" t="s">
        <v>20662</v>
      </c>
      <c r="C20663" s="3">
        <v>2</v>
      </c>
    </row>
    <row r="20664" spans="1:3" x14ac:dyDescent="0.25">
      <c r="A20664" s="1" t="s">
        <v>20663</v>
      </c>
      <c r="C20664" s="3">
        <v>2</v>
      </c>
    </row>
    <row r="20665" spans="1:3" x14ac:dyDescent="0.25">
      <c r="A20665" s="1" t="s">
        <v>20664</v>
      </c>
      <c r="C20665" s="3">
        <v>2</v>
      </c>
    </row>
    <row r="20666" spans="1:3" x14ac:dyDescent="0.25">
      <c r="A20666" s="1" t="s">
        <v>20665</v>
      </c>
      <c r="C20666" s="3">
        <v>2</v>
      </c>
    </row>
    <row r="20667" spans="1:3" x14ac:dyDescent="0.25">
      <c r="A20667" s="1" t="s">
        <v>20666</v>
      </c>
      <c r="C20667" s="3">
        <v>2</v>
      </c>
    </row>
    <row r="20668" spans="1:3" x14ac:dyDescent="0.25">
      <c r="A20668" s="1" t="s">
        <v>20667</v>
      </c>
      <c r="C20668" s="3">
        <v>2</v>
      </c>
    </row>
    <row r="20669" spans="1:3" x14ac:dyDescent="0.25">
      <c r="A20669" s="1" t="s">
        <v>20668</v>
      </c>
      <c r="C20669" s="3">
        <v>2</v>
      </c>
    </row>
    <row r="20670" spans="1:3" x14ac:dyDescent="0.25">
      <c r="A20670" s="1" t="s">
        <v>20669</v>
      </c>
      <c r="C20670" s="3">
        <v>2</v>
      </c>
    </row>
    <row r="20671" spans="1:3" x14ac:dyDescent="0.25">
      <c r="A20671" s="1" t="s">
        <v>20670</v>
      </c>
      <c r="C20671" s="3">
        <v>2</v>
      </c>
    </row>
    <row r="20672" spans="1:3" x14ac:dyDescent="0.25">
      <c r="A20672" s="1" t="s">
        <v>20671</v>
      </c>
      <c r="C20672" s="3">
        <v>2</v>
      </c>
    </row>
    <row r="20673" spans="1:3" x14ac:dyDescent="0.25">
      <c r="A20673" s="1" t="s">
        <v>20672</v>
      </c>
      <c r="C20673" s="3">
        <v>2</v>
      </c>
    </row>
    <row r="20674" spans="1:3" x14ac:dyDescent="0.25">
      <c r="A20674" s="1" t="s">
        <v>20673</v>
      </c>
      <c r="C20674" s="3">
        <v>2</v>
      </c>
    </row>
    <row r="20675" spans="1:3" x14ac:dyDescent="0.25">
      <c r="A20675" s="1" t="s">
        <v>20674</v>
      </c>
      <c r="C20675" s="3">
        <v>2</v>
      </c>
    </row>
    <row r="20676" spans="1:3" x14ac:dyDescent="0.25">
      <c r="A20676" s="1" t="s">
        <v>20675</v>
      </c>
      <c r="C20676" s="3">
        <v>2</v>
      </c>
    </row>
    <row r="20677" spans="1:3" x14ac:dyDescent="0.25">
      <c r="A20677" s="1" t="s">
        <v>20676</v>
      </c>
      <c r="C20677" s="3">
        <v>2</v>
      </c>
    </row>
    <row r="20678" spans="1:3" x14ac:dyDescent="0.25">
      <c r="A20678" s="1" t="s">
        <v>20677</v>
      </c>
      <c r="C20678" s="3">
        <v>2</v>
      </c>
    </row>
    <row r="20679" spans="1:3" x14ac:dyDescent="0.25">
      <c r="A20679" s="1" t="s">
        <v>20678</v>
      </c>
      <c r="C20679" s="3">
        <v>2</v>
      </c>
    </row>
    <row r="20680" spans="1:3" x14ac:dyDescent="0.25">
      <c r="A20680" s="1" t="s">
        <v>20679</v>
      </c>
      <c r="C20680" s="3">
        <v>2</v>
      </c>
    </row>
    <row r="20681" spans="1:3" x14ac:dyDescent="0.25">
      <c r="A20681" s="1" t="s">
        <v>20680</v>
      </c>
      <c r="C20681" s="3">
        <v>2</v>
      </c>
    </row>
    <row r="20682" spans="1:3" x14ac:dyDescent="0.25">
      <c r="A20682" s="1" t="s">
        <v>20681</v>
      </c>
      <c r="C20682" s="3">
        <v>2</v>
      </c>
    </row>
    <row r="20683" spans="1:3" x14ac:dyDescent="0.25">
      <c r="A20683" s="1" t="s">
        <v>20682</v>
      </c>
      <c r="C20683" s="3">
        <v>2</v>
      </c>
    </row>
    <row r="20684" spans="1:3" x14ac:dyDescent="0.25">
      <c r="A20684" s="1" t="s">
        <v>20683</v>
      </c>
      <c r="C20684" s="3">
        <v>2</v>
      </c>
    </row>
    <row r="20685" spans="1:3" x14ac:dyDescent="0.25">
      <c r="A20685" s="1" t="s">
        <v>20684</v>
      </c>
      <c r="C20685" s="3">
        <v>2</v>
      </c>
    </row>
    <row r="20686" spans="1:3" x14ac:dyDescent="0.25">
      <c r="A20686" s="1" t="s">
        <v>20685</v>
      </c>
      <c r="C20686" s="3">
        <v>2</v>
      </c>
    </row>
    <row r="20687" spans="1:3" x14ac:dyDescent="0.25">
      <c r="A20687" s="1" t="s">
        <v>20686</v>
      </c>
      <c r="C20687" s="3">
        <v>2</v>
      </c>
    </row>
    <row r="20688" spans="1:3" x14ac:dyDescent="0.25">
      <c r="A20688" s="1" t="s">
        <v>20687</v>
      </c>
      <c r="C20688" s="3">
        <v>2</v>
      </c>
    </row>
    <row r="20689" spans="1:3" x14ac:dyDescent="0.25">
      <c r="A20689" s="1" t="s">
        <v>20688</v>
      </c>
      <c r="C20689" s="3">
        <v>2</v>
      </c>
    </row>
    <row r="20690" spans="1:3" x14ac:dyDescent="0.25">
      <c r="A20690" s="1" t="s">
        <v>20689</v>
      </c>
      <c r="C20690" s="3">
        <v>2</v>
      </c>
    </row>
    <row r="20691" spans="1:3" x14ac:dyDescent="0.25">
      <c r="A20691" s="1" t="s">
        <v>20690</v>
      </c>
      <c r="C20691" s="3">
        <v>2</v>
      </c>
    </row>
    <row r="20692" spans="1:3" x14ac:dyDescent="0.25">
      <c r="A20692" s="1" t="s">
        <v>20691</v>
      </c>
      <c r="C20692" s="3">
        <v>2</v>
      </c>
    </row>
    <row r="20693" spans="1:3" x14ac:dyDescent="0.25">
      <c r="A20693" s="1" t="s">
        <v>20692</v>
      </c>
      <c r="C20693" s="3">
        <v>2</v>
      </c>
    </row>
    <row r="20694" spans="1:3" x14ac:dyDescent="0.25">
      <c r="A20694" s="1" t="s">
        <v>20693</v>
      </c>
      <c r="C20694" s="3">
        <v>2</v>
      </c>
    </row>
    <row r="20695" spans="1:3" x14ac:dyDescent="0.25">
      <c r="A20695" s="1" t="s">
        <v>20694</v>
      </c>
      <c r="C20695" s="3">
        <v>2</v>
      </c>
    </row>
    <row r="20696" spans="1:3" x14ac:dyDescent="0.25">
      <c r="A20696" s="1" t="s">
        <v>20695</v>
      </c>
      <c r="C20696" s="3">
        <v>2</v>
      </c>
    </row>
    <row r="20697" spans="1:3" x14ac:dyDescent="0.25">
      <c r="A20697" s="1" t="s">
        <v>20696</v>
      </c>
      <c r="C20697" s="3">
        <v>2</v>
      </c>
    </row>
    <row r="20698" spans="1:3" x14ac:dyDescent="0.25">
      <c r="A20698" s="1" t="s">
        <v>20697</v>
      </c>
      <c r="C20698" s="3">
        <v>2</v>
      </c>
    </row>
    <row r="20699" spans="1:3" x14ac:dyDescent="0.25">
      <c r="A20699" s="1" t="s">
        <v>20698</v>
      </c>
      <c r="C20699" s="3">
        <v>2</v>
      </c>
    </row>
    <row r="20700" spans="1:3" x14ac:dyDescent="0.25">
      <c r="A20700" s="1" t="s">
        <v>20699</v>
      </c>
      <c r="C20700" s="3">
        <v>2</v>
      </c>
    </row>
    <row r="20701" spans="1:3" x14ac:dyDescent="0.25">
      <c r="A20701" s="1" t="s">
        <v>20700</v>
      </c>
      <c r="C20701" s="3">
        <v>2</v>
      </c>
    </row>
    <row r="20702" spans="1:3" x14ac:dyDescent="0.25">
      <c r="A20702" s="1" t="s">
        <v>20701</v>
      </c>
      <c r="C20702" s="3">
        <v>2</v>
      </c>
    </row>
    <row r="20703" spans="1:3" x14ac:dyDescent="0.25">
      <c r="A20703" s="1" t="s">
        <v>20702</v>
      </c>
      <c r="C20703" s="3">
        <v>2</v>
      </c>
    </row>
    <row r="20704" spans="1:3" x14ac:dyDescent="0.25">
      <c r="A20704" s="1" t="s">
        <v>20703</v>
      </c>
      <c r="C20704" s="3">
        <v>2</v>
      </c>
    </row>
    <row r="20705" spans="1:3" x14ac:dyDescent="0.25">
      <c r="A20705" s="1" t="s">
        <v>20704</v>
      </c>
      <c r="C20705" s="3">
        <v>2</v>
      </c>
    </row>
    <row r="20706" spans="1:3" x14ac:dyDescent="0.25">
      <c r="A20706" s="1" t="s">
        <v>20705</v>
      </c>
      <c r="C20706" s="3">
        <v>2</v>
      </c>
    </row>
    <row r="20707" spans="1:3" x14ac:dyDescent="0.25">
      <c r="A20707" s="1" t="s">
        <v>20706</v>
      </c>
      <c r="C20707" s="3">
        <v>2</v>
      </c>
    </row>
    <row r="20708" spans="1:3" x14ac:dyDescent="0.25">
      <c r="A20708" s="1" t="s">
        <v>20707</v>
      </c>
      <c r="C20708" s="3">
        <v>2</v>
      </c>
    </row>
    <row r="20709" spans="1:3" x14ac:dyDescent="0.25">
      <c r="A20709" s="1" t="s">
        <v>20708</v>
      </c>
      <c r="C20709" s="3">
        <v>2</v>
      </c>
    </row>
    <row r="20710" spans="1:3" x14ac:dyDescent="0.25">
      <c r="A20710" s="1" t="s">
        <v>20709</v>
      </c>
      <c r="C20710" s="3">
        <v>2</v>
      </c>
    </row>
    <row r="20711" spans="1:3" x14ac:dyDescent="0.25">
      <c r="A20711" s="1" t="s">
        <v>20710</v>
      </c>
      <c r="C20711" s="3">
        <v>2</v>
      </c>
    </row>
    <row r="20712" spans="1:3" x14ac:dyDescent="0.25">
      <c r="A20712" s="1" t="s">
        <v>20711</v>
      </c>
      <c r="C20712" s="3">
        <v>2</v>
      </c>
    </row>
    <row r="20713" spans="1:3" x14ac:dyDescent="0.25">
      <c r="A20713" s="1" t="s">
        <v>20712</v>
      </c>
      <c r="C20713" s="3">
        <v>2</v>
      </c>
    </row>
    <row r="20714" spans="1:3" x14ac:dyDescent="0.25">
      <c r="A20714" s="1" t="s">
        <v>20713</v>
      </c>
      <c r="C20714" s="3">
        <v>2</v>
      </c>
    </row>
    <row r="20715" spans="1:3" x14ac:dyDescent="0.25">
      <c r="A20715" s="1" t="s">
        <v>20714</v>
      </c>
      <c r="C20715" s="3">
        <v>2</v>
      </c>
    </row>
    <row r="20716" spans="1:3" x14ac:dyDescent="0.25">
      <c r="A20716" s="1" t="s">
        <v>20715</v>
      </c>
      <c r="C20716" s="3">
        <v>2</v>
      </c>
    </row>
    <row r="20717" spans="1:3" x14ac:dyDescent="0.25">
      <c r="A20717" s="1" t="s">
        <v>20716</v>
      </c>
      <c r="C20717" s="3">
        <v>2</v>
      </c>
    </row>
    <row r="20718" spans="1:3" x14ac:dyDescent="0.25">
      <c r="A20718" s="1" t="s">
        <v>20717</v>
      </c>
      <c r="C20718" s="3">
        <v>2</v>
      </c>
    </row>
    <row r="20719" spans="1:3" x14ac:dyDescent="0.25">
      <c r="A20719" s="1" t="s">
        <v>20718</v>
      </c>
      <c r="C20719" s="3">
        <v>2</v>
      </c>
    </row>
    <row r="20720" spans="1:3" x14ac:dyDescent="0.25">
      <c r="A20720" s="1" t="s">
        <v>20719</v>
      </c>
      <c r="C20720" s="3">
        <v>2</v>
      </c>
    </row>
    <row r="20721" spans="1:3" x14ac:dyDescent="0.25">
      <c r="A20721" s="1" t="s">
        <v>20720</v>
      </c>
      <c r="C20721" s="3">
        <v>2</v>
      </c>
    </row>
    <row r="20722" spans="1:3" x14ac:dyDescent="0.25">
      <c r="A20722" s="1" t="s">
        <v>20721</v>
      </c>
      <c r="C20722" s="3">
        <v>2</v>
      </c>
    </row>
    <row r="20723" spans="1:3" x14ac:dyDescent="0.25">
      <c r="A20723" s="1" t="s">
        <v>20722</v>
      </c>
      <c r="C20723" s="3">
        <v>2</v>
      </c>
    </row>
    <row r="20724" spans="1:3" x14ac:dyDescent="0.25">
      <c r="A20724" s="1" t="s">
        <v>20723</v>
      </c>
      <c r="C20724" s="3">
        <v>2</v>
      </c>
    </row>
    <row r="20725" spans="1:3" x14ac:dyDescent="0.25">
      <c r="A20725" s="1" t="s">
        <v>20724</v>
      </c>
      <c r="C20725" s="3">
        <v>2</v>
      </c>
    </row>
    <row r="20726" spans="1:3" x14ac:dyDescent="0.25">
      <c r="A20726" s="1" t="s">
        <v>20725</v>
      </c>
      <c r="C20726" s="3">
        <v>2</v>
      </c>
    </row>
    <row r="20727" spans="1:3" x14ac:dyDescent="0.25">
      <c r="A20727" s="1" t="s">
        <v>20726</v>
      </c>
      <c r="C20727" s="3">
        <v>2</v>
      </c>
    </row>
    <row r="20728" spans="1:3" x14ac:dyDescent="0.25">
      <c r="A20728" s="1" t="s">
        <v>20727</v>
      </c>
      <c r="C20728" s="3">
        <v>2</v>
      </c>
    </row>
    <row r="20729" spans="1:3" x14ac:dyDescent="0.25">
      <c r="A20729" s="1" t="s">
        <v>20728</v>
      </c>
      <c r="C20729" s="3">
        <v>2</v>
      </c>
    </row>
    <row r="20730" spans="1:3" x14ac:dyDescent="0.25">
      <c r="A20730" s="1" t="s">
        <v>20729</v>
      </c>
      <c r="C20730" s="3">
        <v>2</v>
      </c>
    </row>
    <row r="20731" spans="1:3" x14ac:dyDescent="0.25">
      <c r="A20731" s="1" t="s">
        <v>20730</v>
      </c>
      <c r="C20731" s="3">
        <v>2</v>
      </c>
    </row>
    <row r="20732" spans="1:3" x14ac:dyDescent="0.25">
      <c r="A20732" s="1" t="s">
        <v>20731</v>
      </c>
      <c r="C20732" s="3">
        <v>2</v>
      </c>
    </row>
    <row r="20733" spans="1:3" x14ac:dyDescent="0.25">
      <c r="A20733" s="1" t="s">
        <v>20732</v>
      </c>
      <c r="C20733" s="3">
        <v>2</v>
      </c>
    </row>
    <row r="20734" spans="1:3" x14ac:dyDescent="0.25">
      <c r="A20734" s="1" t="s">
        <v>20733</v>
      </c>
      <c r="C20734" s="3">
        <v>2</v>
      </c>
    </row>
    <row r="20735" spans="1:3" x14ac:dyDescent="0.25">
      <c r="A20735" s="1" t="s">
        <v>20734</v>
      </c>
      <c r="C20735" s="3">
        <v>2</v>
      </c>
    </row>
    <row r="20736" spans="1:3" x14ac:dyDescent="0.25">
      <c r="A20736" s="1" t="s">
        <v>20735</v>
      </c>
      <c r="C20736" s="3">
        <v>2</v>
      </c>
    </row>
    <row r="20737" spans="1:3" x14ac:dyDescent="0.25">
      <c r="A20737" s="1" t="s">
        <v>20736</v>
      </c>
      <c r="C20737" s="3">
        <v>2</v>
      </c>
    </row>
    <row r="20738" spans="1:3" x14ac:dyDescent="0.25">
      <c r="A20738" s="1" t="s">
        <v>20737</v>
      </c>
      <c r="C20738" s="3">
        <v>2</v>
      </c>
    </row>
    <row r="20739" spans="1:3" x14ac:dyDescent="0.25">
      <c r="A20739" s="1" t="s">
        <v>20738</v>
      </c>
      <c r="C20739" s="3">
        <v>2</v>
      </c>
    </row>
    <row r="20740" spans="1:3" x14ac:dyDescent="0.25">
      <c r="A20740" s="1" t="s">
        <v>20739</v>
      </c>
      <c r="C20740" s="3">
        <v>2</v>
      </c>
    </row>
    <row r="20741" spans="1:3" x14ac:dyDescent="0.25">
      <c r="A20741" s="1" t="s">
        <v>20740</v>
      </c>
      <c r="C20741" s="3">
        <v>2</v>
      </c>
    </row>
    <row r="20742" spans="1:3" x14ac:dyDescent="0.25">
      <c r="A20742" s="1" t="s">
        <v>20741</v>
      </c>
      <c r="C20742" s="3">
        <v>2</v>
      </c>
    </row>
    <row r="20743" spans="1:3" x14ac:dyDescent="0.25">
      <c r="A20743" s="1" t="s">
        <v>20742</v>
      </c>
      <c r="C20743" s="3">
        <v>2</v>
      </c>
    </row>
    <row r="20744" spans="1:3" x14ac:dyDescent="0.25">
      <c r="A20744" s="1" t="s">
        <v>20743</v>
      </c>
      <c r="C20744" s="3">
        <v>2</v>
      </c>
    </row>
    <row r="20745" spans="1:3" x14ac:dyDescent="0.25">
      <c r="A20745" s="1" t="s">
        <v>20744</v>
      </c>
      <c r="C20745" s="3">
        <v>2</v>
      </c>
    </row>
    <row r="20746" spans="1:3" x14ac:dyDescent="0.25">
      <c r="A20746" s="1" t="s">
        <v>20745</v>
      </c>
      <c r="C20746" s="3">
        <v>2</v>
      </c>
    </row>
    <row r="20747" spans="1:3" x14ac:dyDescent="0.25">
      <c r="A20747" s="1" t="s">
        <v>20746</v>
      </c>
      <c r="C20747" s="3">
        <v>2</v>
      </c>
    </row>
    <row r="20748" spans="1:3" x14ac:dyDescent="0.25">
      <c r="A20748" s="1" t="s">
        <v>20747</v>
      </c>
      <c r="C20748" s="3">
        <v>2</v>
      </c>
    </row>
    <row r="20749" spans="1:3" x14ac:dyDescent="0.25">
      <c r="A20749" s="1" t="s">
        <v>20748</v>
      </c>
      <c r="C20749" s="3">
        <v>2</v>
      </c>
    </row>
    <row r="20750" spans="1:3" x14ac:dyDescent="0.25">
      <c r="A20750" s="1" t="s">
        <v>20749</v>
      </c>
      <c r="C20750" s="3">
        <v>2</v>
      </c>
    </row>
    <row r="20751" spans="1:3" x14ac:dyDescent="0.25">
      <c r="A20751" s="1" t="s">
        <v>20750</v>
      </c>
      <c r="C20751" s="3">
        <v>2</v>
      </c>
    </row>
    <row r="20752" spans="1:3" x14ac:dyDescent="0.25">
      <c r="A20752" s="1" t="s">
        <v>20751</v>
      </c>
      <c r="C20752" s="3">
        <v>2</v>
      </c>
    </row>
    <row r="20753" spans="1:3" x14ac:dyDescent="0.25">
      <c r="A20753" s="1" t="s">
        <v>20752</v>
      </c>
      <c r="C20753" s="3">
        <v>2</v>
      </c>
    </row>
    <row r="20754" spans="1:3" x14ac:dyDescent="0.25">
      <c r="A20754" s="1" t="s">
        <v>20753</v>
      </c>
      <c r="C20754" s="3">
        <v>2</v>
      </c>
    </row>
    <row r="20755" spans="1:3" x14ac:dyDescent="0.25">
      <c r="A20755" s="1" t="s">
        <v>20754</v>
      </c>
      <c r="C20755" s="3">
        <v>2</v>
      </c>
    </row>
    <row r="20756" spans="1:3" x14ac:dyDescent="0.25">
      <c r="A20756" s="1" t="s">
        <v>20755</v>
      </c>
      <c r="C20756" s="3">
        <v>2</v>
      </c>
    </row>
    <row r="20757" spans="1:3" x14ac:dyDescent="0.25">
      <c r="A20757" s="1" t="s">
        <v>20756</v>
      </c>
      <c r="C20757" s="3">
        <v>2</v>
      </c>
    </row>
    <row r="20758" spans="1:3" x14ac:dyDescent="0.25">
      <c r="A20758" s="1" t="s">
        <v>20757</v>
      </c>
      <c r="C20758" s="3">
        <v>2</v>
      </c>
    </row>
    <row r="20759" spans="1:3" x14ac:dyDescent="0.25">
      <c r="A20759" s="1" t="s">
        <v>20758</v>
      </c>
      <c r="C20759" s="3">
        <v>2</v>
      </c>
    </row>
    <row r="20760" spans="1:3" x14ac:dyDescent="0.25">
      <c r="A20760" s="1" t="s">
        <v>20759</v>
      </c>
      <c r="C20760" s="3">
        <v>2</v>
      </c>
    </row>
    <row r="20761" spans="1:3" x14ac:dyDescent="0.25">
      <c r="A20761" s="1" t="s">
        <v>20760</v>
      </c>
      <c r="C20761" s="3">
        <v>2</v>
      </c>
    </row>
    <row r="20762" spans="1:3" x14ac:dyDescent="0.25">
      <c r="A20762" s="1" t="s">
        <v>20761</v>
      </c>
      <c r="C20762" s="3">
        <v>2</v>
      </c>
    </row>
    <row r="20763" spans="1:3" x14ac:dyDescent="0.25">
      <c r="A20763" s="1" t="s">
        <v>20762</v>
      </c>
      <c r="C20763" s="3">
        <v>2</v>
      </c>
    </row>
    <row r="20764" spans="1:3" x14ac:dyDescent="0.25">
      <c r="A20764" s="1" t="s">
        <v>20763</v>
      </c>
      <c r="C20764" s="3">
        <v>2</v>
      </c>
    </row>
    <row r="20765" spans="1:3" x14ac:dyDescent="0.25">
      <c r="A20765" s="1" t="s">
        <v>20764</v>
      </c>
      <c r="C20765" s="3">
        <v>2</v>
      </c>
    </row>
    <row r="20766" spans="1:3" x14ac:dyDescent="0.25">
      <c r="A20766" s="1" t="s">
        <v>20765</v>
      </c>
      <c r="C20766" s="3">
        <v>2</v>
      </c>
    </row>
    <row r="20767" spans="1:3" x14ac:dyDescent="0.25">
      <c r="A20767" s="1" t="s">
        <v>20766</v>
      </c>
      <c r="C20767" s="3">
        <v>2</v>
      </c>
    </row>
    <row r="20768" spans="1:3" x14ac:dyDescent="0.25">
      <c r="A20768" s="1" t="s">
        <v>20767</v>
      </c>
      <c r="C20768" s="3">
        <v>2</v>
      </c>
    </row>
    <row r="20769" spans="1:3" x14ac:dyDescent="0.25">
      <c r="A20769" s="1" t="s">
        <v>20768</v>
      </c>
      <c r="C20769" s="3">
        <v>2</v>
      </c>
    </row>
    <row r="20770" spans="1:3" x14ac:dyDescent="0.25">
      <c r="A20770" s="1" t="s">
        <v>20769</v>
      </c>
      <c r="C20770" s="3">
        <v>2</v>
      </c>
    </row>
    <row r="20771" spans="1:3" x14ac:dyDescent="0.25">
      <c r="A20771" s="1" t="s">
        <v>20770</v>
      </c>
      <c r="C20771" s="3">
        <v>2</v>
      </c>
    </row>
    <row r="20772" spans="1:3" x14ac:dyDescent="0.25">
      <c r="A20772" s="1" t="s">
        <v>20771</v>
      </c>
      <c r="C20772" s="3">
        <v>2</v>
      </c>
    </row>
    <row r="20773" spans="1:3" x14ac:dyDescent="0.25">
      <c r="A20773" s="1" t="s">
        <v>20772</v>
      </c>
      <c r="C20773" s="3">
        <v>2</v>
      </c>
    </row>
    <row r="20774" spans="1:3" x14ac:dyDescent="0.25">
      <c r="A20774" s="1" t="s">
        <v>20773</v>
      </c>
      <c r="C20774" s="3">
        <v>2</v>
      </c>
    </row>
    <row r="20775" spans="1:3" x14ac:dyDescent="0.25">
      <c r="A20775" s="1" t="s">
        <v>20774</v>
      </c>
      <c r="C20775" s="3">
        <v>2</v>
      </c>
    </row>
    <row r="20776" spans="1:3" x14ac:dyDescent="0.25">
      <c r="A20776" s="1" t="s">
        <v>20775</v>
      </c>
      <c r="C20776" s="3">
        <v>2</v>
      </c>
    </row>
    <row r="20777" spans="1:3" x14ac:dyDescent="0.25">
      <c r="A20777" s="1" t="s">
        <v>20776</v>
      </c>
      <c r="C20777" s="3">
        <v>2</v>
      </c>
    </row>
    <row r="20778" spans="1:3" x14ac:dyDescent="0.25">
      <c r="A20778" s="1" t="s">
        <v>20777</v>
      </c>
      <c r="C20778" s="3">
        <v>2</v>
      </c>
    </row>
    <row r="20779" spans="1:3" x14ac:dyDescent="0.25">
      <c r="A20779" s="1" t="s">
        <v>20778</v>
      </c>
      <c r="C20779" s="3">
        <v>2</v>
      </c>
    </row>
    <row r="20780" spans="1:3" x14ac:dyDescent="0.25">
      <c r="A20780" s="1" t="s">
        <v>20779</v>
      </c>
      <c r="C20780" s="3">
        <v>2</v>
      </c>
    </row>
    <row r="20781" spans="1:3" x14ac:dyDescent="0.25">
      <c r="A20781" s="1" t="s">
        <v>20780</v>
      </c>
      <c r="C20781" s="3">
        <v>2</v>
      </c>
    </row>
    <row r="20782" spans="1:3" x14ac:dyDescent="0.25">
      <c r="A20782" s="1" t="s">
        <v>20781</v>
      </c>
      <c r="C20782" s="3">
        <v>2</v>
      </c>
    </row>
    <row r="20783" spans="1:3" x14ac:dyDescent="0.25">
      <c r="A20783" s="1" t="s">
        <v>20782</v>
      </c>
      <c r="C20783" s="3">
        <v>2</v>
      </c>
    </row>
    <row r="20784" spans="1:3" x14ac:dyDescent="0.25">
      <c r="A20784" s="1" t="s">
        <v>20783</v>
      </c>
      <c r="C20784" s="3">
        <v>2</v>
      </c>
    </row>
    <row r="20785" spans="1:3" x14ac:dyDescent="0.25">
      <c r="A20785" s="1" t="s">
        <v>20784</v>
      </c>
      <c r="C20785" s="3">
        <v>2</v>
      </c>
    </row>
    <row r="20786" spans="1:3" x14ac:dyDescent="0.25">
      <c r="A20786" s="1" t="s">
        <v>20785</v>
      </c>
      <c r="C20786" s="3">
        <v>2</v>
      </c>
    </row>
    <row r="20787" spans="1:3" x14ac:dyDescent="0.25">
      <c r="A20787" s="1" t="s">
        <v>20786</v>
      </c>
      <c r="C20787" s="3">
        <v>2</v>
      </c>
    </row>
    <row r="20788" spans="1:3" x14ac:dyDescent="0.25">
      <c r="A20788" s="1" t="s">
        <v>20787</v>
      </c>
      <c r="C20788" s="3">
        <v>2</v>
      </c>
    </row>
    <row r="20789" spans="1:3" x14ac:dyDescent="0.25">
      <c r="A20789" s="1" t="s">
        <v>20788</v>
      </c>
      <c r="C20789" s="3">
        <v>2</v>
      </c>
    </row>
    <row r="20790" spans="1:3" x14ac:dyDescent="0.25">
      <c r="A20790" s="1" t="s">
        <v>20789</v>
      </c>
      <c r="C20790" s="3">
        <v>2</v>
      </c>
    </row>
    <row r="20791" spans="1:3" x14ac:dyDescent="0.25">
      <c r="A20791" s="1" t="s">
        <v>20790</v>
      </c>
      <c r="C20791" s="3">
        <v>2</v>
      </c>
    </row>
    <row r="20792" spans="1:3" x14ac:dyDescent="0.25">
      <c r="A20792" s="1" t="s">
        <v>20791</v>
      </c>
      <c r="C20792" s="3">
        <v>2</v>
      </c>
    </row>
    <row r="20793" spans="1:3" x14ac:dyDescent="0.25">
      <c r="A20793" s="1" t="s">
        <v>20792</v>
      </c>
      <c r="C20793" s="3">
        <v>2</v>
      </c>
    </row>
    <row r="20794" spans="1:3" x14ac:dyDescent="0.25">
      <c r="A20794" s="1" t="s">
        <v>20793</v>
      </c>
      <c r="C20794" s="3">
        <v>2</v>
      </c>
    </row>
    <row r="20795" spans="1:3" x14ac:dyDescent="0.25">
      <c r="A20795" s="1" t="s">
        <v>20794</v>
      </c>
      <c r="C20795" s="3">
        <v>2</v>
      </c>
    </row>
    <row r="20796" spans="1:3" x14ac:dyDescent="0.25">
      <c r="A20796" s="1" t="s">
        <v>20795</v>
      </c>
      <c r="C20796" s="3">
        <v>2</v>
      </c>
    </row>
    <row r="20797" spans="1:3" x14ac:dyDescent="0.25">
      <c r="A20797" s="1" t="s">
        <v>20796</v>
      </c>
      <c r="C20797" s="3">
        <v>2</v>
      </c>
    </row>
    <row r="20798" spans="1:3" x14ac:dyDescent="0.25">
      <c r="A20798" s="1" t="s">
        <v>20797</v>
      </c>
      <c r="C20798" s="3">
        <v>2</v>
      </c>
    </row>
    <row r="20799" spans="1:3" x14ac:dyDescent="0.25">
      <c r="A20799" s="1" t="s">
        <v>20798</v>
      </c>
      <c r="C20799" s="3">
        <v>2</v>
      </c>
    </row>
    <row r="20800" spans="1:3" x14ac:dyDescent="0.25">
      <c r="A20800" s="1" t="s">
        <v>20799</v>
      </c>
      <c r="C20800" s="3">
        <v>2</v>
      </c>
    </row>
    <row r="20801" spans="1:3" x14ac:dyDescent="0.25">
      <c r="A20801" s="1" t="s">
        <v>20800</v>
      </c>
      <c r="C20801" s="3">
        <v>2</v>
      </c>
    </row>
    <row r="20802" spans="1:3" x14ac:dyDescent="0.25">
      <c r="A20802" s="1" t="s">
        <v>20801</v>
      </c>
      <c r="C20802" s="3">
        <v>2</v>
      </c>
    </row>
    <row r="20803" spans="1:3" x14ac:dyDescent="0.25">
      <c r="A20803" s="1" t="s">
        <v>20802</v>
      </c>
      <c r="C20803" s="3">
        <v>2</v>
      </c>
    </row>
    <row r="20804" spans="1:3" x14ac:dyDescent="0.25">
      <c r="A20804" s="1" t="s">
        <v>20803</v>
      </c>
      <c r="C20804" s="3">
        <v>2</v>
      </c>
    </row>
    <row r="20805" spans="1:3" x14ac:dyDescent="0.25">
      <c r="A20805" s="1" t="s">
        <v>20804</v>
      </c>
      <c r="C20805" s="3">
        <v>2</v>
      </c>
    </row>
    <row r="20806" spans="1:3" x14ac:dyDescent="0.25">
      <c r="A20806" s="1" t="s">
        <v>20805</v>
      </c>
      <c r="C20806" s="3">
        <v>2</v>
      </c>
    </row>
    <row r="20807" spans="1:3" x14ac:dyDescent="0.25">
      <c r="A20807" s="1" t="s">
        <v>20806</v>
      </c>
      <c r="C20807" s="3">
        <v>2</v>
      </c>
    </row>
    <row r="20808" spans="1:3" x14ac:dyDescent="0.25">
      <c r="A20808" s="1" t="s">
        <v>20807</v>
      </c>
      <c r="C20808" s="3">
        <v>2</v>
      </c>
    </row>
    <row r="20809" spans="1:3" x14ac:dyDescent="0.25">
      <c r="A20809" s="1" t="s">
        <v>20808</v>
      </c>
      <c r="C20809" s="3">
        <v>2</v>
      </c>
    </row>
    <row r="20810" spans="1:3" x14ac:dyDescent="0.25">
      <c r="A20810" s="1" t="s">
        <v>20809</v>
      </c>
      <c r="C20810" s="3">
        <v>2</v>
      </c>
    </row>
    <row r="20811" spans="1:3" x14ac:dyDescent="0.25">
      <c r="A20811" s="1" t="s">
        <v>20810</v>
      </c>
      <c r="C20811" s="3">
        <v>2</v>
      </c>
    </row>
    <row r="20812" spans="1:3" x14ac:dyDescent="0.25">
      <c r="A20812" s="1" t="s">
        <v>20811</v>
      </c>
      <c r="C20812" s="3">
        <v>2</v>
      </c>
    </row>
    <row r="20813" spans="1:3" x14ac:dyDescent="0.25">
      <c r="A20813" s="1" t="s">
        <v>20812</v>
      </c>
      <c r="C20813" s="3">
        <v>2</v>
      </c>
    </row>
    <row r="20814" spans="1:3" x14ac:dyDescent="0.25">
      <c r="A20814" s="1" t="s">
        <v>20813</v>
      </c>
      <c r="C20814" s="3">
        <v>2</v>
      </c>
    </row>
    <row r="20815" spans="1:3" x14ac:dyDescent="0.25">
      <c r="A20815" s="1" t="s">
        <v>20814</v>
      </c>
      <c r="C20815" s="3">
        <v>2</v>
      </c>
    </row>
    <row r="20816" spans="1:3" x14ac:dyDescent="0.25">
      <c r="A20816" s="1" t="s">
        <v>20815</v>
      </c>
      <c r="C20816" s="3">
        <v>2</v>
      </c>
    </row>
    <row r="20817" spans="1:3" x14ac:dyDescent="0.25">
      <c r="A20817" s="1" t="s">
        <v>20816</v>
      </c>
      <c r="C20817" s="3">
        <v>2</v>
      </c>
    </row>
    <row r="20818" spans="1:3" x14ac:dyDescent="0.25">
      <c r="A20818" s="1" t="s">
        <v>20817</v>
      </c>
      <c r="C20818" s="3">
        <v>2</v>
      </c>
    </row>
    <row r="20819" spans="1:3" x14ac:dyDescent="0.25">
      <c r="A20819" s="1" t="s">
        <v>20818</v>
      </c>
      <c r="C20819" s="3">
        <v>2</v>
      </c>
    </row>
    <row r="20820" spans="1:3" x14ac:dyDescent="0.25">
      <c r="A20820" s="1" t="s">
        <v>20819</v>
      </c>
      <c r="C20820" s="3">
        <v>2</v>
      </c>
    </row>
    <row r="20821" spans="1:3" x14ac:dyDescent="0.25">
      <c r="A20821" s="1" t="s">
        <v>20820</v>
      </c>
      <c r="C20821" s="3">
        <v>2</v>
      </c>
    </row>
    <row r="20822" spans="1:3" x14ac:dyDescent="0.25">
      <c r="A20822" s="1" t="s">
        <v>20821</v>
      </c>
      <c r="C20822" s="3">
        <v>2</v>
      </c>
    </row>
    <row r="20823" spans="1:3" x14ac:dyDescent="0.25">
      <c r="A20823" s="1" t="s">
        <v>20822</v>
      </c>
      <c r="C20823" s="3">
        <v>2</v>
      </c>
    </row>
    <row r="20824" spans="1:3" x14ac:dyDescent="0.25">
      <c r="A20824" s="1" t="s">
        <v>20823</v>
      </c>
      <c r="C20824" s="3">
        <v>2</v>
      </c>
    </row>
    <row r="20825" spans="1:3" x14ac:dyDescent="0.25">
      <c r="A20825" s="1" t="s">
        <v>20824</v>
      </c>
      <c r="C20825" s="3">
        <v>2</v>
      </c>
    </row>
    <row r="20826" spans="1:3" x14ac:dyDescent="0.25">
      <c r="A20826" s="1" t="s">
        <v>20825</v>
      </c>
      <c r="C20826" s="3">
        <v>2</v>
      </c>
    </row>
    <row r="20827" spans="1:3" x14ac:dyDescent="0.25">
      <c r="A20827" s="1" t="s">
        <v>20826</v>
      </c>
      <c r="C20827" s="3">
        <v>2</v>
      </c>
    </row>
    <row r="20828" spans="1:3" x14ac:dyDescent="0.25">
      <c r="A20828" s="1" t="s">
        <v>20827</v>
      </c>
      <c r="C20828" s="3">
        <v>2</v>
      </c>
    </row>
    <row r="20829" spans="1:3" x14ac:dyDescent="0.25">
      <c r="A20829" s="1" t="s">
        <v>20828</v>
      </c>
      <c r="C20829" s="3">
        <v>2</v>
      </c>
    </row>
    <row r="20830" spans="1:3" x14ac:dyDescent="0.25">
      <c r="A20830" s="1" t="s">
        <v>20829</v>
      </c>
      <c r="C20830" s="3">
        <v>2</v>
      </c>
    </row>
    <row r="20831" spans="1:3" x14ac:dyDescent="0.25">
      <c r="A20831" s="1" t="s">
        <v>20830</v>
      </c>
      <c r="C20831" s="3">
        <v>2</v>
      </c>
    </row>
    <row r="20832" spans="1:3" x14ac:dyDescent="0.25">
      <c r="A20832" s="1" t="s">
        <v>20831</v>
      </c>
      <c r="C20832" s="3">
        <v>2</v>
      </c>
    </row>
    <row r="20833" spans="1:3" x14ac:dyDescent="0.25">
      <c r="A20833" s="1" t="s">
        <v>20832</v>
      </c>
      <c r="C20833" s="3">
        <v>2</v>
      </c>
    </row>
    <row r="20834" spans="1:3" x14ac:dyDescent="0.25">
      <c r="A20834" s="1" t="s">
        <v>20833</v>
      </c>
      <c r="C20834" s="3">
        <v>2</v>
      </c>
    </row>
    <row r="20835" spans="1:3" x14ac:dyDescent="0.25">
      <c r="A20835" s="1" t="s">
        <v>20834</v>
      </c>
      <c r="C20835" s="3">
        <v>2</v>
      </c>
    </row>
    <row r="20836" spans="1:3" x14ac:dyDescent="0.25">
      <c r="A20836" s="1" t="s">
        <v>20835</v>
      </c>
      <c r="C20836" s="3">
        <v>2</v>
      </c>
    </row>
    <row r="20837" spans="1:3" x14ac:dyDescent="0.25">
      <c r="A20837" s="1" t="s">
        <v>20836</v>
      </c>
      <c r="C20837" s="3">
        <v>2</v>
      </c>
    </row>
    <row r="20838" spans="1:3" x14ac:dyDescent="0.25">
      <c r="A20838" s="1" t="s">
        <v>20837</v>
      </c>
      <c r="C20838" s="3">
        <v>2</v>
      </c>
    </row>
    <row r="20839" spans="1:3" x14ac:dyDescent="0.25">
      <c r="A20839" s="1" t="s">
        <v>20838</v>
      </c>
      <c r="C20839" s="3">
        <v>2</v>
      </c>
    </row>
    <row r="20840" spans="1:3" x14ac:dyDescent="0.25">
      <c r="A20840" s="1" t="s">
        <v>20839</v>
      </c>
      <c r="C20840" s="3">
        <v>2</v>
      </c>
    </row>
    <row r="20841" spans="1:3" x14ac:dyDescent="0.25">
      <c r="A20841" s="1" t="s">
        <v>20840</v>
      </c>
      <c r="C20841" s="3">
        <v>2</v>
      </c>
    </row>
    <row r="20842" spans="1:3" x14ac:dyDescent="0.25">
      <c r="A20842" s="1" t="s">
        <v>20841</v>
      </c>
      <c r="C20842" s="3">
        <v>2</v>
      </c>
    </row>
    <row r="20843" spans="1:3" x14ac:dyDescent="0.25">
      <c r="A20843" s="1" t="s">
        <v>20842</v>
      </c>
      <c r="C20843" s="3">
        <v>2</v>
      </c>
    </row>
    <row r="20844" spans="1:3" x14ac:dyDescent="0.25">
      <c r="A20844" s="1" t="s">
        <v>20843</v>
      </c>
      <c r="C20844" s="3">
        <v>2</v>
      </c>
    </row>
    <row r="20845" spans="1:3" x14ac:dyDescent="0.25">
      <c r="A20845" s="1" t="s">
        <v>20844</v>
      </c>
      <c r="C20845" s="3">
        <v>2</v>
      </c>
    </row>
    <row r="20846" spans="1:3" x14ac:dyDescent="0.25">
      <c r="A20846" s="1" t="s">
        <v>20845</v>
      </c>
      <c r="C20846" s="3">
        <v>2</v>
      </c>
    </row>
    <row r="20847" spans="1:3" x14ac:dyDescent="0.25">
      <c r="A20847" s="1" t="s">
        <v>20846</v>
      </c>
      <c r="C20847" s="3">
        <v>2</v>
      </c>
    </row>
    <row r="20848" spans="1:3" x14ac:dyDescent="0.25">
      <c r="A20848" s="1" t="s">
        <v>20847</v>
      </c>
      <c r="C20848" s="3">
        <v>2</v>
      </c>
    </row>
    <row r="20849" spans="1:3" x14ac:dyDescent="0.25">
      <c r="A20849" s="1" t="s">
        <v>20848</v>
      </c>
      <c r="C20849" s="3">
        <v>2</v>
      </c>
    </row>
    <row r="20850" spans="1:3" x14ac:dyDescent="0.25">
      <c r="A20850" s="1" t="s">
        <v>20849</v>
      </c>
      <c r="C20850" s="3">
        <v>2</v>
      </c>
    </row>
    <row r="20851" spans="1:3" x14ac:dyDescent="0.25">
      <c r="A20851" s="1" t="s">
        <v>20850</v>
      </c>
      <c r="C20851" s="3">
        <v>2</v>
      </c>
    </row>
    <row r="20852" spans="1:3" x14ac:dyDescent="0.25">
      <c r="A20852" s="1" t="s">
        <v>20851</v>
      </c>
      <c r="C20852" s="3">
        <v>2</v>
      </c>
    </row>
    <row r="20853" spans="1:3" x14ac:dyDescent="0.25">
      <c r="A20853" s="1" t="s">
        <v>20852</v>
      </c>
      <c r="C20853" s="3">
        <v>2</v>
      </c>
    </row>
    <row r="20854" spans="1:3" x14ac:dyDescent="0.25">
      <c r="A20854" s="1" t="s">
        <v>20853</v>
      </c>
      <c r="C20854" s="3">
        <v>2</v>
      </c>
    </row>
    <row r="20855" spans="1:3" x14ac:dyDescent="0.25">
      <c r="A20855" s="1" t="s">
        <v>20854</v>
      </c>
      <c r="C20855" s="3">
        <v>2</v>
      </c>
    </row>
    <row r="20856" spans="1:3" x14ac:dyDescent="0.25">
      <c r="A20856" s="1" t="s">
        <v>20855</v>
      </c>
      <c r="C20856" s="3">
        <v>2</v>
      </c>
    </row>
    <row r="20857" spans="1:3" x14ac:dyDescent="0.25">
      <c r="A20857" s="1" t="s">
        <v>20856</v>
      </c>
      <c r="C20857" s="3">
        <v>2</v>
      </c>
    </row>
    <row r="20858" spans="1:3" x14ac:dyDescent="0.25">
      <c r="A20858" s="1" t="s">
        <v>20857</v>
      </c>
      <c r="C20858" s="3">
        <v>2</v>
      </c>
    </row>
    <row r="20859" spans="1:3" x14ac:dyDescent="0.25">
      <c r="A20859" s="1" t="s">
        <v>20858</v>
      </c>
      <c r="C20859" s="3">
        <v>2</v>
      </c>
    </row>
    <row r="20860" spans="1:3" x14ac:dyDescent="0.25">
      <c r="A20860" s="1" t="s">
        <v>20859</v>
      </c>
      <c r="C20860" s="3">
        <v>2</v>
      </c>
    </row>
    <row r="20861" spans="1:3" x14ac:dyDescent="0.25">
      <c r="A20861" s="1" t="s">
        <v>20860</v>
      </c>
      <c r="C20861" s="3">
        <v>2</v>
      </c>
    </row>
    <row r="20862" spans="1:3" x14ac:dyDescent="0.25">
      <c r="A20862" s="1" t="s">
        <v>20861</v>
      </c>
      <c r="C20862" s="3">
        <v>2</v>
      </c>
    </row>
    <row r="20863" spans="1:3" x14ac:dyDescent="0.25">
      <c r="A20863" s="1" t="s">
        <v>20862</v>
      </c>
      <c r="C20863" s="3">
        <v>2</v>
      </c>
    </row>
    <row r="20864" spans="1:3" x14ac:dyDescent="0.25">
      <c r="A20864" s="1" t="s">
        <v>20863</v>
      </c>
      <c r="C20864" s="3">
        <v>2</v>
      </c>
    </row>
    <row r="20865" spans="1:3" x14ac:dyDescent="0.25">
      <c r="A20865" s="1" t="s">
        <v>20864</v>
      </c>
      <c r="C20865" s="3">
        <v>2</v>
      </c>
    </row>
    <row r="20866" spans="1:3" x14ac:dyDescent="0.25">
      <c r="A20866" s="1" t="s">
        <v>20865</v>
      </c>
      <c r="C20866" s="3">
        <v>2</v>
      </c>
    </row>
    <row r="20867" spans="1:3" x14ac:dyDescent="0.25">
      <c r="A20867" s="1" t="s">
        <v>20866</v>
      </c>
      <c r="C20867" s="3">
        <v>2</v>
      </c>
    </row>
    <row r="20868" spans="1:3" x14ac:dyDescent="0.25">
      <c r="A20868" s="1" t="s">
        <v>20867</v>
      </c>
      <c r="C20868" s="3">
        <v>2</v>
      </c>
    </row>
    <row r="20869" spans="1:3" x14ac:dyDescent="0.25">
      <c r="A20869" s="1" t="s">
        <v>20868</v>
      </c>
      <c r="C20869" s="3">
        <v>2</v>
      </c>
    </row>
    <row r="20870" spans="1:3" x14ac:dyDescent="0.25">
      <c r="A20870" s="1" t="s">
        <v>20869</v>
      </c>
      <c r="C20870" s="3">
        <v>2</v>
      </c>
    </row>
    <row r="20871" spans="1:3" x14ac:dyDescent="0.25">
      <c r="A20871" s="1" t="s">
        <v>20870</v>
      </c>
      <c r="C20871" s="3">
        <v>2</v>
      </c>
    </row>
    <row r="20872" spans="1:3" x14ac:dyDescent="0.25">
      <c r="A20872" s="1" t="s">
        <v>20871</v>
      </c>
      <c r="C20872" s="3">
        <v>2</v>
      </c>
    </row>
    <row r="20873" spans="1:3" x14ac:dyDescent="0.25">
      <c r="A20873" s="1" t="s">
        <v>20872</v>
      </c>
      <c r="C20873" s="3">
        <v>2</v>
      </c>
    </row>
    <row r="20874" spans="1:3" x14ac:dyDescent="0.25">
      <c r="A20874" s="1" t="s">
        <v>20873</v>
      </c>
      <c r="C20874" s="3">
        <v>2</v>
      </c>
    </row>
    <row r="20875" spans="1:3" x14ac:dyDescent="0.25">
      <c r="A20875" s="1" t="s">
        <v>20874</v>
      </c>
      <c r="C20875" s="3">
        <v>2</v>
      </c>
    </row>
    <row r="20876" spans="1:3" x14ac:dyDescent="0.25">
      <c r="A20876" s="1" t="s">
        <v>20875</v>
      </c>
      <c r="C20876" s="3">
        <v>2</v>
      </c>
    </row>
    <row r="20877" spans="1:3" x14ac:dyDescent="0.25">
      <c r="A20877" s="1" t="s">
        <v>20876</v>
      </c>
      <c r="C20877" s="3">
        <v>2</v>
      </c>
    </row>
    <row r="20878" spans="1:3" x14ac:dyDescent="0.25">
      <c r="A20878" s="1" t="s">
        <v>20877</v>
      </c>
      <c r="C20878" s="3">
        <v>2</v>
      </c>
    </row>
    <row r="20879" spans="1:3" x14ac:dyDescent="0.25">
      <c r="A20879" s="1" t="s">
        <v>20878</v>
      </c>
      <c r="C20879" s="3">
        <v>2</v>
      </c>
    </row>
    <row r="20880" spans="1:3" x14ac:dyDescent="0.25">
      <c r="A20880" s="1" t="s">
        <v>20879</v>
      </c>
      <c r="C20880" s="3">
        <v>2</v>
      </c>
    </row>
    <row r="20881" spans="1:3" x14ac:dyDescent="0.25">
      <c r="A20881" s="1" t="s">
        <v>20880</v>
      </c>
      <c r="C20881" s="3">
        <v>2</v>
      </c>
    </row>
    <row r="20882" spans="1:3" x14ac:dyDescent="0.25">
      <c r="A20882" s="1" t="s">
        <v>20881</v>
      </c>
      <c r="C20882" s="3">
        <v>2</v>
      </c>
    </row>
    <row r="20883" spans="1:3" x14ac:dyDescent="0.25">
      <c r="A20883" s="1" t="s">
        <v>20882</v>
      </c>
      <c r="C20883" s="3">
        <v>2</v>
      </c>
    </row>
    <row r="20884" spans="1:3" x14ac:dyDescent="0.25">
      <c r="A20884" s="1" t="s">
        <v>20883</v>
      </c>
      <c r="C20884" s="3">
        <v>2</v>
      </c>
    </row>
    <row r="20885" spans="1:3" x14ac:dyDescent="0.25">
      <c r="A20885" s="1" t="s">
        <v>20884</v>
      </c>
      <c r="C20885" s="3">
        <v>2</v>
      </c>
    </row>
    <row r="20886" spans="1:3" x14ac:dyDescent="0.25">
      <c r="A20886" s="1" t="s">
        <v>20885</v>
      </c>
      <c r="C20886" s="3">
        <v>2</v>
      </c>
    </row>
    <row r="20887" spans="1:3" x14ac:dyDescent="0.25">
      <c r="A20887" s="1" t="s">
        <v>20886</v>
      </c>
      <c r="C20887" s="3">
        <v>2</v>
      </c>
    </row>
    <row r="20888" spans="1:3" x14ac:dyDescent="0.25">
      <c r="A20888" s="1" t="s">
        <v>20887</v>
      </c>
      <c r="C20888" s="3">
        <v>2</v>
      </c>
    </row>
    <row r="20889" spans="1:3" x14ac:dyDescent="0.25">
      <c r="A20889" s="1" t="s">
        <v>20888</v>
      </c>
      <c r="C20889" s="3">
        <v>2</v>
      </c>
    </row>
    <row r="20890" spans="1:3" x14ac:dyDescent="0.25">
      <c r="A20890" s="1" t="s">
        <v>20889</v>
      </c>
      <c r="C20890" s="3">
        <v>2</v>
      </c>
    </row>
    <row r="20891" spans="1:3" x14ac:dyDescent="0.25">
      <c r="A20891" s="1" t="s">
        <v>20890</v>
      </c>
      <c r="C20891" s="3">
        <v>2</v>
      </c>
    </row>
    <row r="20892" spans="1:3" x14ac:dyDescent="0.25">
      <c r="A20892" s="1" t="s">
        <v>20891</v>
      </c>
      <c r="C20892" s="3">
        <v>2</v>
      </c>
    </row>
    <row r="20893" spans="1:3" x14ac:dyDescent="0.25">
      <c r="A20893" s="1" t="s">
        <v>20892</v>
      </c>
      <c r="C20893" s="3">
        <v>2</v>
      </c>
    </row>
    <row r="20894" spans="1:3" x14ac:dyDescent="0.25">
      <c r="A20894" s="1" t="s">
        <v>20893</v>
      </c>
      <c r="C20894" s="3">
        <v>2</v>
      </c>
    </row>
    <row r="20895" spans="1:3" x14ac:dyDescent="0.25">
      <c r="A20895" s="1" t="s">
        <v>20894</v>
      </c>
      <c r="C20895" s="3">
        <v>2</v>
      </c>
    </row>
    <row r="20896" spans="1:3" x14ac:dyDescent="0.25">
      <c r="A20896" s="1" t="s">
        <v>20895</v>
      </c>
      <c r="C20896" s="3">
        <v>2</v>
      </c>
    </row>
    <row r="20897" spans="1:3" x14ac:dyDescent="0.25">
      <c r="A20897" s="1" t="s">
        <v>20896</v>
      </c>
      <c r="C20897" s="3">
        <v>2</v>
      </c>
    </row>
    <row r="20898" spans="1:3" x14ac:dyDescent="0.25">
      <c r="A20898" s="1" t="s">
        <v>20897</v>
      </c>
      <c r="C20898" s="3">
        <v>2</v>
      </c>
    </row>
    <row r="20899" spans="1:3" x14ac:dyDescent="0.25">
      <c r="A20899" s="1" t="s">
        <v>20898</v>
      </c>
      <c r="C20899" s="3">
        <v>2</v>
      </c>
    </row>
    <row r="20900" spans="1:3" x14ac:dyDescent="0.25">
      <c r="A20900" s="1" t="s">
        <v>20899</v>
      </c>
      <c r="C20900" s="3">
        <v>2</v>
      </c>
    </row>
    <row r="20901" spans="1:3" x14ac:dyDescent="0.25">
      <c r="A20901" s="1" t="s">
        <v>20900</v>
      </c>
      <c r="C20901" s="3">
        <v>2</v>
      </c>
    </row>
    <row r="20902" spans="1:3" x14ac:dyDescent="0.25">
      <c r="A20902" s="1" t="s">
        <v>20901</v>
      </c>
      <c r="C20902" s="3">
        <v>2</v>
      </c>
    </row>
    <row r="20903" spans="1:3" x14ac:dyDescent="0.25">
      <c r="A20903" s="1" t="s">
        <v>20902</v>
      </c>
      <c r="C20903" s="3">
        <v>2</v>
      </c>
    </row>
    <row r="20904" spans="1:3" x14ac:dyDescent="0.25">
      <c r="A20904" s="1" t="s">
        <v>20903</v>
      </c>
      <c r="C20904" s="3">
        <v>2</v>
      </c>
    </row>
    <row r="20905" spans="1:3" x14ac:dyDescent="0.25">
      <c r="A20905" s="1" t="s">
        <v>20904</v>
      </c>
      <c r="C20905" s="3">
        <v>2</v>
      </c>
    </row>
    <row r="20906" spans="1:3" x14ac:dyDescent="0.25">
      <c r="A20906" s="1" t="s">
        <v>20905</v>
      </c>
      <c r="C20906" s="3">
        <v>2</v>
      </c>
    </row>
    <row r="20907" spans="1:3" x14ac:dyDescent="0.25">
      <c r="A20907" s="1" t="s">
        <v>20906</v>
      </c>
      <c r="C20907" s="3">
        <v>2</v>
      </c>
    </row>
    <row r="20908" spans="1:3" x14ac:dyDescent="0.25">
      <c r="A20908" s="1" t="s">
        <v>20907</v>
      </c>
      <c r="C20908" s="3">
        <v>2</v>
      </c>
    </row>
    <row r="20909" spans="1:3" x14ac:dyDescent="0.25">
      <c r="A20909" s="1" t="s">
        <v>20908</v>
      </c>
      <c r="C20909" s="3">
        <v>2</v>
      </c>
    </row>
    <row r="20910" spans="1:3" x14ac:dyDescent="0.25">
      <c r="A20910" s="1" t="s">
        <v>20909</v>
      </c>
      <c r="C20910" s="3">
        <v>2</v>
      </c>
    </row>
    <row r="20911" spans="1:3" x14ac:dyDescent="0.25">
      <c r="A20911" s="1" t="s">
        <v>20910</v>
      </c>
      <c r="C20911" s="3">
        <v>2</v>
      </c>
    </row>
    <row r="20912" spans="1:3" x14ac:dyDescent="0.25">
      <c r="A20912" s="1" t="s">
        <v>20911</v>
      </c>
      <c r="C20912" s="3">
        <v>2</v>
      </c>
    </row>
    <row r="20913" spans="1:3" x14ac:dyDescent="0.25">
      <c r="A20913" s="1" t="s">
        <v>20912</v>
      </c>
      <c r="C20913" s="3">
        <v>2</v>
      </c>
    </row>
    <row r="20914" spans="1:3" x14ac:dyDescent="0.25">
      <c r="A20914" s="1" t="s">
        <v>20913</v>
      </c>
      <c r="C20914" s="3">
        <v>2</v>
      </c>
    </row>
    <row r="20915" spans="1:3" x14ac:dyDescent="0.25">
      <c r="A20915" s="1" t="s">
        <v>20914</v>
      </c>
      <c r="C20915" s="3">
        <v>2</v>
      </c>
    </row>
    <row r="20916" spans="1:3" x14ac:dyDescent="0.25">
      <c r="A20916" s="1" t="s">
        <v>20915</v>
      </c>
      <c r="C20916" s="3">
        <v>2</v>
      </c>
    </row>
    <row r="20917" spans="1:3" x14ac:dyDescent="0.25">
      <c r="A20917" s="1" t="s">
        <v>20916</v>
      </c>
      <c r="C20917" s="3">
        <v>2</v>
      </c>
    </row>
    <row r="20918" spans="1:3" x14ac:dyDescent="0.25">
      <c r="A20918" s="1" t="s">
        <v>20917</v>
      </c>
      <c r="C20918" s="3">
        <v>2</v>
      </c>
    </row>
    <row r="20919" spans="1:3" x14ac:dyDescent="0.25">
      <c r="A20919" s="1" t="s">
        <v>20918</v>
      </c>
      <c r="C20919" s="3">
        <v>2</v>
      </c>
    </row>
    <row r="20920" spans="1:3" x14ac:dyDescent="0.25">
      <c r="A20920" s="1" t="s">
        <v>20919</v>
      </c>
      <c r="C20920" s="3">
        <v>2</v>
      </c>
    </row>
    <row r="20921" spans="1:3" x14ac:dyDescent="0.25">
      <c r="A20921" s="1" t="s">
        <v>20920</v>
      </c>
      <c r="C20921" s="3">
        <v>2</v>
      </c>
    </row>
    <row r="20922" spans="1:3" x14ac:dyDescent="0.25">
      <c r="A20922" s="1" t="s">
        <v>20921</v>
      </c>
      <c r="C20922" s="3">
        <v>2</v>
      </c>
    </row>
    <row r="20923" spans="1:3" x14ac:dyDescent="0.25">
      <c r="A20923" s="1" t="s">
        <v>20922</v>
      </c>
      <c r="C20923" s="3">
        <v>2</v>
      </c>
    </row>
    <row r="20924" spans="1:3" x14ac:dyDescent="0.25">
      <c r="A20924" s="1" t="s">
        <v>20923</v>
      </c>
      <c r="C20924" s="3">
        <v>2</v>
      </c>
    </row>
    <row r="20925" spans="1:3" x14ac:dyDescent="0.25">
      <c r="A20925" s="1" t="s">
        <v>20924</v>
      </c>
      <c r="C20925" s="3">
        <v>2</v>
      </c>
    </row>
    <row r="20926" spans="1:3" x14ac:dyDescent="0.25">
      <c r="A20926" s="1" t="s">
        <v>20925</v>
      </c>
      <c r="C20926" s="3">
        <v>2</v>
      </c>
    </row>
    <row r="20927" spans="1:3" x14ac:dyDescent="0.25">
      <c r="A20927" s="1" t="s">
        <v>20926</v>
      </c>
      <c r="C20927" s="3">
        <v>2</v>
      </c>
    </row>
    <row r="20928" spans="1:3" x14ac:dyDescent="0.25">
      <c r="A20928" s="1" t="s">
        <v>20927</v>
      </c>
      <c r="C20928" s="3">
        <v>2</v>
      </c>
    </row>
    <row r="20929" spans="1:3" x14ac:dyDescent="0.25">
      <c r="A20929" s="1" t="s">
        <v>20928</v>
      </c>
      <c r="C20929" s="3">
        <v>2</v>
      </c>
    </row>
    <row r="20930" spans="1:3" x14ac:dyDescent="0.25">
      <c r="A20930" s="1" t="s">
        <v>20929</v>
      </c>
      <c r="C20930" s="3">
        <v>2</v>
      </c>
    </row>
    <row r="20931" spans="1:3" x14ac:dyDescent="0.25">
      <c r="A20931" s="1" t="s">
        <v>20930</v>
      </c>
      <c r="C20931" s="3">
        <v>2</v>
      </c>
    </row>
    <row r="20932" spans="1:3" x14ac:dyDescent="0.25">
      <c r="A20932" s="1" t="s">
        <v>20931</v>
      </c>
      <c r="C20932" s="3">
        <v>2</v>
      </c>
    </row>
    <row r="20933" spans="1:3" x14ac:dyDescent="0.25">
      <c r="A20933" s="1" t="s">
        <v>20932</v>
      </c>
      <c r="C20933" s="3">
        <v>2</v>
      </c>
    </row>
    <row r="20934" spans="1:3" x14ac:dyDescent="0.25">
      <c r="A20934" s="1" t="s">
        <v>20933</v>
      </c>
      <c r="C20934" s="3">
        <v>2</v>
      </c>
    </row>
    <row r="20935" spans="1:3" x14ac:dyDescent="0.25">
      <c r="A20935" s="1" t="s">
        <v>20934</v>
      </c>
      <c r="C20935" s="3">
        <v>2</v>
      </c>
    </row>
    <row r="20936" spans="1:3" x14ac:dyDescent="0.25">
      <c r="A20936" s="1" t="s">
        <v>20935</v>
      </c>
      <c r="C20936" s="3">
        <v>2</v>
      </c>
    </row>
    <row r="20937" spans="1:3" x14ac:dyDescent="0.25">
      <c r="A20937" s="1" t="s">
        <v>20936</v>
      </c>
      <c r="C20937" s="3">
        <v>2</v>
      </c>
    </row>
    <row r="20938" spans="1:3" x14ac:dyDescent="0.25">
      <c r="A20938" s="1" t="s">
        <v>20937</v>
      </c>
      <c r="C20938" s="3">
        <v>2</v>
      </c>
    </row>
    <row r="20939" spans="1:3" x14ac:dyDescent="0.25">
      <c r="A20939" s="1" t="s">
        <v>20938</v>
      </c>
      <c r="C20939" s="3">
        <v>2</v>
      </c>
    </row>
    <row r="20940" spans="1:3" x14ac:dyDescent="0.25">
      <c r="A20940" s="1" t="s">
        <v>20939</v>
      </c>
      <c r="C20940" s="3">
        <v>2</v>
      </c>
    </row>
    <row r="20941" spans="1:3" x14ac:dyDescent="0.25">
      <c r="A20941" s="1" t="s">
        <v>20940</v>
      </c>
      <c r="C20941" s="3">
        <v>2</v>
      </c>
    </row>
    <row r="20942" spans="1:3" x14ac:dyDescent="0.25">
      <c r="A20942" s="1" t="s">
        <v>20941</v>
      </c>
      <c r="C20942" s="3">
        <v>2</v>
      </c>
    </row>
    <row r="20943" spans="1:3" x14ac:dyDescent="0.25">
      <c r="A20943" s="1" t="s">
        <v>20942</v>
      </c>
      <c r="C20943" s="3">
        <v>2</v>
      </c>
    </row>
    <row r="20944" spans="1:3" x14ac:dyDescent="0.25">
      <c r="A20944" s="1" t="s">
        <v>20943</v>
      </c>
      <c r="C20944" s="3">
        <v>2</v>
      </c>
    </row>
    <row r="20945" spans="1:3" x14ac:dyDescent="0.25">
      <c r="A20945" s="1" t="s">
        <v>20944</v>
      </c>
      <c r="C20945" s="3">
        <v>2</v>
      </c>
    </row>
    <row r="20946" spans="1:3" x14ac:dyDescent="0.25">
      <c r="A20946" s="1" t="s">
        <v>20945</v>
      </c>
      <c r="C20946" s="3">
        <v>2</v>
      </c>
    </row>
    <row r="20947" spans="1:3" x14ac:dyDescent="0.25">
      <c r="A20947" s="1" t="s">
        <v>20946</v>
      </c>
      <c r="C20947" s="3">
        <v>2</v>
      </c>
    </row>
    <row r="20948" spans="1:3" x14ac:dyDescent="0.25">
      <c r="A20948" s="1" t="s">
        <v>20947</v>
      </c>
      <c r="C20948" s="3">
        <v>2</v>
      </c>
    </row>
    <row r="20949" spans="1:3" x14ac:dyDescent="0.25">
      <c r="A20949" s="1" t="s">
        <v>20948</v>
      </c>
      <c r="C20949" s="3">
        <v>2</v>
      </c>
    </row>
    <row r="20950" spans="1:3" x14ac:dyDescent="0.25">
      <c r="A20950" s="1" t="s">
        <v>20949</v>
      </c>
      <c r="C20950" s="3">
        <v>2</v>
      </c>
    </row>
    <row r="20951" spans="1:3" x14ac:dyDescent="0.25">
      <c r="A20951" s="1" t="s">
        <v>20950</v>
      </c>
      <c r="C20951" s="3">
        <v>2</v>
      </c>
    </row>
    <row r="20952" spans="1:3" x14ac:dyDescent="0.25">
      <c r="A20952" s="1" t="s">
        <v>20951</v>
      </c>
      <c r="C20952" s="3">
        <v>2</v>
      </c>
    </row>
    <row r="20953" spans="1:3" x14ac:dyDescent="0.25">
      <c r="A20953" s="1" t="s">
        <v>20952</v>
      </c>
      <c r="C20953" s="3">
        <v>2</v>
      </c>
    </row>
    <row r="20954" spans="1:3" x14ac:dyDescent="0.25">
      <c r="A20954" s="1" t="s">
        <v>20953</v>
      </c>
      <c r="C20954" s="3">
        <v>2</v>
      </c>
    </row>
    <row r="20955" spans="1:3" x14ac:dyDescent="0.25">
      <c r="A20955" s="1" t="s">
        <v>20954</v>
      </c>
      <c r="C20955" s="3">
        <v>2</v>
      </c>
    </row>
    <row r="20956" spans="1:3" x14ac:dyDescent="0.25">
      <c r="A20956" s="1" t="s">
        <v>20955</v>
      </c>
      <c r="C20956" s="3">
        <v>2</v>
      </c>
    </row>
    <row r="20957" spans="1:3" x14ac:dyDescent="0.25">
      <c r="A20957" s="1" t="s">
        <v>20956</v>
      </c>
      <c r="C20957" s="3">
        <v>2</v>
      </c>
    </row>
    <row r="20958" spans="1:3" x14ac:dyDescent="0.25">
      <c r="A20958" s="1" t="s">
        <v>20957</v>
      </c>
      <c r="C20958" s="3">
        <v>2</v>
      </c>
    </row>
    <row r="20959" spans="1:3" x14ac:dyDescent="0.25">
      <c r="A20959" s="1" t="s">
        <v>20958</v>
      </c>
      <c r="C20959" s="3">
        <v>2</v>
      </c>
    </row>
    <row r="20960" spans="1:3" x14ac:dyDescent="0.25">
      <c r="A20960" s="1" t="s">
        <v>20959</v>
      </c>
      <c r="C20960" s="3">
        <v>2</v>
      </c>
    </row>
    <row r="20961" spans="1:3" x14ac:dyDescent="0.25">
      <c r="A20961" s="1" t="s">
        <v>20960</v>
      </c>
      <c r="C20961" s="3">
        <v>2</v>
      </c>
    </row>
    <row r="20962" spans="1:3" x14ac:dyDescent="0.25">
      <c r="A20962" s="1" t="s">
        <v>20961</v>
      </c>
      <c r="C20962" s="3">
        <v>2</v>
      </c>
    </row>
    <row r="20963" spans="1:3" x14ac:dyDescent="0.25">
      <c r="A20963" s="1" t="s">
        <v>20962</v>
      </c>
      <c r="C20963" s="3">
        <v>2</v>
      </c>
    </row>
    <row r="20964" spans="1:3" x14ac:dyDescent="0.25">
      <c r="A20964" s="1" t="s">
        <v>20963</v>
      </c>
      <c r="C20964" s="3">
        <v>2</v>
      </c>
    </row>
    <row r="20965" spans="1:3" x14ac:dyDescent="0.25">
      <c r="A20965" s="1" t="s">
        <v>20964</v>
      </c>
      <c r="C20965" s="3">
        <v>2</v>
      </c>
    </row>
    <row r="20966" spans="1:3" x14ac:dyDescent="0.25">
      <c r="A20966" s="1" t="s">
        <v>20965</v>
      </c>
      <c r="C20966" s="3">
        <v>2</v>
      </c>
    </row>
    <row r="20967" spans="1:3" x14ac:dyDescent="0.25">
      <c r="A20967" s="1" t="s">
        <v>20966</v>
      </c>
      <c r="C20967" s="3">
        <v>2</v>
      </c>
    </row>
    <row r="20968" spans="1:3" x14ac:dyDescent="0.25">
      <c r="A20968" s="1" t="s">
        <v>20967</v>
      </c>
      <c r="C20968" s="3">
        <v>2</v>
      </c>
    </row>
    <row r="20969" spans="1:3" x14ac:dyDescent="0.25">
      <c r="A20969" s="1" t="s">
        <v>20968</v>
      </c>
      <c r="C20969" s="3">
        <v>2</v>
      </c>
    </row>
    <row r="20970" spans="1:3" x14ac:dyDescent="0.25">
      <c r="A20970" s="1" t="s">
        <v>20969</v>
      </c>
      <c r="C20970" s="3">
        <v>2</v>
      </c>
    </row>
    <row r="20971" spans="1:3" x14ac:dyDescent="0.25">
      <c r="A20971" s="1" t="s">
        <v>20970</v>
      </c>
      <c r="C20971" s="3">
        <v>2</v>
      </c>
    </row>
    <row r="20972" spans="1:3" x14ac:dyDescent="0.25">
      <c r="A20972" s="1" t="s">
        <v>20971</v>
      </c>
      <c r="C20972" s="3">
        <v>2</v>
      </c>
    </row>
    <row r="20973" spans="1:3" x14ac:dyDescent="0.25">
      <c r="A20973" s="1" t="s">
        <v>20972</v>
      </c>
      <c r="C20973" s="3">
        <v>2</v>
      </c>
    </row>
    <row r="20974" spans="1:3" x14ac:dyDescent="0.25">
      <c r="A20974" s="1" t="s">
        <v>20973</v>
      </c>
      <c r="C20974" s="3">
        <v>2</v>
      </c>
    </row>
    <row r="20975" spans="1:3" x14ac:dyDescent="0.25">
      <c r="A20975" s="1" t="s">
        <v>20974</v>
      </c>
      <c r="C20975" s="3">
        <v>2</v>
      </c>
    </row>
    <row r="20976" spans="1:3" x14ac:dyDescent="0.25">
      <c r="A20976" s="1" t="s">
        <v>20975</v>
      </c>
      <c r="C20976" s="3">
        <v>2</v>
      </c>
    </row>
    <row r="20977" spans="1:3" x14ac:dyDescent="0.25">
      <c r="A20977" s="1" t="s">
        <v>20976</v>
      </c>
      <c r="C20977" s="3">
        <v>2</v>
      </c>
    </row>
    <row r="20978" spans="1:3" x14ac:dyDescent="0.25">
      <c r="A20978" s="1" t="s">
        <v>20977</v>
      </c>
      <c r="C20978" s="3">
        <v>2</v>
      </c>
    </row>
    <row r="20979" spans="1:3" x14ac:dyDescent="0.25">
      <c r="A20979" s="1" t="s">
        <v>20978</v>
      </c>
      <c r="C20979" s="3">
        <v>2</v>
      </c>
    </row>
    <row r="20980" spans="1:3" x14ac:dyDescent="0.25">
      <c r="A20980" s="1" t="s">
        <v>20979</v>
      </c>
      <c r="C20980" s="3">
        <v>2</v>
      </c>
    </row>
    <row r="20981" spans="1:3" x14ac:dyDescent="0.25">
      <c r="A20981" s="1" t="s">
        <v>20980</v>
      </c>
      <c r="C20981" s="3">
        <v>2</v>
      </c>
    </row>
    <row r="20982" spans="1:3" x14ac:dyDescent="0.25">
      <c r="A20982" s="1" t="s">
        <v>20981</v>
      </c>
      <c r="C20982" s="3">
        <v>2</v>
      </c>
    </row>
    <row r="20983" spans="1:3" x14ac:dyDescent="0.25">
      <c r="A20983" s="1" t="s">
        <v>20982</v>
      </c>
      <c r="C20983" s="3">
        <v>2</v>
      </c>
    </row>
    <row r="20984" spans="1:3" x14ac:dyDescent="0.25">
      <c r="A20984" s="1" t="s">
        <v>20983</v>
      </c>
      <c r="C20984" s="3">
        <v>2</v>
      </c>
    </row>
    <row r="20985" spans="1:3" x14ac:dyDescent="0.25">
      <c r="A20985" s="1" t="s">
        <v>20984</v>
      </c>
      <c r="C20985" s="3">
        <v>2</v>
      </c>
    </row>
    <row r="20986" spans="1:3" x14ac:dyDescent="0.25">
      <c r="A20986" s="1" t="s">
        <v>20985</v>
      </c>
      <c r="C20986" s="3">
        <v>2</v>
      </c>
    </row>
    <row r="20987" spans="1:3" x14ac:dyDescent="0.25">
      <c r="A20987" s="1" t="s">
        <v>20986</v>
      </c>
      <c r="C20987" s="3">
        <v>2</v>
      </c>
    </row>
    <row r="20988" spans="1:3" x14ac:dyDescent="0.25">
      <c r="A20988" s="1" t="s">
        <v>20987</v>
      </c>
      <c r="C20988" s="3">
        <v>2</v>
      </c>
    </row>
    <row r="20989" spans="1:3" x14ac:dyDescent="0.25">
      <c r="A20989" s="1" t="s">
        <v>20988</v>
      </c>
      <c r="C20989" s="3">
        <v>2</v>
      </c>
    </row>
    <row r="20990" spans="1:3" x14ac:dyDescent="0.25">
      <c r="A20990" s="1" t="s">
        <v>20989</v>
      </c>
      <c r="C20990" s="3">
        <v>2</v>
      </c>
    </row>
    <row r="20991" spans="1:3" x14ac:dyDescent="0.25">
      <c r="A20991" s="1" t="s">
        <v>20990</v>
      </c>
      <c r="C20991" s="3">
        <v>2</v>
      </c>
    </row>
    <row r="20992" spans="1:3" x14ac:dyDescent="0.25">
      <c r="A20992" s="1" t="s">
        <v>20991</v>
      </c>
      <c r="C20992" s="3">
        <v>2</v>
      </c>
    </row>
    <row r="20993" spans="1:3" x14ac:dyDescent="0.25">
      <c r="A20993" s="1" t="s">
        <v>20992</v>
      </c>
      <c r="C20993" s="3">
        <v>2</v>
      </c>
    </row>
    <row r="20994" spans="1:3" x14ac:dyDescent="0.25">
      <c r="A20994" s="1" t="s">
        <v>20993</v>
      </c>
      <c r="C20994" s="3">
        <v>2</v>
      </c>
    </row>
    <row r="20995" spans="1:3" x14ac:dyDescent="0.25">
      <c r="A20995" s="1" t="s">
        <v>20994</v>
      </c>
      <c r="C20995" s="3">
        <v>2</v>
      </c>
    </row>
    <row r="20996" spans="1:3" x14ac:dyDescent="0.25">
      <c r="A20996" s="1" t="s">
        <v>20995</v>
      </c>
      <c r="C20996" s="3">
        <v>2</v>
      </c>
    </row>
    <row r="20997" spans="1:3" x14ac:dyDescent="0.25">
      <c r="A20997" s="1" t="s">
        <v>20996</v>
      </c>
      <c r="C20997" s="3">
        <v>2</v>
      </c>
    </row>
    <row r="20998" spans="1:3" x14ac:dyDescent="0.25">
      <c r="A20998" s="1" t="s">
        <v>20997</v>
      </c>
      <c r="C20998" s="3">
        <v>2</v>
      </c>
    </row>
    <row r="20999" spans="1:3" x14ac:dyDescent="0.25">
      <c r="A20999" s="1" t="s">
        <v>20998</v>
      </c>
      <c r="C20999" s="3">
        <v>2</v>
      </c>
    </row>
    <row r="21000" spans="1:3" x14ac:dyDescent="0.25">
      <c r="A21000" s="1" t="s">
        <v>20999</v>
      </c>
      <c r="C21000" s="3">
        <v>2</v>
      </c>
    </row>
    <row r="21001" spans="1:3" x14ac:dyDescent="0.25">
      <c r="A21001" s="1" t="s">
        <v>21000</v>
      </c>
      <c r="C21001" s="3">
        <v>2</v>
      </c>
    </row>
    <row r="21002" spans="1:3" x14ac:dyDescent="0.25">
      <c r="A21002" s="1" t="s">
        <v>21001</v>
      </c>
      <c r="C21002" s="3">
        <v>2</v>
      </c>
    </row>
    <row r="21003" spans="1:3" x14ac:dyDescent="0.25">
      <c r="A21003" s="1" t="s">
        <v>21002</v>
      </c>
      <c r="C21003" s="3">
        <v>2</v>
      </c>
    </row>
    <row r="21004" spans="1:3" x14ac:dyDescent="0.25">
      <c r="A21004" s="1" t="s">
        <v>21003</v>
      </c>
      <c r="C21004" s="3">
        <v>2</v>
      </c>
    </row>
    <row r="21005" spans="1:3" x14ac:dyDescent="0.25">
      <c r="A21005" s="1" t="s">
        <v>21004</v>
      </c>
      <c r="C21005" s="3">
        <v>2</v>
      </c>
    </row>
    <row r="21006" spans="1:3" x14ac:dyDescent="0.25">
      <c r="A21006" s="1" t="s">
        <v>21005</v>
      </c>
      <c r="C21006" s="3">
        <v>2</v>
      </c>
    </row>
    <row r="21007" spans="1:3" x14ac:dyDescent="0.25">
      <c r="A21007" s="1" t="s">
        <v>21006</v>
      </c>
      <c r="C21007" s="3">
        <v>2</v>
      </c>
    </row>
    <row r="21008" spans="1:3" x14ac:dyDescent="0.25">
      <c r="A21008" s="1" t="s">
        <v>21007</v>
      </c>
      <c r="C21008" s="3">
        <v>2</v>
      </c>
    </row>
    <row r="21009" spans="1:3" x14ac:dyDescent="0.25">
      <c r="A21009" s="1" t="s">
        <v>21008</v>
      </c>
      <c r="C21009" s="3">
        <v>2</v>
      </c>
    </row>
    <row r="21010" spans="1:3" x14ac:dyDescent="0.25">
      <c r="A21010" s="1" t="s">
        <v>21009</v>
      </c>
      <c r="C21010" s="3">
        <v>2</v>
      </c>
    </row>
    <row r="21011" spans="1:3" x14ac:dyDescent="0.25">
      <c r="A21011" s="1" t="s">
        <v>21010</v>
      </c>
      <c r="C21011" s="3">
        <v>2</v>
      </c>
    </row>
    <row r="21012" spans="1:3" x14ac:dyDescent="0.25">
      <c r="A21012" s="1" t="s">
        <v>21011</v>
      </c>
      <c r="C21012" s="3">
        <v>2</v>
      </c>
    </row>
    <row r="21013" spans="1:3" x14ac:dyDescent="0.25">
      <c r="A21013" s="1" t="s">
        <v>21012</v>
      </c>
      <c r="C21013" s="3">
        <v>2</v>
      </c>
    </row>
    <row r="21014" spans="1:3" x14ac:dyDescent="0.25">
      <c r="A21014" s="1" t="s">
        <v>21013</v>
      </c>
      <c r="C21014" s="3">
        <v>2</v>
      </c>
    </row>
    <row r="21015" spans="1:3" x14ac:dyDescent="0.25">
      <c r="A21015" s="1" t="s">
        <v>21014</v>
      </c>
      <c r="C21015" s="3">
        <v>2</v>
      </c>
    </row>
    <row r="21016" spans="1:3" x14ac:dyDescent="0.25">
      <c r="A21016" s="1" t="s">
        <v>21015</v>
      </c>
      <c r="C21016" s="3">
        <v>2</v>
      </c>
    </row>
    <row r="21017" spans="1:3" x14ac:dyDescent="0.25">
      <c r="A21017" s="1" t="s">
        <v>21016</v>
      </c>
      <c r="C21017" s="3">
        <v>2</v>
      </c>
    </row>
    <row r="21018" spans="1:3" x14ac:dyDescent="0.25">
      <c r="A21018" s="1" t="s">
        <v>21017</v>
      </c>
      <c r="C21018" s="3">
        <v>2</v>
      </c>
    </row>
    <row r="21019" spans="1:3" x14ac:dyDescent="0.25">
      <c r="A21019" s="1" t="s">
        <v>21018</v>
      </c>
      <c r="C21019" s="3">
        <v>2</v>
      </c>
    </row>
    <row r="21020" spans="1:3" x14ac:dyDescent="0.25">
      <c r="A21020" s="1" t="s">
        <v>21019</v>
      </c>
      <c r="C21020" s="3">
        <v>2</v>
      </c>
    </row>
    <row r="21021" spans="1:3" x14ac:dyDescent="0.25">
      <c r="A21021" s="1" t="s">
        <v>21020</v>
      </c>
      <c r="C21021" s="3">
        <v>2</v>
      </c>
    </row>
    <row r="21022" spans="1:3" x14ac:dyDescent="0.25">
      <c r="A21022" s="1" t="s">
        <v>21021</v>
      </c>
      <c r="C21022" s="3">
        <v>2</v>
      </c>
    </row>
    <row r="21023" spans="1:3" x14ac:dyDescent="0.25">
      <c r="A21023" s="1" t="s">
        <v>21022</v>
      </c>
      <c r="C21023" s="3">
        <v>2</v>
      </c>
    </row>
    <row r="21024" spans="1:3" x14ac:dyDescent="0.25">
      <c r="A21024" s="1" t="s">
        <v>21023</v>
      </c>
      <c r="C21024" s="3">
        <v>2</v>
      </c>
    </row>
    <row r="21025" spans="1:3" x14ac:dyDescent="0.25">
      <c r="A21025" s="1" t="s">
        <v>21024</v>
      </c>
      <c r="C21025" s="3">
        <v>2</v>
      </c>
    </row>
    <row r="21026" spans="1:3" x14ac:dyDescent="0.25">
      <c r="A21026" s="1" t="s">
        <v>21025</v>
      </c>
      <c r="C21026" s="3">
        <v>2</v>
      </c>
    </row>
    <row r="21027" spans="1:3" x14ac:dyDescent="0.25">
      <c r="A21027" s="1" t="s">
        <v>21026</v>
      </c>
      <c r="C21027" s="3">
        <v>2</v>
      </c>
    </row>
    <row r="21028" spans="1:3" x14ac:dyDescent="0.25">
      <c r="A21028" s="1" t="s">
        <v>21027</v>
      </c>
      <c r="C21028" s="3">
        <v>2</v>
      </c>
    </row>
    <row r="21029" spans="1:3" x14ac:dyDescent="0.25">
      <c r="A21029" s="1" t="s">
        <v>21028</v>
      </c>
      <c r="C21029" s="3">
        <v>2</v>
      </c>
    </row>
    <row r="21030" spans="1:3" x14ac:dyDescent="0.25">
      <c r="A21030" s="1" t="s">
        <v>21029</v>
      </c>
      <c r="C21030" s="3">
        <v>2</v>
      </c>
    </row>
    <row r="21031" spans="1:3" x14ac:dyDescent="0.25">
      <c r="A21031" s="1" t="s">
        <v>21030</v>
      </c>
      <c r="C21031" s="3">
        <v>2</v>
      </c>
    </row>
    <row r="21032" spans="1:3" x14ac:dyDescent="0.25">
      <c r="A21032" s="1" t="s">
        <v>21031</v>
      </c>
      <c r="C21032" s="3">
        <v>2</v>
      </c>
    </row>
    <row r="21033" spans="1:3" x14ac:dyDescent="0.25">
      <c r="A21033" s="1" t="s">
        <v>21032</v>
      </c>
      <c r="C21033" s="3">
        <v>2</v>
      </c>
    </row>
    <row r="21034" spans="1:3" x14ac:dyDescent="0.25">
      <c r="A21034" s="1" t="s">
        <v>21033</v>
      </c>
      <c r="C21034" s="3">
        <v>2</v>
      </c>
    </row>
    <row r="21035" spans="1:3" x14ac:dyDescent="0.25">
      <c r="A21035" s="1" t="s">
        <v>21034</v>
      </c>
      <c r="C21035" s="3">
        <v>2</v>
      </c>
    </row>
    <row r="21036" spans="1:3" x14ac:dyDescent="0.25">
      <c r="A21036" s="1" t="s">
        <v>21035</v>
      </c>
      <c r="C21036" s="3">
        <v>2</v>
      </c>
    </row>
    <row r="21037" spans="1:3" x14ac:dyDescent="0.25">
      <c r="A21037" s="1" t="s">
        <v>21036</v>
      </c>
      <c r="C21037" s="3">
        <v>2</v>
      </c>
    </row>
    <row r="21038" spans="1:3" x14ac:dyDescent="0.25">
      <c r="A21038" s="1" t="s">
        <v>21037</v>
      </c>
      <c r="C21038" s="3">
        <v>2</v>
      </c>
    </row>
    <row r="21039" spans="1:3" x14ac:dyDescent="0.25">
      <c r="A21039" s="1" t="s">
        <v>21038</v>
      </c>
      <c r="C21039" s="3">
        <v>2</v>
      </c>
    </row>
    <row r="21040" spans="1:3" x14ac:dyDescent="0.25">
      <c r="A21040" s="1" t="s">
        <v>21039</v>
      </c>
      <c r="C21040" s="3">
        <v>2</v>
      </c>
    </row>
    <row r="21041" spans="1:3" x14ac:dyDescent="0.25">
      <c r="A21041" s="1" t="s">
        <v>21040</v>
      </c>
      <c r="C21041" s="3">
        <v>2</v>
      </c>
    </row>
    <row r="21042" spans="1:3" x14ac:dyDescent="0.25">
      <c r="A21042" s="1" t="s">
        <v>21041</v>
      </c>
      <c r="C21042" s="3">
        <v>2</v>
      </c>
    </row>
    <row r="21043" spans="1:3" x14ac:dyDescent="0.25">
      <c r="A21043" s="1" t="s">
        <v>21042</v>
      </c>
      <c r="C21043" s="3">
        <v>2</v>
      </c>
    </row>
    <row r="21044" spans="1:3" x14ac:dyDescent="0.25">
      <c r="A21044" s="1" t="s">
        <v>21043</v>
      </c>
      <c r="C21044" s="3">
        <v>2</v>
      </c>
    </row>
    <row r="21045" spans="1:3" x14ac:dyDescent="0.25">
      <c r="A21045" s="1" t="s">
        <v>21044</v>
      </c>
      <c r="C21045" s="3">
        <v>2</v>
      </c>
    </row>
    <row r="21046" spans="1:3" x14ac:dyDescent="0.25">
      <c r="A21046" s="1" t="s">
        <v>21045</v>
      </c>
      <c r="C21046" s="3">
        <v>2</v>
      </c>
    </row>
    <row r="21047" spans="1:3" x14ac:dyDescent="0.25">
      <c r="A21047" s="1" t="s">
        <v>21046</v>
      </c>
      <c r="C21047" s="3">
        <v>2</v>
      </c>
    </row>
    <row r="21048" spans="1:3" x14ac:dyDescent="0.25">
      <c r="A21048" s="1" t="s">
        <v>21047</v>
      </c>
      <c r="C21048" s="3">
        <v>2</v>
      </c>
    </row>
    <row r="21049" spans="1:3" x14ac:dyDescent="0.25">
      <c r="A21049" s="1" t="s">
        <v>21048</v>
      </c>
      <c r="C21049" s="3">
        <v>2</v>
      </c>
    </row>
    <row r="21050" spans="1:3" x14ac:dyDescent="0.25">
      <c r="A21050" s="1" t="s">
        <v>21049</v>
      </c>
      <c r="C21050" s="3">
        <v>2</v>
      </c>
    </row>
    <row r="21051" spans="1:3" x14ac:dyDescent="0.25">
      <c r="A21051" s="1" t="s">
        <v>21050</v>
      </c>
      <c r="C21051" s="3">
        <v>2</v>
      </c>
    </row>
    <row r="21052" spans="1:3" x14ac:dyDescent="0.25">
      <c r="A21052" s="1" t="s">
        <v>21051</v>
      </c>
      <c r="C21052" s="3">
        <v>2</v>
      </c>
    </row>
    <row r="21053" spans="1:3" x14ac:dyDescent="0.25">
      <c r="A21053" s="1" t="s">
        <v>21052</v>
      </c>
      <c r="C21053" s="3">
        <v>2</v>
      </c>
    </row>
    <row r="21054" spans="1:3" x14ac:dyDescent="0.25">
      <c r="A21054" s="1" t="s">
        <v>21053</v>
      </c>
      <c r="C21054" s="3">
        <v>2</v>
      </c>
    </row>
    <row r="21055" spans="1:3" x14ac:dyDescent="0.25">
      <c r="A21055" s="1" t="s">
        <v>21054</v>
      </c>
      <c r="C21055" s="3">
        <v>2</v>
      </c>
    </row>
    <row r="21056" spans="1:3" x14ac:dyDescent="0.25">
      <c r="A21056" s="1" t="s">
        <v>21055</v>
      </c>
      <c r="C21056" s="3">
        <v>2</v>
      </c>
    </row>
    <row r="21057" spans="1:3" x14ac:dyDescent="0.25">
      <c r="A21057" s="1" t="s">
        <v>21056</v>
      </c>
      <c r="C21057" s="3">
        <v>2</v>
      </c>
    </row>
    <row r="21058" spans="1:3" x14ac:dyDescent="0.25">
      <c r="A21058" s="1" t="s">
        <v>21057</v>
      </c>
      <c r="C21058" s="3">
        <v>2</v>
      </c>
    </row>
    <row r="21059" spans="1:3" x14ac:dyDescent="0.25">
      <c r="A21059" s="1" t="s">
        <v>21058</v>
      </c>
      <c r="C21059" s="3">
        <v>2</v>
      </c>
    </row>
    <row r="21060" spans="1:3" x14ac:dyDescent="0.25">
      <c r="A21060" s="1" t="s">
        <v>21059</v>
      </c>
      <c r="C21060" s="3">
        <v>2</v>
      </c>
    </row>
    <row r="21061" spans="1:3" x14ac:dyDescent="0.25">
      <c r="A21061" s="1" t="s">
        <v>21060</v>
      </c>
      <c r="C21061" s="3">
        <v>2</v>
      </c>
    </row>
    <row r="21062" spans="1:3" x14ac:dyDescent="0.25">
      <c r="A21062" s="1" t="s">
        <v>21061</v>
      </c>
      <c r="C21062" s="3">
        <v>2</v>
      </c>
    </row>
    <row r="21063" spans="1:3" x14ac:dyDescent="0.25">
      <c r="A21063" s="1" t="s">
        <v>21062</v>
      </c>
      <c r="C21063" s="3">
        <v>2</v>
      </c>
    </row>
    <row r="21064" spans="1:3" x14ac:dyDescent="0.25">
      <c r="A21064" s="1" t="s">
        <v>21063</v>
      </c>
      <c r="C21064" s="3">
        <v>2</v>
      </c>
    </row>
    <row r="21065" spans="1:3" x14ac:dyDescent="0.25">
      <c r="A21065" s="1" t="s">
        <v>21064</v>
      </c>
      <c r="C21065" s="3">
        <v>2</v>
      </c>
    </row>
    <row r="21066" spans="1:3" x14ac:dyDescent="0.25">
      <c r="A21066" s="1" t="s">
        <v>21065</v>
      </c>
      <c r="C21066" s="3">
        <v>2</v>
      </c>
    </row>
    <row r="21067" spans="1:3" x14ac:dyDescent="0.25">
      <c r="A21067" s="1" t="s">
        <v>21066</v>
      </c>
      <c r="C21067" s="3">
        <v>2</v>
      </c>
    </row>
    <row r="21068" spans="1:3" x14ac:dyDescent="0.25">
      <c r="A21068" s="1" t="s">
        <v>21067</v>
      </c>
      <c r="C21068" s="3">
        <v>2</v>
      </c>
    </row>
    <row r="21069" spans="1:3" x14ac:dyDescent="0.25">
      <c r="A21069" s="1" t="s">
        <v>21068</v>
      </c>
      <c r="C21069" s="3">
        <v>2</v>
      </c>
    </row>
    <row r="21070" spans="1:3" x14ac:dyDescent="0.25">
      <c r="A21070" s="1" t="s">
        <v>21069</v>
      </c>
      <c r="C21070" s="3">
        <v>2</v>
      </c>
    </row>
    <row r="21071" spans="1:3" x14ac:dyDescent="0.25">
      <c r="A21071" s="1" t="s">
        <v>21070</v>
      </c>
      <c r="C21071" s="3">
        <v>2</v>
      </c>
    </row>
    <row r="21072" spans="1:3" x14ac:dyDescent="0.25">
      <c r="A21072" s="1" t="s">
        <v>21071</v>
      </c>
      <c r="C21072" s="3">
        <v>2</v>
      </c>
    </row>
    <row r="21073" spans="1:3" x14ac:dyDescent="0.25">
      <c r="A21073" s="1" t="s">
        <v>21072</v>
      </c>
      <c r="C21073" s="3">
        <v>2</v>
      </c>
    </row>
    <row r="21074" spans="1:3" x14ac:dyDescent="0.25">
      <c r="A21074" s="1" t="s">
        <v>21073</v>
      </c>
      <c r="C21074" s="3">
        <v>2</v>
      </c>
    </row>
    <row r="21075" spans="1:3" x14ac:dyDescent="0.25">
      <c r="A21075" s="1" t="s">
        <v>21074</v>
      </c>
      <c r="C21075" s="3">
        <v>2</v>
      </c>
    </row>
    <row r="21076" spans="1:3" x14ac:dyDescent="0.25">
      <c r="A21076" s="1" t="s">
        <v>21075</v>
      </c>
      <c r="C21076" s="3">
        <v>2</v>
      </c>
    </row>
    <row r="21077" spans="1:3" x14ac:dyDescent="0.25">
      <c r="A21077" s="1" t="s">
        <v>21076</v>
      </c>
      <c r="C21077" s="3">
        <v>2</v>
      </c>
    </row>
    <row r="21078" spans="1:3" x14ac:dyDescent="0.25">
      <c r="A21078" s="1" t="s">
        <v>21077</v>
      </c>
      <c r="C21078" s="3">
        <v>2</v>
      </c>
    </row>
    <row r="21079" spans="1:3" x14ac:dyDescent="0.25">
      <c r="A21079" s="1" t="s">
        <v>21078</v>
      </c>
      <c r="C21079" s="3">
        <v>2</v>
      </c>
    </row>
    <row r="21080" spans="1:3" x14ac:dyDescent="0.25">
      <c r="A21080" s="1" t="s">
        <v>21079</v>
      </c>
      <c r="C21080" s="3">
        <v>2</v>
      </c>
    </row>
    <row r="21081" spans="1:3" x14ac:dyDescent="0.25">
      <c r="A21081" s="1" t="s">
        <v>21080</v>
      </c>
      <c r="C21081" s="3">
        <v>2</v>
      </c>
    </row>
    <row r="21082" spans="1:3" x14ac:dyDescent="0.25">
      <c r="A21082" s="1" t="s">
        <v>21081</v>
      </c>
      <c r="C21082" s="3">
        <v>2</v>
      </c>
    </row>
    <row r="21083" spans="1:3" x14ac:dyDescent="0.25">
      <c r="A21083" s="1" t="s">
        <v>21082</v>
      </c>
      <c r="C21083" s="3">
        <v>2</v>
      </c>
    </row>
    <row r="21084" spans="1:3" x14ac:dyDescent="0.25">
      <c r="A21084" s="1" t="s">
        <v>21083</v>
      </c>
      <c r="C21084" s="3">
        <v>2</v>
      </c>
    </row>
    <row r="21085" spans="1:3" x14ac:dyDescent="0.25">
      <c r="A21085" s="1" t="s">
        <v>21084</v>
      </c>
      <c r="C21085" s="3">
        <v>2</v>
      </c>
    </row>
    <row r="21086" spans="1:3" x14ac:dyDescent="0.25">
      <c r="A21086" s="1" t="s">
        <v>21085</v>
      </c>
      <c r="C21086" s="3">
        <v>2</v>
      </c>
    </row>
    <row r="21087" spans="1:3" x14ac:dyDescent="0.25">
      <c r="A21087" s="1" t="s">
        <v>21086</v>
      </c>
      <c r="C21087" s="3">
        <v>2</v>
      </c>
    </row>
    <row r="21088" spans="1:3" x14ac:dyDescent="0.25">
      <c r="A21088" s="1" t="s">
        <v>21087</v>
      </c>
      <c r="C21088" s="3">
        <v>2</v>
      </c>
    </row>
    <row r="21089" spans="1:3" x14ac:dyDescent="0.25">
      <c r="A21089" s="1" t="s">
        <v>21088</v>
      </c>
      <c r="C21089" s="3">
        <v>2</v>
      </c>
    </row>
    <row r="21090" spans="1:3" x14ac:dyDescent="0.25">
      <c r="A21090" s="1" t="s">
        <v>21089</v>
      </c>
      <c r="C21090" s="3">
        <v>2</v>
      </c>
    </row>
    <row r="21091" spans="1:3" x14ac:dyDescent="0.25">
      <c r="A21091" s="1" t="s">
        <v>21090</v>
      </c>
      <c r="C21091" s="3">
        <v>2</v>
      </c>
    </row>
    <row r="21092" spans="1:3" x14ac:dyDescent="0.25">
      <c r="A21092" s="1" t="s">
        <v>21091</v>
      </c>
      <c r="C21092" s="3">
        <v>2</v>
      </c>
    </row>
    <row r="21093" spans="1:3" x14ac:dyDescent="0.25">
      <c r="A21093" s="1" t="s">
        <v>21092</v>
      </c>
      <c r="C21093" s="3">
        <v>2</v>
      </c>
    </row>
    <row r="21094" spans="1:3" x14ac:dyDescent="0.25">
      <c r="A21094" s="1" t="s">
        <v>21093</v>
      </c>
      <c r="C21094" s="3">
        <v>2</v>
      </c>
    </row>
    <row r="21095" spans="1:3" x14ac:dyDescent="0.25">
      <c r="A21095" s="1" t="s">
        <v>21094</v>
      </c>
      <c r="C21095" s="3">
        <v>2</v>
      </c>
    </row>
    <row r="21096" spans="1:3" x14ac:dyDescent="0.25">
      <c r="A21096" s="1" t="s">
        <v>21095</v>
      </c>
      <c r="C21096" s="3">
        <v>2</v>
      </c>
    </row>
    <row r="21097" spans="1:3" x14ac:dyDescent="0.25">
      <c r="A21097" s="1" t="s">
        <v>21096</v>
      </c>
      <c r="C21097" s="3">
        <v>2</v>
      </c>
    </row>
    <row r="21098" spans="1:3" x14ac:dyDescent="0.25">
      <c r="A21098" s="1" t="s">
        <v>21097</v>
      </c>
      <c r="C21098" s="3">
        <v>2</v>
      </c>
    </row>
    <row r="21099" spans="1:3" x14ac:dyDescent="0.25">
      <c r="A21099" s="1" t="s">
        <v>21098</v>
      </c>
      <c r="C21099" s="3">
        <v>2</v>
      </c>
    </row>
    <row r="21100" spans="1:3" x14ac:dyDescent="0.25">
      <c r="A21100" s="1" t="s">
        <v>21099</v>
      </c>
      <c r="C21100" s="3">
        <v>2</v>
      </c>
    </row>
    <row r="21101" spans="1:3" x14ac:dyDescent="0.25">
      <c r="A21101" s="1" t="s">
        <v>21100</v>
      </c>
      <c r="C21101" s="3">
        <v>2</v>
      </c>
    </row>
    <row r="21102" spans="1:3" x14ac:dyDescent="0.25">
      <c r="A21102" s="1" t="s">
        <v>21101</v>
      </c>
      <c r="C21102" s="3">
        <v>2</v>
      </c>
    </row>
    <row r="21103" spans="1:3" x14ac:dyDescent="0.25">
      <c r="A21103" s="1" t="s">
        <v>21102</v>
      </c>
      <c r="C21103" s="3">
        <v>2</v>
      </c>
    </row>
    <row r="21104" spans="1:3" x14ac:dyDescent="0.25">
      <c r="A21104" s="1" t="s">
        <v>21103</v>
      </c>
      <c r="C21104" s="3">
        <v>2</v>
      </c>
    </row>
    <row r="21105" spans="1:3" x14ac:dyDescent="0.25">
      <c r="A21105" s="1" t="s">
        <v>21104</v>
      </c>
      <c r="C21105" s="3">
        <v>2</v>
      </c>
    </row>
    <row r="21106" spans="1:3" x14ac:dyDescent="0.25">
      <c r="A21106" s="1" t="s">
        <v>21105</v>
      </c>
      <c r="C21106" s="3">
        <v>2</v>
      </c>
    </row>
    <row r="21107" spans="1:3" x14ac:dyDescent="0.25">
      <c r="A21107" s="1" t="s">
        <v>21106</v>
      </c>
      <c r="C21107" s="3">
        <v>2</v>
      </c>
    </row>
    <row r="21108" spans="1:3" x14ac:dyDescent="0.25">
      <c r="A21108" s="1" t="s">
        <v>21107</v>
      </c>
      <c r="C21108" s="3">
        <v>2</v>
      </c>
    </row>
    <row r="21109" spans="1:3" x14ac:dyDescent="0.25">
      <c r="A21109" s="1" t="s">
        <v>21108</v>
      </c>
      <c r="C21109" s="3">
        <v>2</v>
      </c>
    </row>
    <row r="21110" spans="1:3" x14ac:dyDescent="0.25">
      <c r="A21110" s="1" t="s">
        <v>21109</v>
      </c>
      <c r="C21110" s="3">
        <v>2</v>
      </c>
    </row>
    <row r="21111" spans="1:3" x14ac:dyDescent="0.25">
      <c r="A21111" s="1" t="s">
        <v>21110</v>
      </c>
      <c r="C21111" s="3">
        <v>2</v>
      </c>
    </row>
    <row r="21112" spans="1:3" x14ac:dyDescent="0.25">
      <c r="A21112" s="1" t="s">
        <v>21111</v>
      </c>
      <c r="C21112" s="3">
        <v>2</v>
      </c>
    </row>
    <row r="21113" spans="1:3" x14ac:dyDescent="0.25">
      <c r="A21113" s="1" t="s">
        <v>21112</v>
      </c>
      <c r="C21113" s="3">
        <v>2</v>
      </c>
    </row>
    <row r="21114" spans="1:3" x14ac:dyDescent="0.25">
      <c r="A21114" s="1" t="s">
        <v>21113</v>
      </c>
      <c r="C21114" s="3">
        <v>2</v>
      </c>
    </row>
    <row r="21115" spans="1:3" x14ac:dyDescent="0.25">
      <c r="A21115" s="1" t="s">
        <v>21114</v>
      </c>
      <c r="C21115" s="3">
        <v>2</v>
      </c>
    </row>
    <row r="21116" spans="1:3" x14ac:dyDescent="0.25">
      <c r="A21116" s="1" t="s">
        <v>21115</v>
      </c>
      <c r="C21116" s="3">
        <v>2</v>
      </c>
    </row>
    <row r="21117" spans="1:3" x14ac:dyDescent="0.25">
      <c r="A21117" s="1" t="s">
        <v>21116</v>
      </c>
      <c r="C21117" s="3">
        <v>2</v>
      </c>
    </row>
    <row r="21118" spans="1:3" x14ac:dyDescent="0.25">
      <c r="A21118" s="1" t="s">
        <v>21117</v>
      </c>
      <c r="C21118" s="3">
        <v>2</v>
      </c>
    </row>
    <row r="21119" spans="1:3" x14ac:dyDescent="0.25">
      <c r="A21119" s="1" t="s">
        <v>21118</v>
      </c>
      <c r="C21119" s="3">
        <v>2</v>
      </c>
    </row>
    <row r="21120" spans="1:3" x14ac:dyDescent="0.25">
      <c r="A21120" s="1" t="s">
        <v>21119</v>
      </c>
      <c r="C21120" s="3">
        <v>2</v>
      </c>
    </row>
    <row r="21121" spans="1:3" x14ac:dyDescent="0.25">
      <c r="A21121" s="1" t="s">
        <v>21120</v>
      </c>
      <c r="C21121" s="3">
        <v>2</v>
      </c>
    </row>
    <row r="21122" spans="1:3" x14ac:dyDescent="0.25">
      <c r="A21122" s="1" t="s">
        <v>21121</v>
      </c>
      <c r="C21122" s="3">
        <v>2</v>
      </c>
    </row>
    <row r="21123" spans="1:3" x14ac:dyDescent="0.25">
      <c r="A21123" s="1" t="s">
        <v>21122</v>
      </c>
      <c r="C21123" s="3">
        <v>2</v>
      </c>
    </row>
    <row r="21124" spans="1:3" x14ac:dyDescent="0.25">
      <c r="A21124" s="1" t="s">
        <v>21123</v>
      </c>
      <c r="C21124" s="3">
        <v>2</v>
      </c>
    </row>
    <row r="21125" spans="1:3" x14ac:dyDescent="0.25">
      <c r="A21125" s="1" t="s">
        <v>21124</v>
      </c>
      <c r="C21125" s="3">
        <v>2</v>
      </c>
    </row>
    <row r="21126" spans="1:3" x14ac:dyDescent="0.25">
      <c r="A21126" s="1" t="s">
        <v>21125</v>
      </c>
      <c r="C21126" s="3">
        <v>2</v>
      </c>
    </row>
    <row r="21127" spans="1:3" x14ac:dyDescent="0.25">
      <c r="A21127" s="1" t="s">
        <v>21126</v>
      </c>
      <c r="C21127" s="3">
        <v>2</v>
      </c>
    </row>
    <row r="21128" spans="1:3" x14ac:dyDescent="0.25">
      <c r="A21128" s="1" t="s">
        <v>21127</v>
      </c>
      <c r="C21128" s="3">
        <v>2</v>
      </c>
    </row>
    <row r="21129" spans="1:3" x14ac:dyDescent="0.25">
      <c r="A21129" s="1" t="s">
        <v>21128</v>
      </c>
      <c r="C21129" s="3">
        <v>2</v>
      </c>
    </row>
    <row r="21130" spans="1:3" x14ac:dyDescent="0.25">
      <c r="A21130" s="1" t="s">
        <v>21129</v>
      </c>
      <c r="C21130" s="3">
        <v>2</v>
      </c>
    </row>
    <row r="21131" spans="1:3" x14ac:dyDescent="0.25">
      <c r="A21131" s="1" t="s">
        <v>21130</v>
      </c>
      <c r="C21131" s="3">
        <v>2</v>
      </c>
    </row>
    <row r="21132" spans="1:3" x14ac:dyDescent="0.25">
      <c r="A21132" s="2" t="s">
        <v>21131</v>
      </c>
      <c r="C21132" s="4">
        <v>1</v>
      </c>
    </row>
    <row r="21133" spans="1:3" x14ac:dyDescent="0.25">
      <c r="A21133" s="1" t="s">
        <v>21132</v>
      </c>
      <c r="C21133" s="3">
        <v>1</v>
      </c>
    </row>
    <row r="21134" spans="1:3" x14ac:dyDescent="0.25">
      <c r="A21134" s="1" t="s">
        <v>21133</v>
      </c>
      <c r="C21134" s="3">
        <v>1</v>
      </c>
    </row>
    <row r="21135" spans="1:3" x14ac:dyDescent="0.25">
      <c r="A21135" s="1" t="s">
        <v>21134</v>
      </c>
      <c r="C21135" s="3">
        <v>1</v>
      </c>
    </row>
    <row r="21136" spans="1:3" x14ac:dyDescent="0.25">
      <c r="A21136" s="1" t="s">
        <v>21135</v>
      </c>
      <c r="C21136" s="3">
        <v>1</v>
      </c>
    </row>
    <row r="21137" spans="1:3" x14ac:dyDescent="0.25">
      <c r="A21137" s="1" t="s">
        <v>21136</v>
      </c>
      <c r="C21137" s="3">
        <v>1</v>
      </c>
    </row>
    <row r="21138" spans="1:3" x14ac:dyDescent="0.25">
      <c r="A21138" s="1" t="s">
        <v>21137</v>
      </c>
      <c r="C21138" s="3">
        <v>1</v>
      </c>
    </row>
    <row r="21139" spans="1:3" x14ac:dyDescent="0.25">
      <c r="A21139" s="1" t="s">
        <v>21138</v>
      </c>
      <c r="C21139" s="3">
        <v>1</v>
      </c>
    </row>
    <row r="21140" spans="1:3" x14ac:dyDescent="0.25">
      <c r="A21140" s="1" t="s">
        <v>21139</v>
      </c>
      <c r="C21140" s="3">
        <v>1</v>
      </c>
    </row>
    <row r="21141" spans="1:3" x14ac:dyDescent="0.25">
      <c r="A21141" s="1" t="s">
        <v>21140</v>
      </c>
      <c r="C21141" s="3">
        <v>1</v>
      </c>
    </row>
    <row r="21142" spans="1:3" x14ac:dyDescent="0.25">
      <c r="A21142" s="1" t="s">
        <v>21141</v>
      </c>
      <c r="C21142" s="3">
        <v>1</v>
      </c>
    </row>
    <row r="21143" spans="1:3" x14ac:dyDescent="0.25">
      <c r="A21143" s="1" t="s">
        <v>21142</v>
      </c>
      <c r="C21143" s="3">
        <v>1</v>
      </c>
    </row>
    <row r="21144" spans="1:3" x14ac:dyDescent="0.25">
      <c r="A21144" s="1" t="s">
        <v>21143</v>
      </c>
      <c r="C21144" s="3">
        <v>1</v>
      </c>
    </row>
    <row r="21145" spans="1:3" x14ac:dyDescent="0.25">
      <c r="A21145" s="1" t="s">
        <v>21144</v>
      </c>
      <c r="C21145" s="3">
        <v>1</v>
      </c>
    </row>
    <row r="21146" spans="1:3" x14ac:dyDescent="0.25">
      <c r="A21146" s="1" t="s">
        <v>21145</v>
      </c>
      <c r="C21146" s="3">
        <v>1</v>
      </c>
    </row>
    <row r="21147" spans="1:3" x14ac:dyDescent="0.25">
      <c r="A21147" s="1" t="s">
        <v>21146</v>
      </c>
      <c r="C21147" s="3">
        <v>1</v>
      </c>
    </row>
    <row r="21148" spans="1:3" x14ac:dyDescent="0.25">
      <c r="A21148" s="1" t="s">
        <v>21147</v>
      </c>
      <c r="C21148" s="3">
        <v>1</v>
      </c>
    </row>
    <row r="21149" spans="1:3" x14ac:dyDescent="0.25">
      <c r="A21149" s="1" t="s">
        <v>21148</v>
      </c>
      <c r="C21149" s="3">
        <v>1</v>
      </c>
    </row>
    <row r="21150" spans="1:3" x14ac:dyDescent="0.25">
      <c r="A21150" s="1" t="s">
        <v>21149</v>
      </c>
      <c r="C21150" s="3">
        <v>1</v>
      </c>
    </row>
    <row r="21151" spans="1:3" x14ac:dyDescent="0.25">
      <c r="A21151" s="1" t="s">
        <v>21150</v>
      </c>
      <c r="C21151" s="3">
        <v>1</v>
      </c>
    </row>
    <row r="21152" spans="1:3" x14ac:dyDescent="0.25">
      <c r="A21152" s="1" t="s">
        <v>21151</v>
      </c>
      <c r="C21152" s="3">
        <v>1</v>
      </c>
    </row>
    <row r="21153" spans="1:3" x14ac:dyDescent="0.25">
      <c r="A21153" s="1" t="s">
        <v>21152</v>
      </c>
      <c r="C21153" s="3">
        <v>1</v>
      </c>
    </row>
    <row r="21154" spans="1:3" x14ac:dyDescent="0.25">
      <c r="A21154" s="1" t="s">
        <v>21153</v>
      </c>
      <c r="C21154" s="3">
        <v>1</v>
      </c>
    </row>
    <row r="21155" spans="1:3" x14ac:dyDescent="0.25">
      <c r="A21155" s="1" t="s">
        <v>21154</v>
      </c>
      <c r="C21155" s="3">
        <v>1</v>
      </c>
    </row>
    <row r="21156" spans="1:3" x14ac:dyDescent="0.25">
      <c r="A21156" s="1" t="s">
        <v>21155</v>
      </c>
      <c r="C21156" s="3">
        <v>1</v>
      </c>
    </row>
    <row r="21157" spans="1:3" x14ac:dyDescent="0.25">
      <c r="A21157" s="1" t="s">
        <v>21156</v>
      </c>
      <c r="C21157" s="3">
        <v>1</v>
      </c>
    </row>
    <row r="21158" spans="1:3" x14ac:dyDescent="0.25">
      <c r="A21158" s="1" t="s">
        <v>21157</v>
      </c>
      <c r="C21158" s="3">
        <v>1</v>
      </c>
    </row>
    <row r="21159" spans="1:3" x14ac:dyDescent="0.25">
      <c r="A21159" s="1" t="s">
        <v>21158</v>
      </c>
      <c r="C21159" s="3">
        <v>1</v>
      </c>
    </row>
    <row r="21160" spans="1:3" x14ac:dyDescent="0.25">
      <c r="A21160" s="1" t="s">
        <v>21159</v>
      </c>
      <c r="C21160" s="3">
        <v>1</v>
      </c>
    </row>
    <row r="21161" spans="1:3" x14ac:dyDescent="0.25">
      <c r="A21161" s="1" t="s">
        <v>21160</v>
      </c>
      <c r="C21161" s="3">
        <v>1</v>
      </c>
    </row>
    <row r="21162" spans="1:3" x14ac:dyDescent="0.25">
      <c r="A21162" s="1" t="s">
        <v>21161</v>
      </c>
      <c r="C21162" s="3">
        <v>1</v>
      </c>
    </row>
    <row r="21163" spans="1:3" x14ac:dyDescent="0.25">
      <c r="A21163" s="1" t="s">
        <v>21162</v>
      </c>
      <c r="C21163" s="3">
        <v>1</v>
      </c>
    </row>
    <row r="21164" spans="1:3" x14ac:dyDescent="0.25">
      <c r="A21164" s="1" t="s">
        <v>21163</v>
      </c>
      <c r="C21164" s="3">
        <v>1</v>
      </c>
    </row>
    <row r="21165" spans="1:3" x14ac:dyDescent="0.25">
      <c r="A21165" s="1" t="s">
        <v>21164</v>
      </c>
      <c r="C21165" s="3">
        <v>1</v>
      </c>
    </row>
    <row r="21166" spans="1:3" x14ac:dyDescent="0.25">
      <c r="A21166" s="1" t="s">
        <v>21165</v>
      </c>
      <c r="C21166" s="3">
        <v>1</v>
      </c>
    </row>
    <row r="21167" spans="1:3" x14ac:dyDescent="0.25">
      <c r="A21167" s="1" t="s">
        <v>21166</v>
      </c>
      <c r="C21167" s="3">
        <v>1</v>
      </c>
    </row>
    <row r="21168" spans="1:3" x14ac:dyDescent="0.25">
      <c r="A21168" s="1" t="s">
        <v>21167</v>
      </c>
      <c r="C21168" s="3">
        <v>1</v>
      </c>
    </row>
    <row r="21169" spans="1:3" x14ac:dyDescent="0.25">
      <c r="A21169" s="1" t="s">
        <v>21168</v>
      </c>
      <c r="C21169" s="3">
        <v>1</v>
      </c>
    </row>
    <row r="21170" spans="1:3" x14ac:dyDescent="0.25">
      <c r="A21170" s="1" t="s">
        <v>21169</v>
      </c>
      <c r="C21170" s="3">
        <v>1</v>
      </c>
    </row>
    <row r="21171" spans="1:3" x14ac:dyDescent="0.25">
      <c r="A21171" s="1" t="s">
        <v>21170</v>
      </c>
      <c r="C21171" s="3">
        <v>1</v>
      </c>
    </row>
    <row r="21172" spans="1:3" x14ac:dyDescent="0.25">
      <c r="A21172" s="1" t="s">
        <v>21171</v>
      </c>
      <c r="C21172" s="3">
        <v>1</v>
      </c>
    </row>
    <row r="21173" spans="1:3" x14ac:dyDescent="0.25">
      <c r="A21173" s="1" t="s">
        <v>21172</v>
      </c>
      <c r="C21173" s="3">
        <v>1</v>
      </c>
    </row>
    <row r="21174" spans="1:3" x14ac:dyDescent="0.25">
      <c r="A21174" s="1" t="s">
        <v>21173</v>
      </c>
      <c r="C21174" s="3">
        <v>1</v>
      </c>
    </row>
    <row r="21175" spans="1:3" x14ac:dyDescent="0.25">
      <c r="A21175" s="1" t="s">
        <v>21174</v>
      </c>
      <c r="C21175" s="3">
        <v>1</v>
      </c>
    </row>
    <row r="21176" spans="1:3" x14ac:dyDescent="0.25">
      <c r="A21176" s="1" t="s">
        <v>21175</v>
      </c>
      <c r="C21176" s="3">
        <v>1</v>
      </c>
    </row>
    <row r="21177" spans="1:3" x14ac:dyDescent="0.25">
      <c r="A21177" s="1" t="s">
        <v>21176</v>
      </c>
      <c r="C21177" s="3">
        <v>1</v>
      </c>
    </row>
    <row r="21178" spans="1:3" x14ac:dyDescent="0.25">
      <c r="A21178" s="1" t="s">
        <v>21177</v>
      </c>
      <c r="C21178" s="3">
        <v>1</v>
      </c>
    </row>
    <row r="21179" spans="1:3" x14ac:dyDescent="0.25">
      <c r="A21179" s="1" t="s">
        <v>21178</v>
      </c>
      <c r="C21179" s="3">
        <v>1</v>
      </c>
    </row>
    <row r="21180" spans="1:3" x14ac:dyDescent="0.25">
      <c r="A21180" s="1" t="s">
        <v>21179</v>
      </c>
      <c r="C21180" s="3">
        <v>1</v>
      </c>
    </row>
    <row r="21181" spans="1:3" x14ac:dyDescent="0.25">
      <c r="A21181" s="1" t="s">
        <v>21180</v>
      </c>
      <c r="C21181" s="3">
        <v>1</v>
      </c>
    </row>
    <row r="21182" spans="1:3" x14ac:dyDescent="0.25">
      <c r="A21182" s="1" t="s">
        <v>21181</v>
      </c>
      <c r="C21182" s="3">
        <v>1</v>
      </c>
    </row>
    <row r="21183" spans="1:3" x14ac:dyDescent="0.25">
      <c r="A21183" s="1" t="s">
        <v>21182</v>
      </c>
      <c r="C21183" s="3">
        <v>1</v>
      </c>
    </row>
    <row r="21184" spans="1:3" x14ac:dyDescent="0.25">
      <c r="A21184" s="1" t="s">
        <v>21183</v>
      </c>
      <c r="C21184" s="3">
        <v>1</v>
      </c>
    </row>
    <row r="21185" spans="1:3" x14ac:dyDescent="0.25">
      <c r="A21185" s="1" t="s">
        <v>21184</v>
      </c>
      <c r="C21185" s="3">
        <v>1</v>
      </c>
    </row>
    <row r="21186" spans="1:3" x14ac:dyDescent="0.25">
      <c r="A21186" s="1" t="s">
        <v>21185</v>
      </c>
      <c r="C21186" s="3">
        <v>1</v>
      </c>
    </row>
    <row r="21187" spans="1:3" x14ac:dyDescent="0.25">
      <c r="A21187" s="1" t="s">
        <v>21186</v>
      </c>
      <c r="C21187" s="3">
        <v>1</v>
      </c>
    </row>
    <row r="21188" spans="1:3" x14ac:dyDescent="0.25">
      <c r="A21188" s="1" t="s">
        <v>21187</v>
      </c>
      <c r="C21188" s="3">
        <v>1</v>
      </c>
    </row>
    <row r="21189" spans="1:3" x14ac:dyDescent="0.25">
      <c r="A21189" s="1" t="s">
        <v>21188</v>
      </c>
      <c r="C21189" s="3">
        <v>1</v>
      </c>
    </row>
    <row r="21190" spans="1:3" x14ac:dyDescent="0.25">
      <c r="A21190" s="1" t="s">
        <v>21189</v>
      </c>
      <c r="C21190" s="3">
        <v>1</v>
      </c>
    </row>
    <row r="21191" spans="1:3" x14ac:dyDescent="0.25">
      <c r="A21191" s="1" t="s">
        <v>21190</v>
      </c>
      <c r="C21191" s="3">
        <v>1</v>
      </c>
    </row>
    <row r="21192" spans="1:3" x14ac:dyDescent="0.25">
      <c r="A21192" s="1" t="s">
        <v>21191</v>
      </c>
      <c r="C21192" s="3">
        <v>1</v>
      </c>
    </row>
    <row r="21193" spans="1:3" x14ac:dyDescent="0.25">
      <c r="A21193" s="1" t="s">
        <v>21192</v>
      </c>
      <c r="C21193" s="3">
        <v>1</v>
      </c>
    </row>
    <row r="21194" spans="1:3" x14ac:dyDescent="0.25">
      <c r="A21194" s="1" t="s">
        <v>21193</v>
      </c>
      <c r="C21194" s="3">
        <v>1</v>
      </c>
    </row>
    <row r="21195" spans="1:3" x14ac:dyDescent="0.25">
      <c r="A21195" s="1" t="s">
        <v>21194</v>
      </c>
      <c r="C21195" s="3">
        <v>1</v>
      </c>
    </row>
    <row r="21196" spans="1:3" x14ac:dyDescent="0.25">
      <c r="A21196" s="1" t="s">
        <v>21195</v>
      </c>
      <c r="C21196" s="3">
        <v>1</v>
      </c>
    </row>
    <row r="21197" spans="1:3" x14ac:dyDescent="0.25">
      <c r="A21197" s="1" t="s">
        <v>21196</v>
      </c>
      <c r="C21197" s="3">
        <v>1</v>
      </c>
    </row>
    <row r="21198" spans="1:3" x14ac:dyDescent="0.25">
      <c r="A21198" s="1" t="s">
        <v>21197</v>
      </c>
      <c r="C21198" s="3">
        <v>1</v>
      </c>
    </row>
    <row r="21199" spans="1:3" x14ac:dyDescent="0.25">
      <c r="A21199" s="1" t="s">
        <v>21198</v>
      </c>
      <c r="C21199" s="3">
        <v>1</v>
      </c>
    </row>
    <row r="21200" spans="1:3" x14ac:dyDescent="0.25">
      <c r="A21200" s="1" t="s">
        <v>21199</v>
      </c>
      <c r="C21200" s="3">
        <v>1</v>
      </c>
    </row>
    <row r="21201" spans="1:3" x14ac:dyDescent="0.25">
      <c r="A21201" s="1" t="s">
        <v>21200</v>
      </c>
      <c r="C21201" s="3">
        <v>1</v>
      </c>
    </row>
    <row r="21202" spans="1:3" x14ac:dyDescent="0.25">
      <c r="A21202" s="1" t="s">
        <v>21201</v>
      </c>
      <c r="C21202" s="3">
        <v>1</v>
      </c>
    </row>
    <row r="21203" spans="1:3" x14ac:dyDescent="0.25">
      <c r="A21203" s="1" t="s">
        <v>21202</v>
      </c>
      <c r="C21203" s="3">
        <v>1</v>
      </c>
    </row>
    <row r="21204" spans="1:3" x14ac:dyDescent="0.25">
      <c r="A21204" s="1" t="s">
        <v>21203</v>
      </c>
      <c r="C21204" s="3">
        <v>1</v>
      </c>
    </row>
    <row r="21205" spans="1:3" x14ac:dyDescent="0.25">
      <c r="A21205" s="1" t="s">
        <v>21204</v>
      </c>
      <c r="C21205" s="3">
        <v>1</v>
      </c>
    </row>
    <row r="21206" spans="1:3" x14ac:dyDescent="0.25">
      <c r="A21206" s="1" t="s">
        <v>21205</v>
      </c>
      <c r="C21206" s="3">
        <v>1</v>
      </c>
    </row>
    <row r="21207" spans="1:3" x14ac:dyDescent="0.25">
      <c r="A21207" s="1" t="s">
        <v>21206</v>
      </c>
      <c r="C21207" s="3">
        <v>1</v>
      </c>
    </row>
    <row r="21208" spans="1:3" x14ac:dyDescent="0.25">
      <c r="A21208" s="1" t="s">
        <v>21207</v>
      </c>
      <c r="C21208" s="3">
        <v>1</v>
      </c>
    </row>
    <row r="21209" spans="1:3" x14ac:dyDescent="0.25">
      <c r="A21209" s="1" t="s">
        <v>21208</v>
      </c>
      <c r="C21209" s="3">
        <v>1</v>
      </c>
    </row>
    <row r="21210" spans="1:3" x14ac:dyDescent="0.25">
      <c r="A21210" s="1" t="s">
        <v>21209</v>
      </c>
      <c r="C21210" s="3">
        <v>1</v>
      </c>
    </row>
    <row r="21211" spans="1:3" x14ac:dyDescent="0.25">
      <c r="A21211" s="1" t="s">
        <v>21210</v>
      </c>
      <c r="C21211" s="3">
        <v>1</v>
      </c>
    </row>
    <row r="21212" spans="1:3" x14ac:dyDescent="0.25">
      <c r="A21212" s="1" t="s">
        <v>21211</v>
      </c>
      <c r="C21212" s="3">
        <v>1</v>
      </c>
    </row>
    <row r="21213" spans="1:3" x14ac:dyDescent="0.25">
      <c r="A21213" s="1" t="s">
        <v>21212</v>
      </c>
      <c r="C21213" s="3">
        <v>1</v>
      </c>
    </row>
    <row r="21214" spans="1:3" x14ac:dyDescent="0.25">
      <c r="A21214" s="1" t="s">
        <v>21213</v>
      </c>
      <c r="C21214" s="3">
        <v>1</v>
      </c>
    </row>
    <row r="21215" spans="1:3" x14ac:dyDescent="0.25">
      <c r="A21215" s="1" t="s">
        <v>21214</v>
      </c>
      <c r="C21215" s="3">
        <v>1</v>
      </c>
    </row>
    <row r="21216" spans="1:3" x14ac:dyDescent="0.25">
      <c r="A21216" s="1" t="s">
        <v>21215</v>
      </c>
      <c r="C21216" s="3">
        <v>1</v>
      </c>
    </row>
    <row r="21217" spans="1:3" x14ac:dyDescent="0.25">
      <c r="A21217" s="1" t="s">
        <v>21216</v>
      </c>
      <c r="C21217" s="3">
        <v>1</v>
      </c>
    </row>
    <row r="21218" spans="1:3" x14ac:dyDescent="0.25">
      <c r="A21218" s="1" t="s">
        <v>21217</v>
      </c>
      <c r="C21218" s="3">
        <v>1</v>
      </c>
    </row>
    <row r="21219" spans="1:3" x14ac:dyDescent="0.25">
      <c r="A21219" s="1" t="s">
        <v>21218</v>
      </c>
      <c r="C21219" s="3">
        <v>1</v>
      </c>
    </row>
    <row r="21220" spans="1:3" x14ac:dyDescent="0.25">
      <c r="A21220" s="1" t="s">
        <v>21219</v>
      </c>
      <c r="C21220" s="3">
        <v>1</v>
      </c>
    </row>
    <row r="21221" spans="1:3" x14ac:dyDescent="0.25">
      <c r="A21221" s="1" t="s">
        <v>21220</v>
      </c>
      <c r="C21221" s="3">
        <v>1</v>
      </c>
    </row>
    <row r="21222" spans="1:3" x14ac:dyDescent="0.25">
      <c r="A21222" s="1" t="s">
        <v>21221</v>
      </c>
      <c r="C21222" s="3">
        <v>1</v>
      </c>
    </row>
    <row r="21223" spans="1:3" x14ac:dyDescent="0.25">
      <c r="A21223" s="1" t="s">
        <v>21222</v>
      </c>
      <c r="C21223" s="3">
        <v>1</v>
      </c>
    </row>
    <row r="21224" spans="1:3" x14ac:dyDescent="0.25">
      <c r="A21224" s="1" t="s">
        <v>21223</v>
      </c>
      <c r="C21224" s="3">
        <v>1</v>
      </c>
    </row>
    <row r="21225" spans="1:3" x14ac:dyDescent="0.25">
      <c r="A21225" s="1" t="s">
        <v>21224</v>
      </c>
      <c r="C21225" s="3">
        <v>1</v>
      </c>
    </row>
    <row r="21226" spans="1:3" x14ac:dyDescent="0.25">
      <c r="A21226" s="1" t="s">
        <v>21225</v>
      </c>
      <c r="C21226" s="3">
        <v>1</v>
      </c>
    </row>
    <row r="21227" spans="1:3" x14ac:dyDescent="0.25">
      <c r="A21227" s="1" t="s">
        <v>21226</v>
      </c>
      <c r="C21227" s="3">
        <v>1</v>
      </c>
    </row>
    <row r="21228" spans="1:3" x14ac:dyDescent="0.25">
      <c r="A21228" s="1" t="s">
        <v>21227</v>
      </c>
      <c r="C21228" s="3">
        <v>1</v>
      </c>
    </row>
    <row r="21229" spans="1:3" x14ac:dyDescent="0.25">
      <c r="A21229" s="1" t="s">
        <v>21228</v>
      </c>
      <c r="C21229" s="3">
        <v>1</v>
      </c>
    </row>
    <row r="21230" spans="1:3" x14ac:dyDescent="0.25">
      <c r="A21230" s="1" t="s">
        <v>21229</v>
      </c>
      <c r="C21230" s="3">
        <v>1</v>
      </c>
    </row>
    <row r="21231" spans="1:3" x14ac:dyDescent="0.25">
      <c r="A21231" s="1" t="s">
        <v>21230</v>
      </c>
      <c r="C21231" s="3">
        <v>1</v>
      </c>
    </row>
    <row r="21232" spans="1:3" x14ac:dyDescent="0.25">
      <c r="A21232" s="1" t="s">
        <v>21231</v>
      </c>
      <c r="C21232" s="3">
        <v>1</v>
      </c>
    </row>
    <row r="21233" spans="1:3" x14ac:dyDescent="0.25">
      <c r="A21233" s="1" t="s">
        <v>21232</v>
      </c>
      <c r="C21233" s="3">
        <v>1</v>
      </c>
    </row>
    <row r="21234" spans="1:3" x14ac:dyDescent="0.25">
      <c r="A21234" s="1" t="s">
        <v>21233</v>
      </c>
      <c r="C21234" s="3">
        <v>1</v>
      </c>
    </row>
    <row r="21235" spans="1:3" x14ac:dyDescent="0.25">
      <c r="A21235" s="1" t="s">
        <v>21234</v>
      </c>
      <c r="C21235" s="3">
        <v>1</v>
      </c>
    </row>
    <row r="21236" spans="1:3" x14ac:dyDescent="0.25">
      <c r="A21236" s="1" t="s">
        <v>21235</v>
      </c>
      <c r="C21236" s="3">
        <v>1</v>
      </c>
    </row>
    <row r="21237" spans="1:3" x14ac:dyDescent="0.25">
      <c r="A21237" s="1" t="s">
        <v>21236</v>
      </c>
      <c r="C21237" s="3">
        <v>1</v>
      </c>
    </row>
    <row r="21238" spans="1:3" x14ac:dyDescent="0.25">
      <c r="A21238" s="1" t="s">
        <v>21237</v>
      </c>
      <c r="C21238" s="3">
        <v>1</v>
      </c>
    </row>
    <row r="21239" spans="1:3" x14ac:dyDescent="0.25">
      <c r="A21239" s="1" t="s">
        <v>21238</v>
      </c>
      <c r="C21239" s="3">
        <v>1</v>
      </c>
    </row>
    <row r="21240" spans="1:3" x14ac:dyDescent="0.25">
      <c r="A21240" s="1" t="s">
        <v>21239</v>
      </c>
      <c r="C21240" s="3">
        <v>1</v>
      </c>
    </row>
    <row r="21241" spans="1:3" x14ac:dyDescent="0.25">
      <c r="A21241" s="1" t="s">
        <v>21240</v>
      </c>
      <c r="C21241" s="3">
        <v>1</v>
      </c>
    </row>
    <row r="21242" spans="1:3" x14ac:dyDescent="0.25">
      <c r="A21242" s="1" t="s">
        <v>21241</v>
      </c>
      <c r="C21242" s="3">
        <v>1</v>
      </c>
    </row>
    <row r="21243" spans="1:3" x14ac:dyDescent="0.25">
      <c r="A21243" s="1" t="s">
        <v>21242</v>
      </c>
      <c r="C21243" s="3">
        <v>1</v>
      </c>
    </row>
    <row r="21244" spans="1:3" x14ac:dyDescent="0.25">
      <c r="A21244" s="1" t="s">
        <v>21243</v>
      </c>
      <c r="C21244" s="3">
        <v>1</v>
      </c>
    </row>
    <row r="21245" spans="1:3" x14ac:dyDescent="0.25">
      <c r="A21245" s="1" t="s">
        <v>21244</v>
      </c>
      <c r="C21245" s="3">
        <v>1</v>
      </c>
    </row>
    <row r="21246" spans="1:3" x14ac:dyDescent="0.25">
      <c r="A21246" s="1" t="s">
        <v>21245</v>
      </c>
      <c r="C21246" s="3">
        <v>1</v>
      </c>
    </row>
    <row r="21247" spans="1:3" x14ac:dyDescent="0.25">
      <c r="A21247" s="1" t="s">
        <v>21246</v>
      </c>
      <c r="C21247" s="3">
        <v>1</v>
      </c>
    </row>
    <row r="21248" spans="1:3" x14ac:dyDescent="0.25">
      <c r="A21248" s="1" t="s">
        <v>21247</v>
      </c>
      <c r="C21248" s="3">
        <v>1</v>
      </c>
    </row>
    <row r="21249" spans="1:3" x14ac:dyDescent="0.25">
      <c r="A21249" s="1" t="s">
        <v>21248</v>
      </c>
      <c r="C21249" s="3">
        <v>1</v>
      </c>
    </row>
    <row r="21250" spans="1:3" x14ac:dyDescent="0.25">
      <c r="A21250" s="1" t="s">
        <v>21249</v>
      </c>
      <c r="C21250" s="3">
        <v>1</v>
      </c>
    </row>
    <row r="21251" spans="1:3" x14ac:dyDescent="0.25">
      <c r="A21251" s="1" t="s">
        <v>21250</v>
      </c>
      <c r="C21251" s="3">
        <v>1</v>
      </c>
    </row>
    <row r="21252" spans="1:3" x14ac:dyDescent="0.25">
      <c r="A21252" s="1" t="s">
        <v>21251</v>
      </c>
      <c r="C21252" s="3">
        <v>1</v>
      </c>
    </row>
    <row r="21253" spans="1:3" x14ac:dyDescent="0.25">
      <c r="A21253" s="1" t="s">
        <v>21252</v>
      </c>
      <c r="C21253" s="3">
        <v>1</v>
      </c>
    </row>
    <row r="21254" spans="1:3" x14ac:dyDescent="0.25">
      <c r="A21254" s="1" t="s">
        <v>21253</v>
      </c>
      <c r="C21254" s="3">
        <v>1</v>
      </c>
    </row>
    <row r="21255" spans="1:3" x14ac:dyDescent="0.25">
      <c r="A21255" s="1" t="s">
        <v>21254</v>
      </c>
      <c r="C21255" s="3">
        <v>1</v>
      </c>
    </row>
    <row r="21256" spans="1:3" x14ac:dyDescent="0.25">
      <c r="A21256" s="1" t="s">
        <v>21255</v>
      </c>
      <c r="C21256" s="3">
        <v>1</v>
      </c>
    </row>
    <row r="21257" spans="1:3" x14ac:dyDescent="0.25">
      <c r="A21257" s="1" t="s">
        <v>21256</v>
      </c>
      <c r="C21257" s="3">
        <v>1</v>
      </c>
    </row>
    <row r="21258" spans="1:3" x14ac:dyDescent="0.25">
      <c r="A21258" s="1" t="s">
        <v>21257</v>
      </c>
      <c r="C21258" s="3">
        <v>1</v>
      </c>
    </row>
    <row r="21259" spans="1:3" x14ac:dyDescent="0.25">
      <c r="A21259" s="1" t="s">
        <v>21258</v>
      </c>
      <c r="C21259" s="3">
        <v>1</v>
      </c>
    </row>
    <row r="21260" spans="1:3" x14ac:dyDescent="0.25">
      <c r="A21260" s="1" t="s">
        <v>21259</v>
      </c>
      <c r="C21260" s="3">
        <v>1</v>
      </c>
    </row>
    <row r="21261" spans="1:3" x14ac:dyDescent="0.25">
      <c r="A21261" s="1" t="s">
        <v>21260</v>
      </c>
      <c r="C21261" s="3">
        <v>1</v>
      </c>
    </row>
    <row r="21262" spans="1:3" x14ac:dyDescent="0.25">
      <c r="A21262" s="1" t="s">
        <v>21261</v>
      </c>
      <c r="C21262" s="3">
        <v>1</v>
      </c>
    </row>
    <row r="21263" spans="1:3" x14ac:dyDescent="0.25">
      <c r="A21263" s="1" t="s">
        <v>21262</v>
      </c>
      <c r="C21263" s="3">
        <v>1</v>
      </c>
    </row>
    <row r="21264" spans="1:3" x14ac:dyDescent="0.25">
      <c r="A21264" s="1" t="s">
        <v>21263</v>
      </c>
      <c r="C21264" s="3">
        <v>1</v>
      </c>
    </row>
    <row r="21265" spans="1:3" x14ac:dyDescent="0.25">
      <c r="A21265" s="1" t="s">
        <v>21264</v>
      </c>
      <c r="C21265" s="3">
        <v>1</v>
      </c>
    </row>
    <row r="21266" spans="1:3" x14ac:dyDescent="0.25">
      <c r="A21266" s="1" t="s">
        <v>21265</v>
      </c>
      <c r="C21266" s="3">
        <v>1</v>
      </c>
    </row>
    <row r="21267" spans="1:3" x14ac:dyDescent="0.25">
      <c r="A21267" s="1" t="s">
        <v>21266</v>
      </c>
      <c r="C21267" s="3">
        <v>1</v>
      </c>
    </row>
    <row r="21268" spans="1:3" x14ac:dyDescent="0.25">
      <c r="A21268" s="1" t="s">
        <v>21267</v>
      </c>
      <c r="C21268" s="3">
        <v>1</v>
      </c>
    </row>
    <row r="21269" spans="1:3" x14ac:dyDescent="0.25">
      <c r="A21269" s="1" t="s">
        <v>21268</v>
      </c>
      <c r="C21269" s="3">
        <v>1</v>
      </c>
    </row>
    <row r="21270" spans="1:3" x14ac:dyDescent="0.25">
      <c r="A21270" s="1" t="s">
        <v>21269</v>
      </c>
      <c r="C21270" s="3">
        <v>1</v>
      </c>
    </row>
    <row r="21271" spans="1:3" x14ac:dyDescent="0.25">
      <c r="A21271" s="1" t="s">
        <v>21270</v>
      </c>
      <c r="C21271" s="3">
        <v>1</v>
      </c>
    </row>
    <row r="21272" spans="1:3" x14ac:dyDescent="0.25">
      <c r="A21272" s="1" t="s">
        <v>21271</v>
      </c>
      <c r="C21272" s="3">
        <v>1</v>
      </c>
    </row>
    <row r="21273" spans="1:3" x14ac:dyDescent="0.25">
      <c r="A21273" s="1" t="s">
        <v>21272</v>
      </c>
      <c r="C21273" s="3">
        <v>1</v>
      </c>
    </row>
    <row r="21274" spans="1:3" x14ac:dyDescent="0.25">
      <c r="A21274" s="1" t="s">
        <v>21273</v>
      </c>
      <c r="C21274" s="3">
        <v>1</v>
      </c>
    </row>
    <row r="21275" spans="1:3" x14ac:dyDescent="0.25">
      <c r="A21275" s="1" t="s">
        <v>21274</v>
      </c>
      <c r="C21275" s="3">
        <v>1</v>
      </c>
    </row>
    <row r="21276" spans="1:3" x14ac:dyDescent="0.25">
      <c r="A21276" s="1" t="s">
        <v>21275</v>
      </c>
      <c r="C21276" s="3">
        <v>1</v>
      </c>
    </row>
    <row r="21277" spans="1:3" x14ac:dyDescent="0.25">
      <c r="A21277" s="1" t="s">
        <v>21276</v>
      </c>
      <c r="C21277" s="3">
        <v>1</v>
      </c>
    </row>
    <row r="21278" spans="1:3" x14ac:dyDescent="0.25">
      <c r="A21278" s="1" t="s">
        <v>21277</v>
      </c>
      <c r="C21278" s="3">
        <v>1</v>
      </c>
    </row>
    <row r="21279" spans="1:3" x14ac:dyDescent="0.25">
      <c r="A21279" s="1" t="s">
        <v>21278</v>
      </c>
      <c r="C21279" s="3">
        <v>1</v>
      </c>
    </row>
    <row r="21280" spans="1:3" x14ac:dyDescent="0.25">
      <c r="A21280" s="1" t="s">
        <v>21279</v>
      </c>
      <c r="C21280" s="3">
        <v>1</v>
      </c>
    </row>
    <row r="21281" spans="1:3" x14ac:dyDescent="0.25">
      <c r="A21281" s="1" t="s">
        <v>21280</v>
      </c>
      <c r="C21281" s="3">
        <v>1</v>
      </c>
    </row>
    <row r="21282" spans="1:3" x14ac:dyDescent="0.25">
      <c r="A21282" s="1" t="s">
        <v>21281</v>
      </c>
      <c r="C21282" s="3">
        <v>1</v>
      </c>
    </row>
    <row r="21283" spans="1:3" x14ac:dyDescent="0.25">
      <c r="A21283" s="1" t="s">
        <v>21282</v>
      </c>
      <c r="C21283" s="3">
        <v>1</v>
      </c>
    </row>
    <row r="21284" spans="1:3" x14ac:dyDescent="0.25">
      <c r="A21284" s="1" t="s">
        <v>21283</v>
      </c>
      <c r="C21284" s="3">
        <v>1</v>
      </c>
    </row>
    <row r="21285" spans="1:3" x14ac:dyDescent="0.25">
      <c r="A21285" s="1" t="s">
        <v>21284</v>
      </c>
      <c r="C21285" s="3">
        <v>1</v>
      </c>
    </row>
    <row r="21286" spans="1:3" x14ac:dyDescent="0.25">
      <c r="A21286" s="1" t="s">
        <v>21285</v>
      </c>
      <c r="C21286" s="3">
        <v>1</v>
      </c>
    </row>
    <row r="21287" spans="1:3" x14ac:dyDescent="0.25">
      <c r="A21287" s="1" t="s">
        <v>21286</v>
      </c>
      <c r="C21287" s="3">
        <v>1</v>
      </c>
    </row>
    <row r="21288" spans="1:3" x14ac:dyDescent="0.25">
      <c r="A21288" s="1" t="s">
        <v>21287</v>
      </c>
      <c r="C21288" s="3">
        <v>1</v>
      </c>
    </row>
    <row r="21289" spans="1:3" x14ac:dyDescent="0.25">
      <c r="A21289" s="1" t="s">
        <v>21288</v>
      </c>
      <c r="C21289" s="3">
        <v>1</v>
      </c>
    </row>
    <row r="21290" spans="1:3" x14ac:dyDescent="0.25">
      <c r="A21290" s="1" t="s">
        <v>21289</v>
      </c>
      <c r="C21290" s="3">
        <v>1</v>
      </c>
    </row>
    <row r="21291" spans="1:3" x14ac:dyDescent="0.25">
      <c r="A21291" s="1" t="s">
        <v>21290</v>
      </c>
      <c r="C21291" s="3">
        <v>1</v>
      </c>
    </row>
    <row r="21292" spans="1:3" x14ac:dyDescent="0.25">
      <c r="A21292" s="1" t="s">
        <v>21291</v>
      </c>
      <c r="C21292" s="3">
        <v>1</v>
      </c>
    </row>
    <row r="21293" spans="1:3" x14ac:dyDescent="0.25">
      <c r="A21293" s="1" t="s">
        <v>21292</v>
      </c>
      <c r="C21293" s="3">
        <v>1</v>
      </c>
    </row>
    <row r="21294" spans="1:3" x14ac:dyDescent="0.25">
      <c r="A21294" s="1" t="s">
        <v>21293</v>
      </c>
      <c r="C21294" s="3">
        <v>1</v>
      </c>
    </row>
    <row r="21295" spans="1:3" x14ac:dyDescent="0.25">
      <c r="A21295" s="1" t="s">
        <v>21294</v>
      </c>
      <c r="C21295" s="3">
        <v>1</v>
      </c>
    </row>
    <row r="21296" spans="1:3" x14ac:dyDescent="0.25">
      <c r="A21296" s="1" t="s">
        <v>21295</v>
      </c>
      <c r="C21296" s="3">
        <v>1</v>
      </c>
    </row>
    <row r="21297" spans="1:3" x14ac:dyDescent="0.25">
      <c r="A21297" s="1" t="s">
        <v>21296</v>
      </c>
      <c r="C21297" s="3">
        <v>1</v>
      </c>
    </row>
    <row r="21298" spans="1:3" x14ac:dyDescent="0.25">
      <c r="A21298" s="1" t="s">
        <v>21297</v>
      </c>
      <c r="C21298" s="3">
        <v>1</v>
      </c>
    </row>
    <row r="21299" spans="1:3" x14ac:dyDescent="0.25">
      <c r="A21299" s="1" t="s">
        <v>21298</v>
      </c>
      <c r="C21299" s="3">
        <v>1</v>
      </c>
    </row>
    <row r="21300" spans="1:3" x14ac:dyDescent="0.25">
      <c r="A21300" s="1" t="s">
        <v>21299</v>
      </c>
      <c r="C21300" s="3">
        <v>1</v>
      </c>
    </row>
    <row r="21301" spans="1:3" x14ac:dyDescent="0.25">
      <c r="A21301" s="1" t="s">
        <v>21300</v>
      </c>
      <c r="C21301" s="3">
        <v>1</v>
      </c>
    </row>
    <row r="21302" spans="1:3" x14ac:dyDescent="0.25">
      <c r="A21302" s="1" t="s">
        <v>21301</v>
      </c>
      <c r="C21302" s="3">
        <v>1</v>
      </c>
    </row>
    <row r="21303" spans="1:3" x14ac:dyDescent="0.25">
      <c r="A21303" s="1" t="s">
        <v>21302</v>
      </c>
      <c r="C21303" s="3">
        <v>1</v>
      </c>
    </row>
    <row r="21304" spans="1:3" x14ac:dyDescent="0.25">
      <c r="A21304" s="1" t="s">
        <v>21303</v>
      </c>
      <c r="C21304" s="3">
        <v>1</v>
      </c>
    </row>
    <row r="21305" spans="1:3" x14ac:dyDescent="0.25">
      <c r="A21305" s="1" t="s">
        <v>21304</v>
      </c>
      <c r="C21305" s="3">
        <v>1</v>
      </c>
    </row>
    <row r="21306" spans="1:3" x14ac:dyDescent="0.25">
      <c r="A21306" s="1" t="s">
        <v>21305</v>
      </c>
      <c r="C21306" s="3">
        <v>1</v>
      </c>
    </row>
    <row r="21307" spans="1:3" x14ac:dyDescent="0.25">
      <c r="A21307" s="1" t="s">
        <v>21306</v>
      </c>
      <c r="C21307" s="3">
        <v>1</v>
      </c>
    </row>
    <row r="21308" spans="1:3" x14ac:dyDescent="0.25">
      <c r="A21308" s="1" t="s">
        <v>21307</v>
      </c>
      <c r="C21308" s="3">
        <v>1</v>
      </c>
    </row>
    <row r="21309" spans="1:3" x14ac:dyDescent="0.25">
      <c r="A21309" s="1" t="s">
        <v>21308</v>
      </c>
      <c r="C21309" s="3">
        <v>1</v>
      </c>
    </row>
    <row r="21310" spans="1:3" x14ac:dyDescent="0.25">
      <c r="A21310" s="1" t="s">
        <v>21309</v>
      </c>
      <c r="C21310" s="3">
        <v>1</v>
      </c>
    </row>
    <row r="21311" spans="1:3" x14ac:dyDescent="0.25">
      <c r="A21311" s="1" t="s">
        <v>21310</v>
      </c>
      <c r="C21311" s="3">
        <v>1</v>
      </c>
    </row>
    <row r="21312" spans="1:3" x14ac:dyDescent="0.25">
      <c r="A21312" s="1" t="s">
        <v>21311</v>
      </c>
      <c r="C21312" s="3">
        <v>1</v>
      </c>
    </row>
    <row r="21313" spans="1:3" x14ac:dyDescent="0.25">
      <c r="A21313" s="1" t="s">
        <v>21312</v>
      </c>
      <c r="C21313" s="3">
        <v>1</v>
      </c>
    </row>
    <row r="21314" spans="1:3" x14ac:dyDescent="0.25">
      <c r="A21314" s="1" t="s">
        <v>21313</v>
      </c>
      <c r="C21314" s="3">
        <v>1</v>
      </c>
    </row>
    <row r="21315" spans="1:3" x14ac:dyDescent="0.25">
      <c r="A21315" s="1" t="s">
        <v>21314</v>
      </c>
      <c r="C21315" s="3">
        <v>1</v>
      </c>
    </row>
    <row r="21316" spans="1:3" x14ac:dyDescent="0.25">
      <c r="A21316" s="1" t="s">
        <v>21315</v>
      </c>
      <c r="C21316" s="3">
        <v>1</v>
      </c>
    </row>
    <row r="21317" spans="1:3" x14ac:dyDescent="0.25">
      <c r="A21317" s="1" t="s">
        <v>21316</v>
      </c>
      <c r="C21317" s="3">
        <v>1</v>
      </c>
    </row>
    <row r="21318" spans="1:3" x14ac:dyDescent="0.25">
      <c r="A21318" s="1" t="s">
        <v>21317</v>
      </c>
      <c r="C21318" s="3">
        <v>1</v>
      </c>
    </row>
    <row r="21319" spans="1:3" x14ac:dyDescent="0.25">
      <c r="A21319" s="1" t="s">
        <v>21318</v>
      </c>
      <c r="C21319" s="3">
        <v>1</v>
      </c>
    </row>
    <row r="21320" spans="1:3" x14ac:dyDescent="0.25">
      <c r="A21320" s="1" t="s">
        <v>21319</v>
      </c>
      <c r="C21320" s="3">
        <v>1</v>
      </c>
    </row>
    <row r="21321" spans="1:3" x14ac:dyDescent="0.25">
      <c r="A21321" s="1" t="s">
        <v>21320</v>
      </c>
      <c r="C21321" s="3">
        <v>1</v>
      </c>
    </row>
    <row r="21322" spans="1:3" x14ac:dyDescent="0.25">
      <c r="A21322" s="1" t="s">
        <v>21321</v>
      </c>
      <c r="C21322" s="3">
        <v>1</v>
      </c>
    </row>
    <row r="21323" spans="1:3" x14ac:dyDescent="0.25">
      <c r="A21323" s="1" t="s">
        <v>21322</v>
      </c>
      <c r="C21323" s="3">
        <v>1</v>
      </c>
    </row>
    <row r="21324" spans="1:3" x14ac:dyDescent="0.25">
      <c r="A21324" s="1" t="s">
        <v>21323</v>
      </c>
      <c r="C21324" s="3">
        <v>1</v>
      </c>
    </row>
    <row r="21325" spans="1:3" x14ac:dyDescent="0.25">
      <c r="A21325" s="1" t="s">
        <v>21324</v>
      </c>
      <c r="C21325" s="3">
        <v>1</v>
      </c>
    </row>
    <row r="21326" spans="1:3" x14ac:dyDescent="0.25">
      <c r="A21326" s="1" t="s">
        <v>21325</v>
      </c>
      <c r="C21326" s="3">
        <v>1</v>
      </c>
    </row>
    <row r="21327" spans="1:3" x14ac:dyDescent="0.25">
      <c r="A21327" s="1" t="s">
        <v>21326</v>
      </c>
      <c r="C21327" s="3">
        <v>1</v>
      </c>
    </row>
    <row r="21328" spans="1:3" x14ac:dyDescent="0.25">
      <c r="A21328" s="1" t="s">
        <v>21327</v>
      </c>
      <c r="C21328" s="3">
        <v>1</v>
      </c>
    </row>
    <row r="21329" spans="1:3" x14ac:dyDescent="0.25">
      <c r="A21329" s="1" t="s">
        <v>21328</v>
      </c>
      <c r="C21329" s="3">
        <v>1</v>
      </c>
    </row>
    <row r="21330" spans="1:3" x14ac:dyDescent="0.25">
      <c r="A21330" s="1" t="s">
        <v>21329</v>
      </c>
      <c r="C21330" s="3">
        <v>1</v>
      </c>
    </row>
    <row r="21331" spans="1:3" x14ac:dyDescent="0.25">
      <c r="A21331" s="1" t="s">
        <v>21330</v>
      </c>
      <c r="C21331" s="3">
        <v>1</v>
      </c>
    </row>
    <row r="21332" spans="1:3" x14ac:dyDescent="0.25">
      <c r="A21332" s="1" t="s">
        <v>21331</v>
      </c>
      <c r="C21332" s="3">
        <v>1</v>
      </c>
    </row>
    <row r="21333" spans="1:3" x14ac:dyDescent="0.25">
      <c r="A21333" s="1" t="s">
        <v>21332</v>
      </c>
      <c r="C21333" s="3">
        <v>1</v>
      </c>
    </row>
    <row r="21334" spans="1:3" x14ac:dyDescent="0.25">
      <c r="A21334" s="1" t="s">
        <v>21333</v>
      </c>
      <c r="C21334" s="3">
        <v>1</v>
      </c>
    </row>
    <row r="21335" spans="1:3" x14ac:dyDescent="0.25">
      <c r="A21335" s="1" t="s">
        <v>21334</v>
      </c>
      <c r="C21335" s="3">
        <v>1</v>
      </c>
    </row>
    <row r="21336" spans="1:3" x14ac:dyDescent="0.25">
      <c r="A21336" s="1" t="s">
        <v>21335</v>
      </c>
      <c r="C21336" s="3">
        <v>1</v>
      </c>
    </row>
    <row r="21337" spans="1:3" x14ac:dyDescent="0.25">
      <c r="A21337" s="1" t="s">
        <v>21336</v>
      </c>
      <c r="C21337" s="3">
        <v>1</v>
      </c>
    </row>
    <row r="21338" spans="1:3" x14ac:dyDescent="0.25">
      <c r="A21338" s="1" t="s">
        <v>21337</v>
      </c>
      <c r="C21338" s="3">
        <v>1</v>
      </c>
    </row>
    <row r="21339" spans="1:3" x14ac:dyDescent="0.25">
      <c r="A21339" s="1" t="s">
        <v>21338</v>
      </c>
      <c r="C21339" s="3">
        <v>1</v>
      </c>
    </row>
    <row r="21340" spans="1:3" x14ac:dyDescent="0.25">
      <c r="A21340" s="1" t="s">
        <v>21339</v>
      </c>
      <c r="C21340" s="3">
        <v>1</v>
      </c>
    </row>
    <row r="21341" spans="1:3" x14ac:dyDescent="0.25">
      <c r="A21341" s="1" t="s">
        <v>21340</v>
      </c>
      <c r="C21341" s="3">
        <v>1</v>
      </c>
    </row>
    <row r="21342" spans="1:3" x14ac:dyDescent="0.25">
      <c r="A21342" s="1" t="s">
        <v>21341</v>
      </c>
      <c r="C21342" s="3">
        <v>1</v>
      </c>
    </row>
    <row r="21343" spans="1:3" x14ac:dyDescent="0.25">
      <c r="A21343" s="1" t="s">
        <v>21342</v>
      </c>
      <c r="C21343" s="3">
        <v>1</v>
      </c>
    </row>
    <row r="21344" spans="1:3" x14ac:dyDescent="0.25">
      <c r="A21344" s="1" t="s">
        <v>21343</v>
      </c>
      <c r="C21344" s="3">
        <v>1</v>
      </c>
    </row>
    <row r="21345" spans="1:3" x14ac:dyDescent="0.25">
      <c r="A21345" s="1" t="s">
        <v>21344</v>
      </c>
      <c r="C21345" s="3">
        <v>1</v>
      </c>
    </row>
    <row r="21346" spans="1:3" x14ac:dyDescent="0.25">
      <c r="A21346" s="1" t="s">
        <v>21345</v>
      </c>
      <c r="C21346" s="3">
        <v>1</v>
      </c>
    </row>
    <row r="21347" spans="1:3" x14ac:dyDescent="0.25">
      <c r="A21347" s="1" t="s">
        <v>21346</v>
      </c>
      <c r="C21347" s="3">
        <v>1</v>
      </c>
    </row>
    <row r="21348" spans="1:3" x14ac:dyDescent="0.25">
      <c r="A21348" s="1" t="s">
        <v>21347</v>
      </c>
      <c r="C21348" s="3">
        <v>1</v>
      </c>
    </row>
    <row r="21349" spans="1:3" x14ac:dyDescent="0.25">
      <c r="A21349" s="1" t="s">
        <v>21348</v>
      </c>
      <c r="C21349" s="3">
        <v>1</v>
      </c>
    </row>
    <row r="21350" spans="1:3" x14ac:dyDescent="0.25">
      <c r="A21350" s="1" t="s">
        <v>21349</v>
      </c>
      <c r="C21350" s="3">
        <v>1</v>
      </c>
    </row>
    <row r="21351" spans="1:3" x14ac:dyDescent="0.25">
      <c r="A21351" s="1" t="s">
        <v>21350</v>
      </c>
      <c r="C21351" s="3">
        <v>1</v>
      </c>
    </row>
    <row r="21352" spans="1:3" x14ac:dyDescent="0.25">
      <c r="A21352" s="1" t="s">
        <v>21351</v>
      </c>
      <c r="C21352" s="3">
        <v>1</v>
      </c>
    </row>
    <row r="21353" spans="1:3" x14ac:dyDescent="0.25">
      <c r="A21353" s="1" t="s">
        <v>21352</v>
      </c>
      <c r="C21353" s="3">
        <v>1</v>
      </c>
    </row>
    <row r="21354" spans="1:3" x14ac:dyDescent="0.25">
      <c r="A21354" s="1" t="s">
        <v>21353</v>
      </c>
      <c r="C21354" s="3">
        <v>1</v>
      </c>
    </row>
    <row r="21355" spans="1:3" x14ac:dyDescent="0.25">
      <c r="A21355" s="1" t="s">
        <v>21354</v>
      </c>
      <c r="C21355" s="3">
        <v>1</v>
      </c>
    </row>
    <row r="21356" spans="1:3" x14ac:dyDescent="0.25">
      <c r="A21356" s="1" t="s">
        <v>21355</v>
      </c>
      <c r="C21356" s="3">
        <v>1</v>
      </c>
    </row>
    <row r="21357" spans="1:3" x14ac:dyDescent="0.25">
      <c r="A21357" s="1" t="s">
        <v>21356</v>
      </c>
      <c r="C21357" s="3">
        <v>1</v>
      </c>
    </row>
    <row r="21358" spans="1:3" x14ac:dyDescent="0.25">
      <c r="A21358" s="1" t="s">
        <v>21357</v>
      </c>
      <c r="C21358" s="3">
        <v>1</v>
      </c>
    </row>
    <row r="21359" spans="1:3" x14ac:dyDescent="0.25">
      <c r="A21359" s="1" t="s">
        <v>21358</v>
      </c>
      <c r="C21359" s="3">
        <v>1</v>
      </c>
    </row>
    <row r="21360" spans="1:3" x14ac:dyDescent="0.25">
      <c r="A21360" s="1" t="s">
        <v>21359</v>
      </c>
      <c r="C21360" s="3">
        <v>1</v>
      </c>
    </row>
    <row r="21361" spans="1:3" x14ac:dyDescent="0.25">
      <c r="A21361" s="1" t="s">
        <v>21360</v>
      </c>
      <c r="C21361" s="3">
        <v>1</v>
      </c>
    </row>
    <row r="21362" spans="1:3" x14ac:dyDescent="0.25">
      <c r="A21362" s="1" t="s">
        <v>21361</v>
      </c>
      <c r="C21362" s="3">
        <v>1</v>
      </c>
    </row>
    <row r="21363" spans="1:3" x14ac:dyDescent="0.25">
      <c r="A21363" s="1" t="s">
        <v>21362</v>
      </c>
      <c r="C21363" s="3">
        <v>1</v>
      </c>
    </row>
    <row r="21364" spans="1:3" x14ac:dyDescent="0.25">
      <c r="A21364" s="1" t="s">
        <v>21363</v>
      </c>
      <c r="C21364" s="3">
        <v>1</v>
      </c>
    </row>
    <row r="21365" spans="1:3" x14ac:dyDescent="0.25">
      <c r="A21365" s="1" t="s">
        <v>21364</v>
      </c>
      <c r="C21365" s="3">
        <v>1</v>
      </c>
    </row>
    <row r="21366" spans="1:3" x14ac:dyDescent="0.25">
      <c r="A21366" s="1" t="s">
        <v>21365</v>
      </c>
      <c r="C21366" s="3">
        <v>1</v>
      </c>
    </row>
    <row r="21367" spans="1:3" x14ac:dyDescent="0.25">
      <c r="A21367" s="1" t="s">
        <v>21366</v>
      </c>
      <c r="C21367" s="3">
        <v>1</v>
      </c>
    </row>
    <row r="21368" spans="1:3" x14ac:dyDescent="0.25">
      <c r="A21368" s="1" t="s">
        <v>21367</v>
      </c>
      <c r="C21368" s="3">
        <v>1</v>
      </c>
    </row>
    <row r="21369" spans="1:3" x14ac:dyDescent="0.25">
      <c r="A21369" s="1" t="s">
        <v>21368</v>
      </c>
      <c r="C21369" s="3">
        <v>1</v>
      </c>
    </row>
    <row r="21370" spans="1:3" x14ac:dyDescent="0.25">
      <c r="A21370" s="1" t="s">
        <v>21369</v>
      </c>
      <c r="C21370" s="3">
        <v>1</v>
      </c>
    </row>
    <row r="21371" spans="1:3" x14ac:dyDescent="0.25">
      <c r="A21371" s="1" t="s">
        <v>21370</v>
      </c>
      <c r="C21371" s="3">
        <v>1</v>
      </c>
    </row>
    <row r="21372" spans="1:3" x14ac:dyDescent="0.25">
      <c r="A21372" s="1" t="s">
        <v>21371</v>
      </c>
      <c r="C21372" s="3">
        <v>1</v>
      </c>
    </row>
    <row r="21373" spans="1:3" x14ac:dyDescent="0.25">
      <c r="A21373" s="1" t="s">
        <v>21372</v>
      </c>
      <c r="C21373" s="3">
        <v>1</v>
      </c>
    </row>
    <row r="21374" spans="1:3" x14ac:dyDescent="0.25">
      <c r="A21374" s="1" t="s">
        <v>21373</v>
      </c>
      <c r="C21374" s="3">
        <v>1</v>
      </c>
    </row>
    <row r="21375" spans="1:3" x14ac:dyDescent="0.25">
      <c r="A21375" s="1" t="s">
        <v>21374</v>
      </c>
      <c r="C21375" s="3">
        <v>1</v>
      </c>
    </row>
    <row r="21376" spans="1:3" x14ac:dyDescent="0.25">
      <c r="A21376" s="1" t="s">
        <v>21375</v>
      </c>
      <c r="C21376" s="3">
        <v>1</v>
      </c>
    </row>
    <row r="21377" spans="1:3" x14ac:dyDescent="0.25">
      <c r="A21377" s="1" t="s">
        <v>21376</v>
      </c>
      <c r="C21377" s="3">
        <v>1</v>
      </c>
    </row>
    <row r="21378" spans="1:3" x14ac:dyDescent="0.25">
      <c r="A21378" s="1" t="s">
        <v>21377</v>
      </c>
      <c r="C21378" s="3">
        <v>1</v>
      </c>
    </row>
    <row r="21379" spans="1:3" x14ac:dyDescent="0.25">
      <c r="A21379" s="1" t="s">
        <v>21378</v>
      </c>
      <c r="C21379" s="3">
        <v>1</v>
      </c>
    </row>
    <row r="21380" spans="1:3" x14ac:dyDescent="0.25">
      <c r="A21380" s="1" t="s">
        <v>21379</v>
      </c>
      <c r="C21380" s="3">
        <v>1</v>
      </c>
    </row>
    <row r="21381" spans="1:3" x14ac:dyDescent="0.25">
      <c r="A21381" s="1" t="s">
        <v>21380</v>
      </c>
      <c r="C21381" s="3">
        <v>1</v>
      </c>
    </row>
    <row r="21382" spans="1:3" x14ac:dyDescent="0.25">
      <c r="A21382" s="1" t="s">
        <v>21381</v>
      </c>
      <c r="C21382" s="3">
        <v>1</v>
      </c>
    </row>
    <row r="21383" spans="1:3" x14ac:dyDescent="0.25">
      <c r="A21383" s="1" t="s">
        <v>21382</v>
      </c>
      <c r="C21383" s="3">
        <v>1</v>
      </c>
    </row>
    <row r="21384" spans="1:3" x14ac:dyDescent="0.25">
      <c r="A21384" s="1" t="s">
        <v>21383</v>
      </c>
      <c r="C21384" s="3">
        <v>1</v>
      </c>
    </row>
    <row r="21385" spans="1:3" x14ac:dyDescent="0.25">
      <c r="A21385" s="1" t="s">
        <v>21384</v>
      </c>
      <c r="C21385" s="3">
        <v>1</v>
      </c>
    </row>
    <row r="21386" spans="1:3" x14ac:dyDescent="0.25">
      <c r="A21386" s="1" t="s">
        <v>21385</v>
      </c>
      <c r="C21386" s="3">
        <v>1</v>
      </c>
    </row>
    <row r="21387" spans="1:3" x14ac:dyDescent="0.25">
      <c r="A21387" s="1" t="s">
        <v>21386</v>
      </c>
      <c r="C21387" s="3">
        <v>1</v>
      </c>
    </row>
    <row r="21388" spans="1:3" x14ac:dyDescent="0.25">
      <c r="A21388" s="1" t="s">
        <v>21387</v>
      </c>
      <c r="C21388" s="3">
        <v>1</v>
      </c>
    </row>
    <row r="21389" spans="1:3" x14ac:dyDescent="0.25">
      <c r="A21389" s="1" t="s">
        <v>21388</v>
      </c>
      <c r="C21389" s="3">
        <v>1</v>
      </c>
    </row>
    <row r="21390" spans="1:3" x14ac:dyDescent="0.25">
      <c r="A21390" s="1" t="s">
        <v>21389</v>
      </c>
      <c r="C21390" s="3">
        <v>1</v>
      </c>
    </row>
    <row r="21391" spans="1:3" x14ac:dyDescent="0.25">
      <c r="A21391" s="1" t="s">
        <v>21390</v>
      </c>
      <c r="C21391" s="3">
        <v>1</v>
      </c>
    </row>
    <row r="21392" spans="1:3" x14ac:dyDescent="0.25">
      <c r="A21392" s="1" t="s">
        <v>21391</v>
      </c>
      <c r="C21392" s="3">
        <v>1</v>
      </c>
    </row>
    <row r="21393" spans="1:3" x14ac:dyDescent="0.25">
      <c r="A21393" s="1" t="s">
        <v>21392</v>
      </c>
      <c r="C21393" s="3">
        <v>1</v>
      </c>
    </row>
    <row r="21394" spans="1:3" x14ac:dyDescent="0.25">
      <c r="A21394" s="1" t="s">
        <v>21393</v>
      </c>
      <c r="C21394" s="3">
        <v>1</v>
      </c>
    </row>
    <row r="21395" spans="1:3" x14ac:dyDescent="0.25">
      <c r="A21395" s="1" t="s">
        <v>21394</v>
      </c>
      <c r="C21395" s="3">
        <v>1</v>
      </c>
    </row>
    <row r="21396" spans="1:3" x14ac:dyDescent="0.25">
      <c r="A21396" s="1" t="s">
        <v>21395</v>
      </c>
      <c r="C21396" s="3">
        <v>1</v>
      </c>
    </row>
    <row r="21397" spans="1:3" x14ac:dyDescent="0.25">
      <c r="A21397" s="1" t="s">
        <v>21396</v>
      </c>
      <c r="C21397" s="3">
        <v>1</v>
      </c>
    </row>
    <row r="21398" spans="1:3" x14ac:dyDescent="0.25">
      <c r="A21398" s="1" t="s">
        <v>21397</v>
      </c>
      <c r="C21398" s="3">
        <v>1</v>
      </c>
    </row>
    <row r="21399" spans="1:3" x14ac:dyDescent="0.25">
      <c r="A21399" s="1" t="s">
        <v>21398</v>
      </c>
      <c r="C21399" s="3">
        <v>1</v>
      </c>
    </row>
    <row r="21400" spans="1:3" x14ac:dyDescent="0.25">
      <c r="A21400" s="1" t="s">
        <v>21399</v>
      </c>
      <c r="C21400" s="3">
        <v>1</v>
      </c>
    </row>
    <row r="21401" spans="1:3" x14ac:dyDescent="0.25">
      <c r="A21401" s="1" t="s">
        <v>21400</v>
      </c>
      <c r="C21401" s="3">
        <v>1</v>
      </c>
    </row>
    <row r="21402" spans="1:3" x14ac:dyDescent="0.25">
      <c r="A21402" s="1" t="s">
        <v>21401</v>
      </c>
      <c r="C21402" s="3">
        <v>1</v>
      </c>
    </row>
    <row r="21403" spans="1:3" x14ac:dyDescent="0.25">
      <c r="A21403" s="1" t="s">
        <v>21402</v>
      </c>
      <c r="C21403" s="3">
        <v>1</v>
      </c>
    </row>
    <row r="21404" spans="1:3" x14ac:dyDescent="0.25">
      <c r="A21404" s="1" t="s">
        <v>21403</v>
      </c>
      <c r="C21404" s="3">
        <v>1</v>
      </c>
    </row>
    <row r="21405" spans="1:3" x14ac:dyDescent="0.25">
      <c r="A21405" s="1" t="s">
        <v>21404</v>
      </c>
      <c r="C21405" s="3">
        <v>1</v>
      </c>
    </row>
    <row r="21406" spans="1:3" x14ac:dyDescent="0.25">
      <c r="A21406" s="1" t="s">
        <v>21405</v>
      </c>
      <c r="C21406" s="3">
        <v>1</v>
      </c>
    </row>
    <row r="21407" spans="1:3" x14ac:dyDescent="0.25">
      <c r="A21407" s="1" t="s">
        <v>21406</v>
      </c>
      <c r="C21407" s="3">
        <v>1</v>
      </c>
    </row>
    <row r="21408" spans="1:3" x14ac:dyDescent="0.25">
      <c r="A21408" s="1" t="s">
        <v>21407</v>
      </c>
      <c r="C21408" s="3">
        <v>1</v>
      </c>
    </row>
    <row r="21409" spans="1:3" x14ac:dyDescent="0.25">
      <c r="A21409" s="1" t="s">
        <v>21408</v>
      </c>
      <c r="C21409" s="3">
        <v>1</v>
      </c>
    </row>
    <row r="21410" spans="1:3" x14ac:dyDescent="0.25">
      <c r="A21410" s="1" t="s">
        <v>21409</v>
      </c>
      <c r="C21410" s="3">
        <v>1</v>
      </c>
    </row>
    <row r="21411" spans="1:3" x14ac:dyDescent="0.25">
      <c r="A21411" s="1" t="s">
        <v>21410</v>
      </c>
      <c r="C21411" s="3">
        <v>1</v>
      </c>
    </row>
    <row r="21412" spans="1:3" x14ac:dyDescent="0.25">
      <c r="A21412" s="1" t="s">
        <v>21411</v>
      </c>
      <c r="C21412" s="3">
        <v>1</v>
      </c>
    </row>
    <row r="21413" spans="1:3" x14ac:dyDescent="0.25">
      <c r="A21413" s="1" t="s">
        <v>21412</v>
      </c>
      <c r="C21413" s="3">
        <v>1</v>
      </c>
    </row>
    <row r="21414" spans="1:3" x14ac:dyDescent="0.25">
      <c r="A21414" s="1" t="s">
        <v>21413</v>
      </c>
      <c r="C21414" s="3">
        <v>1</v>
      </c>
    </row>
    <row r="21415" spans="1:3" x14ac:dyDescent="0.25">
      <c r="A21415" s="1" t="s">
        <v>21414</v>
      </c>
      <c r="C21415" s="3">
        <v>1</v>
      </c>
    </row>
    <row r="21416" spans="1:3" x14ac:dyDescent="0.25">
      <c r="A21416" s="1" t="s">
        <v>21415</v>
      </c>
      <c r="C21416" s="3">
        <v>1</v>
      </c>
    </row>
    <row r="21417" spans="1:3" x14ac:dyDescent="0.25">
      <c r="A21417" s="1" t="s">
        <v>21416</v>
      </c>
      <c r="C21417" s="3">
        <v>1</v>
      </c>
    </row>
    <row r="21418" spans="1:3" x14ac:dyDescent="0.25">
      <c r="A21418" s="1" t="s">
        <v>21417</v>
      </c>
      <c r="C21418" s="3">
        <v>1</v>
      </c>
    </row>
    <row r="21419" spans="1:3" x14ac:dyDescent="0.25">
      <c r="A21419" s="1" t="s">
        <v>21418</v>
      </c>
      <c r="C21419" s="3">
        <v>1</v>
      </c>
    </row>
    <row r="21420" spans="1:3" x14ac:dyDescent="0.25">
      <c r="A21420" s="1" t="s">
        <v>21419</v>
      </c>
      <c r="C21420" s="3">
        <v>1</v>
      </c>
    </row>
    <row r="21421" spans="1:3" x14ac:dyDescent="0.25">
      <c r="A21421" s="1" t="s">
        <v>21420</v>
      </c>
      <c r="C21421" s="3">
        <v>1</v>
      </c>
    </row>
    <row r="21422" spans="1:3" x14ac:dyDescent="0.25">
      <c r="A21422" s="1" t="s">
        <v>21421</v>
      </c>
      <c r="C21422" s="3">
        <v>1</v>
      </c>
    </row>
    <row r="21423" spans="1:3" x14ac:dyDescent="0.25">
      <c r="A21423" s="1" t="s">
        <v>21422</v>
      </c>
      <c r="C21423" s="3">
        <v>1</v>
      </c>
    </row>
    <row r="21424" spans="1:3" x14ac:dyDescent="0.25">
      <c r="A21424" s="1" t="s">
        <v>21423</v>
      </c>
      <c r="C21424" s="3">
        <v>1</v>
      </c>
    </row>
    <row r="21425" spans="1:3" x14ac:dyDescent="0.25">
      <c r="A21425" s="1" t="s">
        <v>21424</v>
      </c>
      <c r="C21425" s="3">
        <v>1</v>
      </c>
    </row>
    <row r="21426" spans="1:3" x14ac:dyDescent="0.25">
      <c r="A21426" s="1" t="s">
        <v>21425</v>
      </c>
      <c r="C21426" s="3">
        <v>1</v>
      </c>
    </row>
    <row r="21427" spans="1:3" x14ac:dyDescent="0.25">
      <c r="A21427" s="1" t="s">
        <v>21426</v>
      </c>
      <c r="C21427" s="3">
        <v>1</v>
      </c>
    </row>
    <row r="21428" spans="1:3" x14ac:dyDescent="0.25">
      <c r="A21428" s="1" t="s">
        <v>21427</v>
      </c>
      <c r="C21428" s="3">
        <v>1</v>
      </c>
    </row>
    <row r="21429" spans="1:3" x14ac:dyDescent="0.25">
      <c r="A21429" s="1" t="s">
        <v>21428</v>
      </c>
      <c r="C21429" s="3">
        <v>1</v>
      </c>
    </row>
    <row r="21430" spans="1:3" x14ac:dyDescent="0.25">
      <c r="A21430" s="1" t="s">
        <v>21429</v>
      </c>
      <c r="C21430" s="3">
        <v>1</v>
      </c>
    </row>
    <row r="21431" spans="1:3" x14ac:dyDescent="0.25">
      <c r="A21431" s="1" t="s">
        <v>21430</v>
      </c>
      <c r="C21431" s="3">
        <v>1</v>
      </c>
    </row>
    <row r="21432" spans="1:3" x14ac:dyDescent="0.25">
      <c r="A21432" s="1" t="s">
        <v>21431</v>
      </c>
      <c r="C21432" s="3">
        <v>1</v>
      </c>
    </row>
    <row r="21433" spans="1:3" x14ac:dyDescent="0.25">
      <c r="A21433" s="1" t="s">
        <v>21432</v>
      </c>
      <c r="C21433" s="3">
        <v>1</v>
      </c>
    </row>
    <row r="21434" spans="1:3" x14ac:dyDescent="0.25">
      <c r="A21434" s="1" t="s">
        <v>21433</v>
      </c>
      <c r="C21434" s="3">
        <v>1</v>
      </c>
    </row>
    <row r="21435" spans="1:3" x14ac:dyDescent="0.25">
      <c r="A21435" s="1" t="s">
        <v>21434</v>
      </c>
      <c r="C21435" s="3">
        <v>1</v>
      </c>
    </row>
    <row r="21436" spans="1:3" x14ac:dyDescent="0.25">
      <c r="A21436" s="1" t="s">
        <v>21435</v>
      </c>
      <c r="C21436" s="3">
        <v>1</v>
      </c>
    </row>
    <row r="21437" spans="1:3" x14ac:dyDescent="0.25">
      <c r="A21437" s="1" t="s">
        <v>21436</v>
      </c>
      <c r="C21437" s="3">
        <v>1</v>
      </c>
    </row>
    <row r="21438" spans="1:3" x14ac:dyDescent="0.25">
      <c r="A21438" s="1" t="s">
        <v>21437</v>
      </c>
      <c r="C21438" s="3">
        <v>1</v>
      </c>
    </row>
    <row r="21439" spans="1:3" x14ac:dyDescent="0.25">
      <c r="A21439" s="1" t="s">
        <v>21438</v>
      </c>
      <c r="C21439" s="3">
        <v>1</v>
      </c>
    </row>
    <row r="21440" spans="1:3" x14ac:dyDescent="0.25">
      <c r="A21440" s="1" t="s">
        <v>21439</v>
      </c>
      <c r="C21440" s="3">
        <v>1</v>
      </c>
    </row>
    <row r="21441" spans="1:3" x14ac:dyDescent="0.25">
      <c r="A21441" s="1" t="s">
        <v>21440</v>
      </c>
      <c r="C21441" s="3">
        <v>1</v>
      </c>
    </row>
    <row r="21442" spans="1:3" x14ac:dyDescent="0.25">
      <c r="A21442" s="1" t="s">
        <v>21441</v>
      </c>
      <c r="C21442" s="3">
        <v>1</v>
      </c>
    </row>
    <row r="21443" spans="1:3" x14ac:dyDescent="0.25">
      <c r="A21443" s="1" t="s">
        <v>21442</v>
      </c>
      <c r="C21443" s="3">
        <v>1</v>
      </c>
    </row>
    <row r="21444" spans="1:3" x14ac:dyDescent="0.25">
      <c r="A21444" s="1" t="s">
        <v>21443</v>
      </c>
      <c r="C21444" s="3">
        <v>1</v>
      </c>
    </row>
    <row r="21445" spans="1:3" x14ac:dyDescent="0.25">
      <c r="A21445" s="1" t="s">
        <v>21444</v>
      </c>
      <c r="C21445" s="3">
        <v>1</v>
      </c>
    </row>
    <row r="21446" spans="1:3" x14ac:dyDescent="0.25">
      <c r="A21446" s="1" t="s">
        <v>21445</v>
      </c>
      <c r="C21446" s="3">
        <v>1</v>
      </c>
    </row>
    <row r="21447" spans="1:3" x14ac:dyDescent="0.25">
      <c r="A21447" s="1" t="s">
        <v>21446</v>
      </c>
      <c r="C21447" s="3">
        <v>1</v>
      </c>
    </row>
    <row r="21448" spans="1:3" x14ac:dyDescent="0.25">
      <c r="A21448" s="1" t="s">
        <v>21447</v>
      </c>
      <c r="C21448" s="3">
        <v>1</v>
      </c>
    </row>
    <row r="21449" spans="1:3" x14ac:dyDescent="0.25">
      <c r="A21449" s="1" t="s">
        <v>21448</v>
      </c>
      <c r="C21449" s="3">
        <v>1</v>
      </c>
    </row>
    <row r="21450" spans="1:3" x14ac:dyDescent="0.25">
      <c r="A21450" s="1" t="s">
        <v>21449</v>
      </c>
      <c r="C21450" s="3">
        <v>1</v>
      </c>
    </row>
    <row r="21451" spans="1:3" x14ac:dyDescent="0.25">
      <c r="A21451" s="1" t="s">
        <v>21450</v>
      </c>
      <c r="C21451" s="3">
        <v>1</v>
      </c>
    </row>
    <row r="21452" spans="1:3" x14ac:dyDescent="0.25">
      <c r="A21452" s="1" t="s">
        <v>21451</v>
      </c>
      <c r="C21452" s="3">
        <v>1</v>
      </c>
    </row>
    <row r="21453" spans="1:3" x14ac:dyDescent="0.25">
      <c r="A21453" s="1" t="s">
        <v>21452</v>
      </c>
      <c r="C21453" s="3">
        <v>1</v>
      </c>
    </row>
    <row r="21454" spans="1:3" x14ac:dyDescent="0.25">
      <c r="A21454" s="1" t="s">
        <v>21453</v>
      </c>
      <c r="C21454" s="3">
        <v>1</v>
      </c>
    </row>
    <row r="21455" spans="1:3" x14ac:dyDescent="0.25">
      <c r="A21455" s="1" t="s">
        <v>21454</v>
      </c>
      <c r="C21455" s="3">
        <v>1</v>
      </c>
    </row>
    <row r="21456" spans="1:3" x14ac:dyDescent="0.25">
      <c r="A21456" s="1" t="s">
        <v>21455</v>
      </c>
      <c r="C21456" s="3">
        <v>1</v>
      </c>
    </row>
    <row r="21457" spans="1:3" x14ac:dyDescent="0.25">
      <c r="A21457" s="1" t="s">
        <v>21456</v>
      </c>
      <c r="C21457" s="3">
        <v>1</v>
      </c>
    </row>
    <row r="21458" spans="1:3" x14ac:dyDescent="0.25">
      <c r="A21458" s="1" t="s">
        <v>21457</v>
      </c>
      <c r="C21458" s="3">
        <v>1</v>
      </c>
    </row>
    <row r="21459" spans="1:3" x14ac:dyDescent="0.25">
      <c r="A21459" s="1" t="s">
        <v>21458</v>
      </c>
      <c r="C21459" s="3">
        <v>1</v>
      </c>
    </row>
    <row r="21460" spans="1:3" x14ac:dyDescent="0.25">
      <c r="A21460" s="1" t="s">
        <v>21459</v>
      </c>
      <c r="C21460" s="3">
        <v>1</v>
      </c>
    </row>
    <row r="21461" spans="1:3" x14ac:dyDescent="0.25">
      <c r="A21461" s="1" t="s">
        <v>21460</v>
      </c>
      <c r="C21461" s="3">
        <v>1</v>
      </c>
    </row>
    <row r="21462" spans="1:3" x14ac:dyDescent="0.25">
      <c r="A21462" s="1" t="s">
        <v>21461</v>
      </c>
      <c r="C21462" s="3">
        <v>1</v>
      </c>
    </row>
    <row r="21463" spans="1:3" x14ac:dyDescent="0.25">
      <c r="A21463" s="1" t="s">
        <v>21462</v>
      </c>
      <c r="C21463" s="3">
        <v>1</v>
      </c>
    </row>
    <row r="21464" spans="1:3" x14ac:dyDescent="0.25">
      <c r="A21464" s="1" t="s">
        <v>21463</v>
      </c>
      <c r="C21464" s="3">
        <v>1</v>
      </c>
    </row>
    <row r="21465" spans="1:3" x14ac:dyDescent="0.25">
      <c r="A21465" s="1" t="s">
        <v>21464</v>
      </c>
      <c r="C21465" s="3">
        <v>1</v>
      </c>
    </row>
    <row r="21466" spans="1:3" x14ac:dyDescent="0.25">
      <c r="A21466" s="1" t="s">
        <v>21465</v>
      </c>
      <c r="C21466" s="3">
        <v>1</v>
      </c>
    </row>
    <row r="21467" spans="1:3" x14ac:dyDescent="0.25">
      <c r="A21467" s="1" t="s">
        <v>21466</v>
      </c>
      <c r="C21467" s="3">
        <v>1</v>
      </c>
    </row>
    <row r="21468" spans="1:3" x14ac:dyDescent="0.25">
      <c r="A21468" s="1" t="s">
        <v>21467</v>
      </c>
      <c r="C21468" s="3">
        <v>1</v>
      </c>
    </row>
    <row r="21469" spans="1:3" x14ac:dyDescent="0.25">
      <c r="A21469" s="1" t="s">
        <v>21468</v>
      </c>
      <c r="C21469" s="3">
        <v>1</v>
      </c>
    </row>
    <row r="21470" spans="1:3" x14ac:dyDescent="0.25">
      <c r="A21470" s="1" t="s">
        <v>21469</v>
      </c>
      <c r="C21470" s="3">
        <v>1</v>
      </c>
    </row>
    <row r="21471" spans="1:3" x14ac:dyDescent="0.25">
      <c r="A21471" s="1" t="s">
        <v>21470</v>
      </c>
      <c r="C21471" s="3">
        <v>1</v>
      </c>
    </row>
    <row r="21472" spans="1:3" x14ac:dyDescent="0.25">
      <c r="A21472" s="1" t="s">
        <v>21471</v>
      </c>
      <c r="C21472" s="3">
        <v>1</v>
      </c>
    </row>
    <row r="21473" spans="1:3" x14ac:dyDescent="0.25">
      <c r="A21473" s="1" t="s">
        <v>21472</v>
      </c>
      <c r="C21473" s="3">
        <v>1</v>
      </c>
    </row>
    <row r="21474" spans="1:3" x14ac:dyDescent="0.25">
      <c r="A21474" s="1" t="s">
        <v>21473</v>
      </c>
      <c r="C21474" s="3">
        <v>1</v>
      </c>
    </row>
    <row r="21475" spans="1:3" x14ac:dyDescent="0.25">
      <c r="A21475" s="1" t="s">
        <v>21474</v>
      </c>
      <c r="C21475" s="3">
        <v>1</v>
      </c>
    </row>
    <row r="21476" spans="1:3" x14ac:dyDescent="0.25">
      <c r="A21476" s="1" t="s">
        <v>21475</v>
      </c>
      <c r="C21476" s="3">
        <v>1</v>
      </c>
    </row>
    <row r="21477" spans="1:3" x14ac:dyDescent="0.25">
      <c r="A21477" s="1" t="s">
        <v>21476</v>
      </c>
      <c r="C21477" s="3">
        <v>1</v>
      </c>
    </row>
    <row r="21478" spans="1:3" x14ac:dyDescent="0.25">
      <c r="A21478" s="1" t="s">
        <v>21477</v>
      </c>
      <c r="C21478" s="3">
        <v>1</v>
      </c>
    </row>
    <row r="21479" spans="1:3" x14ac:dyDescent="0.25">
      <c r="A21479" s="1" t="s">
        <v>21478</v>
      </c>
      <c r="C21479" s="3">
        <v>1</v>
      </c>
    </row>
    <row r="21480" spans="1:3" x14ac:dyDescent="0.25">
      <c r="A21480" s="1" t="s">
        <v>21479</v>
      </c>
      <c r="C21480" s="3">
        <v>1</v>
      </c>
    </row>
    <row r="21481" spans="1:3" x14ac:dyDescent="0.25">
      <c r="A21481" s="1" t="s">
        <v>21480</v>
      </c>
      <c r="C21481" s="3">
        <v>1</v>
      </c>
    </row>
    <row r="21482" spans="1:3" x14ac:dyDescent="0.25">
      <c r="A21482" s="1" t="s">
        <v>21481</v>
      </c>
      <c r="C21482" s="3">
        <v>1</v>
      </c>
    </row>
    <row r="21483" spans="1:3" x14ac:dyDescent="0.25">
      <c r="A21483" s="1" t="s">
        <v>21482</v>
      </c>
      <c r="C21483" s="3">
        <v>1</v>
      </c>
    </row>
    <row r="21484" spans="1:3" x14ac:dyDescent="0.25">
      <c r="A21484" s="1" t="s">
        <v>21483</v>
      </c>
      <c r="C21484" s="3">
        <v>1</v>
      </c>
    </row>
    <row r="21485" spans="1:3" x14ac:dyDescent="0.25">
      <c r="A21485" s="1" t="s">
        <v>21484</v>
      </c>
      <c r="C21485" s="3">
        <v>1</v>
      </c>
    </row>
    <row r="21486" spans="1:3" x14ac:dyDescent="0.25">
      <c r="A21486" s="1" t="s">
        <v>21485</v>
      </c>
      <c r="C21486" s="3">
        <v>1</v>
      </c>
    </row>
    <row r="21487" spans="1:3" x14ac:dyDescent="0.25">
      <c r="A21487" s="1" t="s">
        <v>21486</v>
      </c>
      <c r="C21487" s="3">
        <v>1</v>
      </c>
    </row>
    <row r="21488" spans="1:3" x14ac:dyDescent="0.25">
      <c r="A21488" s="1" t="s">
        <v>21487</v>
      </c>
      <c r="C21488" s="3">
        <v>1</v>
      </c>
    </row>
    <row r="21489" spans="1:3" x14ac:dyDescent="0.25">
      <c r="A21489" s="1" t="s">
        <v>21488</v>
      </c>
      <c r="C21489" s="3">
        <v>1</v>
      </c>
    </row>
    <row r="21490" spans="1:3" x14ac:dyDescent="0.25">
      <c r="A21490" s="1" t="s">
        <v>21489</v>
      </c>
      <c r="C21490" s="3">
        <v>1</v>
      </c>
    </row>
    <row r="21491" spans="1:3" x14ac:dyDescent="0.25">
      <c r="A21491" s="1" t="s">
        <v>21490</v>
      </c>
      <c r="C21491" s="3">
        <v>1</v>
      </c>
    </row>
    <row r="21492" spans="1:3" x14ac:dyDescent="0.25">
      <c r="A21492" s="1" t="s">
        <v>21491</v>
      </c>
      <c r="C21492" s="3">
        <v>1</v>
      </c>
    </row>
    <row r="21493" spans="1:3" x14ac:dyDescent="0.25">
      <c r="A21493" s="1" t="s">
        <v>21492</v>
      </c>
      <c r="C21493" s="3">
        <v>1</v>
      </c>
    </row>
    <row r="21494" spans="1:3" x14ac:dyDescent="0.25">
      <c r="A21494" s="1" t="s">
        <v>21493</v>
      </c>
      <c r="C21494" s="3">
        <v>1</v>
      </c>
    </row>
    <row r="21495" spans="1:3" x14ac:dyDescent="0.25">
      <c r="A21495" s="1" t="s">
        <v>21494</v>
      </c>
      <c r="C21495" s="3">
        <v>1</v>
      </c>
    </row>
    <row r="21496" spans="1:3" x14ac:dyDescent="0.25">
      <c r="A21496" s="1" t="s">
        <v>21495</v>
      </c>
      <c r="C21496" s="3">
        <v>1</v>
      </c>
    </row>
    <row r="21497" spans="1:3" x14ac:dyDescent="0.25">
      <c r="A21497" s="1" t="s">
        <v>21496</v>
      </c>
      <c r="C21497" s="3">
        <v>1</v>
      </c>
    </row>
    <row r="21498" spans="1:3" x14ac:dyDescent="0.25">
      <c r="A21498" s="1" t="s">
        <v>21497</v>
      </c>
      <c r="C21498" s="3">
        <v>1</v>
      </c>
    </row>
    <row r="21499" spans="1:3" x14ac:dyDescent="0.25">
      <c r="A21499" s="1" t="s">
        <v>21498</v>
      </c>
      <c r="C21499" s="3">
        <v>1</v>
      </c>
    </row>
    <row r="21500" spans="1:3" x14ac:dyDescent="0.25">
      <c r="A21500" s="1" t="s">
        <v>21499</v>
      </c>
      <c r="C21500" s="3">
        <v>1</v>
      </c>
    </row>
    <row r="21501" spans="1:3" x14ac:dyDescent="0.25">
      <c r="A21501" s="1" t="s">
        <v>21500</v>
      </c>
      <c r="C21501" s="3">
        <v>1</v>
      </c>
    </row>
    <row r="21502" spans="1:3" x14ac:dyDescent="0.25">
      <c r="A21502" s="1" t="s">
        <v>21501</v>
      </c>
      <c r="C21502" s="3">
        <v>1</v>
      </c>
    </row>
    <row r="21503" spans="1:3" x14ac:dyDescent="0.25">
      <c r="A21503" s="1" t="s">
        <v>21502</v>
      </c>
      <c r="C21503" s="3">
        <v>1</v>
      </c>
    </row>
    <row r="21504" spans="1:3" x14ac:dyDescent="0.25">
      <c r="A21504" s="1" t="s">
        <v>21503</v>
      </c>
      <c r="C21504" s="3">
        <v>1</v>
      </c>
    </row>
    <row r="21505" spans="1:3" x14ac:dyDescent="0.25">
      <c r="A21505" s="1" t="s">
        <v>21504</v>
      </c>
      <c r="C21505" s="3">
        <v>1</v>
      </c>
    </row>
    <row r="21506" spans="1:3" x14ac:dyDescent="0.25">
      <c r="A21506" s="1" t="s">
        <v>21505</v>
      </c>
      <c r="C21506" s="3">
        <v>1</v>
      </c>
    </row>
    <row r="21507" spans="1:3" x14ac:dyDescent="0.25">
      <c r="A21507" s="1" t="s">
        <v>21506</v>
      </c>
      <c r="C21507" s="3">
        <v>1</v>
      </c>
    </row>
    <row r="21508" spans="1:3" x14ac:dyDescent="0.25">
      <c r="A21508" s="1" t="s">
        <v>21507</v>
      </c>
      <c r="C21508" s="3">
        <v>1</v>
      </c>
    </row>
    <row r="21509" spans="1:3" x14ac:dyDescent="0.25">
      <c r="A21509" s="1" t="s">
        <v>21508</v>
      </c>
      <c r="C21509" s="3">
        <v>1</v>
      </c>
    </row>
    <row r="21510" spans="1:3" x14ac:dyDescent="0.25">
      <c r="A21510" s="1" t="s">
        <v>21509</v>
      </c>
      <c r="C21510" s="3">
        <v>1</v>
      </c>
    </row>
    <row r="21511" spans="1:3" x14ac:dyDescent="0.25">
      <c r="A21511" s="1" t="s">
        <v>21510</v>
      </c>
      <c r="C21511" s="3">
        <v>1</v>
      </c>
    </row>
    <row r="21512" spans="1:3" x14ac:dyDescent="0.25">
      <c r="A21512" s="1" t="s">
        <v>21511</v>
      </c>
      <c r="C21512" s="3">
        <v>1</v>
      </c>
    </row>
    <row r="21513" spans="1:3" x14ac:dyDescent="0.25">
      <c r="A21513" s="1" t="s">
        <v>21512</v>
      </c>
      <c r="C21513" s="3">
        <v>1</v>
      </c>
    </row>
    <row r="21514" spans="1:3" x14ac:dyDescent="0.25">
      <c r="A21514" s="1" t="s">
        <v>21513</v>
      </c>
      <c r="C21514" s="3">
        <v>1</v>
      </c>
    </row>
    <row r="21515" spans="1:3" x14ac:dyDescent="0.25">
      <c r="A21515" s="1" t="s">
        <v>21514</v>
      </c>
      <c r="C21515" s="3">
        <v>1</v>
      </c>
    </row>
    <row r="21516" spans="1:3" x14ac:dyDescent="0.25">
      <c r="A21516" s="1" t="s">
        <v>21515</v>
      </c>
      <c r="C21516" s="3">
        <v>1</v>
      </c>
    </row>
    <row r="21517" spans="1:3" x14ac:dyDescent="0.25">
      <c r="A21517" s="1" t="s">
        <v>21516</v>
      </c>
      <c r="C21517" s="3">
        <v>1</v>
      </c>
    </row>
    <row r="21518" spans="1:3" x14ac:dyDescent="0.25">
      <c r="A21518" s="1" t="s">
        <v>21517</v>
      </c>
      <c r="C21518" s="3">
        <v>1</v>
      </c>
    </row>
    <row r="21519" spans="1:3" x14ac:dyDescent="0.25">
      <c r="A21519" s="1" t="s">
        <v>21518</v>
      </c>
      <c r="C21519" s="3">
        <v>1</v>
      </c>
    </row>
    <row r="21520" spans="1:3" x14ac:dyDescent="0.25">
      <c r="A21520" s="1" t="s">
        <v>21519</v>
      </c>
      <c r="C21520" s="3">
        <v>1</v>
      </c>
    </row>
    <row r="21521" spans="1:3" x14ac:dyDescent="0.25">
      <c r="A21521" s="1" t="s">
        <v>21520</v>
      </c>
      <c r="C21521" s="3">
        <v>1</v>
      </c>
    </row>
    <row r="21522" spans="1:3" x14ac:dyDescent="0.25">
      <c r="A21522" s="1" t="s">
        <v>21521</v>
      </c>
      <c r="C21522" s="3">
        <v>1</v>
      </c>
    </row>
    <row r="21523" spans="1:3" x14ac:dyDescent="0.25">
      <c r="A21523" s="1" t="s">
        <v>21522</v>
      </c>
      <c r="C21523" s="3">
        <v>1</v>
      </c>
    </row>
    <row r="21524" spans="1:3" x14ac:dyDescent="0.25">
      <c r="A21524" s="1" t="s">
        <v>21523</v>
      </c>
      <c r="C21524" s="3">
        <v>1</v>
      </c>
    </row>
    <row r="21525" spans="1:3" x14ac:dyDescent="0.25">
      <c r="A21525" s="1" t="s">
        <v>21524</v>
      </c>
      <c r="C21525" s="3">
        <v>1</v>
      </c>
    </row>
    <row r="21526" spans="1:3" x14ac:dyDescent="0.25">
      <c r="A21526" s="1" t="s">
        <v>21525</v>
      </c>
      <c r="C21526" s="3">
        <v>1</v>
      </c>
    </row>
    <row r="21527" spans="1:3" x14ac:dyDescent="0.25">
      <c r="A21527" s="1" t="s">
        <v>21526</v>
      </c>
      <c r="C21527" s="3">
        <v>1</v>
      </c>
    </row>
    <row r="21528" spans="1:3" x14ac:dyDescent="0.25">
      <c r="A21528" s="1" t="s">
        <v>21527</v>
      </c>
      <c r="C21528" s="3">
        <v>1</v>
      </c>
    </row>
    <row r="21529" spans="1:3" x14ac:dyDescent="0.25">
      <c r="A21529" s="1" t="s">
        <v>21528</v>
      </c>
      <c r="C21529" s="3">
        <v>1</v>
      </c>
    </row>
    <row r="21530" spans="1:3" x14ac:dyDescent="0.25">
      <c r="A21530" s="1" t="s">
        <v>21529</v>
      </c>
      <c r="C21530" s="3">
        <v>1</v>
      </c>
    </row>
    <row r="21531" spans="1:3" x14ac:dyDescent="0.25">
      <c r="A21531" s="1" t="s">
        <v>21530</v>
      </c>
      <c r="C21531" s="3">
        <v>1</v>
      </c>
    </row>
    <row r="21532" spans="1:3" x14ac:dyDescent="0.25">
      <c r="A21532" s="1" t="s">
        <v>21531</v>
      </c>
      <c r="C21532" s="3">
        <v>1</v>
      </c>
    </row>
    <row r="21533" spans="1:3" x14ac:dyDescent="0.25">
      <c r="A21533" s="1" t="s">
        <v>21532</v>
      </c>
      <c r="C21533" s="3">
        <v>1</v>
      </c>
    </row>
    <row r="21534" spans="1:3" x14ac:dyDescent="0.25">
      <c r="A21534" s="1" t="s">
        <v>21533</v>
      </c>
      <c r="C21534" s="3">
        <v>1</v>
      </c>
    </row>
    <row r="21535" spans="1:3" x14ac:dyDescent="0.25">
      <c r="A21535" s="1" t="s">
        <v>21534</v>
      </c>
      <c r="C21535" s="3">
        <v>1</v>
      </c>
    </row>
    <row r="21536" spans="1:3" x14ac:dyDescent="0.25">
      <c r="A21536" s="1" t="s">
        <v>21535</v>
      </c>
      <c r="C21536" s="3">
        <v>1</v>
      </c>
    </row>
    <row r="21537" spans="1:3" x14ac:dyDescent="0.25">
      <c r="A21537" s="1" t="s">
        <v>21536</v>
      </c>
      <c r="C21537" s="3">
        <v>1</v>
      </c>
    </row>
    <row r="21538" spans="1:3" x14ac:dyDescent="0.25">
      <c r="A21538" s="1" t="s">
        <v>21537</v>
      </c>
      <c r="C21538" s="3">
        <v>1</v>
      </c>
    </row>
    <row r="21539" spans="1:3" x14ac:dyDescent="0.25">
      <c r="A21539" s="1" t="s">
        <v>21538</v>
      </c>
      <c r="C21539" s="3">
        <v>1</v>
      </c>
    </row>
    <row r="21540" spans="1:3" x14ac:dyDescent="0.25">
      <c r="A21540" s="1" t="s">
        <v>21539</v>
      </c>
      <c r="C21540" s="3">
        <v>1</v>
      </c>
    </row>
    <row r="21541" spans="1:3" x14ac:dyDescent="0.25">
      <c r="A21541" s="1" t="s">
        <v>21540</v>
      </c>
      <c r="C21541" s="3">
        <v>1</v>
      </c>
    </row>
    <row r="21542" spans="1:3" x14ac:dyDescent="0.25">
      <c r="A21542" s="1" t="s">
        <v>21541</v>
      </c>
      <c r="C21542" s="3">
        <v>1</v>
      </c>
    </row>
    <row r="21543" spans="1:3" x14ac:dyDescent="0.25">
      <c r="A21543" s="1" t="s">
        <v>21542</v>
      </c>
      <c r="C21543" s="3">
        <v>1</v>
      </c>
    </row>
    <row r="21544" spans="1:3" x14ac:dyDescent="0.25">
      <c r="A21544" s="1" t="s">
        <v>21543</v>
      </c>
      <c r="C21544" s="3">
        <v>1</v>
      </c>
    </row>
    <row r="21545" spans="1:3" x14ac:dyDescent="0.25">
      <c r="A21545" s="1" t="s">
        <v>21544</v>
      </c>
      <c r="C21545" s="3">
        <v>1</v>
      </c>
    </row>
    <row r="21546" spans="1:3" x14ac:dyDescent="0.25">
      <c r="A21546" s="1" t="s">
        <v>21545</v>
      </c>
      <c r="C21546" s="3">
        <v>1</v>
      </c>
    </row>
    <row r="21547" spans="1:3" x14ac:dyDescent="0.25">
      <c r="A21547" s="1" t="s">
        <v>21546</v>
      </c>
      <c r="C21547" s="3">
        <v>1</v>
      </c>
    </row>
    <row r="21548" spans="1:3" x14ac:dyDescent="0.25">
      <c r="A21548" s="1" t="s">
        <v>21547</v>
      </c>
      <c r="C21548" s="3">
        <v>1</v>
      </c>
    </row>
    <row r="21549" spans="1:3" x14ac:dyDescent="0.25">
      <c r="A21549" s="1" t="s">
        <v>21548</v>
      </c>
      <c r="C21549" s="3">
        <v>1</v>
      </c>
    </row>
    <row r="21550" spans="1:3" x14ac:dyDescent="0.25">
      <c r="A21550" s="1" t="s">
        <v>21549</v>
      </c>
      <c r="C21550" s="3">
        <v>1</v>
      </c>
    </row>
    <row r="21551" spans="1:3" x14ac:dyDescent="0.25">
      <c r="A21551" s="1" t="s">
        <v>21550</v>
      </c>
      <c r="C21551" s="3">
        <v>1</v>
      </c>
    </row>
    <row r="21552" spans="1:3" x14ac:dyDescent="0.25">
      <c r="A21552" s="1" t="s">
        <v>21551</v>
      </c>
      <c r="C21552" s="3">
        <v>1</v>
      </c>
    </row>
    <row r="21553" spans="1:3" x14ac:dyDescent="0.25">
      <c r="A21553" s="1" t="s">
        <v>21552</v>
      </c>
      <c r="C21553" s="3">
        <v>1</v>
      </c>
    </row>
    <row r="21554" spans="1:3" x14ac:dyDescent="0.25">
      <c r="A21554" s="1" t="s">
        <v>21553</v>
      </c>
      <c r="C21554" s="3">
        <v>1</v>
      </c>
    </row>
    <row r="21555" spans="1:3" x14ac:dyDescent="0.25">
      <c r="A21555" s="1" t="s">
        <v>21554</v>
      </c>
      <c r="C21555" s="3">
        <v>1</v>
      </c>
    </row>
    <row r="21556" spans="1:3" x14ac:dyDescent="0.25">
      <c r="A21556" s="1" t="s">
        <v>21555</v>
      </c>
      <c r="C21556" s="3">
        <v>1</v>
      </c>
    </row>
    <row r="21557" spans="1:3" x14ac:dyDescent="0.25">
      <c r="A21557" s="1" t="s">
        <v>21556</v>
      </c>
      <c r="C21557" s="3">
        <v>1</v>
      </c>
    </row>
    <row r="21558" spans="1:3" x14ac:dyDescent="0.25">
      <c r="A21558" s="1" t="s">
        <v>21557</v>
      </c>
      <c r="C21558" s="3">
        <v>1</v>
      </c>
    </row>
    <row r="21559" spans="1:3" x14ac:dyDescent="0.25">
      <c r="A21559" s="1" t="s">
        <v>21558</v>
      </c>
      <c r="C21559" s="3">
        <v>1</v>
      </c>
    </row>
    <row r="21560" spans="1:3" x14ac:dyDescent="0.25">
      <c r="A21560" s="1" t="s">
        <v>21559</v>
      </c>
      <c r="C21560" s="3">
        <v>1</v>
      </c>
    </row>
    <row r="21561" spans="1:3" x14ac:dyDescent="0.25">
      <c r="A21561" s="1" t="s">
        <v>21560</v>
      </c>
      <c r="C21561" s="3">
        <v>1</v>
      </c>
    </row>
    <row r="21562" spans="1:3" x14ac:dyDescent="0.25">
      <c r="A21562" s="1" t="s">
        <v>21561</v>
      </c>
      <c r="C21562" s="3">
        <v>1</v>
      </c>
    </row>
    <row r="21563" spans="1:3" x14ac:dyDescent="0.25">
      <c r="A21563" s="1" t="s">
        <v>21562</v>
      </c>
      <c r="C21563" s="3">
        <v>1</v>
      </c>
    </row>
    <row r="21564" spans="1:3" x14ac:dyDescent="0.25">
      <c r="A21564" s="1" t="s">
        <v>21563</v>
      </c>
      <c r="C21564" s="3">
        <v>1</v>
      </c>
    </row>
    <row r="21565" spans="1:3" x14ac:dyDescent="0.25">
      <c r="A21565" s="1" t="s">
        <v>21564</v>
      </c>
      <c r="C21565" s="3">
        <v>1</v>
      </c>
    </row>
    <row r="21566" spans="1:3" x14ac:dyDescent="0.25">
      <c r="A21566" s="1" t="s">
        <v>21565</v>
      </c>
      <c r="C21566" s="3">
        <v>1</v>
      </c>
    </row>
    <row r="21567" spans="1:3" x14ac:dyDescent="0.25">
      <c r="A21567" s="1" t="s">
        <v>21566</v>
      </c>
      <c r="C21567" s="3">
        <v>1</v>
      </c>
    </row>
    <row r="21568" spans="1:3" x14ac:dyDescent="0.25">
      <c r="A21568" s="1" t="s">
        <v>21567</v>
      </c>
      <c r="C21568" s="3">
        <v>1</v>
      </c>
    </row>
    <row r="21569" spans="1:3" x14ac:dyDescent="0.25">
      <c r="A21569" s="1" t="s">
        <v>21568</v>
      </c>
      <c r="C21569" s="3">
        <v>1</v>
      </c>
    </row>
    <row r="21570" spans="1:3" x14ac:dyDescent="0.25">
      <c r="A21570" s="1" t="s">
        <v>21569</v>
      </c>
      <c r="C21570" s="3">
        <v>1</v>
      </c>
    </row>
    <row r="21571" spans="1:3" x14ac:dyDescent="0.25">
      <c r="A21571" s="1" t="s">
        <v>21570</v>
      </c>
      <c r="C21571" s="3">
        <v>1</v>
      </c>
    </row>
    <row r="21572" spans="1:3" x14ac:dyDescent="0.25">
      <c r="A21572" s="1" t="s">
        <v>21571</v>
      </c>
      <c r="C21572" s="3">
        <v>1</v>
      </c>
    </row>
    <row r="21573" spans="1:3" x14ac:dyDescent="0.25">
      <c r="A21573" s="1" t="s">
        <v>21572</v>
      </c>
      <c r="C21573" s="3">
        <v>1</v>
      </c>
    </row>
    <row r="21574" spans="1:3" x14ac:dyDescent="0.25">
      <c r="A21574" s="1" t="s">
        <v>21573</v>
      </c>
      <c r="C21574" s="3">
        <v>1</v>
      </c>
    </row>
    <row r="21575" spans="1:3" x14ac:dyDescent="0.25">
      <c r="A21575" s="1" t="s">
        <v>21574</v>
      </c>
      <c r="C21575" s="3">
        <v>1</v>
      </c>
    </row>
    <row r="21576" spans="1:3" x14ac:dyDescent="0.25">
      <c r="A21576" s="1" t="s">
        <v>21575</v>
      </c>
      <c r="C21576" s="3">
        <v>1</v>
      </c>
    </row>
    <row r="21577" spans="1:3" x14ac:dyDescent="0.25">
      <c r="A21577" s="1" t="s">
        <v>21576</v>
      </c>
      <c r="C21577" s="3">
        <v>1</v>
      </c>
    </row>
    <row r="21578" spans="1:3" x14ac:dyDescent="0.25">
      <c r="A21578" s="1" t="s">
        <v>21577</v>
      </c>
      <c r="C21578" s="3">
        <v>1</v>
      </c>
    </row>
    <row r="21579" spans="1:3" x14ac:dyDescent="0.25">
      <c r="A21579" s="1" t="s">
        <v>21578</v>
      </c>
      <c r="C21579" s="3">
        <v>1</v>
      </c>
    </row>
    <row r="21580" spans="1:3" x14ac:dyDescent="0.25">
      <c r="A21580" s="1" t="s">
        <v>21579</v>
      </c>
      <c r="C21580" s="3">
        <v>1</v>
      </c>
    </row>
    <row r="21581" spans="1:3" x14ac:dyDescent="0.25">
      <c r="A21581" s="1" t="s">
        <v>21580</v>
      </c>
      <c r="C21581" s="3">
        <v>1</v>
      </c>
    </row>
    <row r="21582" spans="1:3" x14ac:dyDescent="0.25">
      <c r="A21582" s="1" t="s">
        <v>21581</v>
      </c>
      <c r="C21582" s="3">
        <v>1</v>
      </c>
    </row>
    <row r="21583" spans="1:3" x14ac:dyDescent="0.25">
      <c r="A21583" s="1" t="s">
        <v>21582</v>
      </c>
      <c r="C21583" s="3">
        <v>1</v>
      </c>
    </row>
    <row r="21584" spans="1:3" x14ac:dyDescent="0.25">
      <c r="A21584" s="1" t="s">
        <v>21583</v>
      </c>
      <c r="C21584" s="3">
        <v>1</v>
      </c>
    </row>
    <row r="21585" spans="1:3" x14ac:dyDescent="0.25">
      <c r="A21585" s="1" t="s">
        <v>21584</v>
      </c>
      <c r="C21585" s="3">
        <v>1</v>
      </c>
    </row>
    <row r="21586" spans="1:3" x14ac:dyDescent="0.25">
      <c r="A21586" s="1" t="s">
        <v>21585</v>
      </c>
      <c r="C21586" s="3">
        <v>1</v>
      </c>
    </row>
    <row r="21587" spans="1:3" x14ac:dyDescent="0.25">
      <c r="A21587" s="1" t="s">
        <v>21586</v>
      </c>
      <c r="C21587" s="3">
        <v>1</v>
      </c>
    </row>
    <row r="21588" spans="1:3" x14ac:dyDescent="0.25">
      <c r="A21588" s="1" t="s">
        <v>21587</v>
      </c>
      <c r="C21588" s="3">
        <v>1</v>
      </c>
    </row>
    <row r="21589" spans="1:3" x14ac:dyDescent="0.25">
      <c r="A21589" s="1" t="s">
        <v>21588</v>
      </c>
      <c r="C21589" s="3">
        <v>1</v>
      </c>
    </row>
    <row r="21590" spans="1:3" x14ac:dyDescent="0.25">
      <c r="A21590" s="1" t="s">
        <v>21589</v>
      </c>
      <c r="C21590" s="3">
        <v>1</v>
      </c>
    </row>
    <row r="21591" spans="1:3" x14ac:dyDescent="0.25">
      <c r="A21591" s="1" t="s">
        <v>21590</v>
      </c>
      <c r="C21591" s="3">
        <v>1</v>
      </c>
    </row>
    <row r="21592" spans="1:3" x14ac:dyDescent="0.25">
      <c r="A21592" s="1" t="s">
        <v>21591</v>
      </c>
      <c r="C21592" s="3">
        <v>1</v>
      </c>
    </row>
    <row r="21593" spans="1:3" x14ac:dyDescent="0.25">
      <c r="A21593" s="1" t="s">
        <v>21592</v>
      </c>
      <c r="C21593" s="3">
        <v>1</v>
      </c>
    </row>
    <row r="21594" spans="1:3" x14ac:dyDescent="0.25">
      <c r="A21594" s="1" t="s">
        <v>21593</v>
      </c>
      <c r="C21594" s="3">
        <v>1</v>
      </c>
    </row>
    <row r="21595" spans="1:3" x14ac:dyDescent="0.25">
      <c r="A21595" s="1" t="s">
        <v>21594</v>
      </c>
      <c r="C21595" s="3">
        <v>1</v>
      </c>
    </row>
    <row r="21596" spans="1:3" x14ac:dyDescent="0.25">
      <c r="A21596" s="1" t="s">
        <v>21595</v>
      </c>
      <c r="C21596" s="3">
        <v>1</v>
      </c>
    </row>
    <row r="21597" spans="1:3" x14ac:dyDescent="0.25">
      <c r="A21597" s="1" t="s">
        <v>21596</v>
      </c>
      <c r="C21597" s="3">
        <v>1</v>
      </c>
    </row>
    <row r="21598" spans="1:3" x14ac:dyDescent="0.25">
      <c r="A21598" s="1" t="s">
        <v>21597</v>
      </c>
      <c r="C21598" s="3">
        <v>1</v>
      </c>
    </row>
    <row r="21599" spans="1:3" x14ac:dyDescent="0.25">
      <c r="A21599" s="1" t="s">
        <v>21598</v>
      </c>
      <c r="C21599" s="3">
        <v>1</v>
      </c>
    </row>
    <row r="21600" spans="1:3" x14ac:dyDescent="0.25">
      <c r="A21600" s="1" t="s">
        <v>21599</v>
      </c>
      <c r="C21600" s="3">
        <v>1</v>
      </c>
    </row>
    <row r="21601" spans="1:3" x14ac:dyDescent="0.25">
      <c r="A21601" s="1" t="s">
        <v>21600</v>
      </c>
      <c r="C21601" s="3">
        <v>1</v>
      </c>
    </row>
    <row r="21602" spans="1:3" x14ac:dyDescent="0.25">
      <c r="A21602" s="1" t="s">
        <v>21601</v>
      </c>
      <c r="C21602" s="3">
        <v>1</v>
      </c>
    </row>
    <row r="21603" spans="1:3" x14ac:dyDescent="0.25">
      <c r="A21603" s="1" t="s">
        <v>21602</v>
      </c>
      <c r="C21603" s="3">
        <v>1</v>
      </c>
    </row>
    <row r="21604" spans="1:3" x14ac:dyDescent="0.25">
      <c r="A21604" s="1" t="s">
        <v>21603</v>
      </c>
      <c r="C21604" s="3">
        <v>1</v>
      </c>
    </row>
    <row r="21605" spans="1:3" x14ac:dyDescent="0.25">
      <c r="A21605" s="1" t="s">
        <v>21604</v>
      </c>
      <c r="C21605" s="3">
        <v>1</v>
      </c>
    </row>
    <row r="21606" spans="1:3" x14ac:dyDescent="0.25">
      <c r="A21606" s="1" t="s">
        <v>21605</v>
      </c>
      <c r="C21606" s="3">
        <v>1</v>
      </c>
    </row>
    <row r="21607" spans="1:3" x14ac:dyDescent="0.25">
      <c r="A21607" s="1" t="s">
        <v>21606</v>
      </c>
      <c r="C21607" s="3">
        <v>1</v>
      </c>
    </row>
    <row r="21608" spans="1:3" x14ac:dyDescent="0.25">
      <c r="A21608" s="1" t="s">
        <v>21607</v>
      </c>
      <c r="C21608" s="3">
        <v>1</v>
      </c>
    </row>
    <row r="21609" spans="1:3" x14ac:dyDescent="0.25">
      <c r="A21609" s="1" t="s">
        <v>21608</v>
      </c>
      <c r="C21609" s="3">
        <v>1</v>
      </c>
    </row>
    <row r="21610" spans="1:3" x14ac:dyDescent="0.25">
      <c r="A21610" s="1" t="s">
        <v>21609</v>
      </c>
      <c r="C21610" s="3">
        <v>1</v>
      </c>
    </row>
    <row r="21611" spans="1:3" x14ac:dyDescent="0.25">
      <c r="A21611" s="1" t="s">
        <v>21610</v>
      </c>
      <c r="C21611" s="3">
        <v>1</v>
      </c>
    </row>
    <row r="21612" spans="1:3" x14ac:dyDescent="0.25">
      <c r="A21612" s="1" t="s">
        <v>21611</v>
      </c>
      <c r="C21612" s="3">
        <v>1</v>
      </c>
    </row>
    <row r="21613" spans="1:3" x14ac:dyDescent="0.25">
      <c r="A21613" s="1" t="s">
        <v>21612</v>
      </c>
      <c r="C21613" s="3">
        <v>1</v>
      </c>
    </row>
    <row r="21614" spans="1:3" x14ac:dyDescent="0.25">
      <c r="A21614" s="1" t="s">
        <v>21613</v>
      </c>
      <c r="C21614" s="3">
        <v>1</v>
      </c>
    </row>
    <row r="21615" spans="1:3" x14ac:dyDescent="0.25">
      <c r="A21615" s="1" t="s">
        <v>21614</v>
      </c>
      <c r="C21615" s="3">
        <v>1</v>
      </c>
    </row>
    <row r="21616" spans="1:3" x14ac:dyDescent="0.25">
      <c r="A21616" s="1" t="s">
        <v>21615</v>
      </c>
      <c r="C21616" s="3">
        <v>1</v>
      </c>
    </row>
    <row r="21617" spans="1:3" x14ac:dyDescent="0.25">
      <c r="A21617" s="1" t="s">
        <v>21616</v>
      </c>
      <c r="C21617" s="3">
        <v>1</v>
      </c>
    </row>
    <row r="21618" spans="1:3" x14ac:dyDescent="0.25">
      <c r="A21618" s="1" t="s">
        <v>21617</v>
      </c>
      <c r="C21618" s="3">
        <v>1</v>
      </c>
    </row>
    <row r="21619" spans="1:3" x14ac:dyDescent="0.25">
      <c r="A21619" s="1" t="s">
        <v>21618</v>
      </c>
      <c r="C21619" s="3">
        <v>1</v>
      </c>
    </row>
    <row r="21620" spans="1:3" x14ac:dyDescent="0.25">
      <c r="A21620" s="1" t="s">
        <v>21619</v>
      </c>
      <c r="C21620" s="3">
        <v>1</v>
      </c>
    </row>
    <row r="21621" spans="1:3" x14ac:dyDescent="0.25">
      <c r="A21621" s="1" t="s">
        <v>21620</v>
      </c>
      <c r="C21621" s="3">
        <v>1</v>
      </c>
    </row>
    <row r="21622" spans="1:3" x14ac:dyDescent="0.25">
      <c r="A21622" s="1" t="s">
        <v>21621</v>
      </c>
      <c r="C21622" s="3">
        <v>1</v>
      </c>
    </row>
    <row r="21623" spans="1:3" x14ac:dyDescent="0.25">
      <c r="A21623" s="1" t="s">
        <v>21622</v>
      </c>
      <c r="C21623" s="3">
        <v>1</v>
      </c>
    </row>
    <row r="21624" spans="1:3" x14ac:dyDescent="0.25">
      <c r="A21624" s="1" t="s">
        <v>21623</v>
      </c>
      <c r="C21624" s="3">
        <v>1</v>
      </c>
    </row>
    <row r="21625" spans="1:3" x14ac:dyDescent="0.25">
      <c r="A21625" s="1" t="s">
        <v>21624</v>
      </c>
      <c r="C21625" s="3">
        <v>1</v>
      </c>
    </row>
    <row r="21626" spans="1:3" x14ac:dyDescent="0.25">
      <c r="A21626" s="1" t="s">
        <v>21625</v>
      </c>
      <c r="C21626" s="3">
        <v>1</v>
      </c>
    </row>
    <row r="21627" spans="1:3" x14ac:dyDescent="0.25">
      <c r="A21627" s="1" t="s">
        <v>21626</v>
      </c>
      <c r="C21627" s="3">
        <v>1</v>
      </c>
    </row>
    <row r="21628" spans="1:3" x14ac:dyDescent="0.25">
      <c r="A21628" s="1" t="s">
        <v>21627</v>
      </c>
      <c r="C21628" s="3">
        <v>1</v>
      </c>
    </row>
    <row r="21629" spans="1:3" x14ac:dyDescent="0.25">
      <c r="A21629" s="1" t="s">
        <v>21628</v>
      </c>
      <c r="C21629" s="3">
        <v>1</v>
      </c>
    </row>
    <row r="21630" spans="1:3" x14ac:dyDescent="0.25">
      <c r="A21630" s="1" t="s">
        <v>21629</v>
      </c>
      <c r="C21630" s="3">
        <v>1</v>
      </c>
    </row>
    <row r="21631" spans="1:3" x14ac:dyDescent="0.25">
      <c r="A21631" s="1" t="s">
        <v>21630</v>
      </c>
      <c r="C21631" s="3">
        <v>1</v>
      </c>
    </row>
    <row r="21632" spans="1:3" x14ac:dyDescent="0.25">
      <c r="A21632" s="1" t="s">
        <v>21631</v>
      </c>
      <c r="C21632" s="3">
        <v>1</v>
      </c>
    </row>
    <row r="21633" spans="1:3" x14ac:dyDescent="0.25">
      <c r="A21633" s="1" t="s">
        <v>21632</v>
      </c>
      <c r="C21633" s="3">
        <v>1</v>
      </c>
    </row>
    <row r="21634" spans="1:3" x14ac:dyDescent="0.25">
      <c r="A21634" s="1" t="s">
        <v>21633</v>
      </c>
      <c r="C21634" s="3">
        <v>1</v>
      </c>
    </row>
    <row r="21635" spans="1:3" x14ac:dyDescent="0.25">
      <c r="A21635" s="1" t="s">
        <v>21634</v>
      </c>
      <c r="C21635" s="3">
        <v>1</v>
      </c>
    </row>
    <row r="21636" spans="1:3" x14ac:dyDescent="0.25">
      <c r="A21636" s="1" t="s">
        <v>21635</v>
      </c>
      <c r="C21636" s="3">
        <v>1</v>
      </c>
    </row>
    <row r="21637" spans="1:3" x14ac:dyDescent="0.25">
      <c r="A21637" s="1" t="s">
        <v>21636</v>
      </c>
      <c r="C21637" s="3">
        <v>1</v>
      </c>
    </row>
    <row r="21638" spans="1:3" x14ac:dyDescent="0.25">
      <c r="A21638" s="1" t="s">
        <v>21637</v>
      </c>
      <c r="C21638" s="3">
        <v>1</v>
      </c>
    </row>
    <row r="21639" spans="1:3" x14ac:dyDescent="0.25">
      <c r="A21639" s="1" t="s">
        <v>21638</v>
      </c>
      <c r="C21639" s="3">
        <v>1</v>
      </c>
    </row>
    <row r="21640" spans="1:3" x14ac:dyDescent="0.25">
      <c r="A21640" s="1" t="s">
        <v>21639</v>
      </c>
      <c r="C21640" s="3">
        <v>1</v>
      </c>
    </row>
    <row r="21641" spans="1:3" x14ac:dyDescent="0.25">
      <c r="A21641" s="1" t="s">
        <v>21640</v>
      </c>
      <c r="C21641" s="3">
        <v>1</v>
      </c>
    </row>
    <row r="21642" spans="1:3" x14ac:dyDescent="0.25">
      <c r="A21642" s="1" t="s">
        <v>21641</v>
      </c>
      <c r="C21642" s="3">
        <v>1</v>
      </c>
    </row>
    <row r="21643" spans="1:3" x14ac:dyDescent="0.25">
      <c r="A21643" s="1" t="s">
        <v>21642</v>
      </c>
      <c r="C21643" s="3">
        <v>1</v>
      </c>
    </row>
    <row r="21644" spans="1:3" x14ac:dyDescent="0.25">
      <c r="A21644" s="1" t="s">
        <v>21643</v>
      </c>
      <c r="C21644" s="3">
        <v>1</v>
      </c>
    </row>
    <row r="21645" spans="1:3" x14ac:dyDescent="0.25">
      <c r="A21645" s="1" t="s">
        <v>21644</v>
      </c>
      <c r="C21645" s="3">
        <v>1</v>
      </c>
    </row>
    <row r="21646" spans="1:3" x14ac:dyDescent="0.25">
      <c r="A21646" s="1" t="s">
        <v>21645</v>
      </c>
      <c r="C21646" s="3">
        <v>1</v>
      </c>
    </row>
    <row r="21647" spans="1:3" x14ac:dyDescent="0.25">
      <c r="A21647" s="1" t="s">
        <v>21646</v>
      </c>
      <c r="C21647" s="3">
        <v>1</v>
      </c>
    </row>
    <row r="21648" spans="1:3" x14ac:dyDescent="0.25">
      <c r="A21648" s="1" t="s">
        <v>21647</v>
      </c>
      <c r="C21648" s="3">
        <v>1</v>
      </c>
    </row>
    <row r="21649" spans="1:3" x14ac:dyDescent="0.25">
      <c r="A21649" s="1" t="s">
        <v>21648</v>
      </c>
      <c r="C21649" s="3">
        <v>1</v>
      </c>
    </row>
    <row r="21650" spans="1:3" x14ac:dyDescent="0.25">
      <c r="A21650" s="1" t="s">
        <v>21649</v>
      </c>
      <c r="C21650" s="3">
        <v>1</v>
      </c>
    </row>
    <row r="21651" spans="1:3" x14ac:dyDescent="0.25">
      <c r="A21651" s="1" t="s">
        <v>21650</v>
      </c>
      <c r="C21651" s="3">
        <v>1</v>
      </c>
    </row>
    <row r="21652" spans="1:3" x14ac:dyDescent="0.25">
      <c r="A21652" s="1" t="s">
        <v>21651</v>
      </c>
      <c r="C21652" s="3">
        <v>1</v>
      </c>
    </row>
    <row r="21653" spans="1:3" x14ac:dyDescent="0.25">
      <c r="A21653" s="1" t="s">
        <v>21652</v>
      </c>
      <c r="C21653" s="3">
        <v>1</v>
      </c>
    </row>
    <row r="21654" spans="1:3" x14ac:dyDescent="0.25">
      <c r="A21654" s="1" t="s">
        <v>21653</v>
      </c>
      <c r="C21654" s="3">
        <v>1</v>
      </c>
    </row>
    <row r="21655" spans="1:3" x14ac:dyDescent="0.25">
      <c r="A21655" s="1" t="s">
        <v>21654</v>
      </c>
      <c r="C21655" s="3">
        <v>1</v>
      </c>
    </row>
    <row r="21656" spans="1:3" x14ac:dyDescent="0.25">
      <c r="A21656" s="1" t="s">
        <v>21655</v>
      </c>
      <c r="C21656" s="3">
        <v>1</v>
      </c>
    </row>
    <row r="21657" spans="1:3" x14ac:dyDescent="0.25">
      <c r="A21657" s="1" t="s">
        <v>21656</v>
      </c>
      <c r="C21657" s="3">
        <v>1</v>
      </c>
    </row>
    <row r="21658" spans="1:3" x14ac:dyDescent="0.25">
      <c r="A21658" s="1" t="s">
        <v>21657</v>
      </c>
      <c r="C21658" s="3">
        <v>1</v>
      </c>
    </row>
    <row r="21659" spans="1:3" x14ac:dyDescent="0.25">
      <c r="A21659" s="1" t="s">
        <v>21658</v>
      </c>
      <c r="C21659" s="3">
        <v>1</v>
      </c>
    </row>
    <row r="21660" spans="1:3" x14ac:dyDescent="0.25">
      <c r="A21660" s="1" t="s">
        <v>21659</v>
      </c>
      <c r="C21660" s="3">
        <v>1</v>
      </c>
    </row>
    <row r="21661" spans="1:3" x14ac:dyDescent="0.25">
      <c r="A21661" s="1" t="s">
        <v>21660</v>
      </c>
      <c r="C21661" s="3">
        <v>1</v>
      </c>
    </row>
    <row r="21662" spans="1:3" x14ac:dyDescent="0.25">
      <c r="A21662" s="1" t="s">
        <v>21661</v>
      </c>
      <c r="C21662" s="3">
        <v>1</v>
      </c>
    </row>
    <row r="21663" spans="1:3" x14ac:dyDescent="0.25">
      <c r="A21663" s="1" t="s">
        <v>21662</v>
      </c>
      <c r="C21663" s="3">
        <v>1</v>
      </c>
    </row>
    <row r="21664" spans="1:3" x14ac:dyDescent="0.25">
      <c r="A21664" s="1" t="s">
        <v>21663</v>
      </c>
      <c r="C21664" s="3">
        <v>1</v>
      </c>
    </row>
    <row r="21665" spans="1:3" x14ac:dyDescent="0.25">
      <c r="A21665" s="1" t="s">
        <v>21664</v>
      </c>
      <c r="C21665" s="3">
        <v>1</v>
      </c>
    </row>
    <row r="21666" spans="1:3" x14ac:dyDescent="0.25">
      <c r="A21666" s="1" t="s">
        <v>21665</v>
      </c>
      <c r="C21666" s="3">
        <v>1</v>
      </c>
    </row>
    <row r="21667" spans="1:3" x14ac:dyDescent="0.25">
      <c r="A21667" s="1" t="s">
        <v>21666</v>
      </c>
      <c r="C21667" s="3">
        <v>1</v>
      </c>
    </row>
    <row r="21668" spans="1:3" x14ac:dyDescent="0.25">
      <c r="A21668" s="1" t="s">
        <v>21667</v>
      </c>
      <c r="C21668" s="3">
        <v>1</v>
      </c>
    </row>
    <row r="21669" spans="1:3" x14ac:dyDescent="0.25">
      <c r="A21669" s="1" t="s">
        <v>21668</v>
      </c>
      <c r="C21669" s="3">
        <v>1</v>
      </c>
    </row>
    <row r="21670" spans="1:3" x14ac:dyDescent="0.25">
      <c r="A21670" s="1" t="s">
        <v>21669</v>
      </c>
      <c r="C21670" s="3">
        <v>1</v>
      </c>
    </row>
    <row r="21671" spans="1:3" x14ac:dyDescent="0.25">
      <c r="A21671" s="1" t="s">
        <v>21670</v>
      </c>
      <c r="C21671" s="3">
        <v>1</v>
      </c>
    </row>
    <row r="21672" spans="1:3" x14ac:dyDescent="0.25">
      <c r="A21672" s="1" t="s">
        <v>21671</v>
      </c>
      <c r="C21672" s="3">
        <v>1</v>
      </c>
    </row>
    <row r="21673" spans="1:3" x14ac:dyDescent="0.25">
      <c r="A21673" s="1" t="s">
        <v>21672</v>
      </c>
      <c r="C21673" s="3">
        <v>1</v>
      </c>
    </row>
    <row r="21674" spans="1:3" x14ac:dyDescent="0.25">
      <c r="A21674" s="1" t="s">
        <v>21673</v>
      </c>
      <c r="C21674" s="3">
        <v>1</v>
      </c>
    </row>
    <row r="21675" spans="1:3" x14ac:dyDescent="0.25">
      <c r="A21675" s="1" t="s">
        <v>21674</v>
      </c>
      <c r="C21675" s="3">
        <v>1</v>
      </c>
    </row>
    <row r="21676" spans="1:3" x14ac:dyDescent="0.25">
      <c r="A21676" s="1" t="s">
        <v>21675</v>
      </c>
      <c r="C21676" s="3">
        <v>1</v>
      </c>
    </row>
    <row r="21677" spans="1:3" x14ac:dyDescent="0.25">
      <c r="A21677" s="1" t="s">
        <v>21676</v>
      </c>
      <c r="C21677" s="3">
        <v>1</v>
      </c>
    </row>
    <row r="21678" spans="1:3" x14ac:dyDescent="0.25">
      <c r="A21678" s="1" t="s">
        <v>21677</v>
      </c>
      <c r="C21678" s="3">
        <v>1</v>
      </c>
    </row>
    <row r="21679" spans="1:3" x14ac:dyDescent="0.25">
      <c r="A21679" s="1" t="s">
        <v>21678</v>
      </c>
      <c r="C21679" s="3">
        <v>1</v>
      </c>
    </row>
    <row r="21680" spans="1:3" x14ac:dyDescent="0.25">
      <c r="A21680" s="1" t="s">
        <v>21679</v>
      </c>
      <c r="C21680" s="3">
        <v>1</v>
      </c>
    </row>
    <row r="21681" spans="1:3" x14ac:dyDescent="0.25">
      <c r="A21681" s="1" t="s">
        <v>21680</v>
      </c>
      <c r="C21681" s="3">
        <v>1</v>
      </c>
    </row>
    <row r="21682" spans="1:3" x14ac:dyDescent="0.25">
      <c r="A21682" s="1" t="s">
        <v>21681</v>
      </c>
      <c r="C21682" s="3">
        <v>1</v>
      </c>
    </row>
    <row r="21683" spans="1:3" x14ac:dyDescent="0.25">
      <c r="A21683" s="1" t="s">
        <v>21682</v>
      </c>
      <c r="C21683" s="3">
        <v>1</v>
      </c>
    </row>
    <row r="21684" spans="1:3" x14ac:dyDescent="0.25">
      <c r="A21684" s="1" t="s">
        <v>21683</v>
      </c>
      <c r="C21684" s="3">
        <v>1</v>
      </c>
    </row>
    <row r="21685" spans="1:3" x14ac:dyDescent="0.25">
      <c r="A21685" s="1" t="s">
        <v>21684</v>
      </c>
      <c r="C21685" s="3">
        <v>1</v>
      </c>
    </row>
    <row r="21686" spans="1:3" x14ac:dyDescent="0.25">
      <c r="A21686" s="1" t="s">
        <v>21685</v>
      </c>
      <c r="C21686" s="3">
        <v>1</v>
      </c>
    </row>
    <row r="21687" spans="1:3" x14ac:dyDescent="0.25">
      <c r="A21687" s="1" t="s">
        <v>21686</v>
      </c>
      <c r="C21687" s="3">
        <v>1</v>
      </c>
    </row>
    <row r="21688" spans="1:3" x14ac:dyDescent="0.25">
      <c r="A21688" s="1" t="s">
        <v>21687</v>
      </c>
      <c r="C21688" s="3">
        <v>1</v>
      </c>
    </row>
    <row r="21689" spans="1:3" x14ac:dyDescent="0.25">
      <c r="A21689" s="1" t="s">
        <v>21688</v>
      </c>
      <c r="C21689" s="3">
        <v>1</v>
      </c>
    </row>
    <row r="21690" spans="1:3" x14ac:dyDescent="0.25">
      <c r="A21690" s="1" t="s">
        <v>21689</v>
      </c>
      <c r="C21690" s="3">
        <v>1</v>
      </c>
    </row>
    <row r="21691" spans="1:3" x14ac:dyDescent="0.25">
      <c r="A21691" s="1" t="s">
        <v>21690</v>
      </c>
      <c r="C21691" s="3">
        <v>1</v>
      </c>
    </row>
    <row r="21692" spans="1:3" x14ac:dyDescent="0.25">
      <c r="A21692" s="1" t="s">
        <v>21691</v>
      </c>
      <c r="C21692" s="3">
        <v>1</v>
      </c>
    </row>
    <row r="21693" spans="1:3" x14ac:dyDescent="0.25">
      <c r="A21693" s="1" t="s">
        <v>21692</v>
      </c>
      <c r="C21693" s="3">
        <v>1</v>
      </c>
    </row>
    <row r="21694" spans="1:3" x14ac:dyDescent="0.25">
      <c r="A21694" s="1" t="s">
        <v>21693</v>
      </c>
      <c r="C21694" s="3">
        <v>1</v>
      </c>
    </row>
    <row r="21695" spans="1:3" x14ac:dyDescent="0.25">
      <c r="A21695" s="1" t="s">
        <v>21694</v>
      </c>
      <c r="C21695" s="3">
        <v>1</v>
      </c>
    </row>
    <row r="21696" spans="1:3" x14ac:dyDescent="0.25">
      <c r="A21696" s="1" t="s">
        <v>21695</v>
      </c>
      <c r="C21696" s="3">
        <v>1</v>
      </c>
    </row>
    <row r="21697" spans="1:3" x14ac:dyDescent="0.25">
      <c r="A21697" s="1" t="s">
        <v>21696</v>
      </c>
      <c r="C21697" s="3">
        <v>1</v>
      </c>
    </row>
    <row r="21698" spans="1:3" x14ac:dyDescent="0.25">
      <c r="A21698" s="1" t="s">
        <v>21697</v>
      </c>
      <c r="C21698" s="3">
        <v>1</v>
      </c>
    </row>
    <row r="21699" spans="1:3" x14ac:dyDescent="0.25">
      <c r="A21699" s="1" t="s">
        <v>21698</v>
      </c>
      <c r="C21699" s="3">
        <v>1</v>
      </c>
    </row>
    <row r="21700" spans="1:3" x14ac:dyDescent="0.25">
      <c r="A21700" s="1" t="s">
        <v>21699</v>
      </c>
      <c r="C21700" s="3">
        <v>1</v>
      </c>
    </row>
    <row r="21701" spans="1:3" x14ac:dyDescent="0.25">
      <c r="A21701" s="1" t="s">
        <v>21700</v>
      </c>
      <c r="C21701" s="3">
        <v>1</v>
      </c>
    </row>
    <row r="21702" spans="1:3" x14ac:dyDescent="0.25">
      <c r="A21702" s="1" t="s">
        <v>21701</v>
      </c>
      <c r="C21702" s="3">
        <v>1</v>
      </c>
    </row>
    <row r="21703" spans="1:3" x14ac:dyDescent="0.25">
      <c r="A21703" s="1" t="s">
        <v>21702</v>
      </c>
      <c r="C21703" s="3">
        <v>1</v>
      </c>
    </row>
    <row r="21704" spans="1:3" x14ac:dyDescent="0.25">
      <c r="A21704" s="1" t="s">
        <v>21703</v>
      </c>
      <c r="C21704" s="3">
        <v>1</v>
      </c>
    </row>
    <row r="21705" spans="1:3" x14ac:dyDescent="0.25">
      <c r="A21705" s="1" t="s">
        <v>21704</v>
      </c>
      <c r="C21705" s="3">
        <v>1</v>
      </c>
    </row>
    <row r="21706" spans="1:3" x14ac:dyDescent="0.25">
      <c r="A21706" s="1" t="s">
        <v>21705</v>
      </c>
      <c r="C21706" s="3">
        <v>1</v>
      </c>
    </row>
    <row r="21707" spans="1:3" x14ac:dyDescent="0.25">
      <c r="A21707" s="1" t="s">
        <v>21706</v>
      </c>
      <c r="C21707" s="3">
        <v>1</v>
      </c>
    </row>
    <row r="21708" spans="1:3" x14ac:dyDescent="0.25">
      <c r="A21708" s="1" t="s">
        <v>21707</v>
      </c>
      <c r="C21708" s="3">
        <v>1</v>
      </c>
    </row>
    <row r="21709" spans="1:3" x14ac:dyDescent="0.25">
      <c r="A21709" s="1" t="s">
        <v>21708</v>
      </c>
      <c r="C21709" s="3">
        <v>1</v>
      </c>
    </row>
    <row r="21710" spans="1:3" x14ac:dyDescent="0.25">
      <c r="A21710" s="1" t="s">
        <v>21709</v>
      </c>
      <c r="C21710" s="3">
        <v>1</v>
      </c>
    </row>
    <row r="21711" spans="1:3" x14ac:dyDescent="0.25">
      <c r="A21711" s="1" t="s">
        <v>21710</v>
      </c>
      <c r="C21711" s="3">
        <v>1</v>
      </c>
    </row>
    <row r="21712" spans="1:3" x14ac:dyDescent="0.25">
      <c r="A21712" s="1" t="s">
        <v>21711</v>
      </c>
      <c r="C21712" s="3">
        <v>1</v>
      </c>
    </row>
    <row r="21713" spans="1:3" x14ac:dyDescent="0.25">
      <c r="A21713" s="1" t="s">
        <v>21712</v>
      </c>
      <c r="C21713" s="3">
        <v>1</v>
      </c>
    </row>
    <row r="21714" spans="1:3" x14ac:dyDescent="0.25">
      <c r="A21714" s="1" t="s">
        <v>21713</v>
      </c>
      <c r="C21714" s="3">
        <v>1</v>
      </c>
    </row>
    <row r="21715" spans="1:3" x14ac:dyDescent="0.25">
      <c r="A21715" s="1" t="s">
        <v>21714</v>
      </c>
      <c r="C21715" s="3">
        <v>1</v>
      </c>
    </row>
    <row r="21716" spans="1:3" x14ac:dyDescent="0.25">
      <c r="A21716" s="1" t="s">
        <v>21715</v>
      </c>
      <c r="C21716" s="3">
        <v>1</v>
      </c>
    </row>
    <row r="21717" spans="1:3" x14ac:dyDescent="0.25">
      <c r="A21717" s="1" t="s">
        <v>21716</v>
      </c>
      <c r="C21717" s="3">
        <v>1</v>
      </c>
    </row>
    <row r="21718" spans="1:3" x14ac:dyDescent="0.25">
      <c r="A21718" s="1" t="s">
        <v>21717</v>
      </c>
      <c r="C21718" s="3">
        <v>1</v>
      </c>
    </row>
    <row r="21719" spans="1:3" x14ac:dyDescent="0.25">
      <c r="A21719" s="1" t="s">
        <v>21718</v>
      </c>
      <c r="C21719" s="3">
        <v>1</v>
      </c>
    </row>
    <row r="21720" spans="1:3" x14ac:dyDescent="0.25">
      <c r="A21720" s="1" t="s">
        <v>21719</v>
      </c>
      <c r="C21720" s="3">
        <v>1</v>
      </c>
    </row>
    <row r="21721" spans="1:3" x14ac:dyDescent="0.25">
      <c r="A21721" s="1" t="s">
        <v>21720</v>
      </c>
      <c r="C21721" s="3">
        <v>1</v>
      </c>
    </row>
    <row r="21722" spans="1:3" x14ac:dyDescent="0.25">
      <c r="A21722" s="1" t="s">
        <v>21721</v>
      </c>
      <c r="C21722" s="3">
        <v>1</v>
      </c>
    </row>
    <row r="21723" spans="1:3" x14ac:dyDescent="0.25">
      <c r="A21723" s="1" t="s">
        <v>21722</v>
      </c>
      <c r="C21723" s="3">
        <v>1</v>
      </c>
    </row>
    <row r="21724" spans="1:3" x14ac:dyDescent="0.25">
      <c r="A21724" s="1" t="s">
        <v>21723</v>
      </c>
      <c r="C21724" s="3">
        <v>1</v>
      </c>
    </row>
    <row r="21725" spans="1:3" x14ac:dyDescent="0.25">
      <c r="A21725" s="1" t="s">
        <v>21724</v>
      </c>
      <c r="C21725" s="3">
        <v>1</v>
      </c>
    </row>
    <row r="21726" spans="1:3" x14ac:dyDescent="0.25">
      <c r="A21726" s="1" t="s">
        <v>21725</v>
      </c>
      <c r="C21726" s="3">
        <v>1</v>
      </c>
    </row>
    <row r="21727" spans="1:3" x14ac:dyDescent="0.25">
      <c r="A21727" s="1" t="s">
        <v>21726</v>
      </c>
      <c r="C21727" s="3">
        <v>1</v>
      </c>
    </row>
    <row r="21728" spans="1:3" x14ac:dyDescent="0.25">
      <c r="A21728" s="1" t="s">
        <v>21727</v>
      </c>
      <c r="C21728" s="3">
        <v>1</v>
      </c>
    </row>
    <row r="21729" spans="1:3" x14ac:dyDescent="0.25">
      <c r="A21729" s="1" t="s">
        <v>21728</v>
      </c>
      <c r="C21729" s="3">
        <v>1</v>
      </c>
    </row>
    <row r="21730" spans="1:3" x14ac:dyDescent="0.25">
      <c r="A21730" s="1" t="s">
        <v>21729</v>
      </c>
      <c r="C21730" s="3">
        <v>1</v>
      </c>
    </row>
    <row r="21731" spans="1:3" x14ac:dyDescent="0.25">
      <c r="A21731" s="1" t="s">
        <v>21730</v>
      </c>
      <c r="C21731" s="3">
        <v>1</v>
      </c>
    </row>
    <row r="21732" spans="1:3" x14ac:dyDescent="0.25">
      <c r="A21732" s="1" t="s">
        <v>21731</v>
      </c>
      <c r="C21732" s="3">
        <v>1</v>
      </c>
    </row>
    <row r="21733" spans="1:3" x14ac:dyDescent="0.25">
      <c r="A21733" s="1" t="s">
        <v>21732</v>
      </c>
      <c r="C21733" s="3">
        <v>1</v>
      </c>
    </row>
    <row r="21734" spans="1:3" x14ac:dyDescent="0.25">
      <c r="A21734" s="1" t="s">
        <v>21733</v>
      </c>
      <c r="C21734" s="3">
        <v>1</v>
      </c>
    </row>
    <row r="21735" spans="1:3" x14ac:dyDescent="0.25">
      <c r="A21735" s="1" t="s">
        <v>21734</v>
      </c>
      <c r="C21735" s="3">
        <v>1</v>
      </c>
    </row>
    <row r="21736" spans="1:3" x14ac:dyDescent="0.25">
      <c r="A21736" s="1" t="s">
        <v>21735</v>
      </c>
      <c r="C21736" s="3">
        <v>1</v>
      </c>
    </row>
    <row r="21737" spans="1:3" x14ac:dyDescent="0.25">
      <c r="A21737" s="1" t="s">
        <v>21736</v>
      </c>
      <c r="C21737" s="3">
        <v>1</v>
      </c>
    </row>
    <row r="21738" spans="1:3" x14ac:dyDescent="0.25">
      <c r="A21738" s="1" t="s">
        <v>21737</v>
      </c>
      <c r="C21738" s="3">
        <v>1</v>
      </c>
    </row>
    <row r="21739" spans="1:3" x14ac:dyDescent="0.25">
      <c r="A21739" s="1" t="s">
        <v>21738</v>
      </c>
      <c r="C21739" s="3">
        <v>1</v>
      </c>
    </row>
    <row r="21740" spans="1:3" x14ac:dyDescent="0.25">
      <c r="A21740" s="1" t="s">
        <v>21739</v>
      </c>
      <c r="C21740" s="3">
        <v>1</v>
      </c>
    </row>
    <row r="21741" spans="1:3" x14ac:dyDescent="0.25">
      <c r="A21741" s="1" t="s">
        <v>21740</v>
      </c>
      <c r="C21741" s="3">
        <v>1</v>
      </c>
    </row>
    <row r="21742" spans="1:3" x14ac:dyDescent="0.25">
      <c r="A21742" s="1" t="s">
        <v>21741</v>
      </c>
      <c r="C21742" s="3">
        <v>1</v>
      </c>
    </row>
    <row r="21743" spans="1:3" x14ac:dyDescent="0.25">
      <c r="A21743" s="1" t="s">
        <v>21742</v>
      </c>
      <c r="C21743" s="3">
        <v>1</v>
      </c>
    </row>
    <row r="21744" spans="1:3" x14ac:dyDescent="0.25">
      <c r="A21744" s="1" t="s">
        <v>21743</v>
      </c>
      <c r="C21744" s="3">
        <v>1</v>
      </c>
    </row>
    <row r="21745" spans="1:3" x14ac:dyDescent="0.25">
      <c r="A21745" s="1" t="s">
        <v>21744</v>
      </c>
      <c r="C21745" s="3">
        <v>1</v>
      </c>
    </row>
    <row r="21746" spans="1:3" x14ac:dyDescent="0.25">
      <c r="A21746" s="1" t="s">
        <v>21745</v>
      </c>
      <c r="C21746" s="3">
        <v>1</v>
      </c>
    </row>
    <row r="21747" spans="1:3" x14ac:dyDescent="0.25">
      <c r="A21747" s="1" t="s">
        <v>21746</v>
      </c>
      <c r="C21747" s="3">
        <v>1</v>
      </c>
    </row>
    <row r="21748" spans="1:3" x14ac:dyDescent="0.25">
      <c r="A21748" s="1" t="s">
        <v>21747</v>
      </c>
      <c r="C21748" s="3">
        <v>1</v>
      </c>
    </row>
    <row r="21749" spans="1:3" x14ac:dyDescent="0.25">
      <c r="A21749" s="1" t="s">
        <v>21748</v>
      </c>
      <c r="C21749" s="3">
        <v>1</v>
      </c>
    </row>
    <row r="21750" spans="1:3" x14ac:dyDescent="0.25">
      <c r="A21750" s="1" t="s">
        <v>21749</v>
      </c>
      <c r="C21750" s="3">
        <v>1</v>
      </c>
    </row>
    <row r="21751" spans="1:3" x14ac:dyDescent="0.25">
      <c r="A21751" s="1" t="s">
        <v>21750</v>
      </c>
      <c r="C21751" s="3">
        <v>1</v>
      </c>
    </row>
    <row r="21752" spans="1:3" x14ac:dyDescent="0.25">
      <c r="A21752" s="1" t="s">
        <v>21751</v>
      </c>
      <c r="C21752" s="3">
        <v>1</v>
      </c>
    </row>
    <row r="21753" spans="1:3" x14ac:dyDescent="0.25">
      <c r="A21753" s="1" t="s">
        <v>21752</v>
      </c>
      <c r="C21753" s="3">
        <v>1</v>
      </c>
    </row>
    <row r="21754" spans="1:3" x14ac:dyDescent="0.25">
      <c r="A21754" s="1" t="s">
        <v>21753</v>
      </c>
      <c r="C21754" s="3">
        <v>1</v>
      </c>
    </row>
    <row r="21755" spans="1:3" x14ac:dyDescent="0.25">
      <c r="A21755" s="1" t="s">
        <v>21754</v>
      </c>
      <c r="C21755" s="3">
        <v>1</v>
      </c>
    </row>
    <row r="21756" spans="1:3" x14ac:dyDescent="0.25">
      <c r="A21756" s="1" t="s">
        <v>21755</v>
      </c>
      <c r="C21756" s="3">
        <v>1</v>
      </c>
    </row>
    <row r="21757" spans="1:3" x14ac:dyDescent="0.25">
      <c r="A21757" s="1" t="s">
        <v>21756</v>
      </c>
      <c r="C21757" s="3">
        <v>1</v>
      </c>
    </row>
    <row r="21758" spans="1:3" x14ac:dyDescent="0.25">
      <c r="A21758" s="1" t="s">
        <v>21757</v>
      </c>
      <c r="C21758" s="3">
        <v>1</v>
      </c>
    </row>
    <row r="21759" spans="1:3" x14ac:dyDescent="0.25">
      <c r="A21759" s="1" t="s">
        <v>21758</v>
      </c>
      <c r="C21759" s="3">
        <v>1</v>
      </c>
    </row>
    <row r="21760" spans="1:3" x14ac:dyDescent="0.25">
      <c r="A21760" s="1" t="s">
        <v>21759</v>
      </c>
      <c r="C21760" s="3">
        <v>1</v>
      </c>
    </row>
    <row r="21761" spans="1:3" x14ac:dyDescent="0.25">
      <c r="A21761" s="1" t="s">
        <v>21760</v>
      </c>
      <c r="C21761" s="3">
        <v>1</v>
      </c>
    </row>
    <row r="21762" spans="1:3" x14ac:dyDescent="0.25">
      <c r="A21762" s="1" t="s">
        <v>21761</v>
      </c>
      <c r="C21762" s="3">
        <v>1</v>
      </c>
    </row>
    <row r="21763" spans="1:3" x14ac:dyDescent="0.25">
      <c r="A21763" s="1" t="s">
        <v>21762</v>
      </c>
      <c r="C21763" s="3">
        <v>1</v>
      </c>
    </row>
    <row r="21764" spans="1:3" x14ac:dyDescent="0.25">
      <c r="A21764" s="1" t="s">
        <v>21763</v>
      </c>
      <c r="C21764" s="3">
        <v>1</v>
      </c>
    </row>
    <row r="21765" spans="1:3" x14ac:dyDescent="0.25">
      <c r="A21765" s="1" t="s">
        <v>21764</v>
      </c>
      <c r="C21765" s="3">
        <v>1</v>
      </c>
    </row>
    <row r="21766" spans="1:3" x14ac:dyDescent="0.25">
      <c r="A21766" s="1" t="s">
        <v>21765</v>
      </c>
      <c r="C21766" s="3">
        <v>1</v>
      </c>
    </row>
    <row r="21767" spans="1:3" x14ac:dyDescent="0.25">
      <c r="A21767" s="1" t="s">
        <v>21766</v>
      </c>
      <c r="C21767" s="3">
        <v>1</v>
      </c>
    </row>
    <row r="21768" spans="1:3" x14ac:dyDescent="0.25">
      <c r="A21768" s="1" t="s">
        <v>21767</v>
      </c>
      <c r="C21768" s="3">
        <v>1</v>
      </c>
    </row>
    <row r="21769" spans="1:3" x14ac:dyDescent="0.25">
      <c r="A21769" s="1" t="s">
        <v>21768</v>
      </c>
      <c r="C21769" s="3">
        <v>1</v>
      </c>
    </row>
    <row r="21770" spans="1:3" x14ac:dyDescent="0.25">
      <c r="A21770" s="1" t="s">
        <v>21769</v>
      </c>
      <c r="C21770" s="3">
        <v>1</v>
      </c>
    </row>
    <row r="21771" spans="1:3" x14ac:dyDescent="0.25">
      <c r="A21771" s="1" t="s">
        <v>21770</v>
      </c>
      <c r="C21771" s="3">
        <v>1</v>
      </c>
    </row>
    <row r="21772" spans="1:3" x14ac:dyDescent="0.25">
      <c r="A21772" s="1" t="s">
        <v>21771</v>
      </c>
      <c r="C21772" s="3">
        <v>1</v>
      </c>
    </row>
    <row r="21773" spans="1:3" x14ac:dyDescent="0.25">
      <c r="A21773" s="1" t="s">
        <v>21772</v>
      </c>
      <c r="C21773" s="3">
        <v>1</v>
      </c>
    </row>
    <row r="21774" spans="1:3" x14ac:dyDescent="0.25">
      <c r="A21774" s="1" t="s">
        <v>21773</v>
      </c>
      <c r="C21774" s="3">
        <v>1</v>
      </c>
    </row>
    <row r="21775" spans="1:3" x14ac:dyDescent="0.25">
      <c r="A21775" s="1" t="s">
        <v>21774</v>
      </c>
      <c r="C21775" s="3">
        <v>1</v>
      </c>
    </row>
    <row r="21776" spans="1:3" x14ac:dyDescent="0.25">
      <c r="A21776" s="1" t="s">
        <v>21775</v>
      </c>
      <c r="C21776" s="3">
        <v>1</v>
      </c>
    </row>
    <row r="21777" spans="1:3" x14ac:dyDescent="0.25">
      <c r="A21777" s="1" t="s">
        <v>21776</v>
      </c>
      <c r="C21777" s="3">
        <v>1</v>
      </c>
    </row>
    <row r="21778" spans="1:3" x14ac:dyDescent="0.25">
      <c r="A21778" s="1" t="s">
        <v>21777</v>
      </c>
      <c r="C21778" s="3">
        <v>1</v>
      </c>
    </row>
    <row r="21779" spans="1:3" x14ac:dyDescent="0.25">
      <c r="A21779" s="1" t="s">
        <v>21778</v>
      </c>
      <c r="C21779" s="3">
        <v>1</v>
      </c>
    </row>
    <row r="21780" spans="1:3" x14ac:dyDescent="0.25">
      <c r="A21780" s="1" t="s">
        <v>21779</v>
      </c>
      <c r="C21780" s="3">
        <v>1</v>
      </c>
    </row>
    <row r="21781" spans="1:3" x14ac:dyDescent="0.25">
      <c r="A21781" s="1" t="s">
        <v>21780</v>
      </c>
      <c r="C21781" s="3">
        <v>1</v>
      </c>
    </row>
    <row r="21782" spans="1:3" x14ac:dyDescent="0.25">
      <c r="A21782" s="1" t="s">
        <v>21781</v>
      </c>
      <c r="C21782" s="3">
        <v>1</v>
      </c>
    </row>
    <row r="21783" spans="1:3" x14ac:dyDescent="0.25">
      <c r="A21783" s="1" t="s">
        <v>21782</v>
      </c>
      <c r="C21783" s="3">
        <v>1</v>
      </c>
    </row>
    <row r="21784" spans="1:3" x14ac:dyDescent="0.25">
      <c r="A21784" s="1" t="s">
        <v>21783</v>
      </c>
      <c r="C21784" s="3">
        <v>1</v>
      </c>
    </row>
    <row r="21785" spans="1:3" x14ac:dyDescent="0.25">
      <c r="A21785" s="1" t="s">
        <v>21784</v>
      </c>
      <c r="C21785" s="3">
        <v>1</v>
      </c>
    </row>
    <row r="21786" spans="1:3" x14ac:dyDescent="0.25">
      <c r="A21786" s="1" t="s">
        <v>21785</v>
      </c>
      <c r="C21786" s="3">
        <v>1</v>
      </c>
    </row>
    <row r="21787" spans="1:3" x14ac:dyDescent="0.25">
      <c r="A21787" s="1" t="s">
        <v>21786</v>
      </c>
      <c r="C21787" s="3">
        <v>1</v>
      </c>
    </row>
    <row r="21788" spans="1:3" x14ac:dyDescent="0.25">
      <c r="A21788" s="1" t="s">
        <v>21787</v>
      </c>
      <c r="C21788" s="3">
        <v>1</v>
      </c>
    </row>
    <row r="21789" spans="1:3" x14ac:dyDescent="0.25">
      <c r="A21789" s="1" t="s">
        <v>21788</v>
      </c>
      <c r="C21789" s="3">
        <v>1</v>
      </c>
    </row>
    <row r="21790" spans="1:3" x14ac:dyDescent="0.25">
      <c r="A21790" s="1" t="s">
        <v>21789</v>
      </c>
      <c r="C21790" s="3">
        <v>1</v>
      </c>
    </row>
    <row r="21791" spans="1:3" x14ac:dyDescent="0.25">
      <c r="A21791" s="1" t="s">
        <v>21790</v>
      </c>
      <c r="C21791" s="3">
        <v>1</v>
      </c>
    </row>
    <row r="21792" spans="1:3" x14ac:dyDescent="0.25">
      <c r="A21792" s="1" t="s">
        <v>21791</v>
      </c>
      <c r="C21792" s="3">
        <v>1</v>
      </c>
    </row>
    <row r="21793" spans="1:3" x14ac:dyDescent="0.25">
      <c r="A21793" s="1" t="s">
        <v>21792</v>
      </c>
      <c r="C21793" s="3">
        <v>1</v>
      </c>
    </row>
    <row r="21794" spans="1:3" x14ac:dyDescent="0.25">
      <c r="A21794" s="1" t="s">
        <v>21793</v>
      </c>
      <c r="C21794" s="3">
        <v>1</v>
      </c>
    </row>
    <row r="21795" spans="1:3" x14ac:dyDescent="0.25">
      <c r="A21795" s="1" t="s">
        <v>21794</v>
      </c>
      <c r="C21795" s="3">
        <v>1</v>
      </c>
    </row>
    <row r="21796" spans="1:3" x14ac:dyDescent="0.25">
      <c r="A21796" s="1" t="s">
        <v>21795</v>
      </c>
      <c r="C21796" s="3">
        <v>1</v>
      </c>
    </row>
    <row r="21797" spans="1:3" x14ac:dyDescent="0.25">
      <c r="A21797" s="1" t="s">
        <v>21796</v>
      </c>
      <c r="C21797" s="3">
        <v>1</v>
      </c>
    </row>
    <row r="21798" spans="1:3" x14ac:dyDescent="0.25">
      <c r="A21798" s="1" t="s">
        <v>21797</v>
      </c>
      <c r="C21798" s="3">
        <v>1</v>
      </c>
    </row>
    <row r="21799" spans="1:3" x14ac:dyDescent="0.25">
      <c r="A21799" s="1" t="s">
        <v>21798</v>
      </c>
      <c r="C21799" s="3">
        <v>1</v>
      </c>
    </row>
    <row r="21800" spans="1:3" x14ac:dyDescent="0.25">
      <c r="A21800" s="1" t="s">
        <v>21799</v>
      </c>
      <c r="C21800" s="3">
        <v>1</v>
      </c>
    </row>
    <row r="21801" spans="1:3" x14ac:dyDescent="0.25">
      <c r="A21801" s="1" t="s">
        <v>21800</v>
      </c>
      <c r="C21801" s="3">
        <v>1</v>
      </c>
    </row>
    <row r="21802" spans="1:3" x14ac:dyDescent="0.25">
      <c r="A21802" s="1" t="s">
        <v>21801</v>
      </c>
      <c r="C21802" s="3">
        <v>1</v>
      </c>
    </row>
    <row r="21803" spans="1:3" x14ac:dyDescent="0.25">
      <c r="A21803" s="1" t="s">
        <v>21802</v>
      </c>
      <c r="C21803" s="3">
        <v>1</v>
      </c>
    </row>
    <row r="21804" spans="1:3" x14ac:dyDescent="0.25">
      <c r="A21804" s="1" t="s">
        <v>21803</v>
      </c>
      <c r="C21804" s="3">
        <v>1</v>
      </c>
    </row>
    <row r="21805" spans="1:3" x14ac:dyDescent="0.25">
      <c r="A21805" s="1" t="s">
        <v>21804</v>
      </c>
      <c r="C21805" s="3">
        <v>1</v>
      </c>
    </row>
    <row r="21806" spans="1:3" x14ac:dyDescent="0.25">
      <c r="A21806" s="1" t="s">
        <v>21805</v>
      </c>
      <c r="C21806" s="3">
        <v>1</v>
      </c>
    </row>
    <row r="21807" spans="1:3" x14ac:dyDescent="0.25">
      <c r="A21807" s="1" t="s">
        <v>21806</v>
      </c>
      <c r="C21807" s="3">
        <v>1</v>
      </c>
    </row>
    <row r="21808" spans="1:3" x14ac:dyDescent="0.25">
      <c r="A21808" s="1" t="s">
        <v>21807</v>
      </c>
      <c r="C21808" s="3">
        <v>1</v>
      </c>
    </row>
    <row r="21809" spans="1:3" x14ac:dyDescent="0.25">
      <c r="A21809" s="1" t="s">
        <v>21808</v>
      </c>
      <c r="C21809" s="3">
        <v>1</v>
      </c>
    </row>
    <row r="21810" spans="1:3" x14ac:dyDescent="0.25">
      <c r="A21810" s="1" t="s">
        <v>21809</v>
      </c>
      <c r="C21810" s="3">
        <v>1</v>
      </c>
    </row>
    <row r="21811" spans="1:3" x14ac:dyDescent="0.25">
      <c r="A21811" s="1" t="s">
        <v>21810</v>
      </c>
      <c r="C21811" s="3">
        <v>1</v>
      </c>
    </row>
    <row r="21812" spans="1:3" x14ac:dyDescent="0.25">
      <c r="A21812" s="1" t="s">
        <v>21811</v>
      </c>
      <c r="C21812" s="3">
        <v>1</v>
      </c>
    </row>
    <row r="21813" spans="1:3" x14ac:dyDescent="0.25">
      <c r="A21813" s="1" t="s">
        <v>21812</v>
      </c>
      <c r="C21813" s="3">
        <v>1</v>
      </c>
    </row>
    <row r="21814" spans="1:3" x14ac:dyDescent="0.25">
      <c r="A21814" s="1" t="s">
        <v>21813</v>
      </c>
      <c r="C21814" s="3">
        <v>1</v>
      </c>
    </row>
    <row r="21815" spans="1:3" x14ac:dyDescent="0.25">
      <c r="A21815" s="1" t="s">
        <v>21814</v>
      </c>
      <c r="C21815" s="3">
        <v>1</v>
      </c>
    </row>
    <row r="21816" spans="1:3" x14ac:dyDescent="0.25">
      <c r="A21816" s="1" t="s">
        <v>21815</v>
      </c>
      <c r="C21816" s="3">
        <v>1</v>
      </c>
    </row>
    <row r="21817" spans="1:3" x14ac:dyDescent="0.25">
      <c r="A21817" s="1" t="s">
        <v>21816</v>
      </c>
      <c r="C21817" s="3">
        <v>1</v>
      </c>
    </row>
    <row r="21818" spans="1:3" x14ac:dyDescent="0.25">
      <c r="A21818" s="1" t="s">
        <v>21817</v>
      </c>
      <c r="C21818" s="3">
        <v>1</v>
      </c>
    </row>
    <row r="21819" spans="1:3" x14ac:dyDescent="0.25">
      <c r="A21819" s="1" t="s">
        <v>21818</v>
      </c>
      <c r="C21819" s="3">
        <v>1</v>
      </c>
    </row>
    <row r="21820" spans="1:3" x14ac:dyDescent="0.25">
      <c r="A21820" s="1" t="s">
        <v>21819</v>
      </c>
      <c r="C21820" s="3">
        <v>1</v>
      </c>
    </row>
    <row r="21821" spans="1:3" x14ac:dyDescent="0.25">
      <c r="A21821" s="1" t="s">
        <v>21820</v>
      </c>
      <c r="C21821" s="3">
        <v>1</v>
      </c>
    </row>
    <row r="21822" spans="1:3" x14ac:dyDescent="0.25">
      <c r="A21822" s="1" t="s">
        <v>21821</v>
      </c>
      <c r="C21822" s="3">
        <v>1</v>
      </c>
    </row>
    <row r="21823" spans="1:3" x14ac:dyDescent="0.25">
      <c r="A21823" s="1" t="s">
        <v>21822</v>
      </c>
      <c r="C21823" s="3">
        <v>1</v>
      </c>
    </row>
    <row r="21824" spans="1:3" x14ac:dyDescent="0.25">
      <c r="A21824" s="1" t="s">
        <v>21823</v>
      </c>
      <c r="C21824" s="3">
        <v>1</v>
      </c>
    </row>
    <row r="21825" spans="1:3" x14ac:dyDescent="0.25">
      <c r="A21825" s="1" t="s">
        <v>21824</v>
      </c>
      <c r="C21825" s="3">
        <v>1</v>
      </c>
    </row>
    <row r="21826" spans="1:3" x14ac:dyDescent="0.25">
      <c r="A21826" s="1" t="s">
        <v>21825</v>
      </c>
      <c r="C21826" s="3">
        <v>1</v>
      </c>
    </row>
    <row r="21827" spans="1:3" x14ac:dyDescent="0.25">
      <c r="A21827" s="1" t="s">
        <v>21826</v>
      </c>
      <c r="C21827" s="3">
        <v>1</v>
      </c>
    </row>
    <row r="21828" spans="1:3" x14ac:dyDescent="0.25">
      <c r="A21828" s="1" t="s">
        <v>21827</v>
      </c>
      <c r="C21828" s="3">
        <v>1</v>
      </c>
    </row>
    <row r="21829" spans="1:3" x14ac:dyDescent="0.25">
      <c r="A21829" s="1" t="s">
        <v>21828</v>
      </c>
      <c r="C21829" s="3">
        <v>1</v>
      </c>
    </row>
    <row r="21830" spans="1:3" x14ac:dyDescent="0.25">
      <c r="A21830" s="1" t="s">
        <v>21829</v>
      </c>
      <c r="C21830" s="3">
        <v>1</v>
      </c>
    </row>
    <row r="21831" spans="1:3" x14ac:dyDescent="0.25">
      <c r="A21831" s="1" t="s">
        <v>21830</v>
      </c>
      <c r="C21831" s="3">
        <v>1</v>
      </c>
    </row>
    <row r="21832" spans="1:3" x14ac:dyDescent="0.25">
      <c r="A21832" s="1" t="s">
        <v>21831</v>
      </c>
      <c r="C21832" s="3">
        <v>1</v>
      </c>
    </row>
    <row r="21833" spans="1:3" x14ac:dyDescent="0.25">
      <c r="A21833" s="1" t="s">
        <v>21832</v>
      </c>
      <c r="C21833" s="3">
        <v>1</v>
      </c>
    </row>
    <row r="21834" spans="1:3" x14ac:dyDescent="0.25">
      <c r="A21834" s="1" t="s">
        <v>21833</v>
      </c>
      <c r="C21834" s="3">
        <v>1</v>
      </c>
    </row>
    <row r="21835" spans="1:3" x14ac:dyDescent="0.25">
      <c r="A21835" s="1" t="s">
        <v>21834</v>
      </c>
      <c r="C21835" s="3">
        <v>1</v>
      </c>
    </row>
    <row r="21836" spans="1:3" x14ac:dyDescent="0.25">
      <c r="A21836" s="1" t="s">
        <v>21835</v>
      </c>
      <c r="C21836" s="3">
        <v>1</v>
      </c>
    </row>
    <row r="21837" spans="1:3" x14ac:dyDescent="0.25">
      <c r="A21837" s="1" t="s">
        <v>21836</v>
      </c>
      <c r="C21837" s="3">
        <v>1</v>
      </c>
    </row>
    <row r="21838" spans="1:3" x14ac:dyDescent="0.25">
      <c r="A21838" s="1" t="s">
        <v>21837</v>
      </c>
      <c r="C21838" s="3">
        <v>1</v>
      </c>
    </row>
    <row r="21839" spans="1:3" x14ac:dyDescent="0.25">
      <c r="A21839" s="1" t="s">
        <v>21838</v>
      </c>
      <c r="C21839" s="3">
        <v>1</v>
      </c>
    </row>
    <row r="21840" spans="1:3" x14ac:dyDescent="0.25">
      <c r="A21840" s="1" t="s">
        <v>21839</v>
      </c>
      <c r="C21840" s="3">
        <v>1</v>
      </c>
    </row>
    <row r="21841" spans="1:3" x14ac:dyDescent="0.25">
      <c r="A21841" s="1" t="s">
        <v>21840</v>
      </c>
      <c r="C21841" s="3">
        <v>1</v>
      </c>
    </row>
    <row r="21842" spans="1:3" x14ac:dyDescent="0.25">
      <c r="A21842" s="1" t="s">
        <v>21841</v>
      </c>
      <c r="C21842" s="3">
        <v>1</v>
      </c>
    </row>
    <row r="21843" spans="1:3" x14ac:dyDescent="0.25">
      <c r="A21843" s="1" t="s">
        <v>21842</v>
      </c>
      <c r="C21843" s="3">
        <v>1</v>
      </c>
    </row>
    <row r="21844" spans="1:3" x14ac:dyDescent="0.25">
      <c r="A21844" s="1" t="s">
        <v>21843</v>
      </c>
      <c r="C21844" s="3">
        <v>1</v>
      </c>
    </row>
    <row r="21845" spans="1:3" x14ac:dyDescent="0.25">
      <c r="A21845" s="1" t="s">
        <v>21844</v>
      </c>
      <c r="C21845" s="3">
        <v>1</v>
      </c>
    </row>
    <row r="21846" spans="1:3" x14ac:dyDescent="0.25">
      <c r="A21846" s="1" t="s">
        <v>21845</v>
      </c>
      <c r="C21846" s="3">
        <v>1</v>
      </c>
    </row>
    <row r="21847" spans="1:3" x14ac:dyDescent="0.25">
      <c r="A21847" s="1" t="s">
        <v>21846</v>
      </c>
      <c r="C21847" s="3">
        <v>1</v>
      </c>
    </row>
    <row r="21848" spans="1:3" x14ac:dyDescent="0.25">
      <c r="A21848" s="1" t="s">
        <v>21847</v>
      </c>
      <c r="C21848" s="3">
        <v>1</v>
      </c>
    </row>
    <row r="21849" spans="1:3" x14ac:dyDescent="0.25">
      <c r="A21849" s="1" t="s">
        <v>21848</v>
      </c>
      <c r="C21849" s="3">
        <v>1</v>
      </c>
    </row>
    <row r="21850" spans="1:3" x14ac:dyDescent="0.25">
      <c r="A21850" s="1" t="s">
        <v>21849</v>
      </c>
      <c r="C21850" s="3">
        <v>1</v>
      </c>
    </row>
    <row r="21851" spans="1:3" x14ac:dyDescent="0.25">
      <c r="A21851" s="1" t="s">
        <v>21850</v>
      </c>
      <c r="C21851" s="3">
        <v>1</v>
      </c>
    </row>
    <row r="21852" spans="1:3" x14ac:dyDescent="0.25">
      <c r="A21852" s="1" t="s">
        <v>21851</v>
      </c>
      <c r="C21852" s="3">
        <v>1</v>
      </c>
    </row>
    <row r="21853" spans="1:3" x14ac:dyDescent="0.25">
      <c r="A21853" s="1" t="s">
        <v>21852</v>
      </c>
      <c r="C21853" s="3">
        <v>1</v>
      </c>
    </row>
    <row r="21854" spans="1:3" x14ac:dyDescent="0.25">
      <c r="A21854" s="1" t="s">
        <v>21853</v>
      </c>
      <c r="C21854" s="3">
        <v>1</v>
      </c>
    </row>
    <row r="21855" spans="1:3" x14ac:dyDescent="0.25">
      <c r="A21855" s="1" t="s">
        <v>21854</v>
      </c>
      <c r="C21855" s="3">
        <v>1</v>
      </c>
    </row>
    <row r="21856" spans="1:3" x14ac:dyDescent="0.25">
      <c r="A21856" s="1" t="s">
        <v>21855</v>
      </c>
      <c r="C21856" s="3">
        <v>1</v>
      </c>
    </row>
    <row r="21857" spans="1:3" x14ac:dyDescent="0.25">
      <c r="A21857" s="1" t="s">
        <v>21856</v>
      </c>
      <c r="C21857" s="3">
        <v>1</v>
      </c>
    </row>
    <row r="21858" spans="1:3" x14ac:dyDescent="0.25">
      <c r="A21858" s="1" t="s">
        <v>21857</v>
      </c>
      <c r="C21858" s="3">
        <v>1</v>
      </c>
    </row>
    <row r="21859" spans="1:3" x14ac:dyDescent="0.25">
      <c r="A21859" s="1" t="s">
        <v>21858</v>
      </c>
      <c r="C21859" s="3">
        <v>1</v>
      </c>
    </row>
    <row r="21860" spans="1:3" x14ac:dyDescent="0.25">
      <c r="A21860" s="1" t="s">
        <v>21859</v>
      </c>
      <c r="C21860" s="3">
        <v>1</v>
      </c>
    </row>
    <row r="21861" spans="1:3" x14ac:dyDescent="0.25">
      <c r="A21861" s="1" t="s">
        <v>21860</v>
      </c>
      <c r="C21861" s="3">
        <v>1</v>
      </c>
    </row>
    <row r="21862" spans="1:3" x14ac:dyDescent="0.25">
      <c r="A21862" s="1" t="s">
        <v>21861</v>
      </c>
      <c r="C21862" s="3">
        <v>1</v>
      </c>
    </row>
    <row r="21863" spans="1:3" x14ac:dyDescent="0.25">
      <c r="A21863" s="1" t="s">
        <v>21862</v>
      </c>
      <c r="C21863" s="3">
        <v>1</v>
      </c>
    </row>
    <row r="21864" spans="1:3" x14ac:dyDescent="0.25">
      <c r="A21864" s="1" t="s">
        <v>21863</v>
      </c>
      <c r="C21864" s="3">
        <v>1</v>
      </c>
    </row>
    <row r="21865" spans="1:3" x14ac:dyDescent="0.25">
      <c r="A21865" s="1" t="s">
        <v>21864</v>
      </c>
      <c r="C21865" s="3">
        <v>1</v>
      </c>
    </row>
    <row r="21866" spans="1:3" x14ac:dyDescent="0.25">
      <c r="A21866" s="1" t="s">
        <v>21865</v>
      </c>
      <c r="C21866" s="3">
        <v>1</v>
      </c>
    </row>
    <row r="21867" spans="1:3" x14ac:dyDescent="0.25">
      <c r="A21867" s="1" t="s">
        <v>21866</v>
      </c>
      <c r="C21867" s="3">
        <v>1</v>
      </c>
    </row>
    <row r="21868" spans="1:3" x14ac:dyDescent="0.25">
      <c r="A21868" s="1" t="s">
        <v>21867</v>
      </c>
      <c r="C21868" s="3">
        <v>1</v>
      </c>
    </row>
    <row r="21869" spans="1:3" x14ac:dyDescent="0.25">
      <c r="A21869" s="1" t="s">
        <v>21868</v>
      </c>
      <c r="C21869" s="3">
        <v>1</v>
      </c>
    </row>
    <row r="21870" spans="1:3" x14ac:dyDescent="0.25">
      <c r="A21870" s="1" t="s">
        <v>21869</v>
      </c>
      <c r="C21870" s="3">
        <v>1</v>
      </c>
    </row>
    <row r="21871" spans="1:3" x14ac:dyDescent="0.25">
      <c r="A21871" s="1" t="s">
        <v>21870</v>
      </c>
      <c r="C21871" s="3">
        <v>1</v>
      </c>
    </row>
    <row r="21872" spans="1:3" x14ac:dyDescent="0.25">
      <c r="A21872" s="1" t="s">
        <v>21871</v>
      </c>
      <c r="C21872" s="3">
        <v>1</v>
      </c>
    </row>
    <row r="21873" spans="1:3" x14ac:dyDescent="0.25">
      <c r="A21873" s="1" t="s">
        <v>21872</v>
      </c>
      <c r="C21873" s="3">
        <v>1</v>
      </c>
    </row>
    <row r="21874" spans="1:3" x14ac:dyDescent="0.25">
      <c r="A21874" s="1" t="s">
        <v>21873</v>
      </c>
      <c r="C21874" s="3">
        <v>1</v>
      </c>
    </row>
    <row r="21875" spans="1:3" x14ac:dyDescent="0.25">
      <c r="A21875" s="1" t="s">
        <v>21874</v>
      </c>
      <c r="C21875" s="3">
        <v>1</v>
      </c>
    </row>
    <row r="21876" spans="1:3" x14ac:dyDescent="0.25">
      <c r="A21876" s="1" t="s">
        <v>21875</v>
      </c>
      <c r="C21876" s="3">
        <v>1</v>
      </c>
    </row>
    <row r="21877" spans="1:3" x14ac:dyDescent="0.25">
      <c r="A21877" s="1" t="s">
        <v>21876</v>
      </c>
      <c r="C21877" s="3">
        <v>1</v>
      </c>
    </row>
    <row r="21878" spans="1:3" x14ac:dyDescent="0.25">
      <c r="A21878" s="1" t="s">
        <v>21877</v>
      </c>
      <c r="C21878" s="3">
        <v>1</v>
      </c>
    </row>
    <row r="21879" spans="1:3" x14ac:dyDescent="0.25">
      <c r="A21879" s="1" t="s">
        <v>21878</v>
      </c>
      <c r="C21879" s="3">
        <v>1</v>
      </c>
    </row>
    <row r="21880" spans="1:3" x14ac:dyDescent="0.25">
      <c r="A21880" s="1" t="s">
        <v>21879</v>
      </c>
      <c r="C21880" s="3">
        <v>1</v>
      </c>
    </row>
    <row r="21881" spans="1:3" x14ac:dyDescent="0.25">
      <c r="A21881" s="1" t="s">
        <v>21880</v>
      </c>
      <c r="C21881" s="3">
        <v>1</v>
      </c>
    </row>
    <row r="21882" spans="1:3" x14ac:dyDescent="0.25">
      <c r="A21882" s="1" t="s">
        <v>21881</v>
      </c>
      <c r="C21882" s="3">
        <v>1</v>
      </c>
    </row>
    <row r="21883" spans="1:3" x14ac:dyDescent="0.25">
      <c r="A21883" s="1" t="s">
        <v>21882</v>
      </c>
      <c r="C21883" s="3">
        <v>1</v>
      </c>
    </row>
    <row r="21884" spans="1:3" x14ac:dyDescent="0.25">
      <c r="A21884" s="1" t="s">
        <v>21883</v>
      </c>
      <c r="C21884" s="3">
        <v>1</v>
      </c>
    </row>
    <row r="21885" spans="1:3" x14ac:dyDescent="0.25">
      <c r="A21885" s="1" t="s">
        <v>21884</v>
      </c>
      <c r="C21885" s="3">
        <v>1</v>
      </c>
    </row>
    <row r="21886" spans="1:3" x14ac:dyDescent="0.25">
      <c r="A21886" s="1" t="s">
        <v>21885</v>
      </c>
      <c r="C21886" s="3">
        <v>1</v>
      </c>
    </row>
    <row r="21887" spans="1:3" x14ac:dyDescent="0.25">
      <c r="A21887" s="1" t="s">
        <v>21886</v>
      </c>
      <c r="C21887" s="3">
        <v>1</v>
      </c>
    </row>
    <row r="21888" spans="1:3" x14ac:dyDescent="0.25">
      <c r="A21888" s="1" t="s">
        <v>21887</v>
      </c>
      <c r="C21888" s="3">
        <v>1</v>
      </c>
    </row>
    <row r="21889" spans="1:3" x14ac:dyDescent="0.25">
      <c r="A21889" s="1" t="s">
        <v>21888</v>
      </c>
      <c r="C21889" s="3">
        <v>1</v>
      </c>
    </row>
    <row r="21890" spans="1:3" x14ac:dyDescent="0.25">
      <c r="A21890" s="1" t="s">
        <v>21889</v>
      </c>
      <c r="C21890" s="3">
        <v>1</v>
      </c>
    </row>
    <row r="21891" spans="1:3" x14ac:dyDescent="0.25">
      <c r="A21891" s="1" t="s">
        <v>21890</v>
      </c>
      <c r="C21891" s="3">
        <v>1</v>
      </c>
    </row>
    <row r="21892" spans="1:3" x14ac:dyDescent="0.25">
      <c r="A21892" s="1" t="s">
        <v>21891</v>
      </c>
      <c r="C21892" s="3">
        <v>1</v>
      </c>
    </row>
    <row r="21893" spans="1:3" x14ac:dyDescent="0.25">
      <c r="A21893" s="1" t="s">
        <v>21892</v>
      </c>
      <c r="C21893" s="3">
        <v>1</v>
      </c>
    </row>
    <row r="21894" spans="1:3" x14ac:dyDescent="0.25">
      <c r="A21894" s="1" t="s">
        <v>21893</v>
      </c>
      <c r="C21894" s="3">
        <v>1</v>
      </c>
    </row>
    <row r="21895" spans="1:3" x14ac:dyDescent="0.25">
      <c r="A21895" s="1" t="s">
        <v>21894</v>
      </c>
      <c r="C21895" s="3">
        <v>1</v>
      </c>
    </row>
    <row r="21896" spans="1:3" x14ac:dyDescent="0.25">
      <c r="A21896" s="1" t="s">
        <v>21895</v>
      </c>
      <c r="C21896" s="3">
        <v>1</v>
      </c>
    </row>
    <row r="21897" spans="1:3" x14ac:dyDescent="0.25">
      <c r="A21897" s="1" t="s">
        <v>21896</v>
      </c>
      <c r="C21897" s="3">
        <v>1</v>
      </c>
    </row>
    <row r="21898" spans="1:3" x14ac:dyDescent="0.25">
      <c r="A21898" s="1" t="s">
        <v>21897</v>
      </c>
      <c r="C21898" s="3">
        <v>1</v>
      </c>
    </row>
    <row r="21899" spans="1:3" x14ac:dyDescent="0.25">
      <c r="A21899" s="1" t="s">
        <v>21898</v>
      </c>
      <c r="C21899" s="3">
        <v>1</v>
      </c>
    </row>
    <row r="21900" spans="1:3" x14ac:dyDescent="0.25">
      <c r="A21900" s="1" t="s">
        <v>21899</v>
      </c>
      <c r="C21900" s="3">
        <v>1</v>
      </c>
    </row>
    <row r="21901" spans="1:3" x14ac:dyDescent="0.25">
      <c r="A21901" s="1" t="s">
        <v>21900</v>
      </c>
      <c r="C21901" s="3">
        <v>1</v>
      </c>
    </row>
    <row r="21902" spans="1:3" x14ac:dyDescent="0.25">
      <c r="A21902" s="1" t="s">
        <v>21901</v>
      </c>
      <c r="C21902" s="3">
        <v>1</v>
      </c>
    </row>
    <row r="21903" spans="1:3" x14ac:dyDescent="0.25">
      <c r="A21903" s="1" t="s">
        <v>21902</v>
      </c>
      <c r="C21903" s="3">
        <v>1</v>
      </c>
    </row>
    <row r="21904" spans="1:3" x14ac:dyDescent="0.25">
      <c r="A21904" s="1" t="s">
        <v>21903</v>
      </c>
      <c r="C21904" s="3">
        <v>1</v>
      </c>
    </row>
    <row r="21905" spans="1:3" x14ac:dyDescent="0.25">
      <c r="A21905" s="1" t="s">
        <v>21904</v>
      </c>
      <c r="C21905" s="3">
        <v>1</v>
      </c>
    </row>
    <row r="21906" spans="1:3" x14ac:dyDescent="0.25">
      <c r="A21906" s="1" t="s">
        <v>21905</v>
      </c>
      <c r="C21906" s="3">
        <v>1</v>
      </c>
    </row>
    <row r="21907" spans="1:3" x14ac:dyDescent="0.25">
      <c r="A21907" s="1" t="s">
        <v>21906</v>
      </c>
      <c r="C21907" s="3">
        <v>1</v>
      </c>
    </row>
    <row r="21908" spans="1:3" x14ac:dyDescent="0.25">
      <c r="A21908" s="1" t="s">
        <v>21907</v>
      </c>
      <c r="C21908" s="3">
        <v>1</v>
      </c>
    </row>
    <row r="21909" spans="1:3" x14ac:dyDescent="0.25">
      <c r="A21909" s="1" t="s">
        <v>21908</v>
      </c>
      <c r="C21909" s="3">
        <v>1</v>
      </c>
    </row>
    <row r="21910" spans="1:3" x14ac:dyDescent="0.25">
      <c r="A21910" s="1" t="s">
        <v>21909</v>
      </c>
      <c r="C21910" s="3">
        <v>1</v>
      </c>
    </row>
    <row r="21911" spans="1:3" x14ac:dyDescent="0.25">
      <c r="A21911" s="1" t="s">
        <v>21910</v>
      </c>
      <c r="C21911" s="3">
        <v>1</v>
      </c>
    </row>
    <row r="21912" spans="1:3" x14ac:dyDescent="0.25">
      <c r="A21912" s="1" t="s">
        <v>21911</v>
      </c>
      <c r="C21912" s="3">
        <v>1</v>
      </c>
    </row>
    <row r="21913" spans="1:3" x14ac:dyDescent="0.25">
      <c r="A21913" s="1" t="s">
        <v>21912</v>
      </c>
      <c r="C21913" s="3">
        <v>1</v>
      </c>
    </row>
    <row r="21914" spans="1:3" x14ac:dyDescent="0.25">
      <c r="A21914" s="1" t="s">
        <v>21913</v>
      </c>
      <c r="C21914" s="3">
        <v>1</v>
      </c>
    </row>
    <row r="21915" spans="1:3" x14ac:dyDescent="0.25">
      <c r="A21915" s="1" t="s">
        <v>21914</v>
      </c>
      <c r="C21915" s="3">
        <v>1</v>
      </c>
    </row>
    <row r="21916" spans="1:3" x14ac:dyDescent="0.25">
      <c r="A21916" s="1" t="s">
        <v>21915</v>
      </c>
      <c r="C21916" s="3">
        <v>1</v>
      </c>
    </row>
    <row r="21917" spans="1:3" x14ac:dyDescent="0.25">
      <c r="A21917" s="1" t="s">
        <v>21916</v>
      </c>
      <c r="C21917" s="3">
        <v>1</v>
      </c>
    </row>
    <row r="21918" spans="1:3" x14ac:dyDescent="0.25">
      <c r="A21918" s="1" t="s">
        <v>21917</v>
      </c>
      <c r="C21918" s="3">
        <v>1</v>
      </c>
    </row>
    <row r="21919" spans="1:3" x14ac:dyDescent="0.25">
      <c r="A21919" s="1" t="s">
        <v>21918</v>
      </c>
      <c r="C21919" s="3">
        <v>1</v>
      </c>
    </row>
    <row r="21920" spans="1:3" x14ac:dyDescent="0.25">
      <c r="A21920" s="1" t="s">
        <v>21919</v>
      </c>
      <c r="C21920" s="3">
        <v>1</v>
      </c>
    </row>
    <row r="21921" spans="1:3" x14ac:dyDescent="0.25">
      <c r="A21921" s="1" t="s">
        <v>21920</v>
      </c>
      <c r="C21921" s="3">
        <v>1</v>
      </c>
    </row>
    <row r="21922" spans="1:3" x14ac:dyDescent="0.25">
      <c r="A21922" s="1" t="s">
        <v>21921</v>
      </c>
      <c r="C21922" s="3">
        <v>1</v>
      </c>
    </row>
    <row r="21923" spans="1:3" x14ac:dyDescent="0.25">
      <c r="A21923" s="1" t="s">
        <v>21922</v>
      </c>
      <c r="C21923" s="3">
        <v>1</v>
      </c>
    </row>
    <row r="21924" spans="1:3" x14ac:dyDescent="0.25">
      <c r="A21924" s="1" t="s">
        <v>21923</v>
      </c>
      <c r="C21924" s="3">
        <v>1</v>
      </c>
    </row>
    <row r="21925" spans="1:3" x14ac:dyDescent="0.25">
      <c r="A21925" s="1" t="s">
        <v>21924</v>
      </c>
      <c r="C21925" s="3">
        <v>1</v>
      </c>
    </row>
    <row r="21926" spans="1:3" x14ac:dyDescent="0.25">
      <c r="A21926" s="1" t="s">
        <v>21925</v>
      </c>
      <c r="C21926" s="3">
        <v>1</v>
      </c>
    </row>
    <row r="21927" spans="1:3" x14ac:dyDescent="0.25">
      <c r="A21927" s="1" t="s">
        <v>21926</v>
      </c>
      <c r="C21927" s="3">
        <v>1</v>
      </c>
    </row>
    <row r="21928" spans="1:3" x14ac:dyDescent="0.25">
      <c r="A21928" s="1" t="s">
        <v>21927</v>
      </c>
      <c r="C21928" s="3">
        <v>1</v>
      </c>
    </row>
    <row r="21929" spans="1:3" x14ac:dyDescent="0.25">
      <c r="A21929" s="1" t="s">
        <v>21928</v>
      </c>
      <c r="C21929" s="3">
        <v>1</v>
      </c>
    </row>
    <row r="21930" spans="1:3" x14ac:dyDescent="0.25">
      <c r="A21930" s="1" t="s">
        <v>21929</v>
      </c>
      <c r="C21930" s="3">
        <v>1</v>
      </c>
    </row>
    <row r="21931" spans="1:3" x14ac:dyDescent="0.25">
      <c r="A21931" s="1" t="s">
        <v>21930</v>
      </c>
      <c r="C21931" s="3">
        <v>1</v>
      </c>
    </row>
    <row r="21932" spans="1:3" x14ac:dyDescent="0.25">
      <c r="A21932" s="1" t="s">
        <v>21931</v>
      </c>
      <c r="C21932" s="3">
        <v>1</v>
      </c>
    </row>
    <row r="21933" spans="1:3" x14ac:dyDescent="0.25">
      <c r="A21933" s="1" t="s">
        <v>21932</v>
      </c>
      <c r="C21933" s="3">
        <v>1</v>
      </c>
    </row>
    <row r="21934" spans="1:3" x14ac:dyDescent="0.25">
      <c r="A21934" s="1" t="s">
        <v>21933</v>
      </c>
      <c r="C21934" s="3">
        <v>1</v>
      </c>
    </row>
    <row r="21935" spans="1:3" x14ac:dyDescent="0.25">
      <c r="A21935" s="1" t="s">
        <v>21934</v>
      </c>
      <c r="C21935" s="3">
        <v>1</v>
      </c>
    </row>
    <row r="21936" spans="1:3" x14ac:dyDescent="0.25">
      <c r="A21936" s="1" t="s">
        <v>21935</v>
      </c>
      <c r="C21936" s="3">
        <v>1</v>
      </c>
    </row>
    <row r="21937" spans="1:3" x14ac:dyDescent="0.25">
      <c r="A21937" s="1" t="s">
        <v>21936</v>
      </c>
      <c r="C21937" s="3">
        <v>1</v>
      </c>
    </row>
    <row r="21938" spans="1:3" x14ac:dyDescent="0.25">
      <c r="A21938" s="1" t="s">
        <v>21937</v>
      </c>
      <c r="C21938" s="3">
        <v>1</v>
      </c>
    </row>
    <row r="21939" spans="1:3" x14ac:dyDescent="0.25">
      <c r="A21939" s="1" t="s">
        <v>21938</v>
      </c>
      <c r="C21939" s="3">
        <v>1</v>
      </c>
    </row>
    <row r="21940" spans="1:3" x14ac:dyDescent="0.25">
      <c r="A21940" s="1" t="s">
        <v>21939</v>
      </c>
      <c r="C21940" s="3">
        <v>1</v>
      </c>
    </row>
    <row r="21941" spans="1:3" x14ac:dyDescent="0.25">
      <c r="A21941" s="1" t="s">
        <v>21940</v>
      </c>
      <c r="C21941" s="3">
        <v>1</v>
      </c>
    </row>
    <row r="21942" spans="1:3" x14ac:dyDescent="0.25">
      <c r="A21942" s="1" t="s">
        <v>21941</v>
      </c>
      <c r="C21942" s="3">
        <v>1</v>
      </c>
    </row>
    <row r="21943" spans="1:3" x14ac:dyDescent="0.25">
      <c r="A21943" s="1" t="s">
        <v>21942</v>
      </c>
      <c r="C21943" s="3">
        <v>1</v>
      </c>
    </row>
    <row r="21944" spans="1:3" x14ac:dyDescent="0.25">
      <c r="A21944" s="1" t="s">
        <v>21943</v>
      </c>
      <c r="C21944" s="3">
        <v>1</v>
      </c>
    </row>
    <row r="21945" spans="1:3" x14ac:dyDescent="0.25">
      <c r="A21945" s="1" t="s">
        <v>21944</v>
      </c>
      <c r="C21945" s="3">
        <v>1</v>
      </c>
    </row>
    <row r="21946" spans="1:3" x14ac:dyDescent="0.25">
      <c r="A21946" s="1" t="s">
        <v>21945</v>
      </c>
      <c r="C21946" s="3">
        <v>1</v>
      </c>
    </row>
    <row r="21947" spans="1:3" x14ac:dyDescent="0.25">
      <c r="A21947" s="1" t="s">
        <v>21946</v>
      </c>
      <c r="C21947" s="3">
        <v>1</v>
      </c>
    </row>
    <row r="21948" spans="1:3" x14ac:dyDescent="0.25">
      <c r="A21948" s="1" t="s">
        <v>21947</v>
      </c>
      <c r="C21948" s="3">
        <v>1</v>
      </c>
    </row>
    <row r="21949" spans="1:3" x14ac:dyDescent="0.25">
      <c r="A21949" s="1" t="s">
        <v>21948</v>
      </c>
      <c r="C21949" s="3">
        <v>1</v>
      </c>
    </row>
    <row r="21950" spans="1:3" x14ac:dyDescent="0.25">
      <c r="A21950" s="1" t="s">
        <v>21949</v>
      </c>
      <c r="C21950" s="3">
        <v>1</v>
      </c>
    </row>
    <row r="21951" spans="1:3" x14ac:dyDescent="0.25">
      <c r="A21951" s="1" t="s">
        <v>21950</v>
      </c>
      <c r="C21951" s="3">
        <v>1</v>
      </c>
    </row>
    <row r="21952" spans="1:3" x14ac:dyDescent="0.25">
      <c r="A21952" s="1" t="s">
        <v>21951</v>
      </c>
      <c r="C21952" s="3">
        <v>1</v>
      </c>
    </row>
    <row r="21953" spans="1:3" x14ac:dyDescent="0.25">
      <c r="A21953" s="1" t="s">
        <v>21952</v>
      </c>
      <c r="C21953" s="3">
        <v>1</v>
      </c>
    </row>
    <row r="21954" spans="1:3" x14ac:dyDescent="0.25">
      <c r="A21954" s="1" t="s">
        <v>21953</v>
      </c>
      <c r="C21954" s="3">
        <v>1</v>
      </c>
    </row>
    <row r="21955" spans="1:3" x14ac:dyDescent="0.25">
      <c r="A21955" s="1" t="s">
        <v>21954</v>
      </c>
      <c r="C21955" s="3">
        <v>1</v>
      </c>
    </row>
    <row r="21956" spans="1:3" x14ac:dyDescent="0.25">
      <c r="A21956" s="1" t="s">
        <v>21955</v>
      </c>
      <c r="C21956" s="3">
        <v>1</v>
      </c>
    </row>
    <row r="21957" spans="1:3" x14ac:dyDescent="0.25">
      <c r="A21957" s="1" t="s">
        <v>21956</v>
      </c>
      <c r="C21957" s="3">
        <v>1</v>
      </c>
    </row>
    <row r="21958" spans="1:3" x14ac:dyDescent="0.25">
      <c r="A21958" s="1" t="s">
        <v>21957</v>
      </c>
      <c r="C21958" s="3">
        <v>1</v>
      </c>
    </row>
    <row r="21959" spans="1:3" x14ac:dyDescent="0.25">
      <c r="A21959" s="1" t="s">
        <v>21958</v>
      </c>
      <c r="C21959" s="3">
        <v>1</v>
      </c>
    </row>
    <row r="21960" spans="1:3" x14ac:dyDescent="0.25">
      <c r="A21960" s="1" t="s">
        <v>21959</v>
      </c>
      <c r="C21960" s="3">
        <v>1</v>
      </c>
    </row>
    <row r="21961" spans="1:3" x14ac:dyDescent="0.25">
      <c r="A21961" s="1" t="s">
        <v>21960</v>
      </c>
      <c r="C21961" s="3">
        <v>1</v>
      </c>
    </row>
    <row r="21962" spans="1:3" x14ac:dyDescent="0.25">
      <c r="A21962" s="1" t="s">
        <v>21961</v>
      </c>
      <c r="C21962" s="3">
        <v>1</v>
      </c>
    </row>
    <row r="21963" spans="1:3" x14ac:dyDescent="0.25">
      <c r="A21963" s="1" t="s">
        <v>21962</v>
      </c>
      <c r="C21963" s="3">
        <v>1</v>
      </c>
    </row>
    <row r="21964" spans="1:3" x14ac:dyDescent="0.25">
      <c r="A21964" s="1" t="s">
        <v>21963</v>
      </c>
      <c r="C21964" s="3">
        <v>1</v>
      </c>
    </row>
    <row r="21965" spans="1:3" x14ac:dyDescent="0.25">
      <c r="A21965" s="1" t="s">
        <v>21964</v>
      </c>
      <c r="C21965" s="3">
        <v>1</v>
      </c>
    </row>
    <row r="21966" spans="1:3" x14ac:dyDescent="0.25">
      <c r="A21966" s="1" t="s">
        <v>21965</v>
      </c>
      <c r="C21966" s="3">
        <v>1</v>
      </c>
    </row>
    <row r="21967" spans="1:3" x14ac:dyDescent="0.25">
      <c r="A21967" s="1" t="s">
        <v>21966</v>
      </c>
      <c r="C21967" s="3">
        <v>1</v>
      </c>
    </row>
    <row r="21968" spans="1:3" x14ac:dyDescent="0.25">
      <c r="A21968" s="1" t="s">
        <v>21967</v>
      </c>
      <c r="C21968" s="3">
        <v>1</v>
      </c>
    </row>
    <row r="21969" spans="1:3" x14ac:dyDescent="0.25">
      <c r="A21969" s="1" t="s">
        <v>21968</v>
      </c>
      <c r="C21969" s="3">
        <v>1</v>
      </c>
    </row>
    <row r="21970" spans="1:3" x14ac:dyDescent="0.25">
      <c r="A21970" s="1" t="s">
        <v>21969</v>
      </c>
      <c r="C21970" s="3">
        <v>1</v>
      </c>
    </row>
    <row r="21971" spans="1:3" x14ac:dyDescent="0.25">
      <c r="A21971" s="1" t="s">
        <v>21970</v>
      </c>
      <c r="C21971" s="3">
        <v>1</v>
      </c>
    </row>
    <row r="21972" spans="1:3" x14ac:dyDescent="0.25">
      <c r="A21972" s="1" t="s">
        <v>21971</v>
      </c>
      <c r="C21972" s="3">
        <v>1</v>
      </c>
    </row>
    <row r="21973" spans="1:3" x14ac:dyDescent="0.25">
      <c r="A21973" s="1" t="s">
        <v>21972</v>
      </c>
      <c r="C21973" s="3">
        <v>1</v>
      </c>
    </row>
    <row r="21974" spans="1:3" x14ac:dyDescent="0.25">
      <c r="A21974" s="1" t="s">
        <v>21973</v>
      </c>
      <c r="C21974" s="3">
        <v>1</v>
      </c>
    </row>
    <row r="21975" spans="1:3" x14ac:dyDescent="0.25">
      <c r="A21975" s="1" t="s">
        <v>21974</v>
      </c>
      <c r="C21975" s="3">
        <v>1</v>
      </c>
    </row>
    <row r="21976" spans="1:3" x14ac:dyDescent="0.25">
      <c r="A21976" s="1" t="s">
        <v>21975</v>
      </c>
      <c r="C21976" s="3">
        <v>1</v>
      </c>
    </row>
    <row r="21977" spans="1:3" x14ac:dyDescent="0.25">
      <c r="A21977" s="1" t="s">
        <v>21976</v>
      </c>
      <c r="C21977" s="3">
        <v>1</v>
      </c>
    </row>
    <row r="21978" spans="1:3" x14ac:dyDescent="0.25">
      <c r="A21978" s="1" t="s">
        <v>21977</v>
      </c>
      <c r="C21978" s="3">
        <v>1</v>
      </c>
    </row>
    <row r="21979" spans="1:3" x14ac:dyDescent="0.25">
      <c r="A21979" s="1" t="s">
        <v>21978</v>
      </c>
      <c r="C21979" s="3">
        <v>1</v>
      </c>
    </row>
    <row r="21980" spans="1:3" x14ac:dyDescent="0.25">
      <c r="A21980" s="1" t="s">
        <v>21979</v>
      </c>
      <c r="C21980" s="3">
        <v>1</v>
      </c>
    </row>
    <row r="21981" spans="1:3" x14ac:dyDescent="0.25">
      <c r="A21981" s="1" t="s">
        <v>21980</v>
      </c>
      <c r="C21981" s="3">
        <v>1</v>
      </c>
    </row>
    <row r="21982" spans="1:3" x14ac:dyDescent="0.25">
      <c r="A21982" s="1" t="s">
        <v>21981</v>
      </c>
      <c r="C21982" s="3">
        <v>1</v>
      </c>
    </row>
    <row r="21983" spans="1:3" x14ac:dyDescent="0.25">
      <c r="A21983" s="1" t="s">
        <v>21982</v>
      </c>
      <c r="C21983" s="3">
        <v>1</v>
      </c>
    </row>
    <row r="21984" spans="1:3" x14ac:dyDescent="0.25">
      <c r="A21984" s="1" t="s">
        <v>21983</v>
      </c>
      <c r="C21984" s="3">
        <v>1</v>
      </c>
    </row>
    <row r="21985" spans="1:3" x14ac:dyDescent="0.25">
      <c r="A21985" s="1" t="s">
        <v>21984</v>
      </c>
      <c r="C21985" s="3">
        <v>1</v>
      </c>
    </row>
    <row r="21986" spans="1:3" x14ac:dyDescent="0.25">
      <c r="A21986" s="1" t="s">
        <v>21985</v>
      </c>
      <c r="C21986" s="3">
        <v>1</v>
      </c>
    </row>
    <row r="21987" spans="1:3" x14ac:dyDescent="0.25">
      <c r="A21987" s="1" t="s">
        <v>21986</v>
      </c>
      <c r="C21987" s="3">
        <v>1</v>
      </c>
    </row>
    <row r="21988" spans="1:3" x14ac:dyDescent="0.25">
      <c r="A21988" s="1" t="s">
        <v>21987</v>
      </c>
      <c r="C21988" s="3">
        <v>1</v>
      </c>
    </row>
    <row r="21989" spans="1:3" x14ac:dyDescent="0.25">
      <c r="A21989" s="1" t="s">
        <v>21988</v>
      </c>
      <c r="C21989" s="3">
        <v>1</v>
      </c>
    </row>
    <row r="21990" spans="1:3" x14ac:dyDescent="0.25">
      <c r="A21990" s="1" t="s">
        <v>21989</v>
      </c>
      <c r="C21990" s="3">
        <v>1</v>
      </c>
    </row>
    <row r="21991" spans="1:3" x14ac:dyDescent="0.25">
      <c r="A21991" s="1" t="s">
        <v>21990</v>
      </c>
      <c r="C21991" s="3">
        <v>1</v>
      </c>
    </row>
    <row r="21992" spans="1:3" x14ac:dyDescent="0.25">
      <c r="A21992" s="1" t="s">
        <v>21991</v>
      </c>
      <c r="C21992" s="3">
        <v>1</v>
      </c>
    </row>
    <row r="21993" spans="1:3" x14ac:dyDescent="0.25">
      <c r="A21993" s="1" t="s">
        <v>21992</v>
      </c>
      <c r="C21993" s="3">
        <v>1</v>
      </c>
    </row>
    <row r="21994" spans="1:3" x14ac:dyDescent="0.25">
      <c r="A21994" s="1" t="s">
        <v>21993</v>
      </c>
      <c r="C21994" s="3">
        <v>1</v>
      </c>
    </row>
    <row r="21995" spans="1:3" x14ac:dyDescent="0.25">
      <c r="A21995" s="1" t="s">
        <v>21994</v>
      </c>
      <c r="C21995" s="3">
        <v>1</v>
      </c>
    </row>
    <row r="21996" spans="1:3" x14ac:dyDescent="0.25">
      <c r="A21996" s="1" t="s">
        <v>21995</v>
      </c>
      <c r="C21996" s="3">
        <v>1</v>
      </c>
    </row>
    <row r="21997" spans="1:3" x14ac:dyDescent="0.25">
      <c r="A21997" s="1" t="s">
        <v>21996</v>
      </c>
      <c r="C21997" s="3">
        <v>1</v>
      </c>
    </row>
    <row r="21998" spans="1:3" x14ac:dyDescent="0.25">
      <c r="A21998" s="1" t="s">
        <v>21997</v>
      </c>
      <c r="C21998" s="3">
        <v>1</v>
      </c>
    </row>
    <row r="21999" spans="1:3" x14ac:dyDescent="0.25">
      <c r="A21999" s="1" t="s">
        <v>21998</v>
      </c>
      <c r="C21999" s="3">
        <v>1</v>
      </c>
    </row>
    <row r="22000" spans="1:3" x14ac:dyDescent="0.25">
      <c r="A22000" s="1" t="s">
        <v>21999</v>
      </c>
      <c r="C22000" s="3">
        <v>1</v>
      </c>
    </row>
    <row r="22001" spans="1:3" x14ac:dyDescent="0.25">
      <c r="A22001" s="1" t="s">
        <v>22000</v>
      </c>
      <c r="C22001" s="3">
        <v>1</v>
      </c>
    </row>
    <row r="22002" spans="1:3" x14ac:dyDescent="0.25">
      <c r="A22002" s="1" t="s">
        <v>22001</v>
      </c>
      <c r="C22002" s="3">
        <v>1</v>
      </c>
    </row>
    <row r="22003" spans="1:3" x14ac:dyDescent="0.25">
      <c r="A22003" s="1" t="s">
        <v>22002</v>
      </c>
      <c r="C22003" s="3">
        <v>1</v>
      </c>
    </row>
    <row r="22004" spans="1:3" x14ac:dyDescent="0.25">
      <c r="A22004" s="1" t="s">
        <v>22003</v>
      </c>
      <c r="C22004" s="3">
        <v>1</v>
      </c>
    </row>
    <row r="22005" spans="1:3" x14ac:dyDescent="0.25">
      <c r="A22005" s="1" t="s">
        <v>22004</v>
      </c>
      <c r="C22005" s="3">
        <v>1</v>
      </c>
    </row>
    <row r="22006" spans="1:3" x14ac:dyDescent="0.25">
      <c r="A22006" s="1" t="s">
        <v>22005</v>
      </c>
      <c r="C22006" s="3">
        <v>1</v>
      </c>
    </row>
    <row r="22007" spans="1:3" x14ac:dyDescent="0.25">
      <c r="A22007" s="1" t="s">
        <v>22006</v>
      </c>
      <c r="C22007" s="3">
        <v>1</v>
      </c>
    </row>
    <row r="22008" spans="1:3" x14ac:dyDescent="0.25">
      <c r="A22008" s="1" t="s">
        <v>22007</v>
      </c>
      <c r="C22008" s="3">
        <v>1</v>
      </c>
    </row>
    <row r="22009" spans="1:3" x14ac:dyDescent="0.25">
      <c r="A22009" s="1" t="s">
        <v>22008</v>
      </c>
      <c r="C22009" s="3">
        <v>1</v>
      </c>
    </row>
    <row r="22010" spans="1:3" x14ac:dyDescent="0.25">
      <c r="A22010" s="1" t="s">
        <v>22009</v>
      </c>
      <c r="C22010" s="3">
        <v>1</v>
      </c>
    </row>
    <row r="22011" spans="1:3" x14ac:dyDescent="0.25">
      <c r="A22011" s="1" t="s">
        <v>22010</v>
      </c>
      <c r="C22011" s="3">
        <v>1</v>
      </c>
    </row>
    <row r="22012" spans="1:3" x14ac:dyDescent="0.25">
      <c r="A22012" s="1" t="s">
        <v>22011</v>
      </c>
      <c r="C22012" s="3">
        <v>1</v>
      </c>
    </row>
    <row r="22013" spans="1:3" x14ac:dyDescent="0.25">
      <c r="A22013" s="1" t="s">
        <v>22012</v>
      </c>
      <c r="C22013" s="3">
        <v>1</v>
      </c>
    </row>
    <row r="22014" spans="1:3" x14ac:dyDescent="0.25">
      <c r="A22014" s="1" t="s">
        <v>22013</v>
      </c>
      <c r="C22014" s="3">
        <v>1</v>
      </c>
    </row>
    <row r="22015" spans="1:3" x14ac:dyDescent="0.25">
      <c r="A22015" s="1" t="s">
        <v>22014</v>
      </c>
      <c r="C22015" s="3">
        <v>1</v>
      </c>
    </row>
    <row r="22016" spans="1:3" x14ac:dyDescent="0.25">
      <c r="A22016" s="1" t="s">
        <v>22015</v>
      </c>
      <c r="C22016" s="3">
        <v>1</v>
      </c>
    </row>
    <row r="22017" spans="1:3" x14ac:dyDescent="0.25">
      <c r="A22017" s="1" t="s">
        <v>22016</v>
      </c>
      <c r="C22017" s="3">
        <v>1</v>
      </c>
    </row>
    <row r="22018" spans="1:3" x14ac:dyDescent="0.25">
      <c r="A22018" s="1" t="s">
        <v>22017</v>
      </c>
      <c r="C22018" s="3">
        <v>1</v>
      </c>
    </row>
    <row r="22019" spans="1:3" x14ac:dyDescent="0.25">
      <c r="A22019" s="1" t="s">
        <v>22018</v>
      </c>
      <c r="C22019" s="3">
        <v>1</v>
      </c>
    </row>
    <row r="22020" spans="1:3" x14ac:dyDescent="0.25">
      <c r="A22020" s="1" t="s">
        <v>22019</v>
      </c>
      <c r="C22020" s="3">
        <v>1</v>
      </c>
    </row>
    <row r="22021" spans="1:3" x14ac:dyDescent="0.25">
      <c r="A22021" s="1" t="s">
        <v>22020</v>
      </c>
      <c r="C22021" s="3">
        <v>1</v>
      </c>
    </row>
    <row r="22022" spans="1:3" x14ac:dyDescent="0.25">
      <c r="A22022" s="1" t="s">
        <v>22021</v>
      </c>
      <c r="C22022" s="3">
        <v>1</v>
      </c>
    </row>
    <row r="22023" spans="1:3" x14ac:dyDescent="0.25">
      <c r="A22023" s="1" t="s">
        <v>22022</v>
      </c>
      <c r="C22023" s="3">
        <v>1</v>
      </c>
    </row>
    <row r="22024" spans="1:3" x14ac:dyDescent="0.25">
      <c r="A22024" s="1" t="s">
        <v>22023</v>
      </c>
      <c r="C22024" s="3">
        <v>1</v>
      </c>
    </row>
    <row r="22025" spans="1:3" x14ac:dyDescent="0.25">
      <c r="A22025" s="1" t="s">
        <v>22024</v>
      </c>
      <c r="C22025" s="3">
        <v>1</v>
      </c>
    </row>
    <row r="22026" spans="1:3" x14ac:dyDescent="0.25">
      <c r="A22026" s="1" t="s">
        <v>22025</v>
      </c>
      <c r="C22026" s="3">
        <v>1</v>
      </c>
    </row>
    <row r="22027" spans="1:3" x14ac:dyDescent="0.25">
      <c r="A22027" s="1" t="s">
        <v>22026</v>
      </c>
      <c r="C22027" s="3">
        <v>1</v>
      </c>
    </row>
    <row r="22028" spans="1:3" x14ac:dyDescent="0.25">
      <c r="A22028" s="1" t="s">
        <v>22027</v>
      </c>
      <c r="C22028" s="3">
        <v>1</v>
      </c>
    </row>
    <row r="22029" spans="1:3" x14ac:dyDescent="0.25">
      <c r="A22029" s="1" t="s">
        <v>22028</v>
      </c>
      <c r="C22029" s="3">
        <v>1</v>
      </c>
    </row>
    <row r="22030" spans="1:3" x14ac:dyDescent="0.25">
      <c r="A22030" s="1" t="s">
        <v>22029</v>
      </c>
      <c r="C22030" s="3">
        <v>1</v>
      </c>
    </row>
    <row r="22031" spans="1:3" x14ac:dyDescent="0.25">
      <c r="A22031" s="1" t="s">
        <v>22030</v>
      </c>
      <c r="C22031" s="3">
        <v>1</v>
      </c>
    </row>
    <row r="22032" spans="1:3" x14ac:dyDescent="0.25">
      <c r="A22032" s="1" t="s">
        <v>22031</v>
      </c>
      <c r="C22032" s="3">
        <v>1</v>
      </c>
    </row>
    <row r="22033" spans="1:3" x14ac:dyDescent="0.25">
      <c r="A22033" s="1" t="s">
        <v>22032</v>
      </c>
      <c r="C22033" s="3">
        <v>1</v>
      </c>
    </row>
    <row r="22034" spans="1:3" x14ac:dyDescent="0.25">
      <c r="A22034" s="1" t="s">
        <v>22033</v>
      </c>
      <c r="C22034" s="3">
        <v>1</v>
      </c>
    </row>
    <row r="22035" spans="1:3" x14ac:dyDescent="0.25">
      <c r="A22035" s="1" t="s">
        <v>22034</v>
      </c>
      <c r="C22035" s="3">
        <v>1</v>
      </c>
    </row>
    <row r="22036" spans="1:3" x14ac:dyDescent="0.25">
      <c r="A22036" s="1" t="s">
        <v>22035</v>
      </c>
      <c r="C22036" s="3">
        <v>1</v>
      </c>
    </row>
    <row r="22037" spans="1:3" x14ac:dyDescent="0.25">
      <c r="A22037" s="1" t="s">
        <v>22036</v>
      </c>
      <c r="C22037" s="3">
        <v>1</v>
      </c>
    </row>
    <row r="22038" spans="1:3" x14ac:dyDescent="0.25">
      <c r="A22038" s="1" t="s">
        <v>22037</v>
      </c>
      <c r="C22038" s="3">
        <v>1</v>
      </c>
    </row>
    <row r="22039" spans="1:3" x14ac:dyDescent="0.25">
      <c r="A22039" s="1" t="s">
        <v>22038</v>
      </c>
      <c r="C22039" s="3">
        <v>1</v>
      </c>
    </row>
    <row r="22040" spans="1:3" x14ac:dyDescent="0.25">
      <c r="A22040" s="1" t="s">
        <v>22039</v>
      </c>
      <c r="C22040" s="3">
        <v>1</v>
      </c>
    </row>
    <row r="22041" spans="1:3" x14ac:dyDescent="0.25">
      <c r="A22041" s="1" t="s">
        <v>22040</v>
      </c>
      <c r="C22041" s="3">
        <v>1</v>
      </c>
    </row>
    <row r="22042" spans="1:3" x14ac:dyDescent="0.25">
      <c r="A22042" s="1" t="s">
        <v>22041</v>
      </c>
      <c r="C22042" s="3">
        <v>1</v>
      </c>
    </row>
    <row r="22043" spans="1:3" x14ac:dyDescent="0.25">
      <c r="A22043" s="1" t="s">
        <v>22042</v>
      </c>
      <c r="C22043" s="3">
        <v>1</v>
      </c>
    </row>
    <row r="22044" spans="1:3" x14ac:dyDescent="0.25">
      <c r="A22044" s="1" t="s">
        <v>22043</v>
      </c>
      <c r="C22044" s="3">
        <v>1</v>
      </c>
    </row>
    <row r="22045" spans="1:3" x14ac:dyDescent="0.25">
      <c r="A22045" s="1" t="s">
        <v>22044</v>
      </c>
      <c r="C22045" s="3">
        <v>1</v>
      </c>
    </row>
    <row r="22046" spans="1:3" x14ac:dyDescent="0.25">
      <c r="A22046" s="1" t="s">
        <v>22045</v>
      </c>
      <c r="C22046" s="3">
        <v>1</v>
      </c>
    </row>
    <row r="22047" spans="1:3" x14ac:dyDescent="0.25">
      <c r="A22047" s="1" t="s">
        <v>22046</v>
      </c>
      <c r="C22047" s="3">
        <v>1</v>
      </c>
    </row>
    <row r="22048" spans="1:3" x14ac:dyDescent="0.25">
      <c r="A22048" s="1" t="s">
        <v>22047</v>
      </c>
      <c r="C22048" s="3">
        <v>1</v>
      </c>
    </row>
    <row r="22049" spans="1:3" x14ac:dyDescent="0.25">
      <c r="A22049" s="1" t="s">
        <v>22048</v>
      </c>
      <c r="C22049" s="3">
        <v>1</v>
      </c>
    </row>
    <row r="22050" spans="1:3" x14ac:dyDescent="0.25">
      <c r="A22050" s="1" t="s">
        <v>22049</v>
      </c>
      <c r="C22050" s="3">
        <v>1</v>
      </c>
    </row>
    <row r="22051" spans="1:3" x14ac:dyDescent="0.25">
      <c r="A22051" s="1" t="s">
        <v>22050</v>
      </c>
      <c r="C22051" s="3">
        <v>1</v>
      </c>
    </row>
    <row r="22052" spans="1:3" x14ac:dyDescent="0.25">
      <c r="A22052" s="1" t="s">
        <v>22051</v>
      </c>
      <c r="C22052" s="3">
        <v>1</v>
      </c>
    </row>
    <row r="22053" spans="1:3" x14ac:dyDescent="0.25">
      <c r="A22053" s="1" t="s">
        <v>22052</v>
      </c>
      <c r="C22053" s="3">
        <v>1</v>
      </c>
    </row>
    <row r="22054" spans="1:3" x14ac:dyDescent="0.25">
      <c r="A22054" s="1" t="s">
        <v>22053</v>
      </c>
      <c r="C22054" s="3">
        <v>1</v>
      </c>
    </row>
    <row r="22055" spans="1:3" x14ac:dyDescent="0.25">
      <c r="A22055" s="1" t="s">
        <v>22054</v>
      </c>
      <c r="C22055" s="3">
        <v>1</v>
      </c>
    </row>
    <row r="22056" spans="1:3" x14ac:dyDescent="0.25">
      <c r="A22056" s="1" t="s">
        <v>22055</v>
      </c>
      <c r="C22056" s="3">
        <v>1</v>
      </c>
    </row>
    <row r="22057" spans="1:3" x14ac:dyDescent="0.25">
      <c r="A22057" s="1" t="s">
        <v>22056</v>
      </c>
      <c r="C22057" s="3">
        <v>1</v>
      </c>
    </row>
    <row r="22058" spans="1:3" x14ac:dyDescent="0.25">
      <c r="A22058" s="1" t="s">
        <v>22057</v>
      </c>
      <c r="C22058" s="3">
        <v>1</v>
      </c>
    </row>
    <row r="22059" spans="1:3" x14ac:dyDescent="0.25">
      <c r="A22059" s="1" t="s">
        <v>22058</v>
      </c>
      <c r="C22059" s="3">
        <v>1</v>
      </c>
    </row>
    <row r="22060" spans="1:3" x14ac:dyDescent="0.25">
      <c r="A22060" s="1" t="s">
        <v>22059</v>
      </c>
      <c r="C22060" s="3">
        <v>1</v>
      </c>
    </row>
    <row r="22061" spans="1:3" x14ac:dyDescent="0.25">
      <c r="A22061" s="1" t="s">
        <v>22060</v>
      </c>
      <c r="C22061" s="3">
        <v>1</v>
      </c>
    </row>
    <row r="22062" spans="1:3" x14ac:dyDescent="0.25">
      <c r="A22062" s="1" t="s">
        <v>22061</v>
      </c>
      <c r="C22062" s="3">
        <v>1</v>
      </c>
    </row>
    <row r="22063" spans="1:3" x14ac:dyDescent="0.25">
      <c r="A22063" s="1" t="s">
        <v>22062</v>
      </c>
      <c r="C22063" s="3">
        <v>1</v>
      </c>
    </row>
    <row r="22064" spans="1:3" x14ac:dyDescent="0.25">
      <c r="A22064" s="1" t="s">
        <v>22063</v>
      </c>
      <c r="C22064" s="3">
        <v>1</v>
      </c>
    </row>
    <row r="22065" spans="1:3" x14ac:dyDescent="0.25">
      <c r="A22065" s="1" t="s">
        <v>22064</v>
      </c>
      <c r="C22065" s="3">
        <v>1</v>
      </c>
    </row>
    <row r="22066" spans="1:3" x14ac:dyDescent="0.25">
      <c r="A22066" s="1" t="s">
        <v>22065</v>
      </c>
      <c r="C22066" s="3">
        <v>1</v>
      </c>
    </row>
    <row r="22067" spans="1:3" x14ac:dyDescent="0.25">
      <c r="A22067" s="1" t="s">
        <v>22066</v>
      </c>
      <c r="C22067" s="3">
        <v>1</v>
      </c>
    </row>
    <row r="22068" spans="1:3" x14ac:dyDescent="0.25">
      <c r="A22068" s="1" t="s">
        <v>22067</v>
      </c>
      <c r="C22068" s="3">
        <v>1</v>
      </c>
    </row>
    <row r="22069" spans="1:3" x14ac:dyDescent="0.25">
      <c r="A22069" s="1" t="s">
        <v>22068</v>
      </c>
      <c r="C22069" s="3">
        <v>1</v>
      </c>
    </row>
    <row r="22070" spans="1:3" x14ac:dyDescent="0.25">
      <c r="A22070" s="1" t="s">
        <v>22069</v>
      </c>
      <c r="C22070" s="3">
        <v>1</v>
      </c>
    </row>
    <row r="22071" spans="1:3" x14ac:dyDescent="0.25">
      <c r="A22071" s="1" t="s">
        <v>22070</v>
      </c>
      <c r="C22071" s="3">
        <v>1</v>
      </c>
    </row>
    <row r="22072" spans="1:3" x14ac:dyDescent="0.25">
      <c r="A22072" s="1" t="s">
        <v>22071</v>
      </c>
      <c r="C22072" s="3">
        <v>1</v>
      </c>
    </row>
    <row r="22073" spans="1:3" x14ac:dyDescent="0.25">
      <c r="A22073" s="1" t="s">
        <v>22072</v>
      </c>
      <c r="C22073" s="3">
        <v>1</v>
      </c>
    </row>
    <row r="22074" spans="1:3" x14ac:dyDescent="0.25">
      <c r="A22074" s="1" t="s">
        <v>22073</v>
      </c>
      <c r="C22074" s="3">
        <v>1</v>
      </c>
    </row>
    <row r="22075" spans="1:3" x14ac:dyDescent="0.25">
      <c r="A22075" s="1" t="s">
        <v>22074</v>
      </c>
      <c r="C22075" s="3">
        <v>1</v>
      </c>
    </row>
    <row r="22076" spans="1:3" x14ac:dyDescent="0.25">
      <c r="A22076" s="1" t="s">
        <v>22075</v>
      </c>
      <c r="C22076" s="3">
        <v>1</v>
      </c>
    </row>
    <row r="22077" spans="1:3" x14ac:dyDescent="0.25">
      <c r="A22077" s="1" t="s">
        <v>22076</v>
      </c>
      <c r="C22077" s="3">
        <v>1</v>
      </c>
    </row>
    <row r="22078" spans="1:3" x14ac:dyDescent="0.25">
      <c r="A22078" s="1" t="s">
        <v>22077</v>
      </c>
      <c r="C22078" s="3">
        <v>1</v>
      </c>
    </row>
    <row r="22079" spans="1:3" x14ac:dyDescent="0.25">
      <c r="A22079" s="1" t="s">
        <v>22078</v>
      </c>
      <c r="C22079" s="3">
        <v>1</v>
      </c>
    </row>
    <row r="22080" spans="1:3" x14ac:dyDescent="0.25">
      <c r="A22080" s="1" t="s">
        <v>22079</v>
      </c>
      <c r="C22080" s="3">
        <v>1</v>
      </c>
    </row>
    <row r="22081" spans="1:3" x14ac:dyDescent="0.25">
      <c r="A22081" s="1" t="s">
        <v>22080</v>
      </c>
      <c r="C22081" s="3">
        <v>1</v>
      </c>
    </row>
    <row r="22082" spans="1:3" x14ac:dyDescent="0.25">
      <c r="A22082" s="1" t="s">
        <v>22081</v>
      </c>
      <c r="C22082" s="3">
        <v>1</v>
      </c>
    </row>
    <row r="22083" spans="1:3" x14ac:dyDescent="0.25">
      <c r="A22083" s="1" t="s">
        <v>22082</v>
      </c>
      <c r="C22083" s="3">
        <v>1</v>
      </c>
    </row>
    <row r="22084" spans="1:3" x14ac:dyDescent="0.25">
      <c r="A22084" s="1" t="s">
        <v>22083</v>
      </c>
      <c r="C22084" s="3">
        <v>1</v>
      </c>
    </row>
    <row r="22085" spans="1:3" x14ac:dyDescent="0.25">
      <c r="A22085" s="1" t="s">
        <v>22084</v>
      </c>
      <c r="C22085" s="3">
        <v>1</v>
      </c>
    </row>
    <row r="22086" spans="1:3" x14ac:dyDescent="0.25">
      <c r="A22086" s="1" t="s">
        <v>22085</v>
      </c>
      <c r="C22086" s="3">
        <v>1</v>
      </c>
    </row>
    <row r="22087" spans="1:3" x14ac:dyDescent="0.25">
      <c r="A22087" s="1" t="s">
        <v>22086</v>
      </c>
      <c r="C22087" s="3">
        <v>1</v>
      </c>
    </row>
    <row r="22088" spans="1:3" x14ac:dyDescent="0.25">
      <c r="A22088" s="1" t="s">
        <v>22087</v>
      </c>
      <c r="C22088" s="3">
        <v>1</v>
      </c>
    </row>
    <row r="22089" spans="1:3" x14ac:dyDescent="0.25">
      <c r="A22089" s="1" t="s">
        <v>22088</v>
      </c>
      <c r="C22089" s="3">
        <v>1</v>
      </c>
    </row>
    <row r="22090" spans="1:3" x14ac:dyDescent="0.25">
      <c r="A22090" s="1" t="s">
        <v>22089</v>
      </c>
      <c r="C22090" s="3">
        <v>1</v>
      </c>
    </row>
    <row r="22091" spans="1:3" x14ac:dyDescent="0.25">
      <c r="A22091" s="1" t="s">
        <v>22090</v>
      </c>
      <c r="C22091" s="3">
        <v>1</v>
      </c>
    </row>
    <row r="22092" spans="1:3" x14ac:dyDescent="0.25">
      <c r="A22092" s="1" t="s">
        <v>22091</v>
      </c>
      <c r="C22092" s="3">
        <v>1</v>
      </c>
    </row>
    <row r="22093" spans="1:3" x14ac:dyDescent="0.25">
      <c r="A22093" s="1" t="s">
        <v>22092</v>
      </c>
      <c r="C22093" s="3">
        <v>1</v>
      </c>
    </row>
    <row r="22094" spans="1:3" x14ac:dyDescent="0.25">
      <c r="A22094" s="1" t="s">
        <v>22093</v>
      </c>
      <c r="C22094" s="3">
        <v>1</v>
      </c>
    </row>
    <row r="22095" spans="1:3" x14ac:dyDescent="0.25">
      <c r="A22095" s="1" t="s">
        <v>22094</v>
      </c>
      <c r="C22095" s="3">
        <v>1</v>
      </c>
    </row>
    <row r="22096" spans="1:3" x14ac:dyDescent="0.25">
      <c r="A22096" s="1" t="s">
        <v>22095</v>
      </c>
      <c r="C22096" s="3">
        <v>1</v>
      </c>
    </row>
    <row r="22097" spans="1:3" x14ac:dyDescent="0.25">
      <c r="A22097" s="1" t="s">
        <v>22096</v>
      </c>
      <c r="C22097" s="3">
        <v>1</v>
      </c>
    </row>
    <row r="22098" spans="1:3" x14ac:dyDescent="0.25">
      <c r="A22098" s="1" t="s">
        <v>22097</v>
      </c>
      <c r="C22098" s="3">
        <v>1</v>
      </c>
    </row>
    <row r="22099" spans="1:3" x14ac:dyDescent="0.25">
      <c r="A22099" s="1" t="s">
        <v>22098</v>
      </c>
      <c r="C22099" s="3">
        <v>1</v>
      </c>
    </row>
    <row r="22100" spans="1:3" x14ac:dyDescent="0.25">
      <c r="A22100" s="1" t="s">
        <v>22099</v>
      </c>
      <c r="C22100" s="3">
        <v>1</v>
      </c>
    </row>
    <row r="22101" spans="1:3" x14ac:dyDescent="0.25">
      <c r="A22101" s="1" t="s">
        <v>22100</v>
      </c>
      <c r="C22101" s="3">
        <v>1</v>
      </c>
    </row>
    <row r="22102" spans="1:3" x14ac:dyDescent="0.25">
      <c r="A22102" s="1" t="s">
        <v>22101</v>
      </c>
      <c r="C22102" s="3">
        <v>1</v>
      </c>
    </row>
    <row r="22103" spans="1:3" x14ac:dyDescent="0.25">
      <c r="A22103" s="1" t="s">
        <v>22102</v>
      </c>
      <c r="C22103" s="3">
        <v>1</v>
      </c>
    </row>
    <row r="22104" spans="1:3" x14ac:dyDescent="0.25">
      <c r="A22104" s="1" t="s">
        <v>22103</v>
      </c>
      <c r="C22104" s="3">
        <v>1</v>
      </c>
    </row>
    <row r="22105" spans="1:3" x14ac:dyDescent="0.25">
      <c r="A22105" s="1" t="s">
        <v>22104</v>
      </c>
      <c r="C22105" s="3">
        <v>1</v>
      </c>
    </row>
    <row r="22106" spans="1:3" x14ac:dyDescent="0.25">
      <c r="A22106" s="1" t="s">
        <v>22105</v>
      </c>
      <c r="C22106" s="3">
        <v>1</v>
      </c>
    </row>
    <row r="22107" spans="1:3" x14ac:dyDescent="0.25">
      <c r="A22107" s="1" t="s">
        <v>22106</v>
      </c>
      <c r="C22107" s="3">
        <v>1</v>
      </c>
    </row>
    <row r="22108" spans="1:3" x14ac:dyDescent="0.25">
      <c r="A22108" s="1" t="s">
        <v>22107</v>
      </c>
      <c r="C22108" s="3">
        <v>1</v>
      </c>
    </row>
    <row r="22109" spans="1:3" x14ac:dyDescent="0.25">
      <c r="A22109" s="1" t="s">
        <v>22108</v>
      </c>
      <c r="C22109" s="3">
        <v>1</v>
      </c>
    </row>
    <row r="22110" spans="1:3" x14ac:dyDescent="0.25">
      <c r="A22110" s="1" t="s">
        <v>22109</v>
      </c>
      <c r="C22110" s="3">
        <v>1</v>
      </c>
    </row>
    <row r="22111" spans="1:3" x14ac:dyDescent="0.25">
      <c r="A22111" s="1" t="s">
        <v>22110</v>
      </c>
      <c r="C22111" s="3">
        <v>1</v>
      </c>
    </row>
    <row r="22112" spans="1:3" x14ac:dyDescent="0.25">
      <c r="A22112" s="1" t="s">
        <v>22111</v>
      </c>
      <c r="C22112" s="3">
        <v>1</v>
      </c>
    </row>
    <row r="22113" spans="1:3" x14ac:dyDescent="0.25">
      <c r="A22113" s="1" t="s">
        <v>22112</v>
      </c>
      <c r="C22113" s="3">
        <v>1</v>
      </c>
    </row>
    <row r="22114" spans="1:3" x14ac:dyDescent="0.25">
      <c r="A22114" s="1" t="s">
        <v>22113</v>
      </c>
      <c r="C22114" s="3">
        <v>1</v>
      </c>
    </row>
    <row r="22115" spans="1:3" x14ac:dyDescent="0.25">
      <c r="A22115" s="1" t="s">
        <v>22114</v>
      </c>
      <c r="C22115" s="3">
        <v>1</v>
      </c>
    </row>
    <row r="22116" spans="1:3" x14ac:dyDescent="0.25">
      <c r="A22116" s="1" t="s">
        <v>22115</v>
      </c>
      <c r="C22116" s="3">
        <v>1</v>
      </c>
    </row>
    <row r="22117" spans="1:3" x14ac:dyDescent="0.25">
      <c r="A22117" s="1" t="s">
        <v>22116</v>
      </c>
      <c r="C22117" s="3">
        <v>1</v>
      </c>
    </row>
    <row r="22118" spans="1:3" x14ac:dyDescent="0.25">
      <c r="A22118" s="1" t="s">
        <v>22117</v>
      </c>
      <c r="C22118" s="3">
        <v>1</v>
      </c>
    </row>
    <row r="22119" spans="1:3" x14ac:dyDescent="0.25">
      <c r="A22119" s="1" t="s">
        <v>22118</v>
      </c>
      <c r="C22119" s="3">
        <v>1</v>
      </c>
    </row>
    <row r="22120" spans="1:3" x14ac:dyDescent="0.25">
      <c r="A22120" s="1" t="s">
        <v>22119</v>
      </c>
      <c r="C22120" s="3">
        <v>1</v>
      </c>
    </row>
    <row r="22121" spans="1:3" x14ac:dyDescent="0.25">
      <c r="A22121" s="1" t="s">
        <v>22120</v>
      </c>
      <c r="C22121" s="3">
        <v>1</v>
      </c>
    </row>
    <row r="22122" spans="1:3" x14ac:dyDescent="0.25">
      <c r="A22122" s="1" t="s">
        <v>22121</v>
      </c>
      <c r="C22122" s="3">
        <v>1</v>
      </c>
    </row>
    <row r="22123" spans="1:3" x14ac:dyDescent="0.25">
      <c r="A22123" s="1" t="s">
        <v>22122</v>
      </c>
      <c r="C22123" s="3">
        <v>1</v>
      </c>
    </row>
    <row r="22124" spans="1:3" x14ac:dyDescent="0.25">
      <c r="A22124" s="1" t="s">
        <v>22123</v>
      </c>
      <c r="C22124" s="3">
        <v>1</v>
      </c>
    </row>
    <row r="22125" spans="1:3" x14ac:dyDescent="0.25">
      <c r="A22125" s="1" t="s">
        <v>22124</v>
      </c>
      <c r="C22125" s="3">
        <v>1</v>
      </c>
    </row>
    <row r="22126" spans="1:3" x14ac:dyDescent="0.25">
      <c r="A22126" s="1" t="s">
        <v>22125</v>
      </c>
      <c r="C22126" s="3">
        <v>1</v>
      </c>
    </row>
    <row r="22127" spans="1:3" x14ac:dyDescent="0.25">
      <c r="A22127" s="1" t="s">
        <v>22126</v>
      </c>
      <c r="C22127" s="3">
        <v>1</v>
      </c>
    </row>
    <row r="22128" spans="1:3" x14ac:dyDescent="0.25">
      <c r="A22128" s="1" t="s">
        <v>22127</v>
      </c>
      <c r="C22128" s="3">
        <v>1</v>
      </c>
    </row>
    <row r="22129" spans="1:3" x14ac:dyDescent="0.25">
      <c r="A22129" s="1" t="s">
        <v>22128</v>
      </c>
      <c r="C22129" s="3">
        <v>1</v>
      </c>
    </row>
    <row r="22130" spans="1:3" x14ac:dyDescent="0.25">
      <c r="A22130" s="1" t="s">
        <v>22129</v>
      </c>
      <c r="C22130" s="3">
        <v>1</v>
      </c>
    </row>
    <row r="22131" spans="1:3" x14ac:dyDescent="0.25">
      <c r="A22131" s="1" t="s">
        <v>22130</v>
      </c>
      <c r="C22131" s="3">
        <v>1</v>
      </c>
    </row>
    <row r="22132" spans="1:3" x14ac:dyDescent="0.25">
      <c r="A22132" s="1" t="s">
        <v>22131</v>
      </c>
      <c r="C22132" s="3">
        <v>1</v>
      </c>
    </row>
    <row r="22133" spans="1:3" x14ac:dyDescent="0.25">
      <c r="A22133" s="1" t="s">
        <v>22132</v>
      </c>
      <c r="C22133" s="3">
        <v>1</v>
      </c>
    </row>
    <row r="22134" spans="1:3" x14ac:dyDescent="0.25">
      <c r="A22134" s="1" t="s">
        <v>22133</v>
      </c>
      <c r="C22134" s="3">
        <v>1</v>
      </c>
    </row>
    <row r="22135" spans="1:3" x14ac:dyDescent="0.25">
      <c r="A22135" s="1" t="s">
        <v>22134</v>
      </c>
      <c r="C22135" s="3">
        <v>1</v>
      </c>
    </row>
    <row r="22136" spans="1:3" x14ac:dyDescent="0.25">
      <c r="A22136" s="1" t="s">
        <v>22135</v>
      </c>
      <c r="C22136" s="3">
        <v>1</v>
      </c>
    </row>
    <row r="22137" spans="1:3" x14ac:dyDescent="0.25">
      <c r="A22137" s="1" t="s">
        <v>22136</v>
      </c>
      <c r="C22137" s="3">
        <v>1</v>
      </c>
    </row>
    <row r="22138" spans="1:3" x14ac:dyDescent="0.25">
      <c r="A22138" s="1" t="s">
        <v>22137</v>
      </c>
      <c r="C22138" s="3">
        <v>1</v>
      </c>
    </row>
    <row r="22139" spans="1:3" x14ac:dyDescent="0.25">
      <c r="A22139" s="1" t="s">
        <v>22138</v>
      </c>
      <c r="C22139" s="3">
        <v>1</v>
      </c>
    </row>
    <row r="22140" spans="1:3" x14ac:dyDescent="0.25">
      <c r="A22140" s="1" t="s">
        <v>22139</v>
      </c>
      <c r="C22140" s="3">
        <v>1</v>
      </c>
    </row>
    <row r="22141" spans="1:3" x14ac:dyDescent="0.25">
      <c r="A22141" s="1" t="s">
        <v>22140</v>
      </c>
      <c r="C22141" s="3">
        <v>1</v>
      </c>
    </row>
    <row r="22142" spans="1:3" x14ac:dyDescent="0.25">
      <c r="A22142" s="1" t="s">
        <v>22141</v>
      </c>
      <c r="C22142" s="3">
        <v>1</v>
      </c>
    </row>
    <row r="22143" spans="1:3" x14ac:dyDescent="0.25">
      <c r="A22143" s="1" t="s">
        <v>22142</v>
      </c>
      <c r="C22143" s="3">
        <v>1</v>
      </c>
    </row>
    <row r="22144" spans="1:3" x14ac:dyDescent="0.25">
      <c r="A22144" s="1" t="s">
        <v>22143</v>
      </c>
      <c r="C22144" s="3">
        <v>1</v>
      </c>
    </row>
    <row r="22145" spans="1:3" x14ac:dyDescent="0.25">
      <c r="A22145" s="1" t="s">
        <v>22144</v>
      </c>
      <c r="C22145" s="3">
        <v>1</v>
      </c>
    </row>
    <row r="22146" spans="1:3" x14ac:dyDescent="0.25">
      <c r="A22146" s="1" t="s">
        <v>22145</v>
      </c>
      <c r="C22146" s="3">
        <v>1</v>
      </c>
    </row>
    <row r="22147" spans="1:3" x14ac:dyDescent="0.25">
      <c r="A22147" s="1" t="s">
        <v>22146</v>
      </c>
      <c r="C22147" s="3">
        <v>1</v>
      </c>
    </row>
    <row r="22148" spans="1:3" x14ac:dyDescent="0.25">
      <c r="A22148" s="1" t="s">
        <v>22147</v>
      </c>
      <c r="C22148" s="3">
        <v>1</v>
      </c>
    </row>
    <row r="22149" spans="1:3" x14ac:dyDescent="0.25">
      <c r="A22149" s="1" t="s">
        <v>22148</v>
      </c>
      <c r="C22149" s="3">
        <v>1</v>
      </c>
    </row>
    <row r="22150" spans="1:3" x14ac:dyDescent="0.25">
      <c r="A22150" s="1" t="s">
        <v>22149</v>
      </c>
      <c r="C22150" s="3">
        <v>1</v>
      </c>
    </row>
    <row r="22151" spans="1:3" x14ac:dyDescent="0.25">
      <c r="A22151" s="1" t="s">
        <v>22150</v>
      </c>
      <c r="C22151" s="3">
        <v>1</v>
      </c>
    </row>
    <row r="22152" spans="1:3" x14ac:dyDescent="0.25">
      <c r="A22152" s="1" t="s">
        <v>22151</v>
      </c>
      <c r="C22152" s="3">
        <v>1</v>
      </c>
    </row>
    <row r="22153" spans="1:3" x14ac:dyDescent="0.25">
      <c r="A22153" s="1" t="s">
        <v>22152</v>
      </c>
      <c r="C22153" s="3">
        <v>1</v>
      </c>
    </row>
    <row r="22154" spans="1:3" x14ac:dyDescent="0.25">
      <c r="A22154" s="1" t="s">
        <v>22153</v>
      </c>
      <c r="C22154" s="3">
        <v>1</v>
      </c>
    </row>
    <row r="22155" spans="1:3" x14ac:dyDescent="0.25">
      <c r="A22155" s="1" t="s">
        <v>22154</v>
      </c>
      <c r="C22155" s="3">
        <v>1</v>
      </c>
    </row>
    <row r="22156" spans="1:3" x14ac:dyDescent="0.25">
      <c r="A22156" s="1" t="s">
        <v>22155</v>
      </c>
      <c r="C22156" s="3">
        <v>1</v>
      </c>
    </row>
    <row r="22157" spans="1:3" x14ac:dyDescent="0.25">
      <c r="A22157" s="1" t="s">
        <v>22156</v>
      </c>
      <c r="C22157" s="3">
        <v>1</v>
      </c>
    </row>
    <row r="22158" spans="1:3" x14ac:dyDescent="0.25">
      <c r="A22158" s="1" t="s">
        <v>22157</v>
      </c>
      <c r="C22158" s="3">
        <v>1</v>
      </c>
    </row>
    <row r="22159" spans="1:3" x14ac:dyDescent="0.25">
      <c r="A22159" s="1" t="s">
        <v>22158</v>
      </c>
      <c r="C22159" s="3">
        <v>1</v>
      </c>
    </row>
    <row r="22160" spans="1:3" x14ac:dyDescent="0.25">
      <c r="A22160" s="1" t="s">
        <v>22159</v>
      </c>
      <c r="C22160" s="3">
        <v>1</v>
      </c>
    </row>
    <row r="22161" spans="1:3" x14ac:dyDescent="0.25">
      <c r="A22161" s="1" t="s">
        <v>22160</v>
      </c>
      <c r="C22161" s="3">
        <v>1</v>
      </c>
    </row>
    <row r="22162" spans="1:3" x14ac:dyDescent="0.25">
      <c r="A22162" s="1" t="s">
        <v>22161</v>
      </c>
      <c r="C22162" s="3">
        <v>1</v>
      </c>
    </row>
    <row r="22163" spans="1:3" x14ac:dyDescent="0.25">
      <c r="A22163" s="1" t="s">
        <v>22162</v>
      </c>
      <c r="C22163" s="3">
        <v>1</v>
      </c>
    </row>
    <row r="22164" spans="1:3" x14ac:dyDescent="0.25">
      <c r="A22164" s="1" t="s">
        <v>22163</v>
      </c>
      <c r="C22164" s="3">
        <v>1</v>
      </c>
    </row>
    <row r="22165" spans="1:3" x14ac:dyDescent="0.25">
      <c r="A22165" s="1" t="s">
        <v>22164</v>
      </c>
      <c r="C22165" s="3">
        <v>1</v>
      </c>
    </row>
    <row r="22166" spans="1:3" x14ac:dyDescent="0.25">
      <c r="A22166" s="1" t="s">
        <v>22165</v>
      </c>
      <c r="C22166" s="3">
        <v>1</v>
      </c>
    </row>
    <row r="22167" spans="1:3" x14ac:dyDescent="0.25">
      <c r="A22167" s="1" t="s">
        <v>22166</v>
      </c>
      <c r="C22167" s="3">
        <v>1</v>
      </c>
    </row>
    <row r="22168" spans="1:3" x14ac:dyDescent="0.25">
      <c r="A22168" s="1" t="s">
        <v>22167</v>
      </c>
      <c r="C22168" s="3">
        <v>1</v>
      </c>
    </row>
    <row r="22169" spans="1:3" x14ac:dyDescent="0.25">
      <c r="A22169" s="1" t="s">
        <v>22168</v>
      </c>
      <c r="C22169" s="3">
        <v>1</v>
      </c>
    </row>
    <row r="22170" spans="1:3" x14ac:dyDescent="0.25">
      <c r="A22170" s="1" t="s">
        <v>22169</v>
      </c>
      <c r="C22170" s="3">
        <v>1</v>
      </c>
    </row>
    <row r="22171" spans="1:3" x14ac:dyDescent="0.25">
      <c r="A22171" s="1" t="s">
        <v>22170</v>
      </c>
      <c r="C22171" s="3">
        <v>1</v>
      </c>
    </row>
    <row r="22172" spans="1:3" x14ac:dyDescent="0.25">
      <c r="A22172" s="1" t="s">
        <v>22171</v>
      </c>
      <c r="C22172" s="3">
        <v>1</v>
      </c>
    </row>
    <row r="22173" spans="1:3" x14ac:dyDescent="0.25">
      <c r="A22173" s="1" t="s">
        <v>22172</v>
      </c>
      <c r="C22173" s="3">
        <v>1</v>
      </c>
    </row>
    <row r="22174" spans="1:3" x14ac:dyDescent="0.25">
      <c r="A22174" s="1" t="s">
        <v>22173</v>
      </c>
      <c r="C22174" s="3">
        <v>1</v>
      </c>
    </row>
    <row r="22175" spans="1:3" x14ac:dyDescent="0.25">
      <c r="A22175" s="1" t="s">
        <v>22174</v>
      </c>
      <c r="C22175" s="3">
        <v>1</v>
      </c>
    </row>
    <row r="22176" spans="1:3" x14ac:dyDescent="0.25">
      <c r="A22176" s="1" t="s">
        <v>22175</v>
      </c>
      <c r="C22176" s="3">
        <v>1</v>
      </c>
    </row>
    <row r="22177" spans="1:3" x14ac:dyDescent="0.25">
      <c r="A22177" s="1" t="s">
        <v>22176</v>
      </c>
      <c r="C22177" s="3">
        <v>1</v>
      </c>
    </row>
    <row r="22178" spans="1:3" x14ac:dyDescent="0.25">
      <c r="A22178" s="1" t="s">
        <v>22177</v>
      </c>
      <c r="C22178" s="3">
        <v>1</v>
      </c>
    </row>
    <row r="22179" spans="1:3" x14ac:dyDescent="0.25">
      <c r="A22179" s="1" t="s">
        <v>22178</v>
      </c>
      <c r="C22179" s="3">
        <v>1</v>
      </c>
    </row>
    <row r="22180" spans="1:3" x14ac:dyDescent="0.25">
      <c r="A22180" s="1" t="s">
        <v>22179</v>
      </c>
      <c r="C22180" s="3">
        <v>1</v>
      </c>
    </row>
    <row r="22181" spans="1:3" x14ac:dyDescent="0.25">
      <c r="A22181" s="1" t="s">
        <v>22180</v>
      </c>
      <c r="C22181" s="3">
        <v>1</v>
      </c>
    </row>
    <row r="22182" spans="1:3" x14ac:dyDescent="0.25">
      <c r="A22182" s="1" t="s">
        <v>22181</v>
      </c>
      <c r="C22182" s="3">
        <v>1</v>
      </c>
    </row>
    <row r="22183" spans="1:3" x14ac:dyDescent="0.25">
      <c r="A22183" s="1" t="s">
        <v>22182</v>
      </c>
      <c r="C22183" s="3">
        <v>1</v>
      </c>
    </row>
    <row r="22184" spans="1:3" x14ac:dyDescent="0.25">
      <c r="A22184" s="1" t="s">
        <v>22183</v>
      </c>
      <c r="C22184" s="3">
        <v>1</v>
      </c>
    </row>
    <row r="22185" spans="1:3" x14ac:dyDescent="0.25">
      <c r="A22185" s="1" t="s">
        <v>22184</v>
      </c>
      <c r="C22185" s="3">
        <v>1</v>
      </c>
    </row>
    <row r="22186" spans="1:3" x14ac:dyDescent="0.25">
      <c r="A22186" s="1" t="s">
        <v>22185</v>
      </c>
      <c r="C22186" s="3">
        <v>1</v>
      </c>
    </row>
    <row r="22187" spans="1:3" x14ac:dyDescent="0.25">
      <c r="A22187" s="1" t="s">
        <v>22186</v>
      </c>
      <c r="C22187" s="3">
        <v>1</v>
      </c>
    </row>
    <row r="22188" spans="1:3" x14ac:dyDescent="0.25">
      <c r="A22188" s="1" t="s">
        <v>22187</v>
      </c>
      <c r="C22188" s="3">
        <v>1</v>
      </c>
    </row>
    <row r="22189" spans="1:3" x14ac:dyDescent="0.25">
      <c r="A22189" s="1" t="s">
        <v>22188</v>
      </c>
      <c r="C22189" s="3">
        <v>1</v>
      </c>
    </row>
    <row r="22190" spans="1:3" x14ac:dyDescent="0.25">
      <c r="A22190" s="1" t="s">
        <v>22189</v>
      </c>
      <c r="C22190" s="3">
        <v>1</v>
      </c>
    </row>
    <row r="22191" spans="1:3" x14ac:dyDescent="0.25">
      <c r="A22191" s="1" t="s">
        <v>22190</v>
      </c>
      <c r="C22191" s="3">
        <v>1</v>
      </c>
    </row>
    <row r="22192" spans="1:3" x14ac:dyDescent="0.25">
      <c r="A22192" s="1" t="s">
        <v>22191</v>
      </c>
      <c r="C22192" s="3">
        <v>1</v>
      </c>
    </row>
    <row r="22193" spans="1:3" x14ac:dyDescent="0.25">
      <c r="A22193" s="1" t="s">
        <v>22192</v>
      </c>
      <c r="C22193" s="3">
        <v>1</v>
      </c>
    </row>
    <row r="22194" spans="1:3" x14ac:dyDescent="0.25">
      <c r="A22194" s="1" t="s">
        <v>22193</v>
      </c>
      <c r="C22194" s="3">
        <v>1</v>
      </c>
    </row>
    <row r="22195" spans="1:3" x14ac:dyDescent="0.25">
      <c r="A22195" s="1" t="s">
        <v>22194</v>
      </c>
      <c r="C22195" s="3">
        <v>1</v>
      </c>
    </row>
    <row r="22196" spans="1:3" x14ac:dyDescent="0.25">
      <c r="A22196" s="1" t="s">
        <v>22195</v>
      </c>
      <c r="C22196" s="3">
        <v>1</v>
      </c>
    </row>
    <row r="22197" spans="1:3" x14ac:dyDescent="0.25">
      <c r="A22197" s="1" t="s">
        <v>22196</v>
      </c>
      <c r="C22197" s="3">
        <v>1</v>
      </c>
    </row>
    <row r="22198" spans="1:3" x14ac:dyDescent="0.25">
      <c r="A22198" s="1" t="s">
        <v>22197</v>
      </c>
      <c r="C22198" s="3">
        <v>1</v>
      </c>
    </row>
    <row r="22199" spans="1:3" x14ac:dyDescent="0.25">
      <c r="A22199" s="1" t="s">
        <v>22198</v>
      </c>
      <c r="C22199" s="3">
        <v>1</v>
      </c>
    </row>
    <row r="22200" spans="1:3" x14ac:dyDescent="0.25">
      <c r="A22200" s="1" t="s">
        <v>22199</v>
      </c>
      <c r="C22200" s="3">
        <v>1</v>
      </c>
    </row>
    <row r="22201" spans="1:3" x14ac:dyDescent="0.25">
      <c r="A22201" s="1" t="s">
        <v>22200</v>
      </c>
      <c r="C22201" s="3">
        <v>1</v>
      </c>
    </row>
    <row r="22202" spans="1:3" x14ac:dyDescent="0.25">
      <c r="A22202" s="1" t="s">
        <v>22201</v>
      </c>
      <c r="C22202" s="3">
        <v>1</v>
      </c>
    </row>
    <row r="22203" spans="1:3" x14ac:dyDescent="0.25">
      <c r="A22203" s="1" t="s">
        <v>22202</v>
      </c>
      <c r="C22203" s="3">
        <v>1</v>
      </c>
    </row>
    <row r="22204" spans="1:3" x14ac:dyDescent="0.25">
      <c r="A22204" s="1" t="s">
        <v>22203</v>
      </c>
      <c r="C22204" s="3">
        <v>1</v>
      </c>
    </row>
    <row r="22205" spans="1:3" x14ac:dyDescent="0.25">
      <c r="A22205" s="1" t="s">
        <v>22204</v>
      </c>
      <c r="C22205" s="3">
        <v>1</v>
      </c>
    </row>
    <row r="22206" spans="1:3" x14ac:dyDescent="0.25">
      <c r="A22206" s="1" t="s">
        <v>22205</v>
      </c>
      <c r="C22206" s="3">
        <v>1</v>
      </c>
    </row>
    <row r="22207" spans="1:3" x14ac:dyDescent="0.25">
      <c r="A22207" s="1" t="s">
        <v>22206</v>
      </c>
      <c r="C22207" s="3">
        <v>1</v>
      </c>
    </row>
    <row r="22208" spans="1:3" x14ac:dyDescent="0.25">
      <c r="A22208" s="1" t="s">
        <v>22207</v>
      </c>
      <c r="C22208" s="3">
        <v>1</v>
      </c>
    </row>
    <row r="22209" spans="1:3" x14ac:dyDescent="0.25">
      <c r="A22209" s="1" t="s">
        <v>22208</v>
      </c>
      <c r="C22209" s="3">
        <v>1</v>
      </c>
    </row>
    <row r="22210" spans="1:3" x14ac:dyDescent="0.25">
      <c r="A22210" s="1" t="s">
        <v>22209</v>
      </c>
      <c r="C22210" s="3">
        <v>1</v>
      </c>
    </row>
    <row r="22211" spans="1:3" x14ac:dyDescent="0.25">
      <c r="A22211" s="1" t="s">
        <v>22210</v>
      </c>
      <c r="C22211" s="3">
        <v>1</v>
      </c>
    </row>
    <row r="22212" spans="1:3" x14ac:dyDescent="0.25">
      <c r="A22212" s="1" t="s">
        <v>22211</v>
      </c>
      <c r="C22212" s="3">
        <v>1</v>
      </c>
    </row>
    <row r="22213" spans="1:3" x14ac:dyDescent="0.25">
      <c r="A22213" s="1" t="s">
        <v>22212</v>
      </c>
      <c r="C22213" s="3">
        <v>1</v>
      </c>
    </row>
    <row r="22214" spans="1:3" x14ac:dyDescent="0.25">
      <c r="A22214" s="1" t="s">
        <v>22213</v>
      </c>
      <c r="C22214" s="3">
        <v>1</v>
      </c>
    </row>
    <row r="22215" spans="1:3" x14ac:dyDescent="0.25">
      <c r="A22215" s="1" t="s">
        <v>22214</v>
      </c>
      <c r="C22215" s="3">
        <v>1</v>
      </c>
    </row>
    <row r="22216" spans="1:3" x14ac:dyDescent="0.25">
      <c r="A22216" s="1" t="s">
        <v>22215</v>
      </c>
      <c r="C22216" s="3">
        <v>1</v>
      </c>
    </row>
    <row r="22217" spans="1:3" x14ac:dyDescent="0.25">
      <c r="A22217" s="1" t="s">
        <v>22216</v>
      </c>
      <c r="C22217" s="3">
        <v>1</v>
      </c>
    </row>
    <row r="22218" spans="1:3" x14ac:dyDescent="0.25">
      <c r="A22218" s="1" t="s">
        <v>22217</v>
      </c>
      <c r="C22218" s="3">
        <v>1</v>
      </c>
    </row>
    <row r="22219" spans="1:3" x14ac:dyDescent="0.25">
      <c r="A22219" s="1" t="s">
        <v>22218</v>
      </c>
      <c r="C22219" s="3">
        <v>1</v>
      </c>
    </row>
    <row r="22220" spans="1:3" x14ac:dyDescent="0.25">
      <c r="A22220" s="1" t="s">
        <v>22219</v>
      </c>
      <c r="C22220" s="3">
        <v>1</v>
      </c>
    </row>
    <row r="22221" spans="1:3" x14ac:dyDescent="0.25">
      <c r="A22221" s="1" t="s">
        <v>22220</v>
      </c>
      <c r="C22221" s="3">
        <v>1</v>
      </c>
    </row>
    <row r="22222" spans="1:3" x14ac:dyDescent="0.25">
      <c r="A22222" s="1" t="s">
        <v>22221</v>
      </c>
      <c r="C22222" s="3">
        <v>1</v>
      </c>
    </row>
    <row r="22223" spans="1:3" x14ac:dyDescent="0.25">
      <c r="A22223" s="1" t="s">
        <v>22222</v>
      </c>
      <c r="C22223" s="3">
        <v>1</v>
      </c>
    </row>
    <row r="22224" spans="1:3" x14ac:dyDescent="0.25">
      <c r="A22224" s="1" t="s">
        <v>22223</v>
      </c>
      <c r="C22224" s="3">
        <v>1</v>
      </c>
    </row>
    <row r="22225" spans="1:3" x14ac:dyDescent="0.25">
      <c r="A22225" s="1" t="s">
        <v>22224</v>
      </c>
      <c r="C22225" s="3">
        <v>1</v>
      </c>
    </row>
    <row r="22226" spans="1:3" x14ac:dyDescent="0.25">
      <c r="A22226" s="1" t="s">
        <v>22225</v>
      </c>
      <c r="C22226" s="3">
        <v>1</v>
      </c>
    </row>
    <row r="22227" spans="1:3" x14ac:dyDescent="0.25">
      <c r="A22227" s="1" t="s">
        <v>22226</v>
      </c>
      <c r="C22227" s="3">
        <v>1</v>
      </c>
    </row>
    <row r="22228" spans="1:3" x14ac:dyDescent="0.25">
      <c r="A22228" s="1" t="s">
        <v>22227</v>
      </c>
      <c r="C22228" s="3">
        <v>1</v>
      </c>
    </row>
    <row r="22229" spans="1:3" x14ac:dyDescent="0.25">
      <c r="A22229" s="1" t="s">
        <v>22228</v>
      </c>
      <c r="C22229" s="3">
        <v>1</v>
      </c>
    </row>
    <row r="22230" spans="1:3" x14ac:dyDescent="0.25">
      <c r="A22230" s="1" t="s">
        <v>22229</v>
      </c>
      <c r="C22230" s="3">
        <v>1</v>
      </c>
    </row>
    <row r="22231" spans="1:3" x14ac:dyDescent="0.25">
      <c r="A22231" s="1" t="s">
        <v>22230</v>
      </c>
      <c r="C22231" s="3">
        <v>1</v>
      </c>
    </row>
    <row r="22232" spans="1:3" x14ac:dyDescent="0.25">
      <c r="A22232" s="1" t="s">
        <v>22231</v>
      </c>
      <c r="C22232" s="3">
        <v>1</v>
      </c>
    </row>
    <row r="22233" spans="1:3" x14ac:dyDescent="0.25">
      <c r="A22233" s="1" t="s">
        <v>22232</v>
      </c>
      <c r="C22233" s="3">
        <v>1</v>
      </c>
    </row>
    <row r="22234" spans="1:3" x14ac:dyDescent="0.25">
      <c r="A22234" s="1" t="s">
        <v>22233</v>
      </c>
      <c r="C22234" s="3">
        <v>1</v>
      </c>
    </row>
    <row r="22235" spans="1:3" x14ac:dyDescent="0.25">
      <c r="A22235" s="1" t="s">
        <v>22234</v>
      </c>
      <c r="C22235" s="3">
        <v>1</v>
      </c>
    </row>
    <row r="22236" spans="1:3" x14ac:dyDescent="0.25">
      <c r="A22236" s="1" t="s">
        <v>22235</v>
      </c>
      <c r="C22236" s="3">
        <v>1</v>
      </c>
    </row>
    <row r="22237" spans="1:3" x14ac:dyDescent="0.25">
      <c r="A22237" s="1" t="s">
        <v>22236</v>
      </c>
      <c r="C22237" s="3">
        <v>1</v>
      </c>
    </row>
    <row r="22238" spans="1:3" x14ac:dyDescent="0.25">
      <c r="A22238" s="1" t="s">
        <v>22237</v>
      </c>
      <c r="C22238" s="3">
        <v>1</v>
      </c>
    </row>
    <row r="22239" spans="1:3" x14ac:dyDescent="0.25">
      <c r="A22239" s="1" t="s">
        <v>22238</v>
      </c>
      <c r="C22239" s="3">
        <v>1</v>
      </c>
    </row>
    <row r="22240" spans="1:3" x14ac:dyDescent="0.25">
      <c r="A22240" s="1" t="s">
        <v>22239</v>
      </c>
      <c r="C22240" s="3">
        <v>1</v>
      </c>
    </row>
    <row r="22241" spans="1:3" x14ac:dyDescent="0.25">
      <c r="A22241" s="1" t="s">
        <v>22240</v>
      </c>
      <c r="C22241" s="3">
        <v>1</v>
      </c>
    </row>
    <row r="22242" spans="1:3" x14ac:dyDescent="0.25">
      <c r="A22242" s="1" t="s">
        <v>22241</v>
      </c>
      <c r="C22242" s="3">
        <v>1</v>
      </c>
    </row>
    <row r="22243" spans="1:3" x14ac:dyDescent="0.25">
      <c r="A22243" s="1" t="s">
        <v>22242</v>
      </c>
      <c r="C22243" s="3">
        <v>1</v>
      </c>
    </row>
    <row r="22244" spans="1:3" x14ac:dyDescent="0.25">
      <c r="A22244" s="1" t="s">
        <v>22243</v>
      </c>
      <c r="C22244" s="3">
        <v>1</v>
      </c>
    </row>
    <row r="22245" spans="1:3" x14ac:dyDescent="0.25">
      <c r="A22245" s="1" t="s">
        <v>22244</v>
      </c>
      <c r="C22245" s="3">
        <v>1</v>
      </c>
    </row>
    <row r="22246" spans="1:3" x14ac:dyDescent="0.25">
      <c r="A22246" s="1" t="s">
        <v>22245</v>
      </c>
      <c r="C22246" s="3">
        <v>1</v>
      </c>
    </row>
    <row r="22247" spans="1:3" x14ac:dyDescent="0.25">
      <c r="A22247" s="1" t="s">
        <v>22246</v>
      </c>
      <c r="C22247" s="3">
        <v>1</v>
      </c>
    </row>
    <row r="22248" spans="1:3" x14ac:dyDescent="0.25">
      <c r="A22248" s="1" t="s">
        <v>22247</v>
      </c>
      <c r="C22248" s="3">
        <v>1</v>
      </c>
    </row>
    <row r="22249" spans="1:3" x14ac:dyDescent="0.25">
      <c r="A22249" s="1" t="s">
        <v>22248</v>
      </c>
      <c r="C22249" s="3">
        <v>1</v>
      </c>
    </row>
    <row r="22250" spans="1:3" x14ac:dyDescent="0.25">
      <c r="A22250" s="1" t="s">
        <v>22249</v>
      </c>
      <c r="C22250" s="3">
        <v>1</v>
      </c>
    </row>
    <row r="22251" spans="1:3" x14ac:dyDescent="0.25">
      <c r="A22251" s="1" t="s">
        <v>22250</v>
      </c>
      <c r="C22251" s="3">
        <v>1</v>
      </c>
    </row>
    <row r="22252" spans="1:3" x14ac:dyDescent="0.25">
      <c r="A22252" s="1" t="s">
        <v>22251</v>
      </c>
      <c r="C22252" s="3">
        <v>1</v>
      </c>
    </row>
    <row r="22253" spans="1:3" x14ac:dyDescent="0.25">
      <c r="A22253" s="1" t="s">
        <v>22252</v>
      </c>
      <c r="C22253" s="3">
        <v>1</v>
      </c>
    </row>
    <row r="22254" spans="1:3" x14ac:dyDescent="0.25">
      <c r="A22254" s="1" t="s">
        <v>22253</v>
      </c>
      <c r="C22254" s="3">
        <v>1</v>
      </c>
    </row>
    <row r="22255" spans="1:3" x14ac:dyDescent="0.25">
      <c r="A22255" s="1" t="s">
        <v>22254</v>
      </c>
      <c r="C22255" s="3">
        <v>1</v>
      </c>
    </row>
    <row r="22256" spans="1:3" x14ac:dyDescent="0.25">
      <c r="A22256" s="1" t="s">
        <v>22255</v>
      </c>
      <c r="C22256" s="3">
        <v>1</v>
      </c>
    </row>
    <row r="22257" spans="1:3" x14ac:dyDescent="0.25">
      <c r="A22257" s="1" t="s">
        <v>22256</v>
      </c>
      <c r="C22257" s="3">
        <v>1</v>
      </c>
    </row>
    <row r="22258" spans="1:3" x14ac:dyDescent="0.25">
      <c r="A22258" s="1" t="s">
        <v>22257</v>
      </c>
      <c r="C22258" s="3">
        <v>1</v>
      </c>
    </row>
    <row r="22259" spans="1:3" x14ac:dyDescent="0.25">
      <c r="A22259" s="1" t="s">
        <v>22258</v>
      </c>
      <c r="C22259" s="3">
        <v>1</v>
      </c>
    </row>
    <row r="22260" spans="1:3" x14ac:dyDescent="0.25">
      <c r="A22260" s="1" t="s">
        <v>22259</v>
      </c>
      <c r="C22260" s="3">
        <v>1</v>
      </c>
    </row>
    <row r="22261" spans="1:3" x14ac:dyDescent="0.25">
      <c r="A22261" s="1" t="s">
        <v>22260</v>
      </c>
      <c r="C22261" s="3">
        <v>1</v>
      </c>
    </row>
    <row r="22262" spans="1:3" x14ac:dyDescent="0.25">
      <c r="A22262" s="1" t="s">
        <v>22261</v>
      </c>
      <c r="C22262" s="3">
        <v>1</v>
      </c>
    </row>
    <row r="22263" spans="1:3" x14ac:dyDescent="0.25">
      <c r="A22263" s="1" t="s">
        <v>22262</v>
      </c>
      <c r="C22263" s="3">
        <v>1</v>
      </c>
    </row>
    <row r="22264" spans="1:3" x14ac:dyDescent="0.25">
      <c r="A22264" s="1" t="s">
        <v>22263</v>
      </c>
      <c r="C22264" s="3">
        <v>1</v>
      </c>
    </row>
    <row r="22265" spans="1:3" x14ac:dyDescent="0.25">
      <c r="A22265" s="1" t="s">
        <v>22264</v>
      </c>
      <c r="C22265" s="3">
        <v>1</v>
      </c>
    </row>
    <row r="22266" spans="1:3" x14ac:dyDescent="0.25">
      <c r="A22266" s="1" t="s">
        <v>22265</v>
      </c>
      <c r="C22266" s="3">
        <v>1</v>
      </c>
    </row>
    <row r="22267" spans="1:3" x14ac:dyDescent="0.25">
      <c r="A22267" s="1" t="s">
        <v>22266</v>
      </c>
      <c r="C22267" s="3">
        <v>1</v>
      </c>
    </row>
    <row r="22268" spans="1:3" x14ac:dyDescent="0.25">
      <c r="A22268" s="1" t="s">
        <v>22267</v>
      </c>
      <c r="C22268" s="3">
        <v>1</v>
      </c>
    </row>
    <row r="22269" spans="1:3" x14ac:dyDescent="0.25">
      <c r="A22269" s="1" t="s">
        <v>22268</v>
      </c>
      <c r="C22269" s="3">
        <v>1</v>
      </c>
    </row>
    <row r="22270" spans="1:3" x14ac:dyDescent="0.25">
      <c r="A22270" s="1" t="s">
        <v>22269</v>
      </c>
      <c r="C22270" s="3">
        <v>1</v>
      </c>
    </row>
    <row r="22271" spans="1:3" x14ac:dyDescent="0.25">
      <c r="A22271" s="1" t="s">
        <v>22270</v>
      </c>
      <c r="C22271" s="3">
        <v>1</v>
      </c>
    </row>
    <row r="22272" spans="1:3" x14ac:dyDescent="0.25">
      <c r="A22272" s="1" t="s">
        <v>22271</v>
      </c>
      <c r="C22272" s="3">
        <v>1</v>
      </c>
    </row>
    <row r="22273" spans="1:3" x14ac:dyDescent="0.25">
      <c r="A22273" s="1" t="s">
        <v>22272</v>
      </c>
      <c r="C22273" s="3">
        <v>1</v>
      </c>
    </row>
    <row r="22274" spans="1:3" x14ac:dyDescent="0.25">
      <c r="A22274" s="1" t="s">
        <v>22273</v>
      </c>
      <c r="C22274" s="3">
        <v>1</v>
      </c>
    </row>
    <row r="22275" spans="1:3" x14ac:dyDescent="0.25">
      <c r="A22275" s="1" t="s">
        <v>22274</v>
      </c>
      <c r="C22275" s="3">
        <v>1</v>
      </c>
    </row>
    <row r="22276" spans="1:3" x14ac:dyDescent="0.25">
      <c r="A22276" s="1" t="s">
        <v>22275</v>
      </c>
      <c r="C22276" s="3">
        <v>1</v>
      </c>
    </row>
    <row r="22277" spans="1:3" x14ac:dyDescent="0.25">
      <c r="A22277" s="1" t="s">
        <v>22276</v>
      </c>
      <c r="C22277" s="3">
        <v>1</v>
      </c>
    </row>
    <row r="22278" spans="1:3" x14ac:dyDescent="0.25">
      <c r="A22278" s="1" t="s">
        <v>22277</v>
      </c>
      <c r="C22278" s="3">
        <v>1</v>
      </c>
    </row>
    <row r="22279" spans="1:3" x14ac:dyDescent="0.25">
      <c r="A22279" s="1" t="s">
        <v>22278</v>
      </c>
      <c r="C22279" s="3">
        <v>1</v>
      </c>
    </row>
    <row r="22280" spans="1:3" x14ac:dyDescent="0.25">
      <c r="A22280" s="1" t="s">
        <v>22279</v>
      </c>
      <c r="C22280" s="3">
        <v>1</v>
      </c>
    </row>
    <row r="22281" spans="1:3" x14ac:dyDescent="0.25">
      <c r="A22281" s="1" t="s">
        <v>22280</v>
      </c>
      <c r="C22281" s="3">
        <v>1</v>
      </c>
    </row>
    <row r="22282" spans="1:3" x14ac:dyDescent="0.25">
      <c r="A22282" s="1" t="s">
        <v>22281</v>
      </c>
      <c r="C22282" s="3">
        <v>1</v>
      </c>
    </row>
    <row r="22283" spans="1:3" x14ac:dyDescent="0.25">
      <c r="A22283" s="1" t="s">
        <v>22282</v>
      </c>
      <c r="C22283" s="3">
        <v>1</v>
      </c>
    </row>
    <row r="22284" spans="1:3" x14ac:dyDescent="0.25">
      <c r="A22284" s="1" t="s">
        <v>22283</v>
      </c>
      <c r="C22284" s="3">
        <v>1</v>
      </c>
    </row>
    <row r="22285" spans="1:3" x14ac:dyDescent="0.25">
      <c r="A22285" s="1" t="s">
        <v>22284</v>
      </c>
      <c r="C22285" s="3">
        <v>1</v>
      </c>
    </row>
    <row r="22286" spans="1:3" x14ac:dyDescent="0.25">
      <c r="A22286" s="1" t="s">
        <v>22285</v>
      </c>
      <c r="C22286" s="3">
        <v>1</v>
      </c>
    </row>
    <row r="22287" spans="1:3" x14ac:dyDescent="0.25">
      <c r="A22287" s="1" t="s">
        <v>22286</v>
      </c>
      <c r="C22287" s="3">
        <v>1</v>
      </c>
    </row>
    <row r="22288" spans="1:3" x14ac:dyDescent="0.25">
      <c r="A22288" s="1" t="s">
        <v>22287</v>
      </c>
      <c r="C22288" s="3">
        <v>1</v>
      </c>
    </row>
    <row r="22289" spans="1:3" x14ac:dyDescent="0.25">
      <c r="A22289" s="1" t="s">
        <v>22288</v>
      </c>
      <c r="C22289" s="3">
        <v>1</v>
      </c>
    </row>
    <row r="22290" spans="1:3" x14ac:dyDescent="0.25">
      <c r="A22290" s="1" t="s">
        <v>22289</v>
      </c>
      <c r="C22290" s="3">
        <v>1</v>
      </c>
    </row>
    <row r="22291" spans="1:3" x14ac:dyDescent="0.25">
      <c r="A22291" s="1" t="s">
        <v>22290</v>
      </c>
      <c r="C22291" s="3">
        <v>1</v>
      </c>
    </row>
    <row r="22292" spans="1:3" x14ac:dyDescent="0.25">
      <c r="A22292" s="1" t="s">
        <v>22291</v>
      </c>
      <c r="C22292" s="3">
        <v>1</v>
      </c>
    </row>
    <row r="22293" spans="1:3" x14ac:dyDescent="0.25">
      <c r="A22293" s="1" t="s">
        <v>22292</v>
      </c>
      <c r="C22293" s="3">
        <v>1</v>
      </c>
    </row>
    <row r="22294" spans="1:3" x14ac:dyDescent="0.25">
      <c r="A22294" s="1" t="s">
        <v>22293</v>
      </c>
      <c r="C22294" s="3">
        <v>1</v>
      </c>
    </row>
    <row r="22295" spans="1:3" x14ac:dyDescent="0.25">
      <c r="A22295" s="1" t="s">
        <v>22294</v>
      </c>
      <c r="C22295" s="3">
        <v>1</v>
      </c>
    </row>
    <row r="22296" spans="1:3" x14ac:dyDescent="0.25">
      <c r="A22296" s="1" t="s">
        <v>22295</v>
      </c>
      <c r="C22296" s="3">
        <v>1</v>
      </c>
    </row>
    <row r="22297" spans="1:3" x14ac:dyDescent="0.25">
      <c r="A22297" s="1" t="s">
        <v>22296</v>
      </c>
      <c r="C22297" s="3">
        <v>1</v>
      </c>
    </row>
    <row r="22298" spans="1:3" x14ac:dyDescent="0.25">
      <c r="A22298" s="1" t="s">
        <v>22297</v>
      </c>
      <c r="C22298" s="3">
        <v>1</v>
      </c>
    </row>
    <row r="22299" spans="1:3" x14ac:dyDescent="0.25">
      <c r="A22299" s="1" t="s">
        <v>22298</v>
      </c>
      <c r="C22299" s="3">
        <v>1</v>
      </c>
    </row>
    <row r="22300" spans="1:3" x14ac:dyDescent="0.25">
      <c r="A22300" s="1" t="s">
        <v>22299</v>
      </c>
      <c r="C22300" s="3">
        <v>1</v>
      </c>
    </row>
    <row r="22301" spans="1:3" x14ac:dyDescent="0.25">
      <c r="A22301" s="1" t="s">
        <v>22300</v>
      </c>
      <c r="C22301" s="3">
        <v>1</v>
      </c>
    </row>
    <row r="22302" spans="1:3" x14ac:dyDescent="0.25">
      <c r="A22302" s="1" t="s">
        <v>22301</v>
      </c>
      <c r="C22302" s="3">
        <v>1</v>
      </c>
    </row>
    <row r="22303" spans="1:3" x14ac:dyDescent="0.25">
      <c r="A22303" s="1" t="s">
        <v>22302</v>
      </c>
      <c r="C22303" s="3">
        <v>1</v>
      </c>
    </row>
    <row r="22304" spans="1:3" x14ac:dyDescent="0.25">
      <c r="A22304" s="1" t="s">
        <v>22303</v>
      </c>
      <c r="C22304" s="3">
        <v>1</v>
      </c>
    </row>
    <row r="22305" spans="1:3" x14ac:dyDescent="0.25">
      <c r="A22305" s="1" t="s">
        <v>22304</v>
      </c>
      <c r="C22305" s="3">
        <v>1</v>
      </c>
    </row>
    <row r="22306" spans="1:3" x14ac:dyDescent="0.25">
      <c r="A22306" s="1" t="s">
        <v>22305</v>
      </c>
      <c r="C22306" s="3">
        <v>1</v>
      </c>
    </row>
    <row r="22307" spans="1:3" x14ac:dyDescent="0.25">
      <c r="A22307" s="1" t="s">
        <v>22306</v>
      </c>
      <c r="C22307" s="3">
        <v>1</v>
      </c>
    </row>
    <row r="22308" spans="1:3" x14ac:dyDescent="0.25">
      <c r="A22308" s="1" t="s">
        <v>22307</v>
      </c>
      <c r="C22308" s="3">
        <v>1</v>
      </c>
    </row>
    <row r="22309" spans="1:3" x14ac:dyDescent="0.25">
      <c r="A22309" s="1" t="s">
        <v>22308</v>
      </c>
      <c r="C22309" s="3">
        <v>1</v>
      </c>
    </row>
    <row r="22310" spans="1:3" x14ac:dyDescent="0.25">
      <c r="A22310" s="1" t="s">
        <v>22309</v>
      </c>
      <c r="C22310" s="3">
        <v>1</v>
      </c>
    </row>
    <row r="22311" spans="1:3" x14ac:dyDescent="0.25">
      <c r="A22311" s="1" t="s">
        <v>22310</v>
      </c>
      <c r="C22311" s="3">
        <v>1</v>
      </c>
    </row>
    <row r="22312" spans="1:3" x14ac:dyDescent="0.25">
      <c r="A22312" s="1" t="s">
        <v>22311</v>
      </c>
      <c r="C22312" s="3">
        <v>1</v>
      </c>
    </row>
    <row r="22313" spans="1:3" x14ac:dyDescent="0.25">
      <c r="A22313" s="1" t="s">
        <v>22312</v>
      </c>
      <c r="C22313" s="3">
        <v>1</v>
      </c>
    </row>
    <row r="22314" spans="1:3" x14ac:dyDescent="0.25">
      <c r="A22314" s="1" t="s">
        <v>22313</v>
      </c>
      <c r="C22314" s="3">
        <v>1</v>
      </c>
    </row>
    <row r="22315" spans="1:3" x14ac:dyDescent="0.25">
      <c r="A22315" s="1" t="s">
        <v>22314</v>
      </c>
      <c r="C22315" s="3">
        <v>1</v>
      </c>
    </row>
    <row r="22316" spans="1:3" x14ac:dyDescent="0.25">
      <c r="A22316" s="1" t="s">
        <v>22315</v>
      </c>
      <c r="C22316" s="3">
        <v>1</v>
      </c>
    </row>
    <row r="22317" spans="1:3" x14ac:dyDescent="0.25">
      <c r="A22317" s="1" t="s">
        <v>22316</v>
      </c>
      <c r="C22317" s="3">
        <v>1</v>
      </c>
    </row>
    <row r="22318" spans="1:3" x14ac:dyDescent="0.25">
      <c r="A22318" s="1" t="s">
        <v>22317</v>
      </c>
      <c r="C22318" s="3">
        <v>1</v>
      </c>
    </row>
    <row r="22319" spans="1:3" x14ac:dyDescent="0.25">
      <c r="A22319" s="1" t="s">
        <v>22318</v>
      </c>
      <c r="C22319" s="3">
        <v>1</v>
      </c>
    </row>
    <row r="22320" spans="1:3" x14ac:dyDescent="0.25">
      <c r="A22320" s="1" t="s">
        <v>22319</v>
      </c>
      <c r="C22320" s="3">
        <v>1</v>
      </c>
    </row>
    <row r="22321" spans="1:3" x14ac:dyDescent="0.25">
      <c r="A22321" s="1" t="s">
        <v>22320</v>
      </c>
      <c r="C22321" s="3">
        <v>1</v>
      </c>
    </row>
    <row r="22322" spans="1:3" x14ac:dyDescent="0.25">
      <c r="A22322" s="1" t="s">
        <v>22321</v>
      </c>
      <c r="C22322" s="3">
        <v>1</v>
      </c>
    </row>
    <row r="22323" spans="1:3" x14ac:dyDescent="0.25">
      <c r="A22323" s="1" t="s">
        <v>22322</v>
      </c>
      <c r="C22323" s="3">
        <v>1</v>
      </c>
    </row>
    <row r="22324" spans="1:3" x14ac:dyDescent="0.25">
      <c r="A22324" s="1" t="s">
        <v>22323</v>
      </c>
      <c r="C22324" s="3">
        <v>1</v>
      </c>
    </row>
    <row r="22325" spans="1:3" x14ac:dyDescent="0.25">
      <c r="A22325" s="1" t="s">
        <v>22324</v>
      </c>
      <c r="C22325" s="3">
        <v>1</v>
      </c>
    </row>
    <row r="22326" spans="1:3" x14ac:dyDescent="0.25">
      <c r="A22326" s="1" t="s">
        <v>22325</v>
      </c>
      <c r="C22326" s="3">
        <v>1</v>
      </c>
    </row>
    <row r="22327" spans="1:3" x14ac:dyDescent="0.25">
      <c r="A22327" s="1" t="s">
        <v>22326</v>
      </c>
      <c r="C22327" s="3">
        <v>1</v>
      </c>
    </row>
    <row r="22328" spans="1:3" x14ac:dyDescent="0.25">
      <c r="A22328" s="1" t="s">
        <v>22327</v>
      </c>
      <c r="C22328" s="3">
        <v>1</v>
      </c>
    </row>
    <row r="22329" spans="1:3" x14ac:dyDescent="0.25">
      <c r="A22329" s="1" t="s">
        <v>22328</v>
      </c>
      <c r="C22329" s="3">
        <v>1</v>
      </c>
    </row>
    <row r="22330" spans="1:3" x14ac:dyDescent="0.25">
      <c r="A22330" s="1" t="s">
        <v>22329</v>
      </c>
      <c r="C22330" s="3">
        <v>1</v>
      </c>
    </row>
    <row r="22331" spans="1:3" x14ac:dyDescent="0.25">
      <c r="A22331" s="1" t="s">
        <v>22330</v>
      </c>
      <c r="C22331" s="3">
        <v>1</v>
      </c>
    </row>
    <row r="22332" spans="1:3" x14ac:dyDescent="0.25">
      <c r="A22332" s="1" t="s">
        <v>22331</v>
      </c>
      <c r="C22332" s="3">
        <v>1</v>
      </c>
    </row>
    <row r="22333" spans="1:3" x14ac:dyDescent="0.25">
      <c r="A22333" s="1" t="s">
        <v>22332</v>
      </c>
      <c r="C22333" s="3">
        <v>1</v>
      </c>
    </row>
    <row r="22334" spans="1:3" x14ac:dyDescent="0.25">
      <c r="A22334" s="1" t="s">
        <v>22333</v>
      </c>
      <c r="C22334" s="3">
        <v>1</v>
      </c>
    </row>
    <row r="22335" spans="1:3" x14ac:dyDescent="0.25">
      <c r="A22335" s="1" t="s">
        <v>22334</v>
      </c>
      <c r="C22335" s="3">
        <v>1</v>
      </c>
    </row>
    <row r="22336" spans="1:3" x14ac:dyDescent="0.25">
      <c r="A22336" s="1" t="s">
        <v>22335</v>
      </c>
      <c r="C22336" s="3">
        <v>1</v>
      </c>
    </row>
    <row r="22337" spans="1:3" x14ac:dyDescent="0.25">
      <c r="A22337" s="1" t="s">
        <v>22336</v>
      </c>
      <c r="C22337" s="3">
        <v>1</v>
      </c>
    </row>
    <row r="22338" spans="1:3" x14ac:dyDescent="0.25">
      <c r="A22338" s="1" t="s">
        <v>22337</v>
      </c>
      <c r="C22338" s="3">
        <v>1</v>
      </c>
    </row>
    <row r="22339" spans="1:3" x14ac:dyDescent="0.25">
      <c r="A22339" s="1" t="s">
        <v>22338</v>
      </c>
      <c r="C22339" s="3">
        <v>1</v>
      </c>
    </row>
    <row r="22340" spans="1:3" x14ac:dyDescent="0.25">
      <c r="A22340" s="1" t="s">
        <v>22339</v>
      </c>
      <c r="C22340" s="3">
        <v>1</v>
      </c>
    </row>
    <row r="22341" spans="1:3" x14ac:dyDescent="0.25">
      <c r="A22341" s="1" t="s">
        <v>22340</v>
      </c>
      <c r="C22341" s="3">
        <v>1</v>
      </c>
    </row>
    <row r="22342" spans="1:3" x14ac:dyDescent="0.25">
      <c r="A22342" s="1" t="s">
        <v>22341</v>
      </c>
      <c r="C22342" s="3">
        <v>1</v>
      </c>
    </row>
    <row r="22343" spans="1:3" x14ac:dyDescent="0.25">
      <c r="A22343" s="1" t="s">
        <v>22342</v>
      </c>
      <c r="C22343" s="3">
        <v>1</v>
      </c>
    </row>
    <row r="22344" spans="1:3" x14ac:dyDescent="0.25">
      <c r="A22344" s="1" t="s">
        <v>22343</v>
      </c>
      <c r="C22344" s="3">
        <v>1</v>
      </c>
    </row>
    <row r="22345" spans="1:3" x14ac:dyDescent="0.25">
      <c r="A22345" s="1" t="s">
        <v>22344</v>
      </c>
      <c r="C22345" s="3">
        <v>1</v>
      </c>
    </row>
    <row r="22346" spans="1:3" x14ac:dyDescent="0.25">
      <c r="A22346" s="1" t="s">
        <v>22345</v>
      </c>
      <c r="C22346" s="3">
        <v>1</v>
      </c>
    </row>
    <row r="22347" spans="1:3" x14ac:dyDescent="0.25">
      <c r="A22347" s="1" t="s">
        <v>22346</v>
      </c>
      <c r="C22347" s="3">
        <v>1</v>
      </c>
    </row>
    <row r="22348" spans="1:3" x14ac:dyDescent="0.25">
      <c r="A22348" s="1" t="s">
        <v>22347</v>
      </c>
      <c r="C22348" s="3">
        <v>1</v>
      </c>
    </row>
    <row r="22349" spans="1:3" x14ac:dyDescent="0.25">
      <c r="A22349" s="1" t="s">
        <v>22348</v>
      </c>
      <c r="C22349" s="3">
        <v>1</v>
      </c>
    </row>
    <row r="22350" spans="1:3" x14ac:dyDescent="0.25">
      <c r="A22350" s="1" t="s">
        <v>22349</v>
      </c>
      <c r="C22350" s="3">
        <v>1</v>
      </c>
    </row>
    <row r="22351" spans="1:3" x14ac:dyDescent="0.25">
      <c r="A22351" s="1" t="s">
        <v>22350</v>
      </c>
      <c r="C22351" s="3">
        <v>1</v>
      </c>
    </row>
    <row r="22352" spans="1:3" x14ac:dyDescent="0.25">
      <c r="A22352" s="1" t="s">
        <v>22351</v>
      </c>
      <c r="C22352" s="3">
        <v>1</v>
      </c>
    </row>
    <row r="22353" spans="1:3" x14ac:dyDescent="0.25">
      <c r="A22353" s="1" t="s">
        <v>22352</v>
      </c>
      <c r="C22353" s="3">
        <v>1</v>
      </c>
    </row>
    <row r="22354" spans="1:3" x14ac:dyDescent="0.25">
      <c r="A22354" s="1" t="s">
        <v>22353</v>
      </c>
      <c r="C22354" s="3">
        <v>1</v>
      </c>
    </row>
    <row r="22355" spans="1:3" x14ac:dyDescent="0.25">
      <c r="A22355" s="1" t="s">
        <v>22354</v>
      </c>
      <c r="C22355" s="3">
        <v>1</v>
      </c>
    </row>
    <row r="22356" spans="1:3" x14ac:dyDescent="0.25">
      <c r="A22356" s="1" t="s">
        <v>22355</v>
      </c>
      <c r="C22356" s="3">
        <v>1</v>
      </c>
    </row>
    <row r="22357" spans="1:3" x14ac:dyDescent="0.25">
      <c r="A22357" s="1" t="s">
        <v>22356</v>
      </c>
      <c r="C22357" s="3">
        <v>1</v>
      </c>
    </row>
    <row r="22358" spans="1:3" x14ac:dyDescent="0.25">
      <c r="A22358" s="1" t="s">
        <v>22357</v>
      </c>
      <c r="C22358" s="3">
        <v>1</v>
      </c>
    </row>
    <row r="22359" spans="1:3" x14ac:dyDescent="0.25">
      <c r="A22359" s="1" t="s">
        <v>22358</v>
      </c>
      <c r="C22359" s="3">
        <v>1</v>
      </c>
    </row>
    <row r="22360" spans="1:3" x14ac:dyDescent="0.25">
      <c r="A22360" s="1" t="s">
        <v>22359</v>
      </c>
      <c r="C22360" s="3">
        <v>1</v>
      </c>
    </row>
    <row r="22361" spans="1:3" x14ac:dyDescent="0.25">
      <c r="A22361" s="1" t="s">
        <v>22360</v>
      </c>
      <c r="C22361" s="3">
        <v>1</v>
      </c>
    </row>
    <row r="22362" spans="1:3" x14ac:dyDescent="0.25">
      <c r="A22362" s="1" t="s">
        <v>22361</v>
      </c>
      <c r="C22362" s="3">
        <v>1</v>
      </c>
    </row>
    <row r="22363" spans="1:3" x14ac:dyDescent="0.25">
      <c r="A22363" s="1" t="s">
        <v>22362</v>
      </c>
      <c r="C22363" s="3">
        <v>1</v>
      </c>
    </row>
    <row r="22364" spans="1:3" x14ac:dyDescent="0.25">
      <c r="A22364" s="1" t="s">
        <v>22363</v>
      </c>
      <c r="C22364" s="3">
        <v>1</v>
      </c>
    </row>
    <row r="22365" spans="1:3" x14ac:dyDescent="0.25">
      <c r="A22365" s="1" t="s">
        <v>22364</v>
      </c>
      <c r="C22365" s="3">
        <v>1</v>
      </c>
    </row>
    <row r="22366" spans="1:3" x14ac:dyDescent="0.25">
      <c r="A22366" s="1" t="s">
        <v>22365</v>
      </c>
      <c r="C22366" s="3">
        <v>1</v>
      </c>
    </row>
    <row r="22367" spans="1:3" x14ac:dyDescent="0.25">
      <c r="A22367" s="1" t="s">
        <v>22366</v>
      </c>
      <c r="C22367" s="3">
        <v>1</v>
      </c>
    </row>
    <row r="22368" spans="1:3" x14ac:dyDescent="0.25">
      <c r="A22368" s="1" t="s">
        <v>22367</v>
      </c>
      <c r="C22368" s="3">
        <v>1</v>
      </c>
    </row>
    <row r="22369" spans="1:3" x14ac:dyDescent="0.25">
      <c r="A22369" s="1" t="s">
        <v>22368</v>
      </c>
      <c r="C22369" s="3">
        <v>1</v>
      </c>
    </row>
    <row r="22370" spans="1:3" x14ac:dyDescent="0.25">
      <c r="A22370" s="1" t="s">
        <v>22369</v>
      </c>
      <c r="C22370" s="3">
        <v>1</v>
      </c>
    </row>
    <row r="22371" spans="1:3" x14ac:dyDescent="0.25">
      <c r="A22371" s="1" t="s">
        <v>22370</v>
      </c>
      <c r="C22371" s="3">
        <v>1</v>
      </c>
    </row>
    <row r="22372" spans="1:3" x14ac:dyDescent="0.25">
      <c r="A22372" s="1" t="s">
        <v>22371</v>
      </c>
      <c r="C22372" s="3">
        <v>1</v>
      </c>
    </row>
    <row r="22373" spans="1:3" x14ac:dyDescent="0.25">
      <c r="A22373" s="1" t="s">
        <v>22372</v>
      </c>
      <c r="C22373" s="3">
        <v>1</v>
      </c>
    </row>
    <row r="22374" spans="1:3" x14ac:dyDescent="0.25">
      <c r="A22374" s="1" t="s">
        <v>22373</v>
      </c>
      <c r="C22374" s="3">
        <v>1</v>
      </c>
    </row>
    <row r="22375" spans="1:3" x14ac:dyDescent="0.25">
      <c r="A22375" s="1" t="s">
        <v>22374</v>
      </c>
      <c r="C22375" s="3">
        <v>1</v>
      </c>
    </row>
    <row r="22376" spans="1:3" x14ac:dyDescent="0.25">
      <c r="A22376" s="1" t="s">
        <v>22375</v>
      </c>
      <c r="C22376" s="3">
        <v>1</v>
      </c>
    </row>
    <row r="22377" spans="1:3" x14ac:dyDescent="0.25">
      <c r="A22377" s="1" t="s">
        <v>22376</v>
      </c>
      <c r="C22377" s="3">
        <v>1</v>
      </c>
    </row>
    <row r="22378" spans="1:3" x14ac:dyDescent="0.25">
      <c r="A22378" s="1" t="s">
        <v>22377</v>
      </c>
      <c r="C22378" s="3">
        <v>1</v>
      </c>
    </row>
    <row r="22379" spans="1:3" x14ac:dyDescent="0.25">
      <c r="A22379" s="1" t="s">
        <v>22378</v>
      </c>
      <c r="C22379" s="3">
        <v>1</v>
      </c>
    </row>
    <row r="22380" spans="1:3" x14ac:dyDescent="0.25">
      <c r="A22380" s="1" t="s">
        <v>22379</v>
      </c>
      <c r="C22380" s="3">
        <v>1</v>
      </c>
    </row>
    <row r="22381" spans="1:3" x14ac:dyDescent="0.25">
      <c r="A22381" s="1" t="s">
        <v>22380</v>
      </c>
      <c r="C22381" s="3">
        <v>1</v>
      </c>
    </row>
    <row r="22382" spans="1:3" x14ac:dyDescent="0.25">
      <c r="A22382" s="1" t="s">
        <v>22381</v>
      </c>
      <c r="C22382" s="3">
        <v>1</v>
      </c>
    </row>
    <row r="22383" spans="1:3" x14ac:dyDescent="0.25">
      <c r="A22383" s="1" t="s">
        <v>22382</v>
      </c>
      <c r="C22383" s="3">
        <v>1</v>
      </c>
    </row>
    <row r="22384" spans="1:3" x14ac:dyDescent="0.25">
      <c r="A22384" s="1" t="s">
        <v>22383</v>
      </c>
      <c r="C22384" s="3">
        <v>1</v>
      </c>
    </row>
    <row r="22385" spans="1:3" x14ac:dyDescent="0.25">
      <c r="A22385" s="1" t="s">
        <v>22384</v>
      </c>
      <c r="C22385" s="3">
        <v>1</v>
      </c>
    </row>
    <row r="22386" spans="1:3" x14ac:dyDescent="0.25">
      <c r="A22386" s="1" t="s">
        <v>22385</v>
      </c>
      <c r="C22386" s="3">
        <v>1</v>
      </c>
    </row>
    <row r="22387" spans="1:3" x14ac:dyDescent="0.25">
      <c r="A22387" s="1" t="s">
        <v>22386</v>
      </c>
      <c r="C22387" s="3">
        <v>1</v>
      </c>
    </row>
    <row r="22388" spans="1:3" x14ac:dyDescent="0.25">
      <c r="A22388" s="1" t="s">
        <v>22387</v>
      </c>
      <c r="C22388" s="3">
        <v>1</v>
      </c>
    </row>
    <row r="22389" spans="1:3" x14ac:dyDescent="0.25">
      <c r="A22389" s="1" t="s">
        <v>22388</v>
      </c>
      <c r="C22389" s="3">
        <v>1</v>
      </c>
    </row>
    <row r="22390" spans="1:3" x14ac:dyDescent="0.25">
      <c r="A22390" s="1" t="s">
        <v>22389</v>
      </c>
      <c r="C22390" s="3">
        <v>1</v>
      </c>
    </row>
    <row r="22391" spans="1:3" x14ac:dyDescent="0.25">
      <c r="A22391" s="1" t="s">
        <v>22390</v>
      </c>
      <c r="C22391" s="3">
        <v>1</v>
      </c>
    </row>
    <row r="22392" spans="1:3" x14ac:dyDescent="0.25">
      <c r="A22392" s="1" t="s">
        <v>22391</v>
      </c>
      <c r="C22392" s="3">
        <v>1</v>
      </c>
    </row>
    <row r="22393" spans="1:3" x14ac:dyDescent="0.25">
      <c r="A22393" s="1" t="s">
        <v>22392</v>
      </c>
      <c r="C22393" s="3">
        <v>1</v>
      </c>
    </row>
    <row r="22394" spans="1:3" x14ac:dyDescent="0.25">
      <c r="A22394" s="1" t="s">
        <v>22393</v>
      </c>
      <c r="C22394" s="3">
        <v>1</v>
      </c>
    </row>
    <row r="22395" spans="1:3" x14ac:dyDescent="0.25">
      <c r="A22395" s="1" t="s">
        <v>22394</v>
      </c>
      <c r="C22395" s="3">
        <v>1</v>
      </c>
    </row>
    <row r="22396" spans="1:3" x14ac:dyDescent="0.25">
      <c r="A22396" s="1" t="s">
        <v>22395</v>
      </c>
      <c r="C22396" s="3">
        <v>1</v>
      </c>
    </row>
    <row r="22397" spans="1:3" x14ac:dyDescent="0.25">
      <c r="A22397" s="1" t="s">
        <v>22396</v>
      </c>
      <c r="C22397" s="3">
        <v>1</v>
      </c>
    </row>
    <row r="22398" spans="1:3" x14ac:dyDescent="0.25">
      <c r="A22398" s="1" t="s">
        <v>22397</v>
      </c>
      <c r="C22398" s="3">
        <v>1</v>
      </c>
    </row>
    <row r="22399" spans="1:3" x14ac:dyDescent="0.25">
      <c r="A22399" s="1" t="s">
        <v>22398</v>
      </c>
      <c r="C22399" s="3">
        <v>1</v>
      </c>
    </row>
    <row r="22400" spans="1:3" x14ac:dyDescent="0.25">
      <c r="A22400" s="1" t="s">
        <v>22399</v>
      </c>
      <c r="C22400" s="3">
        <v>1</v>
      </c>
    </row>
    <row r="22401" spans="1:3" x14ac:dyDescent="0.25">
      <c r="A22401" s="1" t="s">
        <v>22400</v>
      </c>
      <c r="C22401" s="3">
        <v>1</v>
      </c>
    </row>
    <row r="22402" spans="1:3" x14ac:dyDescent="0.25">
      <c r="A22402" s="1" t="s">
        <v>22401</v>
      </c>
      <c r="C22402" s="3">
        <v>1</v>
      </c>
    </row>
    <row r="22403" spans="1:3" x14ac:dyDescent="0.25">
      <c r="A22403" s="1" t="s">
        <v>22402</v>
      </c>
      <c r="C22403" s="3">
        <v>1</v>
      </c>
    </row>
    <row r="22404" spans="1:3" x14ac:dyDescent="0.25">
      <c r="A22404" s="1" t="s">
        <v>22403</v>
      </c>
      <c r="C22404" s="3">
        <v>1</v>
      </c>
    </row>
    <row r="22405" spans="1:3" x14ac:dyDescent="0.25">
      <c r="A22405" s="1" t="s">
        <v>22404</v>
      </c>
      <c r="C22405" s="3">
        <v>1</v>
      </c>
    </row>
    <row r="22406" spans="1:3" x14ac:dyDescent="0.25">
      <c r="A22406" s="1" t="s">
        <v>22405</v>
      </c>
      <c r="C22406" s="3">
        <v>1</v>
      </c>
    </row>
    <row r="22407" spans="1:3" x14ac:dyDescent="0.25">
      <c r="A22407" s="1" t="s">
        <v>22406</v>
      </c>
      <c r="C22407" s="3">
        <v>1</v>
      </c>
    </row>
    <row r="22408" spans="1:3" x14ac:dyDescent="0.25">
      <c r="A22408" s="1" t="s">
        <v>22407</v>
      </c>
      <c r="C22408" s="3">
        <v>1</v>
      </c>
    </row>
    <row r="22409" spans="1:3" x14ac:dyDescent="0.25">
      <c r="A22409" s="1" t="s">
        <v>22408</v>
      </c>
      <c r="C22409" s="3">
        <v>1</v>
      </c>
    </row>
    <row r="22410" spans="1:3" x14ac:dyDescent="0.25">
      <c r="A22410" s="1" t="s">
        <v>22409</v>
      </c>
      <c r="C22410" s="3">
        <v>1</v>
      </c>
    </row>
    <row r="22411" spans="1:3" x14ac:dyDescent="0.25">
      <c r="A22411" s="1" t="s">
        <v>22410</v>
      </c>
      <c r="C22411" s="3">
        <v>1</v>
      </c>
    </row>
    <row r="22412" spans="1:3" x14ac:dyDescent="0.25">
      <c r="A22412" s="1" t="s">
        <v>22411</v>
      </c>
      <c r="C22412" s="3">
        <v>1</v>
      </c>
    </row>
    <row r="22413" spans="1:3" x14ac:dyDescent="0.25">
      <c r="A22413" s="1" t="s">
        <v>22412</v>
      </c>
      <c r="C22413" s="3">
        <v>1</v>
      </c>
    </row>
    <row r="22414" spans="1:3" x14ac:dyDescent="0.25">
      <c r="A22414" s="1" t="s">
        <v>22413</v>
      </c>
      <c r="C22414" s="3">
        <v>1</v>
      </c>
    </row>
    <row r="22415" spans="1:3" x14ac:dyDescent="0.25">
      <c r="A22415" s="1" t="s">
        <v>22414</v>
      </c>
      <c r="C22415" s="3">
        <v>1</v>
      </c>
    </row>
    <row r="22416" spans="1:3" x14ac:dyDescent="0.25">
      <c r="A22416" s="1" t="s">
        <v>22415</v>
      </c>
      <c r="C22416" s="3">
        <v>1</v>
      </c>
    </row>
    <row r="22417" spans="1:3" x14ac:dyDescent="0.25">
      <c r="A22417" s="1" t="s">
        <v>22416</v>
      </c>
      <c r="C22417" s="3">
        <v>1</v>
      </c>
    </row>
    <row r="22418" spans="1:3" x14ac:dyDescent="0.25">
      <c r="A22418" s="1" t="s">
        <v>22417</v>
      </c>
      <c r="C22418" s="3">
        <v>1</v>
      </c>
    </row>
    <row r="22419" spans="1:3" x14ac:dyDescent="0.25">
      <c r="A22419" s="1" t="s">
        <v>22418</v>
      </c>
      <c r="C22419" s="3">
        <v>1</v>
      </c>
    </row>
    <row r="22420" spans="1:3" x14ac:dyDescent="0.25">
      <c r="A22420" s="1" t="s">
        <v>22419</v>
      </c>
      <c r="C22420" s="3">
        <v>1</v>
      </c>
    </row>
    <row r="22421" spans="1:3" x14ac:dyDescent="0.25">
      <c r="A22421" s="1" t="s">
        <v>22420</v>
      </c>
      <c r="C22421" s="3">
        <v>1</v>
      </c>
    </row>
    <row r="22422" spans="1:3" x14ac:dyDescent="0.25">
      <c r="A22422" s="1" t="s">
        <v>22421</v>
      </c>
      <c r="C22422" s="3">
        <v>1</v>
      </c>
    </row>
    <row r="22423" spans="1:3" x14ac:dyDescent="0.25">
      <c r="A22423" s="1" t="s">
        <v>22422</v>
      </c>
      <c r="C22423" s="3">
        <v>1</v>
      </c>
    </row>
    <row r="22424" spans="1:3" x14ac:dyDescent="0.25">
      <c r="A22424" s="1" t="s">
        <v>22423</v>
      </c>
      <c r="C22424" s="3">
        <v>1</v>
      </c>
    </row>
    <row r="22425" spans="1:3" x14ac:dyDescent="0.25">
      <c r="A22425" s="1" t="s">
        <v>22424</v>
      </c>
      <c r="C22425" s="3">
        <v>1</v>
      </c>
    </row>
    <row r="22426" spans="1:3" x14ac:dyDescent="0.25">
      <c r="A22426" s="1" t="s">
        <v>22425</v>
      </c>
      <c r="C22426" s="3">
        <v>1</v>
      </c>
    </row>
    <row r="22427" spans="1:3" x14ac:dyDescent="0.25">
      <c r="A22427" s="1" t="s">
        <v>22426</v>
      </c>
      <c r="C22427" s="3">
        <v>1</v>
      </c>
    </row>
    <row r="22428" spans="1:3" x14ac:dyDescent="0.25">
      <c r="A22428" s="1" t="s">
        <v>22427</v>
      </c>
      <c r="C22428" s="3">
        <v>1</v>
      </c>
    </row>
    <row r="22429" spans="1:3" x14ac:dyDescent="0.25">
      <c r="A22429" s="1" t="s">
        <v>22428</v>
      </c>
      <c r="C22429" s="3">
        <v>1</v>
      </c>
    </row>
    <row r="22430" spans="1:3" x14ac:dyDescent="0.25">
      <c r="A22430" s="1" t="s">
        <v>22429</v>
      </c>
      <c r="C22430" s="3">
        <v>1</v>
      </c>
    </row>
    <row r="22431" spans="1:3" x14ac:dyDescent="0.25">
      <c r="A22431" s="1" t="s">
        <v>22430</v>
      </c>
      <c r="C22431" s="3">
        <v>1</v>
      </c>
    </row>
    <row r="22432" spans="1:3" x14ac:dyDescent="0.25">
      <c r="A22432" s="1" t="s">
        <v>22431</v>
      </c>
      <c r="C22432" s="3">
        <v>1</v>
      </c>
    </row>
    <row r="22433" spans="1:3" x14ac:dyDescent="0.25">
      <c r="A22433" s="1" t="s">
        <v>22432</v>
      </c>
      <c r="C22433" s="3">
        <v>1</v>
      </c>
    </row>
    <row r="22434" spans="1:3" x14ac:dyDescent="0.25">
      <c r="A22434" s="1" t="s">
        <v>22433</v>
      </c>
      <c r="C22434" s="3">
        <v>1</v>
      </c>
    </row>
    <row r="22435" spans="1:3" x14ac:dyDescent="0.25">
      <c r="A22435" s="1" t="s">
        <v>22434</v>
      </c>
      <c r="C22435" s="3">
        <v>1</v>
      </c>
    </row>
    <row r="22436" spans="1:3" x14ac:dyDescent="0.25">
      <c r="A22436" s="1" t="s">
        <v>22435</v>
      </c>
      <c r="C22436" s="3">
        <v>1</v>
      </c>
    </row>
    <row r="22437" spans="1:3" x14ac:dyDescent="0.25">
      <c r="A22437" s="1" t="s">
        <v>22436</v>
      </c>
      <c r="C22437" s="3">
        <v>1</v>
      </c>
    </row>
    <row r="22438" spans="1:3" x14ac:dyDescent="0.25">
      <c r="A22438" s="1" t="s">
        <v>22437</v>
      </c>
      <c r="C22438" s="3">
        <v>1</v>
      </c>
    </row>
    <row r="22439" spans="1:3" x14ac:dyDescent="0.25">
      <c r="A22439" s="1" t="s">
        <v>22438</v>
      </c>
      <c r="C22439" s="3">
        <v>1</v>
      </c>
    </row>
    <row r="22440" spans="1:3" x14ac:dyDescent="0.25">
      <c r="A22440" s="1" t="s">
        <v>22439</v>
      </c>
      <c r="C22440" s="3">
        <v>1</v>
      </c>
    </row>
    <row r="22441" spans="1:3" x14ac:dyDescent="0.25">
      <c r="A22441" s="1" t="s">
        <v>22440</v>
      </c>
      <c r="C22441" s="3">
        <v>1</v>
      </c>
    </row>
    <row r="22442" spans="1:3" x14ac:dyDescent="0.25">
      <c r="A22442" s="1" t="s">
        <v>22441</v>
      </c>
      <c r="C22442" s="3">
        <v>1</v>
      </c>
    </row>
    <row r="22443" spans="1:3" x14ac:dyDescent="0.25">
      <c r="A22443" s="1" t="s">
        <v>22442</v>
      </c>
      <c r="C22443" s="3">
        <v>1</v>
      </c>
    </row>
    <row r="22444" spans="1:3" x14ac:dyDescent="0.25">
      <c r="A22444" s="1" t="s">
        <v>22443</v>
      </c>
      <c r="C22444" s="3">
        <v>1</v>
      </c>
    </row>
    <row r="22445" spans="1:3" x14ac:dyDescent="0.25">
      <c r="A22445" s="1" t="s">
        <v>22444</v>
      </c>
      <c r="C22445" s="3">
        <v>1</v>
      </c>
    </row>
    <row r="22446" spans="1:3" x14ac:dyDescent="0.25">
      <c r="A22446" s="1" t="s">
        <v>22445</v>
      </c>
      <c r="C22446" s="3">
        <v>1</v>
      </c>
    </row>
    <row r="22447" spans="1:3" x14ac:dyDescent="0.25">
      <c r="A22447" s="1" t="s">
        <v>22446</v>
      </c>
      <c r="C22447" s="3">
        <v>1</v>
      </c>
    </row>
    <row r="22448" spans="1:3" x14ac:dyDescent="0.25">
      <c r="A22448" s="1" t="s">
        <v>22447</v>
      </c>
      <c r="C22448" s="3">
        <v>1</v>
      </c>
    </row>
    <row r="22449" spans="1:3" x14ac:dyDescent="0.25">
      <c r="A22449" s="1" t="s">
        <v>22448</v>
      </c>
      <c r="C22449" s="3">
        <v>1</v>
      </c>
    </row>
    <row r="22450" spans="1:3" x14ac:dyDescent="0.25">
      <c r="A22450" s="1" t="s">
        <v>22449</v>
      </c>
      <c r="C22450" s="3">
        <v>1</v>
      </c>
    </row>
    <row r="22451" spans="1:3" x14ac:dyDescent="0.25">
      <c r="A22451" s="1" t="s">
        <v>22450</v>
      </c>
      <c r="C22451" s="3">
        <v>1</v>
      </c>
    </row>
    <row r="22452" spans="1:3" x14ac:dyDescent="0.25">
      <c r="A22452" s="1" t="s">
        <v>22451</v>
      </c>
      <c r="C22452" s="3">
        <v>1</v>
      </c>
    </row>
    <row r="22453" spans="1:3" x14ac:dyDescent="0.25">
      <c r="A22453" s="1" t="s">
        <v>22452</v>
      </c>
      <c r="C22453" s="3">
        <v>1</v>
      </c>
    </row>
    <row r="22454" spans="1:3" x14ac:dyDescent="0.25">
      <c r="A22454" s="1" t="s">
        <v>22453</v>
      </c>
      <c r="C22454" s="3">
        <v>1</v>
      </c>
    </row>
    <row r="22455" spans="1:3" x14ac:dyDescent="0.25">
      <c r="A22455" s="1" t="s">
        <v>22454</v>
      </c>
      <c r="C22455" s="3">
        <v>1</v>
      </c>
    </row>
    <row r="22456" spans="1:3" x14ac:dyDescent="0.25">
      <c r="A22456" s="1" t="s">
        <v>22455</v>
      </c>
      <c r="C22456" s="3">
        <v>1</v>
      </c>
    </row>
    <row r="22457" spans="1:3" x14ac:dyDescent="0.25">
      <c r="A22457" s="1" t="s">
        <v>22456</v>
      </c>
      <c r="C22457" s="3">
        <v>1</v>
      </c>
    </row>
    <row r="22458" spans="1:3" x14ac:dyDescent="0.25">
      <c r="A22458" s="1" t="s">
        <v>22457</v>
      </c>
      <c r="C22458" s="3">
        <v>1</v>
      </c>
    </row>
    <row r="22459" spans="1:3" x14ac:dyDescent="0.25">
      <c r="A22459" s="1" t="s">
        <v>22458</v>
      </c>
      <c r="C22459" s="3">
        <v>1</v>
      </c>
    </row>
    <row r="22460" spans="1:3" x14ac:dyDescent="0.25">
      <c r="A22460" s="1" t="s">
        <v>22459</v>
      </c>
      <c r="C22460" s="3">
        <v>1</v>
      </c>
    </row>
    <row r="22461" spans="1:3" x14ac:dyDescent="0.25">
      <c r="A22461" s="1" t="s">
        <v>22460</v>
      </c>
      <c r="C22461" s="3">
        <v>1</v>
      </c>
    </row>
    <row r="22462" spans="1:3" x14ac:dyDescent="0.25">
      <c r="A22462" s="1" t="s">
        <v>22461</v>
      </c>
      <c r="C22462" s="3">
        <v>1</v>
      </c>
    </row>
    <row r="22463" spans="1:3" x14ac:dyDescent="0.25">
      <c r="A22463" s="1" t="s">
        <v>22462</v>
      </c>
      <c r="C22463" s="3">
        <v>1</v>
      </c>
    </row>
    <row r="22464" spans="1:3" x14ac:dyDescent="0.25">
      <c r="A22464" s="1" t="s">
        <v>22463</v>
      </c>
      <c r="C22464" s="3">
        <v>1</v>
      </c>
    </row>
    <row r="22465" spans="1:3" x14ac:dyDescent="0.25">
      <c r="A22465" s="1" t="s">
        <v>22464</v>
      </c>
      <c r="C22465" s="3">
        <v>1</v>
      </c>
    </row>
    <row r="22466" spans="1:3" x14ac:dyDescent="0.25">
      <c r="A22466" s="1" t="s">
        <v>22465</v>
      </c>
      <c r="C22466" s="3">
        <v>1</v>
      </c>
    </row>
    <row r="22467" spans="1:3" x14ac:dyDescent="0.25">
      <c r="A22467" s="1" t="s">
        <v>22466</v>
      </c>
      <c r="C22467" s="3">
        <v>1</v>
      </c>
    </row>
    <row r="22468" spans="1:3" x14ac:dyDescent="0.25">
      <c r="A22468" s="1" t="s">
        <v>22467</v>
      </c>
      <c r="C22468" s="3">
        <v>1</v>
      </c>
    </row>
    <row r="22469" spans="1:3" x14ac:dyDescent="0.25">
      <c r="A22469" s="1" t="s">
        <v>22468</v>
      </c>
      <c r="C22469" s="3">
        <v>1</v>
      </c>
    </row>
    <row r="22470" spans="1:3" x14ac:dyDescent="0.25">
      <c r="A22470" s="1" t="s">
        <v>22469</v>
      </c>
      <c r="C22470" s="3">
        <v>1</v>
      </c>
    </row>
    <row r="22471" spans="1:3" x14ac:dyDescent="0.25">
      <c r="A22471" s="1" t="s">
        <v>22470</v>
      </c>
      <c r="C22471" s="3">
        <v>1</v>
      </c>
    </row>
    <row r="22472" spans="1:3" x14ac:dyDescent="0.25">
      <c r="A22472" s="1" t="s">
        <v>22471</v>
      </c>
      <c r="C22472" s="3">
        <v>1</v>
      </c>
    </row>
    <row r="22473" spans="1:3" x14ac:dyDescent="0.25">
      <c r="A22473" s="1" t="s">
        <v>22472</v>
      </c>
      <c r="C22473" s="3">
        <v>1</v>
      </c>
    </row>
    <row r="22474" spans="1:3" x14ac:dyDescent="0.25">
      <c r="A22474" s="1" t="s">
        <v>22473</v>
      </c>
      <c r="C22474" s="3">
        <v>1</v>
      </c>
    </row>
    <row r="22475" spans="1:3" x14ac:dyDescent="0.25">
      <c r="A22475" s="1" t="s">
        <v>22474</v>
      </c>
      <c r="C22475" s="3">
        <v>1</v>
      </c>
    </row>
    <row r="22476" spans="1:3" x14ac:dyDescent="0.25">
      <c r="A22476" s="1" t="s">
        <v>22475</v>
      </c>
      <c r="C22476" s="3">
        <v>1</v>
      </c>
    </row>
    <row r="22477" spans="1:3" x14ac:dyDescent="0.25">
      <c r="A22477" s="1" t="s">
        <v>22476</v>
      </c>
      <c r="C22477" s="3">
        <v>1</v>
      </c>
    </row>
    <row r="22478" spans="1:3" x14ac:dyDescent="0.25">
      <c r="A22478" s="1" t="s">
        <v>22477</v>
      </c>
      <c r="C22478" s="3">
        <v>1</v>
      </c>
    </row>
    <row r="22479" spans="1:3" x14ac:dyDescent="0.25">
      <c r="A22479" s="1" t="s">
        <v>22478</v>
      </c>
      <c r="C22479" s="3">
        <v>1</v>
      </c>
    </row>
    <row r="22480" spans="1:3" x14ac:dyDescent="0.25">
      <c r="A22480" s="1" t="s">
        <v>22479</v>
      </c>
      <c r="C22480" s="3">
        <v>1</v>
      </c>
    </row>
    <row r="22481" spans="1:3" x14ac:dyDescent="0.25">
      <c r="A22481" s="1" t="s">
        <v>22480</v>
      </c>
      <c r="C22481" s="3">
        <v>1</v>
      </c>
    </row>
    <row r="22482" spans="1:3" x14ac:dyDescent="0.25">
      <c r="A22482" s="1" t="s">
        <v>22481</v>
      </c>
      <c r="C22482" s="3">
        <v>1</v>
      </c>
    </row>
    <row r="22483" spans="1:3" x14ac:dyDescent="0.25">
      <c r="A22483" s="1" t="s">
        <v>22482</v>
      </c>
      <c r="C22483" s="3">
        <v>1</v>
      </c>
    </row>
    <row r="22484" spans="1:3" x14ac:dyDescent="0.25">
      <c r="A22484" s="1" t="s">
        <v>22483</v>
      </c>
      <c r="C22484" s="3">
        <v>1</v>
      </c>
    </row>
    <row r="22485" spans="1:3" x14ac:dyDescent="0.25">
      <c r="A22485" s="1" t="s">
        <v>22484</v>
      </c>
      <c r="C22485" s="3">
        <v>1</v>
      </c>
    </row>
    <row r="22486" spans="1:3" x14ac:dyDescent="0.25">
      <c r="A22486" s="1" t="s">
        <v>22485</v>
      </c>
      <c r="C22486" s="3">
        <v>1</v>
      </c>
    </row>
    <row r="22487" spans="1:3" x14ac:dyDescent="0.25">
      <c r="A22487" s="1" t="s">
        <v>22486</v>
      </c>
      <c r="C22487" s="3">
        <v>1</v>
      </c>
    </row>
    <row r="22488" spans="1:3" x14ac:dyDescent="0.25">
      <c r="A22488" s="1" t="s">
        <v>22487</v>
      </c>
      <c r="C22488" s="3">
        <v>1</v>
      </c>
    </row>
    <row r="22489" spans="1:3" x14ac:dyDescent="0.25">
      <c r="A22489" s="1" t="s">
        <v>22488</v>
      </c>
      <c r="C22489" s="3">
        <v>1</v>
      </c>
    </row>
    <row r="22490" spans="1:3" x14ac:dyDescent="0.25">
      <c r="A22490" s="1" t="s">
        <v>22489</v>
      </c>
      <c r="C22490" s="3">
        <v>1</v>
      </c>
    </row>
    <row r="22491" spans="1:3" x14ac:dyDescent="0.25">
      <c r="A22491" s="1" t="s">
        <v>22490</v>
      </c>
      <c r="C22491" s="3">
        <v>1</v>
      </c>
    </row>
    <row r="22492" spans="1:3" x14ac:dyDescent="0.25">
      <c r="A22492" s="1" t="s">
        <v>22491</v>
      </c>
      <c r="C22492" s="3">
        <v>1</v>
      </c>
    </row>
    <row r="22493" spans="1:3" x14ac:dyDescent="0.25">
      <c r="A22493" s="1" t="s">
        <v>22492</v>
      </c>
      <c r="C22493" s="3">
        <v>1</v>
      </c>
    </row>
    <row r="22494" spans="1:3" x14ac:dyDescent="0.25">
      <c r="A22494" s="1" t="s">
        <v>22493</v>
      </c>
      <c r="C22494" s="3">
        <v>1</v>
      </c>
    </row>
    <row r="22495" spans="1:3" x14ac:dyDescent="0.25">
      <c r="A22495" s="1" t="s">
        <v>22494</v>
      </c>
      <c r="C22495" s="3">
        <v>1</v>
      </c>
    </row>
    <row r="22496" spans="1:3" x14ac:dyDescent="0.25">
      <c r="A22496" s="1" t="s">
        <v>22495</v>
      </c>
      <c r="C22496" s="3">
        <v>1</v>
      </c>
    </row>
    <row r="22497" spans="1:3" x14ac:dyDescent="0.25">
      <c r="A22497" s="1" t="s">
        <v>22496</v>
      </c>
      <c r="C22497" s="3">
        <v>1</v>
      </c>
    </row>
    <row r="22498" spans="1:3" x14ac:dyDescent="0.25">
      <c r="A22498" s="1" t="s">
        <v>22497</v>
      </c>
      <c r="C22498" s="3">
        <v>1</v>
      </c>
    </row>
    <row r="22499" spans="1:3" x14ac:dyDescent="0.25">
      <c r="A22499" s="1" t="s">
        <v>22498</v>
      </c>
      <c r="C22499" s="3">
        <v>1</v>
      </c>
    </row>
    <row r="22500" spans="1:3" x14ac:dyDescent="0.25">
      <c r="A22500" s="1" t="s">
        <v>22499</v>
      </c>
      <c r="C22500" s="3">
        <v>1</v>
      </c>
    </row>
    <row r="22501" spans="1:3" x14ac:dyDescent="0.25">
      <c r="A22501" s="1" t="s">
        <v>22500</v>
      </c>
      <c r="C22501" s="3">
        <v>1</v>
      </c>
    </row>
    <row r="22502" spans="1:3" x14ac:dyDescent="0.25">
      <c r="A22502" s="1" t="s">
        <v>22501</v>
      </c>
      <c r="C22502" s="3">
        <v>1</v>
      </c>
    </row>
    <row r="22503" spans="1:3" x14ac:dyDescent="0.25">
      <c r="A22503" s="1" t="s">
        <v>22502</v>
      </c>
      <c r="C22503" s="3">
        <v>1</v>
      </c>
    </row>
    <row r="22504" spans="1:3" x14ac:dyDescent="0.25">
      <c r="A22504" s="1" t="s">
        <v>22503</v>
      </c>
      <c r="C22504" s="3">
        <v>1</v>
      </c>
    </row>
    <row r="22505" spans="1:3" x14ac:dyDescent="0.25">
      <c r="A22505" s="1" t="s">
        <v>22504</v>
      </c>
      <c r="C22505" s="3">
        <v>1</v>
      </c>
    </row>
    <row r="22506" spans="1:3" x14ac:dyDescent="0.25">
      <c r="A22506" s="1" t="s">
        <v>22505</v>
      </c>
      <c r="C22506" s="3">
        <v>1</v>
      </c>
    </row>
    <row r="22507" spans="1:3" x14ac:dyDescent="0.25">
      <c r="A22507" s="1" t="s">
        <v>22506</v>
      </c>
      <c r="C22507" s="3">
        <v>1</v>
      </c>
    </row>
    <row r="22508" spans="1:3" x14ac:dyDescent="0.25">
      <c r="A22508" s="1" t="s">
        <v>22507</v>
      </c>
      <c r="C22508" s="3">
        <v>1</v>
      </c>
    </row>
    <row r="22509" spans="1:3" x14ac:dyDescent="0.25">
      <c r="A22509" s="1" t="s">
        <v>22508</v>
      </c>
      <c r="C22509" s="3">
        <v>1</v>
      </c>
    </row>
    <row r="22510" spans="1:3" x14ac:dyDescent="0.25">
      <c r="A22510" s="1" t="s">
        <v>22509</v>
      </c>
      <c r="C22510" s="3">
        <v>1</v>
      </c>
    </row>
    <row r="22511" spans="1:3" x14ac:dyDescent="0.25">
      <c r="A22511" s="1" t="s">
        <v>22510</v>
      </c>
      <c r="C22511" s="3">
        <v>1</v>
      </c>
    </row>
    <row r="22512" spans="1:3" x14ac:dyDescent="0.25">
      <c r="A22512" s="1" t="s">
        <v>22511</v>
      </c>
      <c r="C22512" s="3">
        <v>1</v>
      </c>
    </row>
    <row r="22513" spans="1:3" x14ac:dyDescent="0.25">
      <c r="A22513" s="1" t="s">
        <v>22512</v>
      </c>
      <c r="C22513" s="3">
        <v>1</v>
      </c>
    </row>
    <row r="22514" spans="1:3" x14ac:dyDescent="0.25">
      <c r="A22514" s="1" t="s">
        <v>22513</v>
      </c>
      <c r="C22514" s="3">
        <v>1</v>
      </c>
    </row>
    <row r="22515" spans="1:3" x14ac:dyDescent="0.25">
      <c r="A22515" s="1" t="s">
        <v>22514</v>
      </c>
      <c r="C22515" s="3">
        <v>1</v>
      </c>
    </row>
    <row r="22516" spans="1:3" x14ac:dyDescent="0.25">
      <c r="A22516" s="1" t="s">
        <v>22515</v>
      </c>
      <c r="C22516" s="3">
        <v>1</v>
      </c>
    </row>
    <row r="22517" spans="1:3" x14ac:dyDescent="0.25">
      <c r="A22517" s="1" t="s">
        <v>22516</v>
      </c>
      <c r="C22517" s="3">
        <v>1</v>
      </c>
    </row>
    <row r="22518" spans="1:3" x14ac:dyDescent="0.25">
      <c r="A22518" s="1" t="s">
        <v>22517</v>
      </c>
      <c r="C22518" s="3">
        <v>1</v>
      </c>
    </row>
    <row r="22519" spans="1:3" x14ac:dyDescent="0.25">
      <c r="A22519" s="1" t="s">
        <v>22518</v>
      </c>
      <c r="C22519" s="3">
        <v>1</v>
      </c>
    </row>
    <row r="22520" spans="1:3" x14ac:dyDescent="0.25">
      <c r="A22520" s="1" t="s">
        <v>22519</v>
      </c>
      <c r="C22520" s="3">
        <v>1</v>
      </c>
    </row>
    <row r="22521" spans="1:3" x14ac:dyDescent="0.25">
      <c r="A22521" s="1" t="s">
        <v>22520</v>
      </c>
      <c r="C22521" s="3">
        <v>1</v>
      </c>
    </row>
    <row r="22522" spans="1:3" x14ac:dyDescent="0.25">
      <c r="A22522" s="1" t="s">
        <v>22521</v>
      </c>
      <c r="C22522" s="3">
        <v>1</v>
      </c>
    </row>
    <row r="22523" spans="1:3" x14ac:dyDescent="0.25">
      <c r="A22523" s="1" t="s">
        <v>22522</v>
      </c>
      <c r="C22523" s="3">
        <v>1</v>
      </c>
    </row>
    <row r="22524" spans="1:3" x14ac:dyDescent="0.25">
      <c r="A22524" s="1" t="s">
        <v>22523</v>
      </c>
      <c r="C22524" s="3">
        <v>1</v>
      </c>
    </row>
    <row r="22525" spans="1:3" x14ac:dyDescent="0.25">
      <c r="A22525" s="1" t="s">
        <v>22524</v>
      </c>
      <c r="C22525" s="3">
        <v>1</v>
      </c>
    </row>
    <row r="22526" spans="1:3" x14ac:dyDescent="0.25">
      <c r="A22526" s="1" t="s">
        <v>22525</v>
      </c>
      <c r="C22526" s="3">
        <v>1</v>
      </c>
    </row>
    <row r="22527" spans="1:3" x14ac:dyDescent="0.25">
      <c r="A22527" s="1" t="s">
        <v>22526</v>
      </c>
      <c r="C22527" s="3">
        <v>1</v>
      </c>
    </row>
    <row r="22528" spans="1:3" x14ac:dyDescent="0.25">
      <c r="A22528" s="1" t="s">
        <v>22527</v>
      </c>
      <c r="C22528" s="3">
        <v>1</v>
      </c>
    </row>
    <row r="22529" spans="1:3" x14ac:dyDescent="0.25">
      <c r="A22529" s="1" t="s">
        <v>22528</v>
      </c>
      <c r="C22529" s="3">
        <v>1</v>
      </c>
    </row>
    <row r="22530" spans="1:3" x14ac:dyDescent="0.25">
      <c r="A22530" s="1" t="s">
        <v>22529</v>
      </c>
      <c r="C22530" s="3">
        <v>1</v>
      </c>
    </row>
    <row r="22531" spans="1:3" x14ac:dyDescent="0.25">
      <c r="A22531" s="1" t="s">
        <v>22530</v>
      </c>
      <c r="C22531" s="3">
        <v>1</v>
      </c>
    </row>
    <row r="22532" spans="1:3" x14ac:dyDescent="0.25">
      <c r="A22532" s="1" t="s">
        <v>22531</v>
      </c>
      <c r="C22532" s="3">
        <v>1</v>
      </c>
    </row>
    <row r="22533" spans="1:3" x14ac:dyDescent="0.25">
      <c r="A22533" s="1" t="s">
        <v>22532</v>
      </c>
      <c r="C22533" s="3">
        <v>1</v>
      </c>
    </row>
    <row r="22534" spans="1:3" x14ac:dyDescent="0.25">
      <c r="A22534" s="1" t="s">
        <v>22533</v>
      </c>
      <c r="C22534" s="3">
        <v>1</v>
      </c>
    </row>
    <row r="22535" spans="1:3" x14ac:dyDescent="0.25">
      <c r="A22535" s="1" t="s">
        <v>22534</v>
      </c>
      <c r="C22535" s="3">
        <v>1</v>
      </c>
    </row>
    <row r="22536" spans="1:3" x14ac:dyDescent="0.25">
      <c r="A22536" s="1" t="s">
        <v>22535</v>
      </c>
      <c r="C22536" s="3">
        <v>1</v>
      </c>
    </row>
    <row r="22537" spans="1:3" x14ac:dyDescent="0.25">
      <c r="A22537" s="1" t="s">
        <v>22536</v>
      </c>
      <c r="C22537" s="3">
        <v>1</v>
      </c>
    </row>
    <row r="22538" spans="1:3" x14ac:dyDescent="0.25">
      <c r="A22538" s="1" t="s">
        <v>22537</v>
      </c>
      <c r="C22538" s="3">
        <v>1</v>
      </c>
    </row>
    <row r="22539" spans="1:3" x14ac:dyDescent="0.25">
      <c r="A22539" s="1" t="s">
        <v>22538</v>
      </c>
      <c r="C22539" s="3">
        <v>1</v>
      </c>
    </row>
    <row r="22540" spans="1:3" x14ac:dyDescent="0.25">
      <c r="A22540" s="1" t="s">
        <v>22539</v>
      </c>
      <c r="C22540" s="3">
        <v>1</v>
      </c>
    </row>
    <row r="22541" spans="1:3" x14ac:dyDescent="0.25">
      <c r="A22541" s="1" t="s">
        <v>22540</v>
      </c>
      <c r="C22541" s="3">
        <v>1</v>
      </c>
    </row>
    <row r="22542" spans="1:3" x14ac:dyDescent="0.25">
      <c r="A22542" s="1" t="s">
        <v>22541</v>
      </c>
      <c r="C22542" s="3">
        <v>1</v>
      </c>
    </row>
    <row r="22543" spans="1:3" x14ac:dyDescent="0.25">
      <c r="A22543" s="1" t="s">
        <v>22542</v>
      </c>
      <c r="C22543" s="3">
        <v>1</v>
      </c>
    </row>
    <row r="22544" spans="1:3" x14ac:dyDescent="0.25">
      <c r="A22544" s="1" t="s">
        <v>22543</v>
      </c>
      <c r="C22544" s="3">
        <v>1</v>
      </c>
    </row>
    <row r="22545" spans="1:3" x14ac:dyDescent="0.25">
      <c r="A22545" s="1" t="s">
        <v>22544</v>
      </c>
      <c r="C22545" s="3">
        <v>1</v>
      </c>
    </row>
    <row r="22546" spans="1:3" x14ac:dyDescent="0.25">
      <c r="A22546" s="1" t="s">
        <v>22545</v>
      </c>
      <c r="C22546" s="3">
        <v>1</v>
      </c>
    </row>
    <row r="22547" spans="1:3" x14ac:dyDescent="0.25">
      <c r="A22547" s="1" t="s">
        <v>22546</v>
      </c>
      <c r="C22547" s="3">
        <v>1</v>
      </c>
    </row>
    <row r="22548" spans="1:3" x14ac:dyDescent="0.25">
      <c r="A22548" s="1" t="s">
        <v>22547</v>
      </c>
      <c r="C22548" s="3">
        <v>1</v>
      </c>
    </row>
    <row r="22549" spans="1:3" x14ac:dyDescent="0.25">
      <c r="A22549" s="1" t="s">
        <v>22548</v>
      </c>
      <c r="C22549" s="3">
        <v>1</v>
      </c>
    </row>
    <row r="22550" spans="1:3" x14ac:dyDescent="0.25">
      <c r="A22550" s="1" t="s">
        <v>22549</v>
      </c>
      <c r="C22550" s="3">
        <v>1</v>
      </c>
    </row>
    <row r="22551" spans="1:3" x14ac:dyDescent="0.25">
      <c r="A22551" s="1" t="s">
        <v>22550</v>
      </c>
      <c r="C22551" s="3">
        <v>1</v>
      </c>
    </row>
    <row r="22552" spans="1:3" x14ac:dyDescent="0.25">
      <c r="A22552" s="1" t="s">
        <v>22551</v>
      </c>
      <c r="C22552" s="3">
        <v>1</v>
      </c>
    </row>
    <row r="22553" spans="1:3" x14ac:dyDescent="0.25">
      <c r="A22553" s="1" t="s">
        <v>22552</v>
      </c>
      <c r="C22553" s="3">
        <v>1</v>
      </c>
    </row>
    <row r="22554" spans="1:3" x14ac:dyDescent="0.25">
      <c r="A22554" s="1" t="s">
        <v>22553</v>
      </c>
      <c r="C22554" s="3">
        <v>1</v>
      </c>
    </row>
    <row r="22555" spans="1:3" x14ac:dyDescent="0.25">
      <c r="A22555" s="1" t="s">
        <v>22554</v>
      </c>
      <c r="C22555" s="3">
        <v>1</v>
      </c>
    </row>
    <row r="22556" spans="1:3" x14ac:dyDescent="0.25">
      <c r="A22556" s="1" t="s">
        <v>22555</v>
      </c>
      <c r="C22556" s="3">
        <v>1</v>
      </c>
    </row>
    <row r="22557" spans="1:3" x14ac:dyDescent="0.25">
      <c r="A22557" s="1" t="s">
        <v>22556</v>
      </c>
      <c r="C22557" s="3">
        <v>1</v>
      </c>
    </row>
    <row r="22558" spans="1:3" x14ac:dyDescent="0.25">
      <c r="A22558" s="1" t="s">
        <v>22557</v>
      </c>
      <c r="C22558" s="3">
        <v>1</v>
      </c>
    </row>
    <row r="22559" spans="1:3" x14ac:dyDescent="0.25">
      <c r="A22559" s="1" t="s">
        <v>22558</v>
      </c>
      <c r="C22559" s="3">
        <v>1</v>
      </c>
    </row>
    <row r="22560" spans="1:3" x14ac:dyDescent="0.25">
      <c r="A22560" s="1" t="s">
        <v>22559</v>
      </c>
      <c r="C22560" s="3">
        <v>1</v>
      </c>
    </row>
    <row r="22561" spans="1:3" x14ac:dyDescent="0.25">
      <c r="A22561" s="1" t="s">
        <v>22560</v>
      </c>
      <c r="C22561" s="3">
        <v>1</v>
      </c>
    </row>
    <row r="22562" spans="1:3" x14ac:dyDescent="0.25">
      <c r="A22562" s="1" t="s">
        <v>22561</v>
      </c>
      <c r="C22562" s="3">
        <v>1</v>
      </c>
    </row>
    <row r="22563" spans="1:3" x14ac:dyDescent="0.25">
      <c r="A22563" s="1" t="s">
        <v>22562</v>
      </c>
      <c r="C22563" s="3">
        <v>1</v>
      </c>
    </row>
    <row r="22564" spans="1:3" x14ac:dyDescent="0.25">
      <c r="A22564" s="1" t="s">
        <v>22563</v>
      </c>
      <c r="C22564" s="3">
        <v>1</v>
      </c>
    </row>
    <row r="22565" spans="1:3" x14ac:dyDescent="0.25">
      <c r="A22565" s="1" t="s">
        <v>22564</v>
      </c>
      <c r="C22565" s="3">
        <v>1</v>
      </c>
    </row>
    <row r="22566" spans="1:3" x14ac:dyDescent="0.25">
      <c r="A22566" s="1" t="s">
        <v>22565</v>
      </c>
      <c r="C22566" s="3">
        <v>1</v>
      </c>
    </row>
    <row r="22567" spans="1:3" x14ac:dyDescent="0.25">
      <c r="A22567" s="1" t="s">
        <v>22566</v>
      </c>
      <c r="C22567" s="3">
        <v>1</v>
      </c>
    </row>
    <row r="22568" spans="1:3" x14ac:dyDescent="0.25">
      <c r="A22568" s="1" t="s">
        <v>22567</v>
      </c>
      <c r="C22568" s="3">
        <v>1</v>
      </c>
    </row>
    <row r="22569" spans="1:3" x14ac:dyDescent="0.25">
      <c r="A22569" s="1" t="s">
        <v>22568</v>
      </c>
      <c r="C22569" s="3">
        <v>1</v>
      </c>
    </row>
    <row r="22570" spans="1:3" x14ac:dyDescent="0.25">
      <c r="A22570" s="1" t="s">
        <v>22569</v>
      </c>
      <c r="C22570" s="3">
        <v>1</v>
      </c>
    </row>
    <row r="22571" spans="1:3" x14ac:dyDescent="0.25">
      <c r="A22571" s="1" t="s">
        <v>22570</v>
      </c>
      <c r="C22571" s="3">
        <v>1</v>
      </c>
    </row>
    <row r="22572" spans="1:3" x14ac:dyDescent="0.25">
      <c r="A22572" s="1" t="s">
        <v>22571</v>
      </c>
      <c r="C22572" s="3">
        <v>1</v>
      </c>
    </row>
    <row r="22573" spans="1:3" x14ac:dyDescent="0.25">
      <c r="A22573" s="1" t="s">
        <v>22572</v>
      </c>
      <c r="C22573" s="3">
        <v>1</v>
      </c>
    </row>
    <row r="22574" spans="1:3" x14ac:dyDescent="0.25">
      <c r="A22574" s="1" t="s">
        <v>22573</v>
      </c>
      <c r="C22574" s="3">
        <v>1</v>
      </c>
    </row>
    <row r="22575" spans="1:3" x14ac:dyDescent="0.25">
      <c r="A22575" s="1" t="s">
        <v>22574</v>
      </c>
      <c r="C22575" s="3">
        <v>1</v>
      </c>
    </row>
    <row r="22576" spans="1:3" x14ac:dyDescent="0.25">
      <c r="A22576" s="1" t="s">
        <v>22575</v>
      </c>
      <c r="C22576" s="3">
        <v>1</v>
      </c>
    </row>
    <row r="22577" spans="1:3" x14ac:dyDescent="0.25">
      <c r="A22577" s="1" t="s">
        <v>22576</v>
      </c>
      <c r="C22577" s="3">
        <v>1</v>
      </c>
    </row>
    <row r="22578" spans="1:3" x14ac:dyDescent="0.25">
      <c r="A22578" s="1" t="s">
        <v>22577</v>
      </c>
      <c r="C22578" s="3">
        <v>1</v>
      </c>
    </row>
    <row r="22579" spans="1:3" x14ac:dyDescent="0.25">
      <c r="A22579" s="1" t="s">
        <v>22578</v>
      </c>
      <c r="C22579" s="3">
        <v>1</v>
      </c>
    </row>
    <row r="22580" spans="1:3" x14ac:dyDescent="0.25">
      <c r="A22580" s="1" t="s">
        <v>22579</v>
      </c>
      <c r="C22580" s="3">
        <v>1</v>
      </c>
    </row>
    <row r="22581" spans="1:3" x14ac:dyDescent="0.25">
      <c r="A22581" s="1" t="s">
        <v>22580</v>
      </c>
      <c r="C22581" s="3">
        <v>1</v>
      </c>
    </row>
    <row r="22582" spans="1:3" x14ac:dyDescent="0.25">
      <c r="A22582" s="1" t="s">
        <v>22581</v>
      </c>
      <c r="C22582" s="3">
        <v>1</v>
      </c>
    </row>
    <row r="22583" spans="1:3" x14ac:dyDescent="0.25">
      <c r="A22583" s="1" t="s">
        <v>22582</v>
      </c>
      <c r="C22583" s="3">
        <v>1</v>
      </c>
    </row>
    <row r="22584" spans="1:3" x14ac:dyDescent="0.25">
      <c r="A22584" s="1" t="s">
        <v>22583</v>
      </c>
      <c r="C22584" s="3">
        <v>1</v>
      </c>
    </row>
    <row r="22585" spans="1:3" x14ac:dyDescent="0.25">
      <c r="A22585" s="1" t="s">
        <v>22584</v>
      </c>
      <c r="C22585" s="3">
        <v>1</v>
      </c>
    </row>
    <row r="22586" spans="1:3" x14ac:dyDescent="0.25">
      <c r="A22586" s="1" t="s">
        <v>22585</v>
      </c>
      <c r="C22586" s="3">
        <v>1</v>
      </c>
    </row>
    <row r="22587" spans="1:3" x14ac:dyDescent="0.25">
      <c r="A22587" s="1" t="s">
        <v>22586</v>
      </c>
      <c r="C22587" s="3">
        <v>1</v>
      </c>
    </row>
    <row r="22588" spans="1:3" x14ac:dyDescent="0.25">
      <c r="A22588" s="1" t="s">
        <v>22587</v>
      </c>
      <c r="C22588" s="3">
        <v>1</v>
      </c>
    </row>
    <row r="22589" spans="1:3" x14ac:dyDescent="0.25">
      <c r="A22589" s="1" t="s">
        <v>22588</v>
      </c>
      <c r="C22589" s="3">
        <v>1</v>
      </c>
    </row>
    <row r="22590" spans="1:3" x14ac:dyDescent="0.25">
      <c r="A22590" s="1" t="s">
        <v>22589</v>
      </c>
      <c r="C22590" s="3">
        <v>1</v>
      </c>
    </row>
    <row r="22591" spans="1:3" x14ac:dyDescent="0.25">
      <c r="A22591" s="1" t="s">
        <v>22590</v>
      </c>
      <c r="C22591" s="3">
        <v>1</v>
      </c>
    </row>
    <row r="22592" spans="1:3" x14ac:dyDescent="0.25">
      <c r="A22592" s="1" t="s">
        <v>22591</v>
      </c>
      <c r="C22592" s="3">
        <v>1</v>
      </c>
    </row>
    <row r="22593" spans="1:3" x14ac:dyDescent="0.25">
      <c r="A22593" s="1" t="s">
        <v>22592</v>
      </c>
      <c r="C22593" s="3">
        <v>1</v>
      </c>
    </row>
    <row r="22594" spans="1:3" x14ac:dyDescent="0.25">
      <c r="A22594" s="1" t="s">
        <v>22593</v>
      </c>
      <c r="C22594" s="3">
        <v>1</v>
      </c>
    </row>
    <row r="22595" spans="1:3" x14ac:dyDescent="0.25">
      <c r="A22595" s="1" t="s">
        <v>22594</v>
      </c>
      <c r="C22595" s="3">
        <v>1</v>
      </c>
    </row>
    <row r="22596" spans="1:3" x14ac:dyDescent="0.25">
      <c r="A22596" s="1" t="s">
        <v>22595</v>
      </c>
      <c r="C22596" s="3">
        <v>1</v>
      </c>
    </row>
    <row r="22597" spans="1:3" x14ac:dyDescent="0.25">
      <c r="A22597" s="1" t="s">
        <v>22596</v>
      </c>
      <c r="C22597" s="3">
        <v>1</v>
      </c>
    </row>
    <row r="22598" spans="1:3" x14ac:dyDescent="0.25">
      <c r="A22598" s="1" t="s">
        <v>22597</v>
      </c>
      <c r="C22598" s="3">
        <v>1</v>
      </c>
    </row>
    <row r="22599" spans="1:3" x14ac:dyDescent="0.25">
      <c r="A22599" s="1" t="s">
        <v>22598</v>
      </c>
      <c r="C22599" s="3">
        <v>1</v>
      </c>
    </row>
    <row r="22600" spans="1:3" x14ac:dyDescent="0.25">
      <c r="A22600" s="1" t="s">
        <v>22599</v>
      </c>
      <c r="C22600" s="3">
        <v>1</v>
      </c>
    </row>
    <row r="22601" spans="1:3" x14ac:dyDescent="0.25">
      <c r="A22601" s="1" t="s">
        <v>22600</v>
      </c>
      <c r="C22601" s="3">
        <v>1</v>
      </c>
    </row>
    <row r="22602" spans="1:3" x14ac:dyDescent="0.25">
      <c r="A22602" s="1" t="s">
        <v>22601</v>
      </c>
      <c r="C22602" s="3">
        <v>1</v>
      </c>
    </row>
    <row r="22603" spans="1:3" x14ac:dyDescent="0.25">
      <c r="A22603" s="1" t="s">
        <v>22602</v>
      </c>
      <c r="C22603" s="3">
        <v>1</v>
      </c>
    </row>
    <row r="22604" spans="1:3" x14ac:dyDescent="0.25">
      <c r="A22604" s="1" t="s">
        <v>22603</v>
      </c>
      <c r="C22604" s="3">
        <v>1</v>
      </c>
    </row>
    <row r="22605" spans="1:3" x14ac:dyDescent="0.25">
      <c r="A22605" s="1" t="s">
        <v>22604</v>
      </c>
      <c r="C22605" s="3">
        <v>1</v>
      </c>
    </row>
    <row r="22606" spans="1:3" x14ac:dyDescent="0.25">
      <c r="A22606" s="1" t="s">
        <v>22605</v>
      </c>
      <c r="C22606" s="3">
        <v>1</v>
      </c>
    </row>
    <row r="22607" spans="1:3" x14ac:dyDescent="0.25">
      <c r="A22607" s="1" t="s">
        <v>22606</v>
      </c>
      <c r="C22607" s="3">
        <v>1</v>
      </c>
    </row>
    <row r="22608" spans="1:3" x14ac:dyDescent="0.25">
      <c r="A22608" s="1" t="s">
        <v>22607</v>
      </c>
      <c r="C22608" s="3">
        <v>1</v>
      </c>
    </row>
    <row r="22609" spans="1:3" x14ac:dyDescent="0.25">
      <c r="A22609" s="1" t="s">
        <v>22608</v>
      </c>
      <c r="C22609" s="3">
        <v>1</v>
      </c>
    </row>
    <row r="22610" spans="1:3" x14ac:dyDescent="0.25">
      <c r="A22610" s="1" t="s">
        <v>22609</v>
      </c>
      <c r="C22610" s="3">
        <v>1</v>
      </c>
    </row>
    <row r="22611" spans="1:3" x14ac:dyDescent="0.25">
      <c r="A22611" s="1" t="s">
        <v>22610</v>
      </c>
      <c r="C22611" s="3">
        <v>1</v>
      </c>
    </row>
    <row r="22612" spans="1:3" x14ac:dyDescent="0.25">
      <c r="A22612" s="1" t="s">
        <v>22611</v>
      </c>
      <c r="C22612" s="3">
        <v>1</v>
      </c>
    </row>
    <row r="22613" spans="1:3" x14ac:dyDescent="0.25">
      <c r="A22613" s="1" t="s">
        <v>22612</v>
      </c>
      <c r="C22613" s="3">
        <v>1</v>
      </c>
    </row>
    <row r="22614" spans="1:3" x14ac:dyDescent="0.25">
      <c r="A22614" s="1" t="s">
        <v>22613</v>
      </c>
      <c r="C22614" s="3">
        <v>1</v>
      </c>
    </row>
    <row r="22615" spans="1:3" x14ac:dyDescent="0.25">
      <c r="A22615" s="1" t="s">
        <v>22614</v>
      </c>
      <c r="C22615" s="3">
        <v>1</v>
      </c>
    </row>
    <row r="22616" spans="1:3" x14ac:dyDescent="0.25">
      <c r="A22616" s="1" t="s">
        <v>22615</v>
      </c>
      <c r="C22616" s="3">
        <v>1</v>
      </c>
    </row>
    <row r="22617" spans="1:3" x14ac:dyDescent="0.25">
      <c r="A22617" s="1" t="s">
        <v>22616</v>
      </c>
      <c r="C22617" s="3">
        <v>1</v>
      </c>
    </row>
    <row r="22618" spans="1:3" x14ac:dyDescent="0.25">
      <c r="A22618" s="1" t="s">
        <v>22617</v>
      </c>
      <c r="C22618" s="3">
        <v>1</v>
      </c>
    </row>
    <row r="22619" spans="1:3" x14ac:dyDescent="0.25">
      <c r="A22619" s="1" t="s">
        <v>22618</v>
      </c>
      <c r="C22619" s="3">
        <v>1</v>
      </c>
    </row>
    <row r="22620" spans="1:3" x14ac:dyDescent="0.25">
      <c r="A22620" s="1" t="s">
        <v>22619</v>
      </c>
      <c r="C22620" s="3">
        <v>1</v>
      </c>
    </row>
    <row r="22621" spans="1:3" x14ac:dyDescent="0.25">
      <c r="A22621" s="1" t="s">
        <v>22620</v>
      </c>
      <c r="C22621" s="3">
        <v>1</v>
      </c>
    </row>
    <row r="22622" spans="1:3" x14ac:dyDescent="0.25">
      <c r="A22622" s="1" t="s">
        <v>22621</v>
      </c>
      <c r="C22622" s="3">
        <v>1</v>
      </c>
    </row>
    <row r="22623" spans="1:3" x14ac:dyDescent="0.25">
      <c r="A22623" s="1" t="s">
        <v>22622</v>
      </c>
      <c r="C22623" s="3">
        <v>1</v>
      </c>
    </row>
    <row r="22624" spans="1:3" x14ac:dyDescent="0.25">
      <c r="A22624" s="1" t="s">
        <v>22623</v>
      </c>
      <c r="C22624" s="3">
        <v>1</v>
      </c>
    </row>
    <row r="22625" spans="1:3" x14ac:dyDescent="0.25">
      <c r="A22625" s="1" t="s">
        <v>22624</v>
      </c>
      <c r="C22625" s="3">
        <v>1</v>
      </c>
    </row>
    <row r="22626" spans="1:3" x14ac:dyDescent="0.25">
      <c r="A22626" s="1" t="s">
        <v>22625</v>
      </c>
      <c r="C22626" s="3">
        <v>1</v>
      </c>
    </row>
    <row r="22627" spans="1:3" x14ac:dyDescent="0.25">
      <c r="A22627" s="1" t="s">
        <v>22626</v>
      </c>
      <c r="C22627" s="3">
        <v>1</v>
      </c>
    </row>
    <row r="22628" spans="1:3" x14ac:dyDescent="0.25">
      <c r="A22628" s="1" t="s">
        <v>22627</v>
      </c>
      <c r="C22628" s="3">
        <v>1</v>
      </c>
    </row>
    <row r="22629" spans="1:3" x14ac:dyDescent="0.25">
      <c r="A22629" s="1" t="s">
        <v>22628</v>
      </c>
      <c r="C22629" s="3">
        <v>1</v>
      </c>
    </row>
    <row r="22630" spans="1:3" x14ac:dyDescent="0.25">
      <c r="A22630" s="1" t="s">
        <v>22629</v>
      </c>
      <c r="C22630" s="3">
        <v>1</v>
      </c>
    </row>
    <row r="22631" spans="1:3" x14ac:dyDescent="0.25">
      <c r="A22631" s="1" t="s">
        <v>22630</v>
      </c>
      <c r="C22631" s="3">
        <v>1</v>
      </c>
    </row>
    <row r="22632" spans="1:3" x14ac:dyDescent="0.25">
      <c r="A22632" s="1" t="s">
        <v>22631</v>
      </c>
      <c r="C22632" s="3">
        <v>1</v>
      </c>
    </row>
    <row r="22633" spans="1:3" x14ac:dyDescent="0.25">
      <c r="A22633" s="1" t="s">
        <v>22632</v>
      </c>
      <c r="C22633" s="3">
        <v>1</v>
      </c>
    </row>
    <row r="22634" spans="1:3" x14ac:dyDescent="0.25">
      <c r="A22634" s="1" t="s">
        <v>22633</v>
      </c>
      <c r="C22634" s="3">
        <v>1</v>
      </c>
    </row>
    <row r="22635" spans="1:3" x14ac:dyDescent="0.25">
      <c r="A22635" s="1" t="s">
        <v>22634</v>
      </c>
      <c r="C22635" s="3">
        <v>1</v>
      </c>
    </row>
    <row r="22636" spans="1:3" x14ac:dyDescent="0.25">
      <c r="A22636" s="1" t="s">
        <v>22635</v>
      </c>
      <c r="C22636" s="3">
        <v>1</v>
      </c>
    </row>
    <row r="22637" spans="1:3" x14ac:dyDescent="0.25">
      <c r="A22637" s="1" t="s">
        <v>22636</v>
      </c>
      <c r="C22637" s="3">
        <v>1</v>
      </c>
    </row>
    <row r="22638" spans="1:3" x14ac:dyDescent="0.25">
      <c r="A22638" s="1" t="s">
        <v>22637</v>
      </c>
      <c r="C22638" s="3">
        <v>1</v>
      </c>
    </row>
    <row r="22639" spans="1:3" x14ac:dyDescent="0.25">
      <c r="A22639" s="1" t="s">
        <v>22638</v>
      </c>
      <c r="C22639" s="3">
        <v>1</v>
      </c>
    </row>
    <row r="22640" spans="1:3" x14ac:dyDescent="0.25">
      <c r="A22640" s="1" t="s">
        <v>22639</v>
      </c>
      <c r="C22640" s="3">
        <v>1</v>
      </c>
    </row>
    <row r="22641" spans="1:3" x14ac:dyDescent="0.25">
      <c r="A22641" s="1" t="s">
        <v>22640</v>
      </c>
      <c r="C22641" s="3">
        <v>1</v>
      </c>
    </row>
    <row r="22642" spans="1:3" x14ac:dyDescent="0.25">
      <c r="A22642" s="1" t="s">
        <v>22641</v>
      </c>
      <c r="C22642" s="3">
        <v>1</v>
      </c>
    </row>
    <row r="22643" spans="1:3" x14ac:dyDescent="0.25">
      <c r="A22643" s="1" t="s">
        <v>22642</v>
      </c>
      <c r="C22643" s="3">
        <v>1</v>
      </c>
    </row>
    <row r="22644" spans="1:3" x14ac:dyDescent="0.25">
      <c r="A22644" s="1" t="s">
        <v>22643</v>
      </c>
      <c r="C22644" s="3">
        <v>1</v>
      </c>
    </row>
    <row r="22645" spans="1:3" x14ac:dyDescent="0.25">
      <c r="A22645" s="1" t="s">
        <v>22644</v>
      </c>
      <c r="C22645" s="3">
        <v>1</v>
      </c>
    </row>
    <row r="22646" spans="1:3" x14ac:dyDescent="0.25">
      <c r="A22646" s="1" t="s">
        <v>22645</v>
      </c>
      <c r="C22646" s="3">
        <v>1</v>
      </c>
    </row>
    <row r="22647" spans="1:3" x14ac:dyDescent="0.25">
      <c r="A22647" s="1" t="s">
        <v>22646</v>
      </c>
      <c r="C22647" s="3">
        <v>1</v>
      </c>
    </row>
    <row r="22648" spans="1:3" x14ac:dyDescent="0.25">
      <c r="A22648" s="1" t="s">
        <v>22647</v>
      </c>
      <c r="C22648" s="3">
        <v>1</v>
      </c>
    </row>
    <row r="22649" spans="1:3" x14ac:dyDescent="0.25">
      <c r="A22649" s="1" t="s">
        <v>22648</v>
      </c>
      <c r="C22649" s="3">
        <v>1</v>
      </c>
    </row>
    <row r="22650" spans="1:3" x14ac:dyDescent="0.25">
      <c r="A22650" s="1" t="s">
        <v>22649</v>
      </c>
      <c r="C22650" s="3">
        <v>1</v>
      </c>
    </row>
    <row r="22651" spans="1:3" x14ac:dyDescent="0.25">
      <c r="A22651" s="1" t="s">
        <v>22650</v>
      </c>
      <c r="C22651" s="3">
        <v>1</v>
      </c>
    </row>
    <row r="22652" spans="1:3" x14ac:dyDescent="0.25">
      <c r="A22652" s="1" t="s">
        <v>22651</v>
      </c>
      <c r="C22652" s="3">
        <v>1</v>
      </c>
    </row>
    <row r="22653" spans="1:3" x14ac:dyDescent="0.25">
      <c r="A22653" s="1" t="s">
        <v>22652</v>
      </c>
      <c r="C22653" s="3">
        <v>1</v>
      </c>
    </row>
    <row r="22654" spans="1:3" x14ac:dyDescent="0.25">
      <c r="A22654" s="1" t="s">
        <v>22653</v>
      </c>
      <c r="C22654" s="3">
        <v>1</v>
      </c>
    </row>
    <row r="22655" spans="1:3" x14ac:dyDescent="0.25">
      <c r="A22655" s="1" t="s">
        <v>22654</v>
      </c>
      <c r="C22655" s="3">
        <v>1</v>
      </c>
    </row>
    <row r="22656" spans="1:3" x14ac:dyDescent="0.25">
      <c r="A22656" s="1" t="s">
        <v>22655</v>
      </c>
      <c r="C22656" s="3">
        <v>1</v>
      </c>
    </row>
    <row r="22657" spans="1:3" x14ac:dyDescent="0.25">
      <c r="A22657" s="1" t="s">
        <v>22656</v>
      </c>
      <c r="C22657" s="3">
        <v>1</v>
      </c>
    </row>
    <row r="22658" spans="1:3" x14ac:dyDescent="0.25">
      <c r="A22658" s="1" t="s">
        <v>22657</v>
      </c>
      <c r="C22658" s="3">
        <v>1</v>
      </c>
    </row>
    <row r="22659" spans="1:3" x14ac:dyDescent="0.25">
      <c r="A22659" s="1" t="s">
        <v>22658</v>
      </c>
      <c r="C22659" s="3">
        <v>1</v>
      </c>
    </row>
    <row r="22660" spans="1:3" x14ac:dyDescent="0.25">
      <c r="A22660" s="1" t="s">
        <v>22659</v>
      </c>
      <c r="C22660" s="3">
        <v>1</v>
      </c>
    </row>
    <row r="22661" spans="1:3" x14ac:dyDescent="0.25">
      <c r="A22661" s="1" t="s">
        <v>22660</v>
      </c>
      <c r="C22661" s="3">
        <v>1</v>
      </c>
    </row>
    <row r="22662" spans="1:3" x14ac:dyDescent="0.25">
      <c r="A22662" s="1" t="s">
        <v>22661</v>
      </c>
      <c r="C22662" s="3">
        <v>1</v>
      </c>
    </row>
    <row r="22663" spans="1:3" x14ac:dyDescent="0.25">
      <c r="A22663" s="1" t="s">
        <v>22662</v>
      </c>
      <c r="C22663" s="3">
        <v>1</v>
      </c>
    </row>
    <row r="22664" spans="1:3" x14ac:dyDescent="0.25">
      <c r="A22664" s="1" t="s">
        <v>22663</v>
      </c>
      <c r="C22664" s="3">
        <v>1</v>
      </c>
    </row>
    <row r="22665" spans="1:3" x14ac:dyDescent="0.25">
      <c r="A22665" s="1" t="s">
        <v>22664</v>
      </c>
      <c r="C22665" s="3">
        <v>1</v>
      </c>
    </row>
    <row r="22666" spans="1:3" x14ac:dyDescent="0.25">
      <c r="A22666" s="1" t="s">
        <v>22665</v>
      </c>
      <c r="C22666" s="3">
        <v>1</v>
      </c>
    </row>
    <row r="22667" spans="1:3" x14ac:dyDescent="0.25">
      <c r="A22667" s="1" t="s">
        <v>22666</v>
      </c>
      <c r="C22667" s="3">
        <v>1</v>
      </c>
    </row>
    <row r="22668" spans="1:3" x14ac:dyDescent="0.25">
      <c r="A22668" s="1" t="s">
        <v>22667</v>
      </c>
      <c r="C22668" s="3">
        <v>1</v>
      </c>
    </row>
    <row r="22669" spans="1:3" x14ac:dyDescent="0.25">
      <c r="A22669" s="1" t="s">
        <v>22668</v>
      </c>
      <c r="C22669" s="3">
        <v>1</v>
      </c>
    </row>
    <row r="22670" spans="1:3" x14ac:dyDescent="0.25">
      <c r="A22670" s="1" t="s">
        <v>22669</v>
      </c>
      <c r="C22670" s="3">
        <v>1</v>
      </c>
    </row>
    <row r="22671" spans="1:3" x14ac:dyDescent="0.25">
      <c r="A22671" s="1" t="s">
        <v>22670</v>
      </c>
      <c r="C22671" s="3">
        <v>1</v>
      </c>
    </row>
    <row r="22672" spans="1:3" x14ac:dyDescent="0.25">
      <c r="A22672" s="1" t="s">
        <v>22671</v>
      </c>
      <c r="C22672" s="3">
        <v>1</v>
      </c>
    </row>
    <row r="22673" spans="1:3" x14ac:dyDescent="0.25">
      <c r="A22673" s="1" t="s">
        <v>22672</v>
      </c>
      <c r="C22673" s="3">
        <v>1</v>
      </c>
    </row>
    <row r="22674" spans="1:3" x14ac:dyDescent="0.25">
      <c r="A22674" s="1" t="s">
        <v>22673</v>
      </c>
      <c r="C22674" s="3">
        <v>1</v>
      </c>
    </row>
    <row r="22675" spans="1:3" x14ac:dyDescent="0.25">
      <c r="A22675" s="1" t="s">
        <v>22674</v>
      </c>
      <c r="C22675" s="3">
        <v>1</v>
      </c>
    </row>
    <row r="22676" spans="1:3" x14ac:dyDescent="0.25">
      <c r="A22676" s="1" t="s">
        <v>22675</v>
      </c>
      <c r="C22676" s="3">
        <v>1</v>
      </c>
    </row>
    <row r="22677" spans="1:3" x14ac:dyDescent="0.25">
      <c r="A22677" s="1" t="s">
        <v>22676</v>
      </c>
      <c r="C22677" s="3">
        <v>1</v>
      </c>
    </row>
    <row r="22678" spans="1:3" x14ac:dyDescent="0.25">
      <c r="A22678" s="1" t="s">
        <v>22677</v>
      </c>
      <c r="C22678" s="3">
        <v>1</v>
      </c>
    </row>
    <row r="22679" spans="1:3" x14ac:dyDescent="0.25">
      <c r="A22679" s="1" t="s">
        <v>22678</v>
      </c>
      <c r="C22679" s="3">
        <v>1</v>
      </c>
    </row>
    <row r="22680" spans="1:3" x14ac:dyDescent="0.25">
      <c r="A22680" s="1" t="s">
        <v>22679</v>
      </c>
      <c r="C22680" s="3">
        <v>1</v>
      </c>
    </row>
    <row r="22681" spans="1:3" x14ac:dyDescent="0.25">
      <c r="A22681" s="1" t="s">
        <v>22680</v>
      </c>
      <c r="C22681" s="3">
        <v>1</v>
      </c>
    </row>
    <row r="22682" spans="1:3" x14ac:dyDescent="0.25">
      <c r="A22682" s="1" t="s">
        <v>22681</v>
      </c>
      <c r="C22682" s="3">
        <v>1</v>
      </c>
    </row>
    <row r="22683" spans="1:3" x14ac:dyDescent="0.25">
      <c r="A22683" s="1" t="s">
        <v>22682</v>
      </c>
      <c r="C22683" s="3">
        <v>1</v>
      </c>
    </row>
    <row r="22684" spans="1:3" x14ac:dyDescent="0.25">
      <c r="A22684" s="1" t="s">
        <v>22683</v>
      </c>
      <c r="C22684" s="3">
        <v>1</v>
      </c>
    </row>
    <row r="22685" spans="1:3" x14ac:dyDescent="0.25">
      <c r="A22685" s="1" t="s">
        <v>22684</v>
      </c>
      <c r="C22685" s="3">
        <v>1</v>
      </c>
    </row>
    <row r="22686" spans="1:3" x14ac:dyDescent="0.25">
      <c r="A22686" s="1" t="s">
        <v>22685</v>
      </c>
      <c r="C22686" s="3">
        <v>1</v>
      </c>
    </row>
    <row r="22687" spans="1:3" x14ac:dyDescent="0.25">
      <c r="A22687" s="1" t="s">
        <v>22686</v>
      </c>
      <c r="C22687" s="3">
        <v>1</v>
      </c>
    </row>
    <row r="22688" spans="1:3" x14ac:dyDescent="0.25">
      <c r="A22688" s="1" t="s">
        <v>22687</v>
      </c>
      <c r="C22688" s="3">
        <v>1</v>
      </c>
    </row>
    <row r="22689" spans="1:3" x14ac:dyDescent="0.25">
      <c r="A22689" s="1" t="s">
        <v>22688</v>
      </c>
      <c r="C22689" s="3">
        <v>1</v>
      </c>
    </row>
    <row r="22690" spans="1:3" x14ac:dyDescent="0.25">
      <c r="A22690" s="1" t="s">
        <v>22689</v>
      </c>
      <c r="C22690" s="3">
        <v>1</v>
      </c>
    </row>
    <row r="22691" spans="1:3" x14ac:dyDescent="0.25">
      <c r="A22691" s="1" t="s">
        <v>22690</v>
      </c>
      <c r="C22691" s="3">
        <v>1</v>
      </c>
    </row>
    <row r="22692" spans="1:3" x14ac:dyDescent="0.25">
      <c r="A22692" s="1" t="s">
        <v>22691</v>
      </c>
      <c r="C22692" s="3">
        <v>1</v>
      </c>
    </row>
    <row r="22693" spans="1:3" x14ac:dyDescent="0.25">
      <c r="A22693" s="1" t="s">
        <v>22692</v>
      </c>
      <c r="C22693" s="3">
        <v>1</v>
      </c>
    </row>
    <row r="22694" spans="1:3" x14ac:dyDescent="0.25">
      <c r="A22694" s="1" t="s">
        <v>22693</v>
      </c>
      <c r="C22694" s="3">
        <v>1</v>
      </c>
    </row>
    <row r="22695" spans="1:3" x14ac:dyDescent="0.25">
      <c r="A22695" s="1" t="s">
        <v>22694</v>
      </c>
      <c r="C22695" s="3">
        <v>1</v>
      </c>
    </row>
    <row r="22696" spans="1:3" x14ac:dyDescent="0.25">
      <c r="A22696" s="1" t="s">
        <v>22695</v>
      </c>
      <c r="C22696" s="3">
        <v>1</v>
      </c>
    </row>
    <row r="22697" spans="1:3" x14ac:dyDescent="0.25">
      <c r="A22697" s="1" t="s">
        <v>22696</v>
      </c>
      <c r="C22697" s="3">
        <v>1</v>
      </c>
    </row>
    <row r="22698" spans="1:3" x14ac:dyDescent="0.25">
      <c r="A22698" s="1" t="s">
        <v>22697</v>
      </c>
      <c r="C22698" s="3">
        <v>1</v>
      </c>
    </row>
    <row r="22699" spans="1:3" x14ac:dyDescent="0.25">
      <c r="A22699" s="1" t="s">
        <v>22698</v>
      </c>
      <c r="C22699" s="3">
        <v>1</v>
      </c>
    </row>
    <row r="22700" spans="1:3" x14ac:dyDescent="0.25">
      <c r="A22700" s="1" t="s">
        <v>22699</v>
      </c>
      <c r="C22700" s="3">
        <v>1</v>
      </c>
    </row>
    <row r="22701" spans="1:3" x14ac:dyDescent="0.25">
      <c r="A22701" s="1" t="s">
        <v>22700</v>
      </c>
      <c r="C22701" s="3">
        <v>1</v>
      </c>
    </row>
    <row r="22702" spans="1:3" x14ac:dyDescent="0.25">
      <c r="A22702" s="1" t="s">
        <v>22701</v>
      </c>
      <c r="C22702" s="3">
        <v>1</v>
      </c>
    </row>
    <row r="22703" spans="1:3" x14ac:dyDescent="0.25">
      <c r="A22703" s="1" t="s">
        <v>22702</v>
      </c>
      <c r="C22703" s="3">
        <v>1</v>
      </c>
    </row>
    <row r="22704" spans="1:3" x14ac:dyDescent="0.25">
      <c r="A22704" s="1" t="s">
        <v>22703</v>
      </c>
      <c r="C22704" s="3">
        <v>1</v>
      </c>
    </row>
    <row r="22705" spans="1:3" x14ac:dyDescent="0.25">
      <c r="A22705" s="1" t="s">
        <v>22704</v>
      </c>
      <c r="C22705" s="3">
        <v>1</v>
      </c>
    </row>
    <row r="22706" spans="1:3" x14ac:dyDescent="0.25">
      <c r="A22706" s="1" t="s">
        <v>22705</v>
      </c>
      <c r="C22706" s="3">
        <v>1</v>
      </c>
    </row>
    <row r="22707" spans="1:3" x14ac:dyDescent="0.25">
      <c r="A22707" s="1" t="s">
        <v>22706</v>
      </c>
      <c r="C22707" s="3">
        <v>1</v>
      </c>
    </row>
    <row r="22708" spans="1:3" x14ac:dyDescent="0.25">
      <c r="A22708" s="1" t="s">
        <v>22707</v>
      </c>
      <c r="C22708" s="3">
        <v>1</v>
      </c>
    </row>
    <row r="22709" spans="1:3" x14ac:dyDescent="0.25">
      <c r="A22709" s="1" t="s">
        <v>22708</v>
      </c>
      <c r="C22709" s="3">
        <v>1</v>
      </c>
    </row>
    <row r="22710" spans="1:3" x14ac:dyDescent="0.25">
      <c r="A22710" s="1" t="s">
        <v>22709</v>
      </c>
      <c r="C22710" s="3">
        <v>1</v>
      </c>
    </row>
    <row r="22711" spans="1:3" x14ac:dyDescent="0.25">
      <c r="A22711" s="1" t="s">
        <v>22710</v>
      </c>
      <c r="C22711" s="3">
        <v>1</v>
      </c>
    </row>
    <row r="22712" spans="1:3" x14ac:dyDescent="0.25">
      <c r="A22712" s="1" t="s">
        <v>22711</v>
      </c>
      <c r="C22712" s="3">
        <v>1</v>
      </c>
    </row>
    <row r="22713" spans="1:3" x14ac:dyDescent="0.25">
      <c r="A22713" s="1" t="s">
        <v>22712</v>
      </c>
      <c r="C22713" s="3">
        <v>1</v>
      </c>
    </row>
    <row r="22714" spans="1:3" x14ac:dyDescent="0.25">
      <c r="A22714" s="1" t="s">
        <v>22713</v>
      </c>
      <c r="C22714" s="3">
        <v>1</v>
      </c>
    </row>
    <row r="22715" spans="1:3" x14ac:dyDescent="0.25">
      <c r="A22715" s="1" t="s">
        <v>22714</v>
      </c>
      <c r="C22715" s="3">
        <v>1</v>
      </c>
    </row>
    <row r="22716" spans="1:3" x14ac:dyDescent="0.25">
      <c r="A22716" s="1" t="s">
        <v>22715</v>
      </c>
      <c r="C22716" s="3">
        <v>1</v>
      </c>
    </row>
    <row r="22717" spans="1:3" x14ac:dyDescent="0.25">
      <c r="A22717" s="1" t="s">
        <v>22716</v>
      </c>
      <c r="C22717" s="3">
        <v>1</v>
      </c>
    </row>
    <row r="22718" spans="1:3" x14ac:dyDescent="0.25">
      <c r="A22718" s="1" t="s">
        <v>22717</v>
      </c>
      <c r="C22718" s="3">
        <v>1</v>
      </c>
    </row>
    <row r="22719" spans="1:3" x14ac:dyDescent="0.25">
      <c r="A22719" s="1" t="s">
        <v>22718</v>
      </c>
      <c r="C22719" s="3">
        <v>1</v>
      </c>
    </row>
    <row r="22720" spans="1:3" x14ac:dyDescent="0.25">
      <c r="A22720" s="1" t="s">
        <v>22719</v>
      </c>
      <c r="C22720" s="3">
        <v>1</v>
      </c>
    </row>
    <row r="22721" spans="1:3" x14ac:dyDescent="0.25">
      <c r="A22721" s="1" t="s">
        <v>22720</v>
      </c>
      <c r="C22721" s="3">
        <v>1</v>
      </c>
    </row>
    <row r="22722" spans="1:3" x14ac:dyDescent="0.25">
      <c r="A22722" s="1" t="s">
        <v>22721</v>
      </c>
      <c r="C22722" s="3">
        <v>1</v>
      </c>
    </row>
    <row r="22723" spans="1:3" x14ac:dyDescent="0.25">
      <c r="A22723" s="1" t="s">
        <v>22722</v>
      </c>
      <c r="C22723" s="3">
        <v>1</v>
      </c>
    </row>
    <row r="22724" spans="1:3" x14ac:dyDescent="0.25">
      <c r="A22724" s="1" t="s">
        <v>22723</v>
      </c>
      <c r="C22724" s="3">
        <v>1</v>
      </c>
    </row>
    <row r="22725" spans="1:3" x14ac:dyDescent="0.25">
      <c r="A22725" s="1" t="s">
        <v>22724</v>
      </c>
      <c r="C22725" s="3">
        <v>1</v>
      </c>
    </row>
    <row r="22726" spans="1:3" x14ac:dyDescent="0.25">
      <c r="A22726" s="1" t="s">
        <v>22725</v>
      </c>
      <c r="C22726" s="3">
        <v>1</v>
      </c>
    </row>
    <row r="22727" spans="1:3" x14ac:dyDescent="0.25">
      <c r="A22727" s="1" t="s">
        <v>22726</v>
      </c>
      <c r="C22727" s="3">
        <v>1</v>
      </c>
    </row>
    <row r="22728" spans="1:3" x14ac:dyDescent="0.25">
      <c r="A22728" s="1" t="s">
        <v>22727</v>
      </c>
      <c r="C22728" s="3">
        <v>1</v>
      </c>
    </row>
    <row r="22729" spans="1:3" x14ac:dyDescent="0.25">
      <c r="A22729" s="1" t="s">
        <v>22728</v>
      </c>
      <c r="C22729" s="3">
        <v>1</v>
      </c>
    </row>
    <row r="22730" spans="1:3" x14ac:dyDescent="0.25">
      <c r="A22730" s="1" t="s">
        <v>22729</v>
      </c>
      <c r="C22730" s="3">
        <v>1</v>
      </c>
    </row>
    <row r="22731" spans="1:3" x14ac:dyDescent="0.25">
      <c r="A22731" s="1" t="s">
        <v>22730</v>
      </c>
      <c r="C22731" s="3">
        <v>1</v>
      </c>
    </row>
    <row r="22732" spans="1:3" x14ac:dyDescent="0.25">
      <c r="A22732" s="1" t="s">
        <v>22731</v>
      </c>
      <c r="C22732" s="3">
        <v>1</v>
      </c>
    </row>
    <row r="22733" spans="1:3" x14ac:dyDescent="0.25">
      <c r="A22733" s="1" t="s">
        <v>22732</v>
      </c>
      <c r="C22733" s="3">
        <v>1</v>
      </c>
    </row>
    <row r="22734" spans="1:3" x14ac:dyDescent="0.25">
      <c r="A22734" s="1" t="s">
        <v>22733</v>
      </c>
      <c r="C22734" s="3">
        <v>1</v>
      </c>
    </row>
    <row r="22735" spans="1:3" x14ac:dyDescent="0.25">
      <c r="A22735" s="1" t="s">
        <v>22734</v>
      </c>
      <c r="C22735" s="3">
        <v>1</v>
      </c>
    </row>
    <row r="22736" spans="1:3" x14ac:dyDescent="0.25">
      <c r="A22736" s="1" t="s">
        <v>22735</v>
      </c>
      <c r="C22736" s="3">
        <v>1</v>
      </c>
    </row>
    <row r="22737" spans="1:3" x14ac:dyDescent="0.25">
      <c r="A22737" s="1" t="s">
        <v>22736</v>
      </c>
      <c r="C22737" s="3">
        <v>1</v>
      </c>
    </row>
    <row r="22738" spans="1:3" x14ac:dyDescent="0.25">
      <c r="A22738" s="1" t="s">
        <v>22737</v>
      </c>
      <c r="C22738" s="3">
        <v>1</v>
      </c>
    </row>
    <row r="22739" spans="1:3" x14ac:dyDescent="0.25">
      <c r="A22739" s="1" t="s">
        <v>22738</v>
      </c>
      <c r="C22739" s="3">
        <v>1</v>
      </c>
    </row>
    <row r="22740" spans="1:3" x14ac:dyDescent="0.25">
      <c r="A22740" s="1" t="s">
        <v>22739</v>
      </c>
      <c r="C22740" s="3">
        <v>1</v>
      </c>
    </row>
    <row r="22741" spans="1:3" x14ac:dyDescent="0.25">
      <c r="A22741" s="1" t="s">
        <v>22740</v>
      </c>
      <c r="C22741" s="3">
        <v>1</v>
      </c>
    </row>
    <row r="22742" spans="1:3" x14ac:dyDescent="0.25">
      <c r="A22742" s="1" t="s">
        <v>22741</v>
      </c>
      <c r="C22742" s="3">
        <v>1</v>
      </c>
    </row>
    <row r="22743" spans="1:3" x14ac:dyDescent="0.25">
      <c r="A22743" s="1" t="s">
        <v>22742</v>
      </c>
      <c r="C22743" s="3">
        <v>1</v>
      </c>
    </row>
    <row r="22744" spans="1:3" x14ac:dyDescent="0.25">
      <c r="A22744" s="1" t="s">
        <v>22743</v>
      </c>
      <c r="C22744" s="3">
        <v>1</v>
      </c>
    </row>
    <row r="22745" spans="1:3" x14ac:dyDescent="0.25">
      <c r="A22745" s="1" t="s">
        <v>22744</v>
      </c>
      <c r="C22745" s="3">
        <v>1</v>
      </c>
    </row>
    <row r="22746" spans="1:3" x14ac:dyDescent="0.25">
      <c r="A22746" s="1" t="s">
        <v>22745</v>
      </c>
      <c r="C22746" s="3">
        <v>1</v>
      </c>
    </row>
    <row r="22747" spans="1:3" x14ac:dyDescent="0.25">
      <c r="A22747" s="1" t="s">
        <v>22746</v>
      </c>
      <c r="C22747" s="3">
        <v>1</v>
      </c>
    </row>
    <row r="22748" spans="1:3" x14ac:dyDescent="0.25">
      <c r="A22748" s="1" t="s">
        <v>22747</v>
      </c>
      <c r="C22748" s="3">
        <v>1</v>
      </c>
    </row>
    <row r="22749" spans="1:3" x14ac:dyDescent="0.25">
      <c r="A22749" s="1" t="s">
        <v>22748</v>
      </c>
      <c r="C22749" s="3">
        <v>1</v>
      </c>
    </row>
    <row r="22750" spans="1:3" x14ac:dyDescent="0.25">
      <c r="A22750" s="1" t="s">
        <v>22749</v>
      </c>
      <c r="C22750" s="3">
        <v>1</v>
      </c>
    </row>
    <row r="22751" spans="1:3" x14ac:dyDescent="0.25">
      <c r="A22751" s="1" t="s">
        <v>22750</v>
      </c>
      <c r="C22751" s="3">
        <v>1</v>
      </c>
    </row>
    <row r="22752" spans="1:3" x14ac:dyDescent="0.25">
      <c r="A22752" s="1" t="s">
        <v>22751</v>
      </c>
      <c r="C22752" s="3">
        <v>1</v>
      </c>
    </row>
    <row r="22753" spans="1:3" x14ac:dyDescent="0.25">
      <c r="A22753" s="1" t="s">
        <v>22752</v>
      </c>
      <c r="C22753" s="3">
        <v>1</v>
      </c>
    </row>
    <row r="22754" spans="1:3" x14ac:dyDescent="0.25">
      <c r="A22754" s="1" t="s">
        <v>22753</v>
      </c>
      <c r="C22754" s="3">
        <v>1</v>
      </c>
    </row>
    <row r="22755" spans="1:3" x14ac:dyDescent="0.25">
      <c r="A22755" s="1" t="s">
        <v>22754</v>
      </c>
      <c r="C22755" s="3">
        <v>1</v>
      </c>
    </row>
    <row r="22756" spans="1:3" x14ac:dyDescent="0.25">
      <c r="A22756" s="1" t="s">
        <v>22755</v>
      </c>
      <c r="C22756" s="3">
        <v>1</v>
      </c>
    </row>
    <row r="22757" spans="1:3" x14ac:dyDescent="0.25">
      <c r="A22757" s="1" t="s">
        <v>22756</v>
      </c>
      <c r="C22757" s="3">
        <v>1</v>
      </c>
    </row>
    <row r="22758" spans="1:3" x14ac:dyDescent="0.25">
      <c r="A22758" s="1" t="s">
        <v>22757</v>
      </c>
      <c r="C22758" s="3">
        <v>1</v>
      </c>
    </row>
    <row r="22759" spans="1:3" x14ac:dyDescent="0.25">
      <c r="A22759" s="1" t="s">
        <v>22758</v>
      </c>
      <c r="C22759" s="3">
        <v>1</v>
      </c>
    </row>
    <row r="22760" spans="1:3" x14ac:dyDescent="0.25">
      <c r="A22760" s="1" t="s">
        <v>22759</v>
      </c>
      <c r="C22760" s="3">
        <v>1</v>
      </c>
    </row>
    <row r="22761" spans="1:3" x14ac:dyDescent="0.25">
      <c r="A22761" s="1" t="s">
        <v>22760</v>
      </c>
      <c r="C22761" s="3">
        <v>1</v>
      </c>
    </row>
    <row r="22762" spans="1:3" x14ac:dyDescent="0.25">
      <c r="A22762" s="1" t="s">
        <v>22761</v>
      </c>
      <c r="C22762" s="3">
        <v>1</v>
      </c>
    </row>
    <row r="22763" spans="1:3" x14ac:dyDescent="0.25">
      <c r="A22763" s="1" t="s">
        <v>22762</v>
      </c>
      <c r="C22763" s="3">
        <v>1</v>
      </c>
    </row>
    <row r="22764" spans="1:3" x14ac:dyDescent="0.25">
      <c r="A22764" s="1" t="s">
        <v>22763</v>
      </c>
      <c r="C22764" s="3">
        <v>1</v>
      </c>
    </row>
    <row r="22765" spans="1:3" x14ac:dyDescent="0.25">
      <c r="A22765" s="1" t="s">
        <v>22764</v>
      </c>
      <c r="C22765" s="3">
        <v>1</v>
      </c>
    </row>
    <row r="22766" spans="1:3" x14ac:dyDescent="0.25">
      <c r="A22766" s="1" t="s">
        <v>22765</v>
      </c>
      <c r="C22766" s="3">
        <v>1</v>
      </c>
    </row>
    <row r="22767" spans="1:3" x14ac:dyDescent="0.25">
      <c r="A22767" s="1" t="s">
        <v>22766</v>
      </c>
      <c r="C22767" s="3">
        <v>1</v>
      </c>
    </row>
    <row r="22768" spans="1:3" x14ac:dyDescent="0.25">
      <c r="A22768" s="1" t="s">
        <v>22767</v>
      </c>
      <c r="C22768" s="3">
        <v>1</v>
      </c>
    </row>
    <row r="22769" spans="1:3" x14ac:dyDescent="0.25">
      <c r="A22769" s="1" t="s">
        <v>22768</v>
      </c>
      <c r="C22769" s="3">
        <v>1</v>
      </c>
    </row>
    <row r="22770" spans="1:3" x14ac:dyDescent="0.25">
      <c r="A22770" s="1" t="s">
        <v>22769</v>
      </c>
      <c r="C22770" s="3">
        <v>1</v>
      </c>
    </row>
    <row r="22771" spans="1:3" x14ac:dyDescent="0.25">
      <c r="A22771" s="1" t="s">
        <v>22770</v>
      </c>
      <c r="C22771" s="3">
        <v>1</v>
      </c>
    </row>
    <row r="22772" spans="1:3" x14ac:dyDescent="0.25">
      <c r="A22772" s="1" t="s">
        <v>22771</v>
      </c>
      <c r="C22772" s="3">
        <v>1</v>
      </c>
    </row>
    <row r="22773" spans="1:3" x14ac:dyDescent="0.25">
      <c r="A22773" s="1" t="s">
        <v>22772</v>
      </c>
      <c r="C22773" s="3">
        <v>1</v>
      </c>
    </row>
    <row r="22774" spans="1:3" x14ac:dyDescent="0.25">
      <c r="A22774" s="1" t="s">
        <v>22773</v>
      </c>
      <c r="C22774" s="3">
        <v>1</v>
      </c>
    </row>
    <row r="22775" spans="1:3" x14ac:dyDescent="0.25">
      <c r="A22775" s="1" t="s">
        <v>22774</v>
      </c>
      <c r="C22775" s="3">
        <v>1</v>
      </c>
    </row>
    <row r="22776" spans="1:3" x14ac:dyDescent="0.25">
      <c r="A22776" s="1" t="s">
        <v>22775</v>
      </c>
      <c r="C22776" s="3">
        <v>1</v>
      </c>
    </row>
    <row r="22777" spans="1:3" x14ac:dyDescent="0.25">
      <c r="A22777" s="1" t="s">
        <v>22776</v>
      </c>
      <c r="C22777" s="3">
        <v>1</v>
      </c>
    </row>
    <row r="22778" spans="1:3" x14ac:dyDescent="0.25">
      <c r="A22778" s="1" t="s">
        <v>22777</v>
      </c>
      <c r="C22778" s="3">
        <v>1</v>
      </c>
    </row>
    <row r="22779" spans="1:3" x14ac:dyDescent="0.25">
      <c r="A22779" s="1" t="s">
        <v>22778</v>
      </c>
      <c r="C22779" s="3">
        <v>1</v>
      </c>
    </row>
    <row r="22780" spans="1:3" x14ac:dyDescent="0.25">
      <c r="A22780" s="1" t="s">
        <v>22779</v>
      </c>
      <c r="C22780" s="3">
        <v>1</v>
      </c>
    </row>
    <row r="22781" spans="1:3" x14ac:dyDescent="0.25">
      <c r="A22781" s="1" t="s">
        <v>22780</v>
      </c>
      <c r="C22781" s="3">
        <v>1</v>
      </c>
    </row>
    <row r="22782" spans="1:3" x14ac:dyDescent="0.25">
      <c r="A22782" s="1" t="s">
        <v>22781</v>
      </c>
      <c r="C22782" s="3">
        <v>1</v>
      </c>
    </row>
    <row r="22783" spans="1:3" x14ac:dyDescent="0.25">
      <c r="A22783" s="1" t="s">
        <v>22782</v>
      </c>
      <c r="C22783" s="3">
        <v>1</v>
      </c>
    </row>
    <row r="22784" spans="1:3" x14ac:dyDescent="0.25">
      <c r="A22784" s="1" t="s">
        <v>22783</v>
      </c>
      <c r="C22784" s="3">
        <v>1</v>
      </c>
    </row>
    <row r="22785" spans="1:3" x14ac:dyDescent="0.25">
      <c r="A22785" s="1" t="s">
        <v>22784</v>
      </c>
      <c r="C22785" s="3">
        <v>1</v>
      </c>
    </row>
    <row r="22786" spans="1:3" x14ac:dyDescent="0.25">
      <c r="A22786" s="1" t="s">
        <v>22785</v>
      </c>
      <c r="C22786" s="3">
        <v>1</v>
      </c>
    </row>
    <row r="22787" spans="1:3" x14ac:dyDescent="0.25">
      <c r="A22787" s="1" t="s">
        <v>22786</v>
      </c>
      <c r="C22787" s="3">
        <v>1</v>
      </c>
    </row>
    <row r="22788" spans="1:3" x14ac:dyDescent="0.25">
      <c r="A22788" s="1" t="s">
        <v>22787</v>
      </c>
      <c r="C22788" s="3">
        <v>1</v>
      </c>
    </row>
    <row r="22789" spans="1:3" x14ac:dyDescent="0.25">
      <c r="A22789" s="1" t="s">
        <v>22788</v>
      </c>
      <c r="C22789" s="3">
        <v>1</v>
      </c>
    </row>
    <row r="22790" spans="1:3" x14ac:dyDescent="0.25">
      <c r="A22790" s="1" t="s">
        <v>22789</v>
      </c>
      <c r="C22790" s="3">
        <v>1</v>
      </c>
    </row>
    <row r="22791" spans="1:3" x14ac:dyDescent="0.25">
      <c r="A22791" s="1" t="s">
        <v>22790</v>
      </c>
      <c r="C22791" s="3">
        <v>1</v>
      </c>
    </row>
    <row r="22792" spans="1:3" x14ac:dyDescent="0.25">
      <c r="A22792" s="1" t="s">
        <v>22791</v>
      </c>
      <c r="C22792" s="3">
        <v>1</v>
      </c>
    </row>
    <row r="22793" spans="1:3" x14ac:dyDescent="0.25">
      <c r="A22793" s="1" t="s">
        <v>22792</v>
      </c>
      <c r="C22793" s="3">
        <v>1</v>
      </c>
    </row>
    <row r="22794" spans="1:3" x14ac:dyDescent="0.25">
      <c r="A22794" s="1" t="s">
        <v>22793</v>
      </c>
      <c r="C22794" s="3">
        <v>1</v>
      </c>
    </row>
    <row r="22795" spans="1:3" x14ac:dyDescent="0.25">
      <c r="A22795" s="1" t="s">
        <v>22794</v>
      </c>
      <c r="C22795" s="3">
        <v>1</v>
      </c>
    </row>
    <row r="22796" spans="1:3" x14ac:dyDescent="0.25">
      <c r="A22796" s="1" t="s">
        <v>22795</v>
      </c>
      <c r="C22796" s="3">
        <v>1</v>
      </c>
    </row>
    <row r="22797" spans="1:3" x14ac:dyDescent="0.25">
      <c r="A22797" s="1" t="s">
        <v>22796</v>
      </c>
      <c r="C22797" s="3">
        <v>1</v>
      </c>
    </row>
    <row r="22798" spans="1:3" x14ac:dyDescent="0.25">
      <c r="A22798" s="1" t="s">
        <v>22797</v>
      </c>
      <c r="C22798" s="3">
        <v>1</v>
      </c>
    </row>
    <row r="22799" spans="1:3" x14ac:dyDescent="0.25">
      <c r="A22799" s="1" t="s">
        <v>22798</v>
      </c>
      <c r="C22799" s="3">
        <v>1</v>
      </c>
    </row>
    <row r="22800" spans="1:3" x14ac:dyDescent="0.25">
      <c r="A22800" s="1" t="s">
        <v>22799</v>
      </c>
      <c r="C22800" s="3">
        <v>1</v>
      </c>
    </row>
    <row r="22801" spans="1:3" x14ac:dyDescent="0.25">
      <c r="A22801" s="1" t="s">
        <v>22800</v>
      </c>
      <c r="C22801" s="3">
        <v>1</v>
      </c>
    </row>
    <row r="22802" spans="1:3" x14ac:dyDescent="0.25">
      <c r="A22802" s="1" t="s">
        <v>22801</v>
      </c>
      <c r="C22802" s="3">
        <v>1</v>
      </c>
    </row>
    <row r="22803" spans="1:3" x14ac:dyDescent="0.25">
      <c r="A22803" s="1" t="s">
        <v>22802</v>
      </c>
      <c r="C22803" s="3">
        <v>1</v>
      </c>
    </row>
    <row r="22804" spans="1:3" x14ac:dyDescent="0.25">
      <c r="A22804" s="1" t="s">
        <v>22803</v>
      </c>
      <c r="C22804" s="3">
        <v>1</v>
      </c>
    </row>
    <row r="22805" spans="1:3" x14ac:dyDescent="0.25">
      <c r="A22805" s="1" t="s">
        <v>22804</v>
      </c>
      <c r="C22805" s="3">
        <v>1</v>
      </c>
    </row>
    <row r="22806" spans="1:3" x14ac:dyDescent="0.25">
      <c r="A22806" s="1" t="s">
        <v>22805</v>
      </c>
      <c r="C22806" s="3">
        <v>1</v>
      </c>
    </row>
    <row r="22807" spans="1:3" x14ac:dyDescent="0.25">
      <c r="A22807" s="1" t="s">
        <v>22806</v>
      </c>
      <c r="C22807" s="3">
        <v>1</v>
      </c>
    </row>
    <row r="22808" spans="1:3" x14ac:dyDescent="0.25">
      <c r="A22808" s="1" t="s">
        <v>22807</v>
      </c>
      <c r="C22808" s="3">
        <v>1</v>
      </c>
    </row>
    <row r="22809" spans="1:3" x14ac:dyDescent="0.25">
      <c r="A22809" s="1" t="s">
        <v>22808</v>
      </c>
      <c r="C22809" s="3">
        <v>1</v>
      </c>
    </row>
    <row r="22810" spans="1:3" x14ac:dyDescent="0.25">
      <c r="A22810" s="1" t="s">
        <v>22809</v>
      </c>
      <c r="C22810" s="3">
        <v>1</v>
      </c>
    </row>
    <row r="22811" spans="1:3" x14ac:dyDescent="0.25">
      <c r="A22811" s="1" t="s">
        <v>22810</v>
      </c>
      <c r="C22811" s="3">
        <v>1</v>
      </c>
    </row>
    <row r="22812" spans="1:3" x14ac:dyDescent="0.25">
      <c r="A22812" s="1" t="s">
        <v>22811</v>
      </c>
      <c r="C22812" s="3">
        <v>1</v>
      </c>
    </row>
    <row r="22813" spans="1:3" x14ac:dyDescent="0.25">
      <c r="A22813" s="1" t="s">
        <v>22812</v>
      </c>
      <c r="C22813" s="3">
        <v>1</v>
      </c>
    </row>
    <row r="22814" spans="1:3" x14ac:dyDescent="0.25">
      <c r="A22814" s="1" t="s">
        <v>22813</v>
      </c>
      <c r="C22814" s="3">
        <v>1</v>
      </c>
    </row>
    <row r="22815" spans="1:3" x14ac:dyDescent="0.25">
      <c r="A22815" s="1" t="s">
        <v>22814</v>
      </c>
      <c r="C22815" s="3">
        <v>1</v>
      </c>
    </row>
    <row r="22816" spans="1:3" x14ac:dyDescent="0.25">
      <c r="A22816" s="1" t="s">
        <v>22815</v>
      </c>
      <c r="C22816" s="3">
        <v>1</v>
      </c>
    </row>
    <row r="22817" spans="1:3" x14ac:dyDescent="0.25">
      <c r="A22817" s="1" t="s">
        <v>22816</v>
      </c>
      <c r="C22817" s="3">
        <v>1</v>
      </c>
    </row>
    <row r="22818" spans="1:3" x14ac:dyDescent="0.25">
      <c r="A22818" s="1" t="s">
        <v>22817</v>
      </c>
      <c r="C22818" s="3">
        <v>1</v>
      </c>
    </row>
    <row r="22819" spans="1:3" x14ac:dyDescent="0.25">
      <c r="A22819" s="1" t="s">
        <v>22818</v>
      </c>
      <c r="C22819" s="3">
        <v>1</v>
      </c>
    </row>
    <row r="22820" spans="1:3" x14ac:dyDescent="0.25">
      <c r="A22820" s="1" t="s">
        <v>22819</v>
      </c>
      <c r="C22820" s="3">
        <v>1</v>
      </c>
    </row>
    <row r="22821" spans="1:3" x14ac:dyDescent="0.25">
      <c r="A22821" s="1" t="s">
        <v>22820</v>
      </c>
      <c r="C22821" s="3">
        <v>1</v>
      </c>
    </row>
    <row r="22822" spans="1:3" x14ac:dyDescent="0.25">
      <c r="A22822" s="1" t="s">
        <v>22821</v>
      </c>
      <c r="C22822" s="3">
        <v>1</v>
      </c>
    </row>
    <row r="22823" spans="1:3" x14ac:dyDescent="0.25">
      <c r="A22823" s="1" t="s">
        <v>22822</v>
      </c>
      <c r="C22823" s="3">
        <v>1</v>
      </c>
    </row>
    <row r="22824" spans="1:3" x14ac:dyDescent="0.25">
      <c r="A22824" s="1" t="s">
        <v>22823</v>
      </c>
      <c r="C22824" s="3">
        <v>1</v>
      </c>
    </row>
    <row r="22825" spans="1:3" x14ac:dyDescent="0.25">
      <c r="A22825" s="1" t="s">
        <v>22824</v>
      </c>
      <c r="C22825" s="3">
        <v>1</v>
      </c>
    </row>
    <row r="22826" spans="1:3" x14ac:dyDescent="0.25">
      <c r="A22826" s="1" t="s">
        <v>22825</v>
      </c>
      <c r="C22826" s="3">
        <v>1</v>
      </c>
    </row>
    <row r="22827" spans="1:3" x14ac:dyDescent="0.25">
      <c r="A22827" s="1" t="s">
        <v>22826</v>
      </c>
      <c r="C22827" s="3">
        <v>1</v>
      </c>
    </row>
    <row r="22828" spans="1:3" x14ac:dyDescent="0.25">
      <c r="A22828" s="1" t="s">
        <v>22827</v>
      </c>
      <c r="C22828" s="3">
        <v>1</v>
      </c>
    </row>
    <row r="22829" spans="1:3" x14ac:dyDescent="0.25">
      <c r="A22829" s="1" t="s">
        <v>22828</v>
      </c>
      <c r="C22829" s="3">
        <v>1</v>
      </c>
    </row>
    <row r="22830" spans="1:3" x14ac:dyDescent="0.25">
      <c r="A22830" s="1" t="s">
        <v>22829</v>
      </c>
      <c r="C22830" s="3">
        <v>1</v>
      </c>
    </row>
    <row r="22831" spans="1:3" x14ac:dyDescent="0.25">
      <c r="A22831" s="1" t="s">
        <v>22830</v>
      </c>
      <c r="C22831" s="3">
        <v>1</v>
      </c>
    </row>
    <row r="22832" spans="1:3" x14ac:dyDescent="0.25">
      <c r="A22832" s="1" t="s">
        <v>22831</v>
      </c>
      <c r="C22832" s="3">
        <v>1</v>
      </c>
    </row>
    <row r="22833" spans="1:3" x14ac:dyDescent="0.25">
      <c r="A22833" s="1" t="s">
        <v>22832</v>
      </c>
      <c r="C22833" s="3">
        <v>1</v>
      </c>
    </row>
    <row r="22834" spans="1:3" x14ac:dyDescent="0.25">
      <c r="A22834" s="1" t="s">
        <v>22833</v>
      </c>
      <c r="C22834" s="3">
        <v>1</v>
      </c>
    </row>
    <row r="22835" spans="1:3" x14ac:dyDescent="0.25">
      <c r="A22835" s="1" t="s">
        <v>22834</v>
      </c>
      <c r="C22835" s="3">
        <v>1</v>
      </c>
    </row>
    <row r="22836" spans="1:3" x14ac:dyDescent="0.25">
      <c r="A22836" s="1" t="s">
        <v>22835</v>
      </c>
      <c r="C22836" s="3">
        <v>1</v>
      </c>
    </row>
    <row r="22837" spans="1:3" x14ac:dyDescent="0.25">
      <c r="A22837" s="1" t="s">
        <v>22836</v>
      </c>
      <c r="C22837" s="3">
        <v>1</v>
      </c>
    </row>
    <row r="22838" spans="1:3" x14ac:dyDescent="0.25">
      <c r="A22838" s="1" t="s">
        <v>22837</v>
      </c>
      <c r="C22838" s="3">
        <v>1</v>
      </c>
    </row>
    <row r="22839" spans="1:3" x14ac:dyDescent="0.25">
      <c r="A22839" s="1" t="s">
        <v>22838</v>
      </c>
      <c r="C22839" s="3">
        <v>1</v>
      </c>
    </row>
    <row r="22840" spans="1:3" x14ac:dyDescent="0.25">
      <c r="A22840" s="1" t="s">
        <v>22839</v>
      </c>
      <c r="C22840" s="3">
        <v>1</v>
      </c>
    </row>
    <row r="22841" spans="1:3" x14ac:dyDescent="0.25">
      <c r="A22841" s="1" t="s">
        <v>22840</v>
      </c>
      <c r="C22841" s="3">
        <v>1</v>
      </c>
    </row>
    <row r="22842" spans="1:3" x14ac:dyDescent="0.25">
      <c r="A22842" s="1" t="s">
        <v>22841</v>
      </c>
      <c r="C22842" s="3">
        <v>1</v>
      </c>
    </row>
    <row r="22843" spans="1:3" x14ac:dyDescent="0.25">
      <c r="A22843" s="1" t="s">
        <v>22842</v>
      </c>
      <c r="C22843" s="3">
        <v>1</v>
      </c>
    </row>
    <row r="22844" spans="1:3" x14ac:dyDescent="0.25">
      <c r="A22844" s="1" t="s">
        <v>22843</v>
      </c>
      <c r="C22844" s="3">
        <v>1</v>
      </c>
    </row>
    <row r="22845" spans="1:3" x14ac:dyDescent="0.25">
      <c r="A22845" s="1" t="s">
        <v>22844</v>
      </c>
      <c r="C22845" s="3">
        <v>1</v>
      </c>
    </row>
    <row r="22846" spans="1:3" x14ac:dyDescent="0.25">
      <c r="A22846" s="1" t="s">
        <v>22845</v>
      </c>
      <c r="C22846" s="3">
        <v>1</v>
      </c>
    </row>
    <row r="22847" spans="1:3" x14ac:dyDescent="0.25">
      <c r="A22847" s="1" t="s">
        <v>22846</v>
      </c>
      <c r="C22847" s="3">
        <v>1</v>
      </c>
    </row>
    <row r="22848" spans="1:3" x14ac:dyDescent="0.25">
      <c r="A22848" s="1" t="s">
        <v>22847</v>
      </c>
      <c r="C22848" s="3">
        <v>1</v>
      </c>
    </row>
    <row r="22849" spans="1:3" x14ac:dyDescent="0.25">
      <c r="A22849" s="1" t="s">
        <v>22848</v>
      </c>
      <c r="C22849" s="3">
        <v>1</v>
      </c>
    </row>
    <row r="22850" spans="1:3" x14ac:dyDescent="0.25">
      <c r="A22850" s="1" t="s">
        <v>22849</v>
      </c>
      <c r="C22850" s="3">
        <v>1</v>
      </c>
    </row>
    <row r="22851" spans="1:3" x14ac:dyDescent="0.25">
      <c r="A22851" s="1" t="s">
        <v>22850</v>
      </c>
      <c r="C22851" s="3">
        <v>1</v>
      </c>
    </row>
    <row r="22852" spans="1:3" x14ac:dyDescent="0.25">
      <c r="A22852" s="1" t="s">
        <v>22851</v>
      </c>
      <c r="C22852" s="3">
        <v>1</v>
      </c>
    </row>
    <row r="22853" spans="1:3" x14ac:dyDescent="0.25">
      <c r="A22853" s="1" t="s">
        <v>22852</v>
      </c>
      <c r="C22853" s="3">
        <v>1</v>
      </c>
    </row>
    <row r="22854" spans="1:3" x14ac:dyDescent="0.25">
      <c r="A22854" s="1" t="s">
        <v>22853</v>
      </c>
      <c r="C22854" s="3">
        <v>1</v>
      </c>
    </row>
    <row r="22855" spans="1:3" x14ac:dyDescent="0.25">
      <c r="A22855" s="1" t="s">
        <v>22854</v>
      </c>
      <c r="C22855" s="3">
        <v>1</v>
      </c>
    </row>
    <row r="22856" spans="1:3" x14ac:dyDescent="0.25">
      <c r="A22856" s="1" t="s">
        <v>22855</v>
      </c>
      <c r="C22856" s="3">
        <v>1</v>
      </c>
    </row>
    <row r="22857" spans="1:3" x14ac:dyDescent="0.25">
      <c r="A22857" s="1" t="s">
        <v>22856</v>
      </c>
      <c r="C22857" s="3">
        <v>1</v>
      </c>
    </row>
    <row r="22858" spans="1:3" x14ac:dyDescent="0.25">
      <c r="A22858" s="1" t="s">
        <v>22857</v>
      </c>
      <c r="C22858" s="3">
        <v>1</v>
      </c>
    </row>
    <row r="22859" spans="1:3" x14ac:dyDescent="0.25">
      <c r="A22859" s="1" t="s">
        <v>22858</v>
      </c>
      <c r="C22859" s="3">
        <v>1</v>
      </c>
    </row>
    <row r="22860" spans="1:3" x14ac:dyDescent="0.25">
      <c r="A22860" s="1" t="s">
        <v>22859</v>
      </c>
      <c r="C22860" s="3">
        <v>1</v>
      </c>
    </row>
    <row r="22861" spans="1:3" x14ac:dyDescent="0.25">
      <c r="A22861" s="1" t="s">
        <v>22860</v>
      </c>
      <c r="C22861" s="3">
        <v>1</v>
      </c>
    </row>
    <row r="22862" spans="1:3" x14ac:dyDescent="0.25">
      <c r="A22862" s="1" t="s">
        <v>22861</v>
      </c>
      <c r="C22862" s="3">
        <v>1</v>
      </c>
    </row>
    <row r="22863" spans="1:3" x14ac:dyDescent="0.25">
      <c r="A22863" s="1" t="s">
        <v>22862</v>
      </c>
      <c r="C22863" s="3">
        <v>1</v>
      </c>
    </row>
    <row r="22864" spans="1:3" x14ac:dyDescent="0.25">
      <c r="A22864" s="1" t="s">
        <v>22863</v>
      </c>
      <c r="C22864" s="3">
        <v>1</v>
      </c>
    </row>
    <row r="22865" spans="1:3" x14ac:dyDescent="0.25">
      <c r="A22865" s="1" t="s">
        <v>22864</v>
      </c>
      <c r="C22865" s="3">
        <v>1</v>
      </c>
    </row>
    <row r="22866" spans="1:3" x14ac:dyDescent="0.25">
      <c r="A22866" s="1" t="s">
        <v>22865</v>
      </c>
      <c r="C22866" s="3">
        <v>1</v>
      </c>
    </row>
    <row r="22867" spans="1:3" x14ac:dyDescent="0.25">
      <c r="A22867" s="1" t="s">
        <v>22866</v>
      </c>
      <c r="C22867" s="3">
        <v>1</v>
      </c>
    </row>
    <row r="22868" spans="1:3" x14ac:dyDescent="0.25">
      <c r="A22868" s="1" t="s">
        <v>22867</v>
      </c>
      <c r="C22868" s="3">
        <v>1</v>
      </c>
    </row>
    <row r="22869" spans="1:3" x14ac:dyDescent="0.25">
      <c r="A22869" s="1" t="s">
        <v>22868</v>
      </c>
      <c r="C22869" s="3">
        <v>1</v>
      </c>
    </row>
    <row r="22870" spans="1:3" x14ac:dyDescent="0.25">
      <c r="A22870" s="1" t="s">
        <v>22869</v>
      </c>
      <c r="C22870" s="3">
        <v>1</v>
      </c>
    </row>
    <row r="22871" spans="1:3" x14ac:dyDescent="0.25">
      <c r="A22871" s="1" t="s">
        <v>22870</v>
      </c>
      <c r="C22871" s="3">
        <v>1</v>
      </c>
    </row>
    <row r="22872" spans="1:3" x14ac:dyDescent="0.25">
      <c r="A22872" s="1" t="s">
        <v>22871</v>
      </c>
      <c r="C22872" s="3">
        <v>1</v>
      </c>
    </row>
    <row r="22873" spans="1:3" x14ac:dyDescent="0.25">
      <c r="A22873" s="1" t="s">
        <v>22872</v>
      </c>
      <c r="C22873" s="3">
        <v>1</v>
      </c>
    </row>
    <row r="22874" spans="1:3" x14ac:dyDescent="0.25">
      <c r="A22874" s="1" t="s">
        <v>22873</v>
      </c>
      <c r="C22874" s="3">
        <v>1</v>
      </c>
    </row>
    <row r="22875" spans="1:3" x14ac:dyDescent="0.25">
      <c r="A22875" s="1" t="s">
        <v>22874</v>
      </c>
      <c r="C22875" s="3">
        <v>1</v>
      </c>
    </row>
    <row r="22876" spans="1:3" x14ac:dyDescent="0.25">
      <c r="A22876" s="1" t="s">
        <v>22875</v>
      </c>
      <c r="C22876" s="3">
        <v>1</v>
      </c>
    </row>
    <row r="22877" spans="1:3" x14ac:dyDescent="0.25">
      <c r="A22877" s="1" t="s">
        <v>22876</v>
      </c>
      <c r="C22877" s="3">
        <v>1</v>
      </c>
    </row>
    <row r="22878" spans="1:3" x14ac:dyDescent="0.25">
      <c r="A22878" s="1" t="s">
        <v>22877</v>
      </c>
      <c r="C22878" s="3">
        <v>1</v>
      </c>
    </row>
    <row r="22879" spans="1:3" x14ac:dyDescent="0.25">
      <c r="A22879" s="1" t="s">
        <v>22878</v>
      </c>
      <c r="C22879" s="3">
        <v>1</v>
      </c>
    </row>
    <row r="22880" spans="1:3" x14ac:dyDescent="0.25">
      <c r="A22880" s="1" t="s">
        <v>22879</v>
      </c>
      <c r="C22880" s="3">
        <v>1</v>
      </c>
    </row>
    <row r="22881" spans="1:3" x14ac:dyDescent="0.25">
      <c r="A22881" s="1" t="s">
        <v>22880</v>
      </c>
      <c r="C22881" s="3">
        <v>1</v>
      </c>
    </row>
    <row r="22882" spans="1:3" x14ac:dyDescent="0.25">
      <c r="A22882" s="1" t="s">
        <v>22881</v>
      </c>
      <c r="C22882" s="3">
        <v>1</v>
      </c>
    </row>
    <row r="22883" spans="1:3" x14ac:dyDescent="0.25">
      <c r="A22883" s="1" t="s">
        <v>22882</v>
      </c>
      <c r="C22883" s="3">
        <v>1</v>
      </c>
    </row>
    <row r="22884" spans="1:3" x14ac:dyDescent="0.25">
      <c r="A22884" s="1" t="s">
        <v>22883</v>
      </c>
      <c r="C22884" s="3">
        <v>1</v>
      </c>
    </row>
    <row r="22885" spans="1:3" x14ac:dyDescent="0.25">
      <c r="A22885" s="1" t="s">
        <v>22884</v>
      </c>
      <c r="C22885" s="3">
        <v>1</v>
      </c>
    </row>
    <row r="22886" spans="1:3" x14ac:dyDescent="0.25">
      <c r="A22886" s="1" t="s">
        <v>22885</v>
      </c>
      <c r="C22886" s="3">
        <v>1</v>
      </c>
    </row>
    <row r="22887" spans="1:3" x14ac:dyDescent="0.25">
      <c r="A22887" s="1" t="s">
        <v>22886</v>
      </c>
      <c r="C22887" s="3">
        <v>1</v>
      </c>
    </row>
    <row r="22888" spans="1:3" x14ac:dyDescent="0.25">
      <c r="A22888" s="1" t="s">
        <v>22887</v>
      </c>
      <c r="C22888" s="3">
        <v>1</v>
      </c>
    </row>
    <row r="22889" spans="1:3" x14ac:dyDescent="0.25">
      <c r="A22889" s="1" t="s">
        <v>22888</v>
      </c>
      <c r="C22889" s="3">
        <v>1</v>
      </c>
    </row>
    <row r="22890" spans="1:3" x14ac:dyDescent="0.25">
      <c r="A22890" s="1" t="s">
        <v>22889</v>
      </c>
      <c r="C22890" s="3">
        <v>1</v>
      </c>
    </row>
    <row r="22891" spans="1:3" x14ac:dyDescent="0.25">
      <c r="A22891" s="1" t="s">
        <v>22890</v>
      </c>
      <c r="C22891" s="3">
        <v>1</v>
      </c>
    </row>
    <row r="22892" spans="1:3" x14ac:dyDescent="0.25">
      <c r="A22892" s="1" t="s">
        <v>22891</v>
      </c>
      <c r="C22892" s="3">
        <v>1</v>
      </c>
    </row>
    <row r="22893" spans="1:3" x14ac:dyDescent="0.25">
      <c r="A22893" s="1" t="s">
        <v>22892</v>
      </c>
      <c r="C22893" s="3">
        <v>1</v>
      </c>
    </row>
    <row r="22894" spans="1:3" x14ac:dyDescent="0.25">
      <c r="A22894" s="1" t="s">
        <v>22893</v>
      </c>
      <c r="C22894" s="3">
        <v>1</v>
      </c>
    </row>
    <row r="22895" spans="1:3" x14ac:dyDescent="0.25">
      <c r="A22895" s="1" t="s">
        <v>22894</v>
      </c>
      <c r="C22895" s="3">
        <v>1</v>
      </c>
    </row>
    <row r="22896" spans="1:3" x14ac:dyDescent="0.25">
      <c r="A22896" s="1" t="s">
        <v>22895</v>
      </c>
      <c r="C22896" s="3">
        <v>1</v>
      </c>
    </row>
    <row r="22897" spans="1:3" x14ac:dyDescent="0.25">
      <c r="A22897" s="1" t="s">
        <v>22896</v>
      </c>
      <c r="C22897" s="3">
        <v>1</v>
      </c>
    </row>
    <row r="22898" spans="1:3" x14ac:dyDescent="0.25">
      <c r="A22898" s="1" t="s">
        <v>22897</v>
      </c>
      <c r="C22898" s="3">
        <v>1</v>
      </c>
    </row>
    <row r="22899" spans="1:3" x14ac:dyDescent="0.25">
      <c r="A22899" s="1" t="s">
        <v>22898</v>
      </c>
      <c r="C22899" s="3">
        <v>1</v>
      </c>
    </row>
    <row r="22900" spans="1:3" x14ac:dyDescent="0.25">
      <c r="A22900" s="1" t="s">
        <v>22899</v>
      </c>
      <c r="C22900" s="3">
        <v>1</v>
      </c>
    </row>
    <row r="22901" spans="1:3" x14ac:dyDescent="0.25">
      <c r="A22901" s="1" t="s">
        <v>22900</v>
      </c>
      <c r="C22901" s="3">
        <v>1</v>
      </c>
    </row>
    <row r="22902" spans="1:3" x14ac:dyDescent="0.25">
      <c r="A22902" s="1" t="s">
        <v>22901</v>
      </c>
      <c r="C22902" s="3">
        <v>1</v>
      </c>
    </row>
    <row r="22903" spans="1:3" x14ac:dyDescent="0.25">
      <c r="A22903" s="1" t="s">
        <v>22902</v>
      </c>
      <c r="C22903" s="3">
        <v>1</v>
      </c>
    </row>
    <row r="22904" spans="1:3" x14ac:dyDescent="0.25">
      <c r="A22904" s="1" t="s">
        <v>22903</v>
      </c>
      <c r="C22904" s="3">
        <v>1</v>
      </c>
    </row>
    <row r="22905" spans="1:3" x14ac:dyDescent="0.25">
      <c r="A22905" s="1" t="s">
        <v>22904</v>
      </c>
      <c r="C22905" s="3">
        <v>1</v>
      </c>
    </row>
    <row r="22906" spans="1:3" x14ac:dyDescent="0.25">
      <c r="A22906" s="1" t="s">
        <v>22905</v>
      </c>
      <c r="C22906" s="3">
        <v>1</v>
      </c>
    </row>
    <row r="22907" spans="1:3" x14ac:dyDescent="0.25">
      <c r="A22907" s="1" t="s">
        <v>22906</v>
      </c>
      <c r="C22907" s="3">
        <v>1</v>
      </c>
    </row>
    <row r="22908" spans="1:3" x14ac:dyDescent="0.25">
      <c r="A22908" s="1" t="s">
        <v>22907</v>
      </c>
      <c r="C22908" s="3">
        <v>1</v>
      </c>
    </row>
    <row r="22909" spans="1:3" x14ac:dyDescent="0.25">
      <c r="A22909" s="1" t="s">
        <v>22908</v>
      </c>
      <c r="C22909" s="3">
        <v>1</v>
      </c>
    </row>
    <row r="22910" spans="1:3" x14ac:dyDescent="0.25">
      <c r="A22910" s="1" t="s">
        <v>22909</v>
      </c>
      <c r="C22910" s="3">
        <v>1</v>
      </c>
    </row>
    <row r="22911" spans="1:3" x14ac:dyDescent="0.25">
      <c r="A22911" s="1" t="s">
        <v>22910</v>
      </c>
      <c r="C22911" s="3">
        <v>1</v>
      </c>
    </row>
    <row r="22912" spans="1:3" x14ac:dyDescent="0.25">
      <c r="A22912" s="1" t="s">
        <v>22911</v>
      </c>
      <c r="C22912" s="3">
        <v>1</v>
      </c>
    </row>
    <row r="22913" spans="1:3" x14ac:dyDescent="0.25">
      <c r="A22913" s="1" t="s">
        <v>22912</v>
      </c>
      <c r="C22913" s="3">
        <v>1</v>
      </c>
    </row>
    <row r="22914" spans="1:3" x14ac:dyDescent="0.25">
      <c r="A22914" s="1" t="s">
        <v>22913</v>
      </c>
      <c r="C22914" s="3">
        <v>1</v>
      </c>
    </row>
    <row r="22915" spans="1:3" x14ac:dyDescent="0.25">
      <c r="A22915" s="1" t="s">
        <v>22914</v>
      </c>
      <c r="C22915" s="3">
        <v>1</v>
      </c>
    </row>
    <row r="22916" spans="1:3" x14ac:dyDescent="0.25">
      <c r="A22916" s="1" t="s">
        <v>22915</v>
      </c>
      <c r="C22916" s="3">
        <v>1</v>
      </c>
    </row>
    <row r="22917" spans="1:3" x14ac:dyDescent="0.25">
      <c r="A22917" s="1" t="s">
        <v>22916</v>
      </c>
      <c r="C22917" s="3">
        <v>1</v>
      </c>
    </row>
    <row r="22918" spans="1:3" x14ac:dyDescent="0.25">
      <c r="A22918" s="1" t="s">
        <v>22917</v>
      </c>
      <c r="C22918" s="3">
        <v>1</v>
      </c>
    </row>
    <row r="22919" spans="1:3" x14ac:dyDescent="0.25">
      <c r="A22919" s="1" t="s">
        <v>22918</v>
      </c>
      <c r="C22919" s="3">
        <v>1</v>
      </c>
    </row>
    <row r="22920" spans="1:3" x14ac:dyDescent="0.25">
      <c r="A22920" s="1" t="s">
        <v>22919</v>
      </c>
      <c r="C22920" s="3">
        <v>1</v>
      </c>
    </row>
    <row r="22921" spans="1:3" x14ac:dyDescent="0.25">
      <c r="A22921" s="1" t="s">
        <v>22920</v>
      </c>
      <c r="C22921" s="3">
        <v>1</v>
      </c>
    </row>
    <row r="22922" spans="1:3" x14ac:dyDescent="0.25">
      <c r="A22922" s="1" t="s">
        <v>22921</v>
      </c>
      <c r="C22922" s="3">
        <v>1</v>
      </c>
    </row>
    <row r="22923" spans="1:3" x14ac:dyDescent="0.25">
      <c r="A22923" s="1" t="s">
        <v>22922</v>
      </c>
      <c r="C22923" s="3">
        <v>1</v>
      </c>
    </row>
    <row r="22924" spans="1:3" x14ac:dyDescent="0.25">
      <c r="A22924" s="1" t="s">
        <v>22923</v>
      </c>
      <c r="C22924" s="3">
        <v>1</v>
      </c>
    </row>
    <row r="22925" spans="1:3" x14ac:dyDescent="0.25">
      <c r="A22925" s="1" t="s">
        <v>22924</v>
      </c>
      <c r="C22925" s="3">
        <v>1</v>
      </c>
    </row>
    <row r="22926" spans="1:3" x14ac:dyDescent="0.25">
      <c r="A22926" s="1" t="s">
        <v>22925</v>
      </c>
      <c r="C22926" s="3">
        <v>1</v>
      </c>
    </row>
    <row r="22927" spans="1:3" x14ac:dyDescent="0.25">
      <c r="A22927" s="1" t="s">
        <v>22926</v>
      </c>
      <c r="C22927" s="3">
        <v>1</v>
      </c>
    </row>
    <row r="22928" spans="1:3" x14ac:dyDescent="0.25">
      <c r="A22928" s="1" t="s">
        <v>22927</v>
      </c>
      <c r="C22928" s="3">
        <v>1</v>
      </c>
    </row>
    <row r="22929" spans="1:3" x14ac:dyDescent="0.25">
      <c r="A22929" s="1" t="s">
        <v>22928</v>
      </c>
      <c r="C22929" s="3">
        <v>1</v>
      </c>
    </row>
    <row r="22930" spans="1:3" x14ac:dyDescent="0.25">
      <c r="A22930" s="1" t="s">
        <v>22929</v>
      </c>
      <c r="C22930" s="3">
        <v>1</v>
      </c>
    </row>
    <row r="22931" spans="1:3" x14ac:dyDescent="0.25">
      <c r="A22931" s="1" t="s">
        <v>22930</v>
      </c>
      <c r="C22931" s="3">
        <v>1</v>
      </c>
    </row>
    <row r="22932" spans="1:3" x14ac:dyDescent="0.25">
      <c r="A22932" s="1" t="s">
        <v>22931</v>
      </c>
      <c r="C22932" s="3">
        <v>1</v>
      </c>
    </row>
    <row r="22933" spans="1:3" x14ac:dyDescent="0.25">
      <c r="A22933" s="1" t="s">
        <v>22932</v>
      </c>
      <c r="C22933" s="3">
        <v>1</v>
      </c>
    </row>
    <row r="22934" spans="1:3" x14ac:dyDescent="0.25">
      <c r="A22934" s="1" t="s">
        <v>22933</v>
      </c>
      <c r="C22934" s="3">
        <v>1</v>
      </c>
    </row>
    <row r="22935" spans="1:3" x14ac:dyDescent="0.25">
      <c r="A22935" s="1" t="s">
        <v>22934</v>
      </c>
      <c r="C22935" s="3">
        <v>1</v>
      </c>
    </row>
    <row r="22936" spans="1:3" x14ac:dyDescent="0.25">
      <c r="A22936" s="1" t="s">
        <v>22935</v>
      </c>
      <c r="C22936" s="3">
        <v>1</v>
      </c>
    </row>
    <row r="22937" spans="1:3" x14ac:dyDescent="0.25">
      <c r="A22937" s="1" t="s">
        <v>22936</v>
      </c>
      <c r="C22937" s="3">
        <v>1</v>
      </c>
    </row>
    <row r="22938" spans="1:3" x14ac:dyDescent="0.25">
      <c r="A22938" s="1" t="s">
        <v>22937</v>
      </c>
      <c r="C22938" s="3">
        <v>1</v>
      </c>
    </row>
    <row r="22939" spans="1:3" x14ac:dyDescent="0.25">
      <c r="A22939" s="1" t="s">
        <v>22938</v>
      </c>
      <c r="C22939" s="3">
        <v>1</v>
      </c>
    </row>
    <row r="22940" spans="1:3" x14ac:dyDescent="0.25">
      <c r="A22940" s="1" t="s">
        <v>22939</v>
      </c>
      <c r="C22940" s="3">
        <v>1</v>
      </c>
    </row>
    <row r="22941" spans="1:3" x14ac:dyDescent="0.25">
      <c r="A22941" s="1" t="s">
        <v>22940</v>
      </c>
      <c r="C22941" s="3">
        <v>1</v>
      </c>
    </row>
    <row r="22942" spans="1:3" x14ac:dyDescent="0.25">
      <c r="A22942" s="1" t="s">
        <v>22941</v>
      </c>
      <c r="C22942" s="3">
        <v>1</v>
      </c>
    </row>
    <row r="22943" spans="1:3" x14ac:dyDescent="0.25">
      <c r="A22943" s="1" t="s">
        <v>22942</v>
      </c>
      <c r="C22943" s="3">
        <v>1</v>
      </c>
    </row>
    <row r="22944" spans="1:3" x14ac:dyDescent="0.25">
      <c r="A22944" s="1" t="s">
        <v>22943</v>
      </c>
      <c r="C22944" s="3">
        <v>1</v>
      </c>
    </row>
    <row r="22945" spans="1:3" x14ac:dyDescent="0.25">
      <c r="A22945" s="1" t="s">
        <v>22944</v>
      </c>
      <c r="C22945" s="3">
        <v>1</v>
      </c>
    </row>
    <row r="22946" spans="1:3" x14ac:dyDescent="0.25">
      <c r="A22946" s="1" t="s">
        <v>22945</v>
      </c>
      <c r="C22946" s="3">
        <v>1</v>
      </c>
    </row>
    <row r="22947" spans="1:3" x14ac:dyDescent="0.25">
      <c r="A22947" s="1" t="s">
        <v>22946</v>
      </c>
      <c r="C22947" s="3">
        <v>1</v>
      </c>
    </row>
    <row r="22948" spans="1:3" x14ac:dyDescent="0.25">
      <c r="A22948" s="1" t="s">
        <v>22947</v>
      </c>
      <c r="C22948" s="3">
        <v>1</v>
      </c>
    </row>
    <row r="22949" spans="1:3" x14ac:dyDescent="0.25">
      <c r="A22949" s="1" t="s">
        <v>22948</v>
      </c>
      <c r="C22949" s="3">
        <v>1</v>
      </c>
    </row>
    <row r="22950" spans="1:3" x14ac:dyDescent="0.25">
      <c r="A22950" s="1" t="s">
        <v>22949</v>
      </c>
      <c r="C22950" s="3">
        <v>1</v>
      </c>
    </row>
    <row r="22951" spans="1:3" x14ac:dyDescent="0.25">
      <c r="A22951" s="1" t="s">
        <v>22950</v>
      </c>
      <c r="C22951" s="3">
        <v>1</v>
      </c>
    </row>
    <row r="22952" spans="1:3" x14ac:dyDescent="0.25">
      <c r="A22952" s="1" t="s">
        <v>22951</v>
      </c>
      <c r="C22952" s="3">
        <v>1</v>
      </c>
    </row>
    <row r="22953" spans="1:3" x14ac:dyDescent="0.25">
      <c r="A22953" s="1" t="s">
        <v>22952</v>
      </c>
      <c r="C22953" s="3">
        <v>1</v>
      </c>
    </row>
    <row r="22954" spans="1:3" x14ac:dyDescent="0.25">
      <c r="A22954" s="1" t="s">
        <v>22953</v>
      </c>
      <c r="C22954" s="3">
        <v>1</v>
      </c>
    </row>
    <row r="22955" spans="1:3" x14ac:dyDescent="0.25">
      <c r="A22955" s="1" t="s">
        <v>22954</v>
      </c>
      <c r="C22955" s="3">
        <v>1</v>
      </c>
    </row>
    <row r="22956" spans="1:3" x14ac:dyDescent="0.25">
      <c r="A22956" s="1" t="s">
        <v>22955</v>
      </c>
      <c r="C22956" s="3">
        <v>1</v>
      </c>
    </row>
    <row r="22957" spans="1:3" x14ac:dyDescent="0.25">
      <c r="A22957" s="1" t="s">
        <v>22956</v>
      </c>
      <c r="C22957" s="3">
        <v>1</v>
      </c>
    </row>
    <row r="22958" spans="1:3" x14ac:dyDescent="0.25">
      <c r="A22958" s="1" t="s">
        <v>22957</v>
      </c>
      <c r="C22958" s="3">
        <v>1</v>
      </c>
    </row>
    <row r="22959" spans="1:3" x14ac:dyDescent="0.25">
      <c r="A22959" s="1" t="s">
        <v>22958</v>
      </c>
      <c r="C22959" s="3">
        <v>1</v>
      </c>
    </row>
    <row r="22960" spans="1:3" x14ac:dyDescent="0.25">
      <c r="A22960" s="1" t="s">
        <v>22959</v>
      </c>
      <c r="C22960" s="3">
        <v>1</v>
      </c>
    </row>
    <row r="22961" spans="1:3" x14ac:dyDescent="0.25">
      <c r="A22961" s="1" t="s">
        <v>22960</v>
      </c>
      <c r="C22961" s="3">
        <v>1</v>
      </c>
    </row>
    <row r="22962" spans="1:3" x14ac:dyDescent="0.25">
      <c r="A22962" s="1" t="s">
        <v>22961</v>
      </c>
      <c r="C22962" s="3">
        <v>1</v>
      </c>
    </row>
    <row r="22963" spans="1:3" x14ac:dyDescent="0.25">
      <c r="A22963" s="1" t="s">
        <v>22962</v>
      </c>
      <c r="C22963" s="3">
        <v>1</v>
      </c>
    </row>
    <row r="22964" spans="1:3" x14ac:dyDescent="0.25">
      <c r="A22964" s="1" t="s">
        <v>22963</v>
      </c>
      <c r="C22964" s="3">
        <v>1</v>
      </c>
    </row>
    <row r="22965" spans="1:3" x14ac:dyDescent="0.25">
      <c r="A22965" s="1" t="s">
        <v>22964</v>
      </c>
      <c r="C22965" s="3">
        <v>1</v>
      </c>
    </row>
    <row r="22966" spans="1:3" x14ac:dyDescent="0.25">
      <c r="A22966" s="1" t="s">
        <v>22965</v>
      </c>
      <c r="C22966" s="3">
        <v>1</v>
      </c>
    </row>
    <row r="22967" spans="1:3" x14ac:dyDescent="0.25">
      <c r="A22967" s="1" t="s">
        <v>22966</v>
      </c>
      <c r="C22967" s="3">
        <v>1</v>
      </c>
    </row>
    <row r="22968" spans="1:3" x14ac:dyDescent="0.25">
      <c r="A22968" s="1" t="s">
        <v>22967</v>
      </c>
      <c r="C22968" s="3">
        <v>1</v>
      </c>
    </row>
    <row r="22969" spans="1:3" x14ac:dyDescent="0.25">
      <c r="A22969" s="1" t="s">
        <v>22968</v>
      </c>
      <c r="C22969" s="3">
        <v>1</v>
      </c>
    </row>
    <row r="22970" spans="1:3" x14ac:dyDescent="0.25">
      <c r="A22970" s="1" t="s">
        <v>22969</v>
      </c>
      <c r="C22970" s="3">
        <v>1</v>
      </c>
    </row>
    <row r="22971" spans="1:3" x14ac:dyDescent="0.25">
      <c r="A22971" s="1" t="s">
        <v>22970</v>
      </c>
      <c r="C22971" s="3">
        <v>1</v>
      </c>
    </row>
    <row r="22972" spans="1:3" x14ac:dyDescent="0.25">
      <c r="A22972" s="1" t="s">
        <v>22971</v>
      </c>
      <c r="C22972" s="3">
        <v>1</v>
      </c>
    </row>
    <row r="22973" spans="1:3" x14ac:dyDescent="0.25">
      <c r="A22973" s="1" t="s">
        <v>22972</v>
      </c>
      <c r="C22973" s="3">
        <v>1</v>
      </c>
    </row>
    <row r="22974" spans="1:3" x14ac:dyDescent="0.25">
      <c r="A22974" s="1" t="s">
        <v>22973</v>
      </c>
      <c r="C22974" s="3">
        <v>1</v>
      </c>
    </row>
    <row r="22975" spans="1:3" x14ac:dyDescent="0.25">
      <c r="A22975" s="1" t="s">
        <v>22974</v>
      </c>
      <c r="C22975" s="3">
        <v>1</v>
      </c>
    </row>
    <row r="22976" spans="1:3" x14ac:dyDescent="0.25">
      <c r="A22976" s="1" t="s">
        <v>22975</v>
      </c>
      <c r="C22976" s="3">
        <v>1</v>
      </c>
    </row>
    <row r="22977" spans="1:3" x14ac:dyDescent="0.25">
      <c r="A22977" s="1" t="s">
        <v>22976</v>
      </c>
      <c r="C22977" s="3">
        <v>1</v>
      </c>
    </row>
    <row r="22978" spans="1:3" x14ac:dyDescent="0.25">
      <c r="A22978" s="1" t="s">
        <v>22977</v>
      </c>
      <c r="C22978" s="3">
        <v>1</v>
      </c>
    </row>
    <row r="22979" spans="1:3" x14ac:dyDescent="0.25">
      <c r="A22979" s="1" t="s">
        <v>22978</v>
      </c>
      <c r="C22979" s="3">
        <v>1</v>
      </c>
    </row>
    <row r="22980" spans="1:3" x14ac:dyDescent="0.25">
      <c r="A22980" s="1" t="s">
        <v>22979</v>
      </c>
      <c r="C22980" s="3">
        <v>1</v>
      </c>
    </row>
    <row r="22981" spans="1:3" x14ac:dyDescent="0.25">
      <c r="A22981" s="1" t="s">
        <v>22980</v>
      </c>
      <c r="C22981" s="3">
        <v>1</v>
      </c>
    </row>
    <row r="22982" spans="1:3" x14ac:dyDescent="0.25">
      <c r="A22982" s="1" t="s">
        <v>22981</v>
      </c>
      <c r="C22982" s="3">
        <v>1</v>
      </c>
    </row>
    <row r="22983" spans="1:3" x14ac:dyDescent="0.25">
      <c r="A22983" s="1" t="s">
        <v>22982</v>
      </c>
      <c r="C22983" s="3">
        <v>1</v>
      </c>
    </row>
    <row r="22984" spans="1:3" x14ac:dyDescent="0.25">
      <c r="A22984" s="1" t="s">
        <v>22983</v>
      </c>
      <c r="C22984" s="3">
        <v>1</v>
      </c>
    </row>
    <row r="22985" spans="1:3" x14ac:dyDescent="0.25">
      <c r="A22985" s="1" t="s">
        <v>22984</v>
      </c>
      <c r="C22985" s="3">
        <v>1</v>
      </c>
    </row>
    <row r="22986" spans="1:3" x14ac:dyDescent="0.25">
      <c r="A22986" s="1" t="s">
        <v>22985</v>
      </c>
      <c r="C22986" s="3">
        <v>1</v>
      </c>
    </row>
    <row r="22987" spans="1:3" x14ac:dyDescent="0.25">
      <c r="A22987" s="1" t="s">
        <v>22986</v>
      </c>
      <c r="C22987" s="3">
        <v>1</v>
      </c>
    </row>
    <row r="22988" spans="1:3" x14ac:dyDescent="0.25">
      <c r="A22988" s="1" t="s">
        <v>22987</v>
      </c>
      <c r="C22988" s="3">
        <v>1</v>
      </c>
    </row>
    <row r="22989" spans="1:3" x14ac:dyDescent="0.25">
      <c r="A22989" s="1" t="s">
        <v>22988</v>
      </c>
      <c r="C22989" s="3">
        <v>1</v>
      </c>
    </row>
    <row r="22990" spans="1:3" x14ac:dyDescent="0.25">
      <c r="A22990" s="1" t="s">
        <v>22989</v>
      </c>
      <c r="C22990" s="3">
        <v>1</v>
      </c>
    </row>
    <row r="22991" spans="1:3" x14ac:dyDescent="0.25">
      <c r="A22991" s="1" t="s">
        <v>22990</v>
      </c>
      <c r="C22991" s="3">
        <v>1</v>
      </c>
    </row>
    <row r="22992" spans="1:3" x14ac:dyDescent="0.25">
      <c r="A22992" s="1" t="s">
        <v>22991</v>
      </c>
      <c r="C22992" s="3">
        <v>1</v>
      </c>
    </row>
    <row r="22993" spans="1:3" x14ac:dyDescent="0.25">
      <c r="A22993" s="1" t="s">
        <v>22992</v>
      </c>
      <c r="C22993" s="3">
        <v>1</v>
      </c>
    </row>
    <row r="22994" spans="1:3" x14ac:dyDescent="0.25">
      <c r="A22994" s="1" t="s">
        <v>22993</v>
      </c>
      <c r="C22994" s="3">
        <v>1</v>
      </c>
    </row>
    <row r="22995" spans="1:3" x14ac:dyDescent="0.25">
      <c r="A22995" s="1" t="s">
        <v>22994</v>
      </c>
      <c r="C22995" s="3">
        <v>1</v>
      </c>
    </row>
    <row r="22996" spans="1:3" x14ac:dyDescent="0.25">
      <c r="A22996" s="1" t="s">
        <v>22995</v>
      </c>
      <c r="C22996" s="3">
        <v>1</v>
      </c>
    </row>
    <row r="22997" spans="1:3" x14ac:dyDescent="0.25">
      <c r="A22997" s="1" t="s">
        <v>22996</v>
      </c>
      <c r="C22997" s="3">
        <v>1</v>
      </c>
    </row>
    <row r="22998" spans="1:3" x14ac:dyDescent="0.25">
      <c r="A22998" s="1" t="s">
        <v>22997</v>
      </c>
      <c r="C22998" s="3">
        <v>1</v>
      </c>
    </row>
    <row r="22999" spans="1:3" x14ac:dyDescent="0.25">
      <c r="A22999" s="1" t="s">
        <v>22998</v>
      </c>
      <c r="C22999" s="3">
        <v>1</v>
      </c>
    </row>
    <row r="23000" spans="1:3" x14ac:dyDescent="0.25">
      <c r="A23000" s="1" t="s">
        <v>22999</v>
      </c>
      <c r="C23000" s="3">
        <v>1</v>
      </c>
    </row>
    <row r="23001" spans="1:3" x14ac:dyDescent="0.25">
      <c r="A23001" s="1" t="s">
        <v>23000</v>
      </c>
      <c r="C23001" s="3">
        <v>1</v>
      </c>
    </row>
    <row r="23002" spans="1:3" x14ac:dyDescent="0.25">
      <c r="A23002" s="1" t="s">
        <v>23001</v>
      </c>
      <c r="C23002" s="3">
        <v>1</v>
      </c>
    </row>
    <row r="23003" spans="1:3" x14ac:dyDescent="0.25">
      <c r="A23003" s="1" t="s">
        <v>23002</v>
      </c>
      <c r="C23003" s="3">
        <v>1</v>
      </c>
    </row>
    <row r="23004" spans="1:3" x14ac:dyDescent="0.25">
      <c r="A23004" s="1" t="s">
        <v>23003</v>
      </c>
      <c r="C23004" s="3">
        <v>1</v>
      </c>
    </row>
    <row r="23005" spans="1:3" x14ac:dyDescent="0.25">
      <c r="A23005" s="1" t="s">
        <v>23004</v>
      </c>
      <c r="C23005" s="3">
        <v>1</v>
      </c>
    </row>
    <row r="23006" spans="1:3" x14ac:dyDescent="0.25">
      <c r="A23006" s="1" t="s">
        <v>23005</v>
      </c>
      <c r="C23006" s="3">
        <v>1</v>
      </c>
    </row>
    <row r="23007" spans="1:3" x14ac:dyDescent="0.25">
      <c r="A23007" s="1" t="s">
        <v>23006</v>
      </c>
      <c r="C23007" s="3">
        <v>1</v>
      </c>
    </row>
    <row r="23008" spans="1:3" x14ac:dyDescent="0.25">
      <c r="A23008" s="1" t="s">
        <v>23007</v>
      </c>
      <c r="C23008" s="3">
        <v>1</v>
      </c>
    </row>
    <row r="23009" spans="1:3" x14ac:dyDescent="0.25">
      <c r="A23009" s="1" t="s">
        <v>23008</v>
      </c>
      <c r="C23009" s="3">
        <v>1</v>
      </c>
    </row>
    <row r="23010" spans="1:3" x14ac:dyDescent="0.25">
      <c r="A23010" s="1" t="s">
        <v>23009</v>
      </c>
      <c r="C23010" s="3">
        <v>1</v>
      </c>
    </row>
    <row r="23011" spans="1:3" x14ac:dyDescent="0.25">
      <c r="A23011" s="1" t="s">
        <v>23010</v>
      </c>
      <c r="C23011" s="3">
        <v>1</v>
      </c>
    </row>
    <row r="23012" spans="1:3" x14ac:dyDescent="0.25">
      <c r="A23012" s="1" t="s">
        <v>23011</v>
      </c>
      <c r="C23012" s="3">
        <v>1</v>
      </c>
    </row>
    <row r="23013" spans="1:3" x14ac:dyDescent="0.25">
      <c r="A23013" s="1" t="s">
        <v>23012</v>
      </c>
      <c r="C23013" s="3">
        <v>1</v>
      </c>
    </row>
    <row r="23014" spans="1:3" x14ac:dyDescent="0.25">
      <c r="A23014" s="1" t="s">
        <v>23013</v>
      </c>
      <c r="C23014" s="3">
        <v>1</v>
      </c>
    </row>
    <row r="23015" spans="1:3" x14ac:dyDescent="0.25">
      <c r="A23015" s="1" t="s">
        <v>23014</v>
      </c>
      <c r="C23015" s="3">
        <v>1</v>
      </c>
    </row>
    <row r="23016" spans="1:3" x14ac:dyDescent="0.25">
      <c r="A23016" s="1" t="s">
        <v>23015</v>
      </c>
      <c r="C23016" s="3">
        <v>1</v>
      </c>
    </row>
    <row r="23017" spans="1:3" x14ac:dyDescent="0.25">
      <c r="A23017" s="1" t="s">
        <v>23016</v>
      </c>
      <c r="C23017" s="3">
        <v>1</v>
      </c>
    </row>
    <row r="23018" spans="1:3" x14ac:dyDescent="0.25">
      <c r="A23018" s="1" t="s">
        <v>23017</v>
      </c>
      <c r="C23018" s="3">
        <v>1</v>
      </c>
    </row>
    <row r="23019" spans="1:3" x14ac:dyDescent="0.25">
      <c r="A23019" s="1" t="s">
        <v>23018</v>
      </c>
      <c r="C23019" s="3">
        <v>1</v>
      </c>
    </row>
    <row r="23020" spans="1:3" x14ac:dyDescent="0.25">
      <c r="A23020" s="1" t="s">
        <v>23019</v>
      </c>
      <c r="C23020" s="3">
        <v>1</v>
      </c>
    </row>
    <row r="23021" spans="1:3" x14ac:dyDescent="0.25">
      <c r="A23021" s="1" t="s">
        <v>23020</v>
      </c>
      <c r="C23021" s="3">
        <v>1</v>
      </c>
    </row>
    <row r="23022" spans="1:3" x14ac:dyDescent="0.25">
      <c r="A23022" s="1" t="s">
        <v>23021</v>
      </c>
      <c r="C23022" s="3">
        <v>1</v>
      </c>
    </row>
    <row r="23023" spans="1:3" x14ac:dyDescent="0.25">
      <c r="A23023" s="1" t="s">
        <v>23022</v>
      </c>
      <c r="C23023" s="3">
        <v>1</v>
      </c>
    </row>
    <row r="23024" spans="1:3" x14ac:dyDescent="0.25">
      <c r="A23024" s="1" t="s">
        <v>23023</v>
      </c>
      <c r="C23024" s="3">
        <v>1</v>
      </c>
    </row>
    <row r="23025" spans="1:3" x14ac:dyDescent="0.25">
      <c r="A23025" s="1" t="s">
        <v>23024</v>
      </c>
      <c r="C23025" s="3">
        <v>1</v>
      </c>
    </row>
    <row r="23026" spans="1:3" x14ac:dyDescent="0.25">
      <c r="A23026" s="1" t="s">
        <v>23025</v>
      </c>
      <c r="C23026" s="3">
        <v>1</v>
      </c>
    </row>
    <row r="23027" spans="1:3" x14ac:dyDescent="0.25">
      <c r="A23027" s="1" t="s">
        <v>23026</v>
      </c>
      <c r="C23027" s="3">
        <v>1</v>
      </c>
    </row>
    <row r="23028" spans="1:3" x14ac:dyDescent="0.25">
      <c r="A23028" s="1" t="s">
        <v>23027</v>
      </c>
      <c r="C23028" s="3">
        <v>1</v>
      </c>
    </row>
    <row r="23029" spans="1:3" x14ac:dyDescent="0.25">
      <c r="A23029" s="1" t="s">
        <v>23028</v>
      </c>
      <c r="C23029" s="3">
        <v>1</v>
      </c>
    </row>
    <row r="23030" spans="1:3" x14ac:dyDescent="0.25">
      <c r="A23030" s="1" t="s">
        <v>23029</v>
      </c>
      <c r="C23030" s="3">
        <v>1</v>
      </c>
    </row>
    <row r="23031" spans="1:3" x14ac:dyDescent="0.25">
      <c r="A23031" s="1" t="s">
        <v>23030</v>
      </c>
      <c r="C23031" s="3">
        <v>1</v>
      </c>
    </row>
    <row r="23032" spans="1:3" x14ac:dyDescent="0.25">
      <c r="A23032" s="1" t="s">
        <v>23031</v>
      </c>
      <c r="C23032" s="3">
        <v>1</v>
      </c>
    </row>
    <row r="23033" spans="1:3" x14ac:dyDescent="0.25">
      <c r="A23033" s="1" t="s">
        <v>23032</v>
      </c>
      <c r="C23033" s="3">
        <v>1</v>
      </c>
    </row>
    <row r="23034" spans="1:3" x14ac:dyDescent="0.25">
      <c r="A23034" s="1" t="s">
        <v>23033</v>
      </c>
      <c r="C23034" s="3">
        <v>1</v>
      </c>
    </row>
    <row r="23035" spans="1:3" x14ac:dyDescent="0.25">
      <c r="A23035" s="1" t="s">
        <v>23034</v>
      </c>
      <c r="C23035" s="3">
        <v>1</v>
      </c>
    </row>
    <row r="23036" spans="1:3" x14ac:dyDescent="0.25">
      <c r="A23036" s="1" t="s">
        <v>23035</v>
      </c>
      <c r="C23036" s="3">
        <v>1</v>
      </c>
    </row>
    <row r="23037" spans="1:3" x14ac:dyDescent="0.25">
      <c r="A23037" s="1" t="s">
        <v>23036</v>
      </c>
      <c r="C23037" s="3">
        <v>1</v>
      </c>
    </row>
    <row r="23038" spans="1:3" x14ac:dyDescent="0.25">
      <c r="A23038" s="1" t="s">
        <v>23037</v>
      </c>
      <c r="C23038" s="3">
        <v>1</v>
      </c>
    </row>
    <row r="23039" spans="1:3" x14ac:dyDescent="0.25">
      <c r="A23039" s="1" t="s">
        <v>23038</v>
      </c>
      <c r="C23039" s="3">
        <v>1</v>
      </c>
    </row>
    <row r="23040" spans="1:3" x14ac:dyDescent="0.25">
      <c r="A23040" s="1" t="s">
        <v>23039</v>
      </c>
      <c r="C23040" s="3">
        <v>1</v>
      </c>
    </row>
    <row r="23041" spans="1:3" x14ac:dyDescent="0.25">
      <c r="A23041" s="1" t="s">
        <v>23040</v>
      </c>
      <c r="C23041" s="3">
        <v>1</v>
      </c>
    </row>
    <row r="23042" spans="1:3" x14ac:dyDescent="0.25">
      <c r="A23042" s="1" t="s">
        <v>23041</v>
      </c>
      <c r="C23042" s="3">
        <v>1</v>
      </c>
    </row>
    <row r="23043" spans="1:3" x14ac:dyDescent="0.25">
      <c r="A23043" s="1" t="s">
        <v>23042</v>
      </c>
      <c r="C23043" s="3">
        <v>1</v>
      </c>
    </row>
    <row r="23044" spans="1:3" x14ac:dyDescent="0.25">
      <c r="A23044" s="1" t="s">
        <v>23043</v>
      </c>
      <c r="C23044" s="3">
        <v>1</v>
      </c>
    </row>
    <row r="23045" spans="1:3" x14ac:dyDescent="0.25">
      <c r="A23045" s="1" t="s">
        <v>23044</v>
      </c>
      <c r="C23045" s="3">
        <v>1</v>
      </c>
    </row>
    <row r="23046" spans="1:3" x14ac:dyDescent="0.25">
      <c r="A23046" s="1" t="s">
        <v>23045</v>
      </c>
      <c r="C23046" s="3">
        <v>1</v>
      </c>
    </row>
    <row r="23047" spans="1:3" x14ac:dyDescent="0.25">
      <c r="A23047" s="1" t="s">
        <v>23046</v>
      </c>
      <c r="C23047" s="3">
        <v>1</v>
      </c>
    </row>
    <row r="23048" spans="1:3" x14ac:dyDescent="0.25">
      <c r="A23048" s="1" t="s">
        <v>23047</v>
      </c>
      <c r="C23048" s="3">
        <v>1</v>
      </c>
    </row>
    <row r="23049" spans="1:3" x14ac:dyDescent="0.25">
      <c r="A23049" s="1" t="s">
        <v>23048</v>
      </c>
      <c r="C23049" s="3">
        <v>1</v>
      </c>
    </row>
    <row r="23050" spans="1:3" x14ac:dyDescent="0.25">
      <c r="A23050" s="1" t="s">
        <v>23049</v>
      </c>
      <c r="C23050" s="3">
        <v>1</v>
      </c>
    </row>
    <row r="23051" spans="1:3" x14ac:dyDescent="0.25">
      <c r="A23051" s="1" t="s">
        <v>23050</v>
      </c>
      <c r="C23051" s="3">
        <v>1</v>
      </c>
    </row>
    <row r="23052" spans="1:3" x14ac:dyDescent="0.25">
      <c r="A23052" s="1" t="s">
        <v>23051</v>
      </c>
      <c r="C23052" s="3">
        <v>1</v>
      </c>
    </row>
    <row r="23053" spans="1:3" x14ac:dyDescent="0.25">
      <c r="A23053" s="1" t="s">
        <v>23052</v>
      </c>
      <c r="C23053" s="3">
        <v>1</v>
      </c>
    </row>
    <row r="23054" spans="1:3" x14ac:dyDescent="0.25">
      <c r="A23054" s="1" t="s">
        <v>23053</v>
      </c>
      <c r="C23054" s="3">
        <v>1</v>
      </c>
    </row>
    <row r="23055" spans="1:3" x14ac:dyDescent="0.25">
      <c r="A23055" s="1" t="s">
        <v>23054</v>
      </c>
      <c r="C23055" s="3">
        <v>1</v>
      </c>
    </row>
    <row r="23056" spans="1:3" x14ac:dyDescent="0.25">
      <c r="A23056" s="1" t="s">
        <v>23055</v>
      </c>
      <c r="C23056" s="3">
        <v>1</v>
      </c>
    </row>
    <row r="23057" spans="1:3" x14ac:dyDescent="0.25">
      <c r="A23057" s="1" t="s">
        <v>23056</v>
      </c>
      <c r="C23057" s="3">
        <v>1</v>
      </c>
    </row>
    <row r="23058" spans="1:3" x14ac:dyDescent="0.25">
      <c r="A23058" s="1" t="s">
        <v>23057</v>
      </c>
      <c r="C23058" s="3">
        <v>1</v>
      </c>
    </row>
    <row r="23059" spans="1:3" x14ac:dyDescent="0.25">
      <c r="A23059" s="1" t="s">
        <v>23058</v>
      </c>
      <c r="C23059" s="3">
        <v>1</v>
      </c>
    </row>
    <row r="23060" spans="1:3" x14ac:dyDescent="0.25">
      <c r="A23060" s="1" t="s">
        <v>23059</v>
      </c>
      <c r="C23060" s="3">
        <v>1</v>
      </c>
    </row>
    <row r="23061" spans="1:3" x14ac:dyDescent="0.25">
      <c r="A23061" s="1" t="s">
        <v>23060</v>
      </c>
      <c r="C23061" s="3">
        <v>1</v>
      </c>
    </row>
    <row r="23062" spans="1:3" x14ac:dyDescent="0.25">
      <c r="A23062" s="1" t="s">
        <v>23061</v>
      </c>
      <c r="C23062" s="3">
        <v>1</v>
      </c>
    </row>
    <row r="23063" spans="1:3" x14ac:dyDescent="0.25">
      <c r="A23063" s="1" t="s">
        <v>23062</v>
      </c>
      <c r="C23063" s="3">
        <v>1</v>
      </c>
    </row>
    <row r="23064" spans="1:3" x14ac:dyDescent="0.25">
      <c r="A23064" s="1" t="s">
        <v>23063</v>
      </c>
      <c r="C23064" s="3">
        <v>1</v>
      </c>
    </row>
    <row r="23065" spans="1:3" x14ac:dyDescent="0.25">
      <c r="A23065" s="1" t="s">
        <v>23064</v>
      </c>
      <c r="C23065" s="3">
        <v>1</v>
      </c>
    </row>
    <row r="23066" spans="1:3" x14ac:dyDescent="0.25">
      <c r="A23066" s="1" t="s">
        <v>23065</v>
      </c>
      <c r="C23066" s="3">
        <v>1</v>
      </c>
    </row>
    <row r="23067" spans="1:3" x14ac:dyDescent="0.25">
      <c r="A23067" s="1" t="s">
        <v>23066</v>
      </c>
      <c r="C23067" s="3">
        <v>1</v>
      </c>
    </row>
    <row r="23068" spans="1:3" x14ac:dyDescent="0.25">
      <c r="A23068" s="1" t="s">
        <v>23067</v>
      </c>
      <c r="C23068" s="3">
        <v>1</v>
      </c>
    </row>
    <row r="23069" spans="1:3" x14ac:dyDescent="0.25">
      <c r="A23069" s="1" t="s">
        <v>23068</v>
      </c>
      <c r="C23069" s="3">
        <v>1</v>
      </c>
    </row>
    <row r="23070" spans="1:3" x14ac:dyDescent="0.25">
      <c r="A23070" s="1" t="s">
        <v>23069</v>
      </c>
      <c r="C23070" s="3">
        <v>1</v>
      </c>
    </row>
    <row r="23071" spans="1:3" x14ac:dyDescent="0.25">
      <c r="A23071" s="1" t="s">
        <v>23070</v>
      </c>
      <c r="C23071" s="3">
        <v>1</v>
      </c>
    </row>
    <row r="23072" spans="1:3" x14ac:dyDescent="0.25">
      <c r="A23072" s="1" t="s">
        <v>23071</v>
      </c>
      <c r="C23072" s="3">
        <v>1</v>
      </c>
    </row>
    <row r="23073" spans="1:3" x14ac:dyDescent="0.25">
      <c r="A23073" s="1" t="s">
        <v>23072</v>
      </c>
      <c r="C23073" s="3">
        <v>1</v>
      </c>
    </row>
    <row r="23074" spans="1:3" x14ac:dyDescent="0.25">
      <c r="A23074" s="1" t="s">
        <v>23073</v>
      </c>
      <c r="C23074" s="3">
        <v>1</v>
      </c>
    </row>
    <row r="23075" spans="1:3" x14ac:dyDescent="0.25">
      <c r="A23075" s="1" t="s">
        <v>23074</v>
      </c>
      <c r="C23075" s="3">
        <v>1</v>
      </c>
    </row>
    <row r="23076" spans="1:3" x14ac:dyDescent="0.25">
      <c r="A23076" s="1" t="s">
        <v>23075</v>
      </c>
      <c r="C23076" s="3">
        <v>1</v>
      </c>
    </row>
    <row r="23077" spans="1:3" x14ac:dyDescent="0.25">
      <c r="A23077" s="1" t="s">
        <v>23076</v>
      </c>
      <c r="C23077" s="3">
        <v>1</v>
      </c>
    </row>
    <row r="23078" spans="1:3" x14ac:dyDescent="0.25">
      <c r="A23078" s="1" t="s">
        <v>23077</v>
      </c>
      <c r="C23078" s="3">
        <v>1</v>
      </c>
    </row>
    <row r="23079" spans="1:3" x14ac:dyDescent="0.25">
      <c r="A23079" s="1" t="s">
        <v>23078</v>
      </c>
      <c r="C23079" s="3">
        <v>1</v>
      </c>
    </row>
    <row r="23080" spans="1:3" x14ac:dyDescent="0.25">
      <c r="A23080" s="1" t="s">
        <v>23079</v>
      </c>
      <c r="C23080" s="3">
        <v>1</v>
      </c>
    </row>
    <row r="23081" spans="1:3" x14ac:dyDescent="0.25">
      <c r="A23081" s="1" t="s">
        <v>23080</v>
      </c>
      <c r="C23081" s="3">
        <v>1</v>
      </c>
    </row>
    <row r="23082" spans="1:3" x14ac:dyDescent="0.25">
      <c r="A23082" s="1" t="s">
        <v>23081</v>
      </c>
      <c r="C23082" s="3">
        <v>1</v>
      </c>
    </row>
    <row r="23083" spans="1:3" x14ac:dyDescent="0.25">
      <c r="A23083" s="1" t="s">
        <v>23082</v>
      </c>
      <c r="C23083" s="3">
        <v>1</v>
      </c>
    </row>
    <row r="23084" spans="1:3" x14ac:dyDescent="0.25">
      <c r="A23084" s="1" t="s">
        <v>23083</v>
      </c>
      <c r="C23084" s="3">
        <v>1</v>
      </c>
    </row>
    <row r="23085" spans="1:3" x14ac:dyDescent="0.25">
      <c r="A23085" s="1" t="s">
        <v>23084</v>
      </c>
      <c r="C23085" s="3">
        <v>1</v>
      </c>
    </row>
    <row r="23086" spans="1:3" x14ac:dyDescent="0.25">
      <c r="A23086" s="1" t="s">
        <v>23085</v>
      </c>
      <c r="C23086" s="3">
        <v>1</v>
      </c>
    </row>
    <row r="23087" spans="1:3" x14ac:dyDescent="0.25">
      <c r="A23087" s="1" t="s">
        <v>23086</v>
      </c>
      <c r="C23087" s="3">
        <v>1</v>
      </c>
    </row>
    <row r="23088" spans="1:3" x14ac:dyDescent="0.25">
      <c r="A23088" s="1" t="s">
        <v>23087</v>
      </c>
      <c r="C23088" s="3">
        <v>1</v>
      </c>
    </row>
    <row r="23089" spans="1:3" x14ac:dyDescent="0.25">
      <c r="A23089" s="1" t="s">
        <v>23088</v>
      </c>
      <c r="C23089" s="3">
        <v>1</v>
      </c>
    </row>
    <row r="23090" spans="1:3" x14ac:dyDescent="0.25">
      <c r="A23090" s="1" t="s">
        <v>23089</v>
      </c>
      <c r="C23090" s="3">
        <v>1</v>
      </c>
    </row>
    <row r="23091" spans="1:3" x14ac:dyDescent="0.25">
      <c r="A23091" s="1" t="s">
        <v>23090</v>
      </c>
      <c r="C23091" s="3">
        <v>1</v>
      </c>
    </row>
    <row r="23092" spans="1:3" x14ac:dyDescent="0.25">
      <c r="A23092" s="1" t="s">
        <v>23091</v>
      </c>
      <c r="C23092" s="3">
        <v>1</v>
      </c>
    </row>
    <row r="23093" spans="1:3" x14ac:dyDescent="0.25">
      <c r="A23093" s="1" t="s">
        <v>23092</v>
      </c>
      <c r="C23093" s="3">
        <v>1</v>
      </c>
    </row>
    <row r="23094" spans="1:3" x14ac:dyDescent="0.25">
      <c r="A23094" s="1" t="s">
        <v>23093</v>
      </c>
      <c r="C23094" s="3">
        <v>1</v>
      </c>
    </row>
    <row r="23095" spans="1:3" x14ac:dyDescent="0.25">
      <c r="A23095" s="1" t="s">
        <v>23094</v>
      </c>
      <c r="C23095" s="3">
        <v>1</v>
      </c>
    </row>
    <row r="23096" spans="1:3" x14ac:dyDescent="0.25">
      <c r="A23096" s="1" t="s">
        <v>23095</v>
      </c>
      <c r="C23096" s="3">
        <v>1</v>
      </c>
    </row>
    <row r="23097" spans="1:3" x14ac:dyDescent="0.25">
      <c r="A23097" s="1" t="s">
        <v>23096</v>
      </c>
      <c r="C23097" s="3">
        <v>1</v>
      </c>
    </row>
    <row r="23098" spans="1:3" x14ac:dyDescent="0.25">
      <c r="A23098" s="1" t="s">
        <v>23097</v>
      </c>
      <c r="C23098" s="3">
        <v>1</v>
      </c>
    </row>
    <row r="23099" spans="1:3" x14ac:dyDescent="0.25">
      <c r="A23099" s="1" t="s">
        <v>23098</v>
      </c>
      <c r="C23099" s="3">
        <v>1</v>
      </c>
    </row>
    <row r="23100" spans="1:3" x14ac:dyDescent="0.25">
      <c r="A23100" s="1" t="s">
        <v>23099</v>
      </c>
      <c r="C23100" s="3">
        <v>1</v>
      </c>
    </row>
    <row r="23101" spans="1:3" x14ac:dyDescent="0.25">
      <c r="A23101" s="1" t="s">
        <v>23100</v>
      </c>
      <c r="C23101" s="3">
        <v>1</v>
      </c>
    </row>
    <row r="23102" spans="1:3" x14ac:dyDescent="0.25">
      <c r="A23102" s="1" t="s">
        <v>23101</v>
      </c>
      <c r="C23102" s="3">
        <v>1</v>
      </c>
    </row>
    <row r="23103" spans="1:3" x14ac:dyDescent="0.25">
      <c r="A23103" s="1" t="s">
        <v>23102</v>
      </c>
      <c r="C23103" s="3">
        <v>1</v>
      </c>
    </row>
    <row r="23104" spans="1:3" x14ac:dyDescent="0.25">
      <c r="A23104" s="1" t="s">
        <v>23103</v>
      </c>
      <c r="C23104" s="3">
        <v>1</v>
      </c>
    </row>
    <row r="23105" spans="1:3" x14ac:dyDescent="0.25">
      <c r="A23105" s="1" t="s">
        <v>23104</v>
      </c>
      <c r="C23105" s="3">
        <v>1</v>
      </c>
    </row>
    <row r="23106" spans="1:3" x14ac:dyDescent="0.25">
      <c r="A23106" s="1" t="s">
        <v>23105</v>
      </c>
      <c r="C23106" s="3">
        <v>1</v>
      </c>
    </row>
    <row r="23107" spans="1:3" x14ac:dyDescent="0.25">
      <c r="A23107" s="1" t="s">
        <v>23106</v>
      </c>
      <c r="C23107" s="3">
        <v>1</v>
      </c>
    </row>
    <row r="23108" spans="1:3" x14ac:dyDescent="0.25">
      <c r="A23108" s="1" t="s">
        <v>23107</v>
      </c>
      <c r="C23108" s="3">
        <v>1</v>
      </c>
    </row>
    <row r="23109" spans="1:3" x14ac:dyDescent="0.25">
      <c r="A23109" s="1" t="s">
        <v>23108</v>
      </c>
      <c r="C23109" s="3">
        <v>1</v>
      </c>
    </row>
    <row r="23110" spans="1:3" x14ac:dyDescent="0.25">
      <c r="A23110" s="1" t="s">
        <v>23109</v>
      </c>
      <c r="C23110" s="3">
        <v>1</v>
      </c>
    </row>
    <row r="23111" spans="1:3" x14ac:dyDescent="0.25">
      <c r="A23111" s="1" t="s">
        <v>23110</v>
      </c>
      <c r="C23111" s="3">
        <v>1</v>
      </c>
    </row>
    <row r="23112" spans="1:3" x14ac:dyDescent="0.25">
      <c r="A23112" s="1" t="s">
        <v>23111</v>
      </c>
      <c r="C23112" s="3">
        <v>1</v>
      </c>
    </row>
    <row r="23113" spans="1:3" x14ac:dyDescent="0.25">
      <c r="A23113" s="1" t="s">
        <v>23112</v>
      </c>
      <c r="C23113" s="3">
        <v>1</v>
      </c>
    </row>
    <row r="23114" spans="1:3" x14ac:dyDescent="0.25">
      <c r="A23114" s="1" t="s">
        <v>23113</v>
      </c>
      <c r="C23114" s="3">
        <v>1</v>
      </c>
    </row>
    <row r="23115" spans="1:3" x14ac:dyDescent="0.25">
      <c r="A23115" s="1" t="s">
        <v>23114</v>
      </c>
      <c r="C23115" s="3">
        <v>1</v>
      </c>
    </row>
    <row r="23116" spans="1:3" x14ac:dyDescent="0.25">
      <c r="A23116" s="1" t="s">
        <v>23115</v>
      </c>
      <c r="C23116" s="3">
        <v>1</v>
      </c>
    </row>
    <row r="23117" spans="1:3" x14ac:dyDescent="0.25">
      <c r="A23117" s="1" t="s">
        <v>23116</v>
      </c>
      <c r="C23117" s="3">
        <v>1</v>
      </c>
    </row>
    <row r="23118" spans="1:3" x14ac:dyDescent="0.25">
      <c r="A23118" s="1" t="s">
        <v>23117</v>
      </c>
      <c r="C23118" s="3">
        <v>1</v>
      </c>
    </row>
    <row r="23119" spans="1:3" x14ac:dyDescent="0.25">
      <c r="A23119" s="1" t="s">
        <v>23118</v>
      </c>
      <c r="C23119" s="3">
        <v>1</v>
      </c>
    </row>
    <row r="23120" spans="1:3" x14ac:dyDescent="0.25">
      <c r="A23120" s="1" t="s">
        <v>23119</v>
      </c>
      <c r="C23120" s="3">
        <v>1</v>
      </c>
    </row>
    <row r="23121" spans="1:3" x14ac:dyDescent="0.25">
      <c r="A23121" s="1" t="s">
        <v>23120</v>
      </c>
      <c r="C23121" s="3">
        <v>1</v>
      </c>
    </row>
    <row r="23122" spans="1:3" x14ac:dyDescent="0.25">
      <c r="A23122" s="1" t="s">
        <v>23121</v>
      </c>
      <c r="C23122" s="3">
        <v>1</v>
      </c>
    </row>
    <row r="23123" spans="1:3" x14ac:dyDescent="0.25">
      <c r="A23123" s="1" t="s">
        <v>23122</v>
      </c>
      <c r="C23123" s="3">
        <v>1</v>
      </c>
    </row>
    <row r="23124" spans="1:3" x14ac:dyDescent="0.25">
      <c r="A23124" s="1" t="s">
        <v>23123</v>
      </c>
      <c r="C23124" s="3">
        <v>1</v>
      </c>
    </row>
    <row r="23125" spans="1:3" x14ac:dyDescent="0.25">
      <c r="A23125" s="1" t="s">
        <v>23124</v>
      </c>
      <c r="C23125" s="3">
        <v>1</v>
      </c>
    </row>
    <row r="23126" spans="1:3" x14ac:dyDescent="0.25">
      <c r="A23126" s="1" t="s">
        <v>23125</v>
      </c>
      <c r="C23126" s="3">
        <v>1</v>
      </c>
    </row>
    <row r="23127" spans="1:3" x14ac:dyDescent="0.25">
      <c r="A23127" s="1" t="s">
        <v>23126</v>
      </c>
      <c r="C23127" s="3">
        <v>1</v>
      </c>
    </row>
    <row r="23128" spans="1:3" x14ac:dyDescent="0.25">
      <c r="A23128" s="1" t="s">
        <v>23127</v>
      </c>
      <c r="C23128" s="3">
        <v>1</v>
      </c>
    </row>
    <row r="23129" spans="1:3" x14ac:dyDescent="0.25">
      <c r="A23129" s="1" t="s">
        <v>23128</v>
      </c>
      <c r="C23129" s="3">
        <v>1</v>
      </c>
    </row>
    <row r="23130" spans="1:3" x14ac:dyDescent="0.25">
      <c r="A23130" s="1" t="s">
        <v>23129</v>
      </c>
      <c r="C23130" s="3">
        <v>1</v>
      </c>
    </row>
    <row r="23131" spans="1:3" x14ac:dyDescent="0.25">
      <c r="A23131" s="1" t="s">
        <v>23130</v>
      </c>
      <c r="C23131" s="3">
        <v>1</v>
      </c>
    </row>
    <row r="23132" spans="1:3" x14ac:dyDescent="0.25">
      <c r="A23132" s="1" t="s">
        <v>23131</v>
      </c>
      <c r="C23132" s="3">
        <v>1</v>
      </c>
    </row>
    <row r="23133" spans="1:3" x14ac:dyDescent="0.25">
      <c r="A23133" s="1" t="s">
        <v>23132</v>
      </c>
      <c r="C23133" s="3">
        <v>1</v>
      </c>
    </row>
    <row r="23134" spans="1:3" x14ac:dyDescent="0.25">
      <c r="A23134" s="1" t="s">
        <v>23133</v>
      </c>
      <c r="C23134" s="3">
        <v>1</v>
      </c>
    </row>
    <row r="23135" spans="1:3" x14ac:dyDescent="0.25">
      <c r="A23135" s="1" t="s">
        <v>23134</v>
      </c>
      <c r="C23135" s="3">
        <v>1</v>
      </c>
    </row>
    <row r="23136" spans="1:3" x14ac:dyDescent="0.25">
      <c r="A23136" s="1" t="s">
        <v>23135</v>
      </c>
      <c r="C23136" s="3">
        <v>1</v>
      </c>
    </row>
    <row r="23137" spans="1:3" x14ac:dyDescent="0.25">
      <c r="A23137" s="1" t="s">
        <v>23136</v>
      </c>
      <c r="C23137" s="3">
        <v>1</v>
      </c>
    </row>
    <row r="23138" spans="1:3" x14ac:dyDescent="0.25">
      <c r="A23138" s="1" t="s">
        <v>23137</v>
      </c>
      <c r="C23138" s="3">
        <v>1</v>
      </c>
    </row>
    <row r="23139" spans="1:3" x14ac:dyDescent="0.25">
      <c r="A23139" s="1" t="s">
        <v>23138</v>
      </c>
      <c r="C23139" s="3">
        <v>1</v>
      </c>
    </row>
    <row r="23140" spans="1:3" x14ac:dyDescent="0.25">
      <c r="A23140" s="1" t="s">
        <v>23139</v>
      </c>
      <c r="C23140" s="3">
        <v>1</v>
      </c>
    </row>
    <row r="23141" spans="1:3" x14ac:dyDescent="0.25">
      <c r="A23141" s="1" t="s">
        <v>23140</v>
      </c>
      <c r="C23141" s="3">
        <v>1</v>
      </c>
    </row>
    <row r="23142" spans="1:3" x14ac:dyDescent="0.25">
      <c r="A23142" s="1" t="s">
        <v>23141</v>
      </c>
      <c r="C23142" s="3">
        <v>1</v>
      </c>
    </row>
    <row r="23143" spans="1:3" x14ac:dyDescent="0.25">
      <c r="A23143" s="1" t="s">
        <v>23142</v>
      </c>
      <c r="C23143" s="3">
        <v>1</v>
      </c>
    </row>
    <row r="23144" spans="1:3" x14ac:dyDescent="0.25">
      <c r="A23144" s="1" t="s">
        <v>23143</v>
      </c>
      <c r="C23144" s="3">
        <v>1</v>
      </c>
    </row>
    <row r="23145" spans="1:3" x14ac:dyDescent="0.25">
      <c r="A23145" s="1" t="s">
        <v>23144</v>
      </c>
      <c r="C23145" s="3">
        <v>1</v>
      </c>
    </row>
    <row r="23146" spans="1:3" x14ac:dyDescent="0.25">
      <c r="A23146" s="1" t="s">
        <v>23145</v>
      </c>
      <c r="C23146" s="3">
        <v>1</v>
      </c>
    </row>
    <row r="23147" spans="1:3" x14ac:dyDescent="0.25">
      <c r="A23147" s="1" t="s">
        <v>23146</v>
      </c>
      <c r="C23147" s="3">
        <v>1</v>
      </c>
    </row>
    <row r="23148" spans="1:3" x14ac:dyDescent="0.25">
      <c r="A23148" s="1" t="s">
        <v>23147</v>
      </c>
      <c r="C23148" s="3">
        <v>1</v>
      </c>
    </row>
    <row r="23149" spans="1:3" x14ac:dyDescent="0.25">
      <c r="A23149" s="1" t="s">
        <v>23148</v>
      </c>
      <c r="C23149" s="3">
        <v>1</v>
      </c>
    </row>
    <row r="23150" spans="1:3" x14ac:dyDescent="0.25">
      <c r="A23150" s="1" t="s">
        <v>23149</v>
      </c>
      <c r="C23150" s="3">
        <v>1</v>
      </c>
    </row>
    <row r="23151" spans="1:3" x14ac:dyDescent="0.25">
      <c r="A23151" s="1" t="s">
        <v>23150</v>
      </c>
      <c r="C23151" s="3">
        <v>1</v>
      </c>
    </row>
    <row r="23152" spans="1:3" x14ac:dyDescent="0.25">
      <c r="A23152" s="1" t="s">
        <v>23151</v>
      </c>
      <c r="C23152" s="3">
        <v>1</v>
      </c>
    </row>
    <row r="23153" spans="1:3" x14ac:dyDescent="0.25">
      <c r="A23153" s="1" t="s">
        <v>23152</v>
      </c>
      <c r="C23153" s="3">
        <v>1</v>
      </c>
    </row>
    <row r="23154" spans="1:3" x14ac:dyDescent="0.25">
      <c r="A23154" s="1" t="s">
        <v>23153</v>
      </c>
      <c r="C23154" s="3">
        <v>1</v>
      </c>
    </row>
    <row r="23155" spans="1:3" x14ac:dyDescent="0.25">
      <c r="A23155" s="1" t="s">
        <v>23154</v>
      </c>
      <c r="C23155" s="3">
        <v>1</v>
      </c>
    </row>
    <row r="23156" spans="1:3" x14ac:dyDescent="0.25">
      <c r="A23156" s="1" t="s">
        <v>23155</v>
      </c>
      <c r="C23156" s="3">
        <v>1</v>
      </c>
    </row>
    <row r="23157" spans="1:3" x14ac:dyDescent="0.25">
      <c r="A23157" s="1" t="s">
        <v>23156</v>
      </c>
      <c r="C23157" s="3">
        <v>1</v>
      </c>
    </row>
    <row r="23158" spans="1:3" x14ac:dyDescent="0.25">
      <c r="A23158" s="1" t="s">
        <v>23157</v>
      </c>
      <c r="C23158" s="3">
        <v>1</v>
      </c>
    </row>
    <row r="23159" spans="1:3" x14ac:dyDescent="0.25">
      <c r="A23159" s="1" t="s">
        <v>23158</v>
      </c>
      <c r="C23159" s="3">
        <v>1</v>
      </c>
    </row>
    <row r="23160" spans="1:3" x14ac:dyDescent="0.25">
      <c r="A23160" s="1" t="s">
        <v>23159</v>
      </c>
      <c r="C23160" s="3">
        <v>1</v>
      </c>
    </row>
    <row r="23161" spans="1:3" x14ac:dyDescent="0.25">
      <c r="A23161" s="1" t="s">
        <v>23160</v>
      </c>
      <c r="C23161" s="3">
        <v>1</v>
      </c>
    </row>
    <row r="23162" spans="1:3" x14ac:dyDescent="0.25">
      <c r="A23162" s="1" t="s">
        <v>23161</v>
      </c>
      <c r="C23162" s="3">
        <v>1</v>
      </c>
    </row>
    <row r="23163" spans="1:3" x14ac:dyDescent="0.25">
      <c r="A23163" s="1" t="s">
        <v>23162</v>
      </c>
      <c r="C23163" s="3">
        <v>1</v>
      </c>
    </row>
    <row r="23164" spans="1:3" x14ac:dyDescent="0.25">
      <c r="A23164" s="1" t="s">
        <v>23163</v>
      </c>
      <c r="C23164" s="3">
        <v>1</v>
      </c>
    </row>
    <row r="23165" spans="1:3" x14ac:dyDescent="0.25">
      <c r="A23165" s="1" t="s">
        <v>23164</v>
      </c>
      <c r="C23165" s="3">
        <v>1</v>
      </c>
    </row>
    <row r="23166" spans="1:3" x14ac:dyDescent="0.25">
      <c r="A23166" s="1" t="s">
        <v>23165</v>
      </c>
      <c r="C23166" s="3">
        <v>1</v>
      </c>
    </row>
    <row r="23167" spans="1:3" x14ac:dyDescent="0.25">
      <c r="A23167" s="1" t="s">
        <v>23166</v>
      </c>
      <c r="C23167" s="3">
        <v>1</v>
      </c>
    </row>
    <row r="23168" spans="1:3" x14ac:dyDescent="0.25">
      <c r="A23168" s="1" t="s">
        <v>23167</v>
      </c>
      <c r="C23168" s="3">
        <v>1</v>
      </c>
    </row>
    <row r="23169" spans="1:3" x14ac:dyDescent="0.25">
      <c r="A23169" s="1" t="s">
        <v>23168</v>
      </c>
      <c r="C23169" s="3">
        <v>1</v>
      </c>
    </row>
    <row r="23170" spans="1:3" x14ac:dyDescent="0.25">
      <c r="A23170" s="1" t="s">
        <v>23169</v>
      </c>
      <c r="C23170" s="3">
        <v>1</v>
      </c>
    </row>
    <row r="23171" spans="1:3" x14ac:dyDescent="0.25">
      <c r="A23171" s="1" t="s">
        <v>23170</v>
      </c>
      <c r="C23171" s="3">
        <v>1</v>
      </c>
    </row>
    <row r="23172" spans="1:3" x14ac:dyDescent="0.25">
      <c r="A23172" s="1" t="s">
        <v>23171</v>
      </c>
      <c r="C23172" s="3">
        <v>1</v>
      </c>
    </row>
    <row r="23173" spans="1:3" x14ac:dyDescent="0.25">
      <c r="A23173" s="1" t="s">
        <v>23172</v>
      </c>
      <c r="C23173" s="3">
        <v>1</v>
      </c>
    </row>
    <row r="23174" spans="1:3" x14ac:dyDescent="0.25">
      <c r="A23174" s="1" t="s">
        <v>23173</v>
      </c>
      <c r="C23174" s="3">
        <v>1</v>
      </c>
    </row>
    <row r="23175" spans="1:3" x14ac:dyDescent="0.25">
      <c r="A23175" s="1" t="s">
        <v>23174</v>
      </c>
      <c r="C23175" s="3">
        <v>1</v>
      </c>
    </row>
    <row r="23176" spans="1:3" x14ac:dyDescent="0.25">
      <c r="A23176" s="1" t="s">
        <v>23175</v>
      </c>
      <c r="C23176" s="3">
        <v>1</v>
      </c>
    </row>
    <row r="23177" spans="1:3" x14ac:dyDescent="0.25">
      <c r="A23177" s="1" t="s">
        <v>23176</v>
      </c>
      <c r="C23177" s="3">
        <v>1</v>
      </c>
    </row>
    <row r="23178" spans="1:3" x14ac:dyDescent="0.25">
      <c r="A23178" s="1" t="s">
        <v>23177</v>
      </c>
      <c r="C23178" s="3">
        <v>1</v>
      </c>
    </row>
    <row r="23179" spans="1:3" x14ac:dyDescent="0.25">
      <c r="A23179" s="1" t="s">
        <v>23178</v>
      </c>
      <c r="C23179" s="3">
        <v>1</v>
      </c>
    </row>
    <row r="23180" spans="1:3" x14ac:dyDescent="0.25">
      <c r="A23180" s="1" t="s">
        <v>23179</v>
      </c>
      <c r="C23180" s="3">
        <v>1</v>
      </c>
    </row>
    <row r="23181" spans="1:3" x14ac:dyDescent="0.25">
      <c r="A23181" s="1" t="s">
        <v>23180</v>
      </c>
      <c r="C23181" s="3">
        <v>1</v>
      </c>
    </row>
    <row r="23182" spans="1:3" x14ac:dyDescent="0.25">
      <c r="A23182" s="1" t="s">
        <v>23181</v>
      </c>
      <c r="C23182" s="3">
        <v>1</v>
      </c>
    </row>
    <row r="23183" spans="1:3" x14ac:dyDescent="0.25">
      <c r="A23183" s="1" t="s">
        <v>23182</v>
      </c>
      <c r="C23183" s="3">
        <v>1</v>
      </c>
    </row>
    <row r="23184" spans="1:3" x14ac:dyDescent="0.25">
      <c r="A23184" s="1" t="s">
        <v>23183</v>
      </c>
      <c r="C23184" s="3">
        <v>1</v>
      </c>
    </row>
    <row r="23185" spans="1:3" x14ac:dyDescent="0.25">
      <c r="A23185" s="1" t="s">
        <v>23184</v>
      </c>
      <c r="C23185" s="3">
        <v>1</v>
      </c>
    </row>
    <row r="23186" spans="1:3" x14ac:dyDescent="0.25">
      <c r="A23186" s="1" t="s">
        <v>23185</v>
      </c>
      <c r="C23186" s="3">
        <v>1</v>
      </c>
    </row>
    <row r="23187" spans="1:3" x14ac:dyDescent="0.25">
      <c r="A23187" s="1" t="s">
        <v>23186</v>
      </c>
      <c r="C23187" s="3">
        <v>1</v>
      </c>
    </row>
    <row r="23188" spans="1:3" x14ac:dyDescent="0.25">
      <c r="A23188" s="1" t="s">
        <v>23187</v>
      </c>
      <c r="C23188" s="3">
        <v>1</v>
      </c>
    </row>
    <row r="23189" spans="1:3" x14ac:dyDescent="0.25">
      <c r="A23189" s="1" t="s">
        <v>23188</v>
      </c>
      <c r="C23189" s="3">
        <v>1</v>
      </c>
    </row>
    <row r="23190" spans="1:3" x14ac:dyDescent="0.25">
      <c r="A23190" s="1" t="s">
        <v>23189</v>
      </c>
      <c r="C23190" s="3">
        <v>1</v>
      </c>
    </row>
    <row r="23191" spans="1:3" x14ac:dyDescent="0.25">
      <c r="A23191" s="1" t="s">
        <v>23190</v>
      </c>
      <c r="C23191" s="3">
        <v>1</v>
      </c>
    </row>
    <row r="23192" spans="1:3" x14ac:dyDescent="0.25">
      <c r="A23192" s="1" t="s">
        <v>23191</v>
      </c>
      <c r="C23192" s="3">
        <v>1</v>
      </c>
    </row>
    <row r="23193" spans="1:3" x14ac:dyDescent="0.25">
      <c r="A23193" s="1" t="s">
        <v>23192</v>
      </c>
      <c r="C23193" s="3">
        <v>1</v>
      </c>
    </row>
    <row r="23194" spans="1:3" x14ac:dyDescent="0.25">
      <c r="A23194" s="1" t="s">
        <v>23193</v>
      </c>
      <c r="C23194" s="3">
        <v>1</v>
      </c>
    </row>
    <row r="23195" spans="1:3" x14ac:dyDescent="0.25">
      <c r="A23195" s="1" t="s">
        <v>23194</v>
      </c>
      <c r="C23195" s="3">
        <v>1</v>
      </c>
    </row>
    <row r="23196" spans="1:3" x14ac:dyDescent="0.25">
      <c r="A23196" s="1" t="s">
        <v>23195</v>
      </c>
      <c r="C23196" s="3">
        <v>1</v>
      </c>
    </row>
    <row r="23197" spans="1:3" x14ac:dyDescent="0.25">
      <c r="A23197" s="1" t="s">
        <v>23196</v>
      </c>
      <c r="C23197" s="3">
        <v>1</v>
      </c>
    </row>
    <row r="23198" spans="1:3" x14ac:dyDescent="0.25">
      <c r="A23198" s="1" t="s">
        <v>23197</v>
      </c>
      <c r="C23198" s="3">
        <v>1</v>
      </c>
    </row>
    <row r="23199" spans="1:3" x14ac:dyDescent="0.25">
      <c r="A23199" s="1" t="s">
        <v>23198</v>
      </c>
      <c r="C23199" s="3">
        <v>1</v>
      </c>
    </row>
    <row r="23200" spans="1:3" x14ac:dyDescent="0.25">
      <c r="A23200" s="1" t="s">
        <v>23199</v>
      </c>
      <c r="C23200" s="3">
        <v>1</v>
      </c>
    </row>
    <row r="23201" spans="1:3" x14ac:dyDescent="0.25">
      <c r="A23201" s="1" t="s">
        <v>23200</v>
      </c>
      <c r="C23201" s="3">
        <v>1</v>
      </c>
    </row>
    <row r="23202" spans="1:3" x14ac:dyDescent="0.25">
      <c r="A23202" s="1" t="s">
        <v>23201</v>
      </c>
      <c r="C23202" s="3">
        <v>1</v>
      </c>
    </row>
    <row r="23203" spans="1:3" x14ac:dyDescent="0.25">
      <c r="A23203" s="1" t="s">
        <v>23202</v>
      </c>
      <c r="C23203" s="3">
        <v>1</v>
      </c>
    </row>
    <row r="23204" spans="1:3" x14ac:dyDescent="0.25">
      <c r="A23204" s="1" t="s">
        <v>23203</v>
      </c>
      <c r="C23204" s="3">
        <v>1</v>
      </c>
    </row>
    <row r="23205" spans="1:3" x14ac:dyDescent="0.25">
      <c r="A23205" s="1" t="s">
        <v>23204</v>
      </c>
      <c r="C23205" s="3">
        <v>1</v>
      </c>
    </row>
    <row r="23206" spans="1:3" x14ac:dyDescent="0.25">
      <c r="A23206" s="1" t="s">
        <v>23205</v>
      </c>
      <c r="C23206" s="3">
        <v>1</v>
      </c>
    </row>
    <row r="23207" spans="1:3" x14ac:dyDescent="0.25">
      <c r="A23207" s="1" t="s">
        <v>23206</v>
      </c>
      <c r="C23207" s="3">
        <v>1</v>
      </c>
    </row>
    <row r="23208" spans="1:3" x14ac:dyDescent="0.25">
      <c r="A23208" s="1" t="s">
        <v>23207</v>
      </c>
      <c r="C23208" s="3">
        <v>1</v>
      </c>
    </row>
    <row r="23209" spans="1:3" x14ac:dyDescent="0.25">
      <c r="A23209" s="1" t="s">
        <v>23208</v>
      </c>
      <c r="C23209" s="3">
        <v>1</v>
      </c>
    </row>
    <row r="23210" spans="1:3" x14ac:dyDescent="0.25">
      <c r="A23210" s="1" t="s">
        <v>23209</v>
      </c>
      <c r="C23210" s="3">
        <v>1</v>
      </c>
    </row>
    <row r="23211" spans="1:3" x14ac:dyDescent="0.25">
      <c r="A23211" s="1" t="s">
        <v>23210</v>
      </c>
      <c r="C23211" s="3">
        <v>1</v>
      </c>
    </row>
    <row r="23212" spans="1:3" x14ac:dyDescent="0.25">
      <c r="A23212" s="1" t="s">
        <v>23211</v>
      </c>
      <c r="C23212" s="3">
        <v>1</v>
      </c>
    </row>
    <row r="23213" spans="1:3" x14ac:dyDescent="0.25">
      <c r="A23213" s="1" t="s">
        <v>23212</v>
      </c>
      <c r="C23213" s="3">
        <v>1</v>
      </c>
    </row>
    <row r="23214" spans="1:3" x14ac:dyDescent="0.25">
      <c r="A23214" s="1" t="s">
        <v>23213</v>
      </c>
      <c r="C23214" s="3">
        <v>1</v>
      </c>
    </row>
    <row r="23215" spans="1:3" x14ac:dyDescent="0.25">
      <c r="A23215" s="1" t="s">
        <v>23214</v>
      </c>
      <c r="C23215" s="3">
        <v>1</v>
      </c>
    </row>
    <row r="23216" spans="1:3" x14ac:dyDescent="0.25">
      <c r="A23216" s="1" t="s">
        <v>23215</v>
      </c>
      <c r="C23216" s="3">
        <v>1</v>
      </c>
    </row>
    <row r="23217" spans="1:3" x14ac:dyDescent="0.25">
      <c r="A23217" s="1" t="s">
        <v>23216</v>
      </c>
      <c r="C23217" s="3">
        <v>1</v>
      </c>
    </row>
    <row r="23218" spans="1:3" x14ac:dyDescent="0.25">
      <c r="A23218" s="1" t="s">
        <v>23217</v>
      </c>
      <c r="C23218" s="3">
        <v>1</v>
      </c>
    </row>
    <row r="23219" spans="1:3" x14ac:dyDescent="0.25">
      <c r="A23219" s="1" t="s">
        <v>23218</v>
      </c>
      <c r="C23219" s="3">
        <v>1</v>
      </c>
    </row>
    <row r="23220" spans="1:3" x14ac:dyDescent="0.25">
      <c r="A23220" s="1" t="s">
        <v>23219</v>
      </c>
      <c r="C23220" s="3">
        <v>1</v>
      </c>
    </row>
    <row r="23221" spans="1:3" x14ac:dyDescent="0.25">
      <c r="A23221" s="1" t="s">
        <v>23220</v>
      </c>
      <c r="C23221" s="3">
        <v>1</v>
      </c>
    </row>
    <row r="23222" spans="1:3" x14ac:dyDescent="0.25">
      <c r="A23222" s="1" t="s">
        <v>23221</v>
      </c>
      <c r="C23222" s="3">
        <v>1</v>
      </c>
    </row>
    <row r="23223" spans="1:3" x14ac:dyDescent="0.25">
      <c r="A23223" s="1" t="s">
        <v>23222</v>
      </c>
      <c r="C23223" s="3">
        <v>1</v>
      </c>
    </row>
    <row r="23224" spans="1:3" x14ac:dyDescent="0.25">
      <c r="A23224" s="1" t="s">
        <v>23223</v>
      </c>
      <c r="C23224" s="3">
        <v>1</v>
      </c>
    </row>
    <row r="23225" spans="1:3" x14ac:dyDescent="0.25">
      <c r="A23225" s="1" t="s">
        <v>23224</v>
      </c>
      <c r="C23225" s="3">
        <v>1</v>
      </c>
    </row>
    <row r="23226" spans="1:3" x14ac:dyDescent="0.25">
      <c r="A23226" s="1" t="s">
        <v>23225</v>
      </c>
      <c r="C23226" s="3">
        <v>1</v>
      </c>
    </row>
    <row r="23227" spans="1:3" x14ac:dyDescent="0.25">
      <c r="A23227" s="1" t="s">
        <v>23226</v>
      </c>
      <c r="C23227" s="3">
        <v>1</v>
      </c>
    </row>
    <row r="23228" spans="1:3" x14ac:dyDescent="0.25">
      <c r="A23228" s="1" t="s">
        <v>23227</v>
      </c>
      <c r="C23228" s="3">
        <v>1</v>
      </c>
    </row>
    <row r="23229" spans="1:3" x14ac:dyDescent="0.25">
      <c r="A23229" s="1" t="s">
        <v>23228</v>
      </c>
      <c r="C23229" s="3">
        <v>1</v>
      </c>
    </row>
    <row r="23230" spans="1:3" x14ac:dyDescent="0.25">
      <c r="A23230" s="1" t="s">
        <v>23229</v>
      </c>
      <c r="C23230" s="3">
        <v>1</v>
      </c>
    </row>
    <row r="23231" spans="1:3" x14ac:dyDescent="0.25">
      <c r="A23231" s="1" t="s">
        <v>23230</v>
      </c>
      <c r="C23231" s="3">
        <v>1</v>
      </c>
    </row>
    <row r="23232" spans="1:3" x14ac:dyDescent="0.25">
      <c r="A23232" s="1" t="s">
        <v>23231</v>
      </c>
      <c r="C23232" s="3">
        <v>1</v>
      </c>
    </row>
    <row r="23233" spans="1:3" x14ac:dyDescent="0.25">
      <c r="A23233" s="1" t="s">
        <v>23232</v>
      </c>
      <c r="C23233" s="3">
        <v>1</v>
      </c>
    </row>
    <row r="23234" spans="1:3" x14ac:dyDescent="0.25">
      <c r="A23234" s="1" t="s">
        <v>23233</v>
      </c>
      <c r="C23234" s="3">
        <v>1</v>
      </c>
    </row>
    <row r="23235" spans="1:3" x14ac:dyDescent="0.25">
      <c r="A23235" s="1" t="s">
        <v>23234</v>
      </c>
      <c r="C23235" s="3">
        <v>1</v>
      </c>
    </row>
    <row r="23236" spans="1:3" x14ac:dyDescent="0.25">
      <c r="A23236" s="1" t="s">
        <v>23235</v>
      </c>
      <c r="C23236" s="3">
        <v>1</v>
      </c>
    </row>
    <row r="23237" spans="1:3" x14ac:dyDescent="0.25">
      <c r="A23237" s="1" t="s">
        <v>23236</v>
      </c>
      <c r="C23237" s="3">
        <v>1</v>
      </c>
    </row>
    <row r="23238" spans="1:3" x14ac:dyDescent="0.25">
      <c r="A23238" s="1" t="s">
        <v>23237</v>
      </c>
      <c r="C23238" s="3">
        <v>1</v>
      </c>
    </row>
    <row r="23239" spans="1:3" x14ac:dyDescent="0.25">
      <c r="A23239" s="1" t="s">
        <v>23238</v>
      </c>
      <c r="C23239" s="3">
        <v>1</v>
      </c>
    </row>
    <row r="23240" spans="1:3" x14ac:dyDescent="0.25">
      <c r="A23240" s="1" t="s">
        <v>23239</v>
      </c>
      <c r="C23240" s="3">
        <v>1</v>
      </c>
    </row>
    <row r="23241" spans="1:3" x14ac:dyDescent="0.25">
      <c r="A23241" s="1" t="s">
        <v>23240</v>
      </c>
      <c r="C23241" s="3">
        <v>1</v>
      </c>
    </row>
    <row r="23242" spans="1:3" x14ac:dyDescent="0.25">
      <c r="A23242" s="1" t="s">
        <v>23241</v>
      </c>
      <c r="C23242" s="3">
        <v>1</v>
      </c>
    </row>
    <row r="23243" spans="1:3" x14ac:dyDescent="0.25">
      <c r="A23243" s="1" t="s">
        <v>23242</v>
      </c>
      <c r="C23243" s="3">
        <v>1</v>
      </c>
    </row>
    <row r="23244" spans="1:3" x14ac:dyDescent="0.25">
      <c r="A23244" s="1" t="s">
        <v>23243</v>
      </c>
      <c r="C23244" s="3">
        <v>1</v>
      </c>
    </row>
    <row r="23245" spans="1:3" x14ac:dyDescent="0.25">
      <c r="A23245" s="1" t="s">
        <v>23244</v>
      </c>
      <c r="C23245" s="3">
        <v>1</v>
      </c>
    </row>
    <row r="23246" spans="1:3" x14ac:dyDescent="0.25">
      <c r="A23246" s="1" t="s">
        <v>23245</v>
      </c>
      <c r="C23246" s="3">
        <v>1</v>
      </c>
    </row>
    <row r="23247" spans="1:3" x14ac:dyDescent="0.25">
      <c r="A23247" s="1" t="s">
        <v>23246</v>
      </c>
      <c r="C23247" s="3">
        <v>1</v>
      </c>
    </row>
    <row r="23248" spans="1:3" x14ac:dyDescent="0.25">
      <c r="A23248" s="1" t="s">
        <v>23247</v>
      </c>
      <c r="C23248" s="3">
        <v>1</v>
      </c>
    </row>
    <row r="23249" spans="1:3" x14ac:dyDescent="0.25">
      <c r="A23249" s="1" t="s">
        <v>23248</v>
      </c>
      <c r="C23249" s="3">
        <v>1</v>
      </c>
    </row>
    <row r="23250" spans="1:3" x14ac:dyDescent="0.25">
      <c r="A23250" s="1" t="s">
        <v>23249</v>
      </c>
      <c r="C23250" s="3">
        <v>1</v>
      </c>
    </row>
    <row r="23251" spans="1:3" x14ac:dyDescent="0.25">
      <c r="A23251" s="1" t="s">
        <v>23250</v>
      </c>
      <c r="C23251" s="3">
        <v>1</v>
      </c>
    </row>
    <row r="23252" spans="1:3" x14ac:dyDescent="0.25">
      <c r="A23252" s="1" t="s">
        <v>23251</v>
      </c>
      <c r="C23252" s="3">
        <v>1</v>
      </c>
    </row>
    <row r="23253" spans="1:3" x14ac:dyDescent="0.25">
      <c r="A23253" s="1" t="s">
        <v>23252</v>
      </c>
      <c r="C23253" s="3">
        <v>1</v>
      </c>
    </row>
    <row r="23254" spans="1:3" x14ac:dyDescent="0.25">
      <c r="A23254" s="1" t="s">
        <v>23253</v>
      </c>
      <c r="C23254" s="3">
        <v>1</v>
      </c>
    </row>
    <row r="23255" spans="1:3" x14ac:dyDescent="0.25">
      <c r="A23255" s="1" t="s">
        <v>23254</v>
      </c>
      <c r="C23255" s="3">
        <v>1</v>
      </c>
    </row>
    <row r="23256" spans="1:3" x14ac:dyDescent="0.25">
      <c r="A23256" s="1" t="s">
        <v>23255</v>
      </c>
      <c r="C23256" s="3">
        <v>1</v>
      </c>
    </row>
    <row r="23257" spans="1:3" x14ac:dyDescent="0.25">
      <c r="A23257" s="1" t="s">
        <v>23256</v>
      </c>
      <c r="C23257" s="3">
        <v>1</v>
      </c>
    </row>
    <row r="23258" spans="1:3" x14ac:dyDescent="0.25">
      <c r="A23258" s="1" t="s">
        <v>23257</v>
      </c>
      <c r="C23258" s="3">
        <v>1</v>
      </c>
    </row>
    <row r="23259" spans="1:3" x14ac:dyDescent="0.25">
      <c r="A23259" s="1" t="s">
        <v>23258</v>
      </c>
      <c r="C23259" s="3">
        <v>1</v>
      </c>
    </row>
    <row r="23260" spans="1:3" x14ac:dyDescent="0.25">
      <c r="A23260" s="1" t="s">
        <v>23259</v>
      </c>
      <c r="C23260" s="3">
        <v>1</v>
      </c>
    </row>
    <row r="23261" spans="1:3" x14ac:dyDescent="0.25">
      <c r="A23261" s="1" t="s">
        <v>23260</v>
      </c>
      <c r="C23261" s="3">
        <v>1</v>
      </c>
    </row>
    <row r="23262" spans="1:3" x14ac:dyDescent="0.25">
      <c r="A23262" s="1" t="s">
        <v>23261</v>
      </c>
      <c r="C23262" s="3">
        <v>1</v>
      </c>
    </row>
    <row r="23263" spans="1:3" x14ac:dyDescent="0.25">
      <c r="A23263" s="1" t="s">
        <v>23262</v>
      </c>
      <c r="C23263" s="3">
        <v>1</v>
      </c>
    </row>
    <row r="23264" spans="1:3" x14ac:dyDescent="0.25">
      <c r="A23264" s="1" t="s">
        <v>23263</v>
      </c>
      <c r="C23264" s="3">
        <v>1</v>
      </c>
    </row>
    <row r="23265" spans="1:3" x14ac:dyDescent="0.25">
      <c r="A23265" s="1" t="s">
        <v>23264</v>
      </c>
      <c r="C23265" s="3">
        <v>1</v>
      </c>
    </row>
    <row r="23266" spans="1:3" x14ac:dyDescent="0.25">
      <c r="A23266" s="1" t="s">
        <v>23265</v>
      </c>
      <c r="C23266" s="3">
        <v>1</v>
      </c>
    </row>
    <row r="23267" spans="1:3" x14ac:dyDescent="0.25">
      <c r="A23267" s="1" t="s">
        <v>23266</v>
      </c>
      <c r="C23267" s="3">
        <v>1</v>
      </c>
    </row>
    <row r="23268" spans="1:3" x14ac:dyDescent="0.25">
      <c r="A23268" s="1" t="s">
        <v>23267</v>
      </c>
      <c r="C23268" s="3">
        <v>1</v>
      </c>
    </row>
    <row r="23269" spans="1:3" x14ac:dyDescent="0.25">
      <c r="A23269" s="1" t="s">
        <v>23268</v>
      </c>
      <c r="C23269" s="3">
        <v>1</v>
      </c>
    </row>
    <row r="23270" spans="1:3" x14ac:dyDescent="0.25">
      <c r="A23270" s="1" t="s">
        <v>23269</v>
      </c>
      <c r="C23270" s="3">
        <v>1</v>
      </c>
    </row>
    <row r="23271" spans="1:3" x14ac:dyDescent="0.25">
      <c r="A23271" s="1" t="s">
        <v>23270</v>
      </c>
      <c r="C23271" s="3">
        <v>1</v>
      </c>
    </row>
    <row r="23272" spans="1:3" x14ac:dyDescent="0.25">
      <c r="A23272" s="1" t="s">
        <v>23271</v>
      </c>
      <c r="C23272" s="3">
        <v>1</v>
      </c>
    </row>
    <row r="23273" spans="1:3" x14ac:dyDescent="0.25">
      <c r="A23273" s="1" t="s">
        <v>23272</v>
      </c>
      <c r="C23273" s="3">
        <v>1</v>
      </c>
    </row>
    <row r="23274" spans="1:3" x14ac:dyDescent="0.25">
      <c r="A23274" s="1" t="s">
        <v>23273</v>
      </c>
      <c r="C23274" s="3">
        <v>1</v>
      </c>
    </row>
    <row r="23275" spans="1:3" x14ac:dyDescent="0.25">
      <c r="A23275" s="1" t="s">
        <v>23274</v>
      </c>
      <c r="C23275" s="3">
        <v>1</v>
      </c>
    </row>
    <row r="23276" spans="1:3" x14ac:dyDescent="0.25">
      <c r="A23276" s="1" t="s">
        <v>23275</v>
      </c>
      <c r="C23276" s="3">
        <v>1</v>
      </c>
    </row>
    <row r="23277" spans="1:3" x14ac:dyDescent="0.25">
      <c r="A23277" s="1" t="s">
        <v>23276</v>
      </c>
      <c r="C23277" s="3">
        <v>1</v>
      </c>
    </row>
    <row r="23278" spans="1:3" x14ac:dyDescent="0.25">
      <c r="A23278" s="1" t="s">
        <v>23277</v>
      </c>
      <c r="C23278" s="3">
        <v>1</v>
      </c>
    </row>
    <row r="23279" spans="1:3" x14ac:dyDescent="0.25">
      <c r="A23279" s="1" t="s">
        <v>23278</v>
      </c>
      <c r="C23279" s="3">
        <v>1</v>
      </c>
    </row>
    <row r="23280" spans="1:3" x14ac:dyDescent="0.25">
      <c r="A23280" s="1" t="s">
        <v>23279</v>
      </c>
      <c r="C23280" s="3">
        <v>1</v>
      </c>
    </row>
    <row r="23281" spans="1:3" x14ac:dyDescent="0.25">
      <c r="A23281" s="1" t="s">
        <v>23280</v>
      </c>
      <c r="C23281" s="3">
        <v>1</v>
      </c>
    </row>
    <row r="23282" spans="1:3" x14ac:dyDescent="0.25">
      <c r="A23282" s="1" t="s">
        <v>23281</v>
      </c>
      <c r="C23282" s="3">
        <v>1</v>
      </c>
    </row>
    <row r="23283" spans="1:3" x14ac:dyDescent="0.25">
      <c r="A23283" s="1" t="s">
        <v>23282</v>
      </c>
      <c r="C23283" s="3">
        <v>1</v>
      </c>
    </row>
    <row r="23284" spans="1:3" x14ac:dyDescent="0.25">
      <c r="A23284" s="1" t="s">
        <v>23283</v>
      </c>
      <c r="C23284" s="3">
        <v>1</v>
      </c>
    </row>
    <row r="23285" spans="1:3" x14ac:dyDescent="0.25">
      <c r="A23285" s="1" t="s">
        <v>23284</v>
      </c>
      <c r="C23285" s="3">
        <v>1</v>
      </c>
    </row>
    <row r="23286" spans="1:3" x14ac:dyDescent="0.25">
      <c r="A23286" s="1" t="s">
        <v>23285</v>
      </c>
      <c r="C23286" s="3">
        <v>1</v>
      </c>
    </row>
    <row r="23287" spans="1:3" x14ac:dyDescent="0.25">
      <c r="A23287" s="1" t="s">
        <v>23286</v>
      </c>
      <c r="C23287" s="3">
        <v>1</v>
      </c>
    </row>
    <row r="23288" spans="1:3" x14ac:dyDescent="0.25">
      <c r="A23288" s="1" t="s">
        <v>23287</v>
      </c>
      <c r="C23288" s="3">
        <v>1</v>
      </c>
    </row>
    <row r="23289" spans="1:3" x14ac:dyDescent="0.25">
      <c r="A23289" s="1" t="s">
        <v>23288</v>
      </c>
      <c r="C23289" s="3">
        <v>1</v>
      </c>
    </row>
    <row r="23290" spans="1:3" x14ac:dyDescent="0.25">
      <c r="A23290" s="1" t="s">
        <v>23289</v>
      </c>
      <c r="C23290" s="3">
        <v>1</v>
      </c>
    </row>
    <row r="23291" spans="1:3" x14ac:dyDescent="0.25">
      <c r="A23291" s="1" t="s">
        <v>23290</v>
      </c>
      <c r="C23291" s="3">
        <v>1</v>
      </c>
    </row>
    <row r="23292" spans="1:3" x14ac:dyDescent="0.25">
      <c r="A23292" s="1" t="s">
        <v>23291</v>
      </c>
      <c r="C23292" s="3">
        <v>1</v>
      </c>
    </row>
    <row r="23293" spans="1:3" x14ac:dyDescent="0.25">
      <c r="A23293" s="1" t="s">
        <v>23292</v>
      </c>
      <c r="C23293" s="3">
        <v>1</v>
      </c>
    </row>
    <row r="23294" spans="1:3" x14ac:dyDescent="0.25">
      <c r="A23294" s="1" t="s">
        <v>23293</v>
      </c>
      <c r="C23294" s="3">
        <v>1</v>
      </c>
    </row>
    <row r="23295" spans="1:3" x14ac:dyDescent="0.25">
      <c r="A23295" s="1" t="s">
        <v>23294</v>
      </c>
      <c r="C23295" s="3">
        <v>1</v>
      </c>
    </row>
    <row r="23296" spans="1:3" x14ac:dyDescent="0.25">
      <c r="A23296" s="1" t="s">
        <v>23295</v>
      </c>
      <c r="C23296" s="3">
        <v>1</v>
      </c>
    </row>
    <row r="23297" spans="1:3" x14ac:dyDescent="0.25">
      <c r="A23297" s="1" t="s">
        <v>23296</v>
      </c>
      <c r="C23297" s="3">
        <v>1</v>
      </c>
    </row>
    <row r="23298" spans="1:3" x14ac:dyDescent="0.25">
      <c r="A23298" s="1" t="s">
        <v>23297</v>
      </c>
      <c r="C23298" s="3">
        <v>1</v>
      </c>
    </row>
    <row r="23299" spans="1:3" x14ac:dyDescent="0.25">
      <c r="A23299" s="1" t="s">
        <v>23298</v>
      </c>
      <c r="C23299" s="3">
        <v>1</v>
      </c>
    </row>
    <row r="23300" spans="1:3" x14ac:dyDescent="0.25">
      <c r="A23300" s="1" t="s">
        <v>23299</v>
      </c>
      <c r="C23300" s="3">
        <v>1</v>
      </c>
    </row>
    <row r="23301" spans="1:3" x14ac:dyDescent="0.25">
      <c r="A23301" s="1" t="s">
        <v>23300</v>
      </c>
      <c r="C23301" s="3">
        <v>1</v>
      </c>
    </row>
    <row r="23302" spans="1:3" x14ac:dyDescent="0.25">
      <c r="A23302" s="1" t="s">
        <v>23301</v>
      </c>
      <c r="C23302" s="3">
        <v>1</v>
      </c>
    </row>
    <row r="23303" spans="1:3" x14ac:dyDescent="0.25">
      <c r="A23303" s="1" t="s">
        <v>23302</v>
      </c>
      <c r="C23303" s="3">
        <v>1</v>
      </c>
    </row>
    <row r="23304" spans="1:3" x14ac:dyDescent="0.25">
      <c r="A23304" s="1" t="s">
        <v>23303</v>
      </c>
      <c r="C23304" s="3">
        <v>1</v>
      </c>
    </row>
    <row r="23305" spans="1:3" x14ac:dyDescent="0.25">
      <c r="A23305" s="1" t="s">
        <v>23304</v>
      </c>
      <c r="C23305" s="3">
        <v>1</v>
      </c>
    </row>
    <row r="23306" spans="1:3" x14ac:dyDescent="0.25">
      <c r="A23306" s="1" t="s">
        <v>23305</v>
      </c>
      <c r="C23306" s="3">
        <v>1</v>
      </c>
    </row>
    <row r="23307" spans="1:3" x14ac:dyDescent="0.25">
      <c r="A23307" s="1" t="s">
        <v>23306</v>
      </c>
      <c r="C23307" s="3">
        <v>1</v>
      </c>
    </row>
    <row r="23308" spans="1:3" x14ac:dyDescent="0.25">
      <c r="A23308" s="1" t="s">
        <v>23307</v>
      </c>
      <c r="C23308" s="3">
        <v>1</v>
      </c>
    </row>
    <row r="23309" spans="1:3" x14ac:dyDescent="0.25">
      <c r="A23309" s="1" t="s">
        <v>23308</v>
      </c>
      <c r="C23309" s="3">
        <v>1</v>
      </c>
    </row>
    <row r="23310" spans="1:3" x14ac:dyDescent="0.25">
      <c r="A23310" s="1" t="s">
        <v>23309</v>
      </c>
      <c r="C23310" s="3">
        <v>1</v>
      </c>
    </row>
    <row r="23311" spans="1:3" x14ac:dyDescent="0.25">
      <c r="A23311" s="1" t="s">
        <v>23310</v>
      </c>
      <c r="C23311" s="3">
        <v>1</v>
      </c>
    </row>
    <row r="23312" spans="1:3" x14ac:dyDescent="0.25">
      <c r="A23312" s="1" t="s">
        <v>23311</v>
      </c>
      <c r="C23312" s="3">
        <v>1</v>
      </c>
    </row>
    <row r="23313" spans="1:3" x14ac:dyDescent="0.25">
      <c r="A23313" s="1" t="s">
        <v>23312</v>
      </c>
      <c r="C23313" s="3">
        <v>1</v>
      </c>
    </row>
    <row r="23314" spans="1:3" x14ac:dyDescent="0.25">
      <c r="A23314" s="1" t="s">
        <v>23313</v>
      </c>
      <c r="C23314" s="3">
        <v>1</v>
      </c>
    </row>
    <row r="23315" spans="1:3" x14ac:dyDescent="0.25">
      <c r="A23315" s="1" t="s">
        <v>23314</v>
      </c>
      <c r="C23315" s="3">
        <v>1</v>
      </c>
    </row>
    <row r="23316" spans="1:3" x14ac:dyDescent="0.25">
      <c r="A23316" s="1" t="s">
        <v>23315</v>
      </c>
      <c r="C23316" s="3">
        <v>1</v>
      </c>
    </row>
    <row r="23317" spans="1:3" x14ac:dyDescent="0.25">
      <c r="A23317" s="1" t="s">
        <v>23316</v>
      </c>
      <c r="C23317" s="3">
        <v>1</v>
      </c>
    </row>
    <row r="23318" spans="1:3" x14ac:dyDescent="0.25">
      <c r="A23318" s="1" t="s">
        <v>23317</v>
      </c>
      <c r="C23318" s="3">
        <v>1</v>
      </c>
    </row>
    <row r="23319" spans="1:3" x14ac:dyDescent="0.25">
      <c r="A23319" s="1" t="s">
        <v>23318</v>
      </c>
      <c r="C23319" s="3">
        <v>1</v>
      </c>
    </row>
    <row r="23320" spans="1:3" x14ac:dyDescent="0.25">
      <c r="A23320" s="1" t="s">
        <v>23319</v>
      </c>
      <c r="C23320" s="3">
        <v>1</v>
      </c>
    </row>
    <row r="23321" spans="1:3" x14ac:dyDescent="0.25">
      <c r="A23321" s="1" t="s">
        <v>23320</v>
      </c>
      <c r="C23321" s="3">
        <v>1</v>
      </c>
    </row>
    <row r="23322" spans="1:3" x14ac:dyDescent="0.25">
      <c r="A23322" s="1" t="s">
        <v>23321</v>
      </c>
      <c r="C23322" s="3">
        <v>1</v>
      </c>
    </row>
    <row r="23323" spans="1:3" x14ac:dyDescent="0.25">
      <c r="A23323" s="1" t="s">
        <v>23322</v>
      </c>
      <c r="C23323" s="3">
        <v>1</v>
      </c>
    </row>
    <row r="23324" spans="1:3" x14ac:dyDescent="0.25">
      <c r="A23324" s="1" t="s">
        <v>23323</v>
      </c>
      <c r="C23324" s="3">
        <v>1</v>
      </c>
    </row>
    <row r="23325" spans="1:3" x14ac:dyDescent="0.25">
      <c r="A23325" s="1" t="s">
        <v>23324</v>
      </c>
      <c r="C23325" s="3">
        <v>1</v>
      </c>
    </row>
    <row r="23326" spans="1:3" x14ac:dyDescent="0.25">
      <c r="A23326" s="1" t="s">
        <v>23325</v>
      </c>
      <c r="C23326" s="3">
        <v>1</v>
      </c>
    </row>
    <row r="23327" spans="1:3" x14ac:dyDescent="0.25">
      <c r="A23327" s="1" t="s">
        <v>23326</v>
      </c>
      <c r="C23327" s="3">
        <v>1</v>
      </c>
    </row>
    <row r="23328" spans="1:3" x14ac:dyDescent="0.25">
      <c r="A23328" s="1" t="s">
        <v>23327</v>
      </c>
      <c r="C23328" s="3">
        <v>1</v>
      </c>
    </row>
    <row r="23329" spans="1:3" x14ac:dyDescent="0.25">
      <c r="A23329" s="1" t="s">
        <v>23328</v>
      </c>
      <c r="C23329" s="3">
        <v>1</v>
      </c>
    </row>
    <row r="23330" spans="1:3" x14ac:dyDescent="0.25">
      <c r="A23330" s="1" t="s">
        <v>23329</v>
      </c>
      <c r="C23330" s="3">
        <v>1</v>
      </c>
    </row>
    <row r="23331" spans="1:3" x14ac:dyDescent="0.25">
      <c r="A23331" s="1" t="s">
        <v>23330</v>
      </c>
      <c r="C23331" s="3">
        <v>1</v>
      </c>
    </row>
    <row r="23332" spans="1:3" x14ac:dyDescent="0.25">
      <c r="A23332" s="1" t="s">
        <v>23331</v>
      </c>
      <c r="C23332" s="3">
        <v>1</v>
      </c>
    </row>
    <row r="23333" spans="1:3" x14ac:dyDescent="0.25">
      <c r="A23333" s="1" t="s">
        <v>23332</v>
      </c>
      <c r="C23333" s="3">
        <v>1</v>
      </c>
    </row>
    <row r="23334" spans="1:3" x14ac:dyDescent="0.25">
      <c r="A23334" s="1" t="s">
        <v>23333</v>
      </c>
      <c r="C23334" s="3">
        <v>1</v>
      </c>
    </row>
    <row r="23335" spans="1:3" x14ac:dyDescent="0.25">
      <c r="A23335" s="1" t="s">
        <v>23334</v>
      </c>
      <c r="C23335" s="3">
        <v>1</v>
      </c>
    </row>
    <row r="23336" spans="1:3" x14ac:dyDescent="0.25">
      <c r="A23336" s="1" t="s">
        <v>23335</v>
      </c>
      <c r="C23336" s="3">
        <v>1</v>
      </c>
    </row>
    <row r="23337" spans="1:3" x14ac:dyDescent="0.25">
      <c r="A23337" s="1" t="s">
        <v>23336</v>
      </c>
      <c r="C23337" s="3">
        <v>1</v>
      </c>
    </row>
    <row r="23338" spans="1:3" x14ac:dyDescent="0.25">
      <c r="A23338" s="1" t="s">
        <v>23337</v>
      </c>
      <c r="C23338" s="3">
        <v>1</v>
      </c>
    </row>
    <row r="23339" spans="1:3" x14ac:dyDescent="0.25">
      <c r="A23339" s="1" t="s">
        <v>23338</v>
      </c>
      <c r="C23339" s="3">
        <v>1</v>
      </c>
    </row>
    <row r="23340" spans="1:3" x14ac:dyDescent="0.25">
      <c r="A23340" s="1" t="s">
        <v>23339</v>
      </c>
      <c r="C23340" s="3">
        <v>1</v>
      </c>
    </row>
    <row r="23341" spans="1:3" x14ac:dyDescent="0.25">
      <c r="A23341" s="1" t="s">
        <v>23340</v>
      </c>
      <c r="C23341" s="3">
        <v>1</v>
      </c>
    </row>
    <row r="23342" spans="1:3" x14ac:dyDescent="0.25">
      <c r="A23342" s="1" t="s">
        <v>23341</v>
      </c>
      <c r="C23342" s="3">
        <v>1</v>
      </c>
    </row>
    <row r="23343" spans="1:3" x14ac:dyDescent="0.25">
      <c r="A23343" s="1" t="s">
        <v>23342</v>
      </c>
      <c r="C23343" s="3">
        <v>1</v>
      </c>
    </row>
    <row r="23344" spans="1:3" x14ac:dyDescent="0.25">
      <c r="A23344" s="1" t="s">
        <v>23343</v>
      </c>
      <c r="C23344" s="3">
        <v>1</v>
      </c>
    </row>
    <row r="23345" spans="1:3" x14ac:dyDescent="0.25">
      <c r="A23345" s="1" t="s">
        <v>23344</v>
      </c>
      <c r="C23345" s="3">
        <v>1</v>
      </c>
    </row>
    <row r="23346" spans="1:3" x14ac:dyDescent="0.25">
      <c r="A23346" s="1" t="s">
        <v>23345</v>
      </c>
      <c r="C23346" s="3">
        <v>1</v>
      </c>
    </row>
    <row r="23347" spans="1:3" x14ac:dyDescent="0.25">
      <c r="A23347" s="1" t="s">
        <v>23346</v>
      </c>
      <c r="C23347" s="3">
        <v>1</v>
      </c>
    </row>
    <row r="23348" spans="1:3" x14ac:dyDescent="0.25">
      <c r="A23348" s="1" t="s">
        <v>23347</v>
      </c>
      <c r="C23348" s="3">
        <v>1</v>
      </c>
    </row>
    <row r="23349" spans="1:3" x14ac:dyDescent="0.25">
      <c r="A23349" s="1" t="s">
        <v>23348</v>
      </c>
      <c r="C23349" s="3">
        <v>1</v>
      </c>
    </row>
    <row r="23350" spans="1:3" x14ac:dyDescent="0.25">
      <c r="A23350" s="1" t="s">
        <v>23349</v>
      </c>
      <c r="C23350" s="3">
        <v>1</v>
      </c>
    </row>
    <row r="23351" spans="1:3" x14ac:dyDescent="0.25">
      <c r="A23351" s="1" t="s">
        <v>23350</v>
      </c>
      <c r="C23351" s="3">
        <v>1</v>
      </c>
    </row>
    <row r="23352" spans="1:3" x14ac:dyDescent="0.25">
      <c r="A23352" s="1" t="s">
        <v>23351</v>
      </c>
      <c r="C23352" s="3">
        <v>1</v>
      </c>
    </row>
    <row r="23353" spans="1:3" x14ac:dyDescent="0.25">
      <c r="A23353" s="1" t="s">
        <v>23352</v>
      </c>
      <c r="C23353" s="3">
        <v>1</v>
      </c>
    </row>
    <row r="23354" spans="1:3" x14ac:dyDescent="0.25">
      <c r="A23354" s="1" t="s">
        <v>23353</v>
      </c>
      <c r="C23354" s="3">
        <v>1</v>
      </c>
    </row>
    <row r="23355" spans="1:3" x14ac:dyDescent="0.25">
      <c r="A23355" s="1" t="s">
        <v>23354</v>
      </c>
      <c r="C23355" s="3">
        <v>1</v>
      </c>
    </row>
    <row r="23356" spans="1:3" x14ac:dyDescent="0.25">
      <c r="A23356" s="1" t="s">
        <v>23355</v>
      </c>
      <c r="C23356" s="3">
        <v>1</v>
      </c>
    </row>
    <row r="23357" spans="1:3" x14ac:dyDescent="0.25">
      <c r="A23357" s="1" t="s">
        <v>23356</v>
      </c>
      <c r="C23357" s="3">
        <v>1</v>
      </c>
    </row>
    <row r="23358" spans="1:3" x14ac:dyDescent="0.25">
      <c r="A23358" s="1" t="s">
        <v>23357</v>
      </c>
      <c r="C23358" s="3">
        <v>1</v>
      </c>
    </row>
    <row r="23359" spans="1:3" x14ac:dyDescent="0.25">
      <c r="A23359" s="1" t="s">
        <v>23358</v>
      </c>
      <c r="C23359" s="3">
        <v>1</v>
      </c>
    </row>
    <row r="23360" spans="1:3" x14ac:dyDescent="0.25">
      <c r="A23360" s="1" t="s">
        <v>23359</v>
      </c>
      <c r="C23360" s="3">
        <v>1</v>
      </c>
    </row>
    <row r="23361" spans="1:3" x14ac:dyDescent="0.25">
      <c r="A23361" s="1" t="s">
        <v>23360</v>
      </c>
      <c r="C23361" s="3">
        <v>1</v>
      </c>
    </row>
    <row r="23362" spans="1:3" x14ac:dyDescent="0.25">
      <c r="A23362" s="1" t="s">
        <v>23361</v>
      </c>
      <c r="C23362" s="3">
        <v>1</v>
      </c>
    </row>
    <row r="23363" spans="1:3" x14ac:dyDescent="0.25">
      <c r="A23363" s="1" t="s">
        <v>23362</v>
      </c>
      <c r="C23363" s="3">
        <v>1</v>
      </c>
    </row>
    <row r="23364" spans="1:3" x14ac:dyDescent="0.25">
      <c r="A23364" s="1" t="s">
        <v>23363</v>
      </c>
      <c r="C23364" s="3">
        <v>1</v>
      </c>
    </row>
    <row r="23365" spans="1:3" x14ac:dyDescent="0.25">
      <c r="A23365" s="1" t="s">
        <v>23364</v>
      </c>
      <c r="C23365" s="3">
        <v>1</v>
      </c>
    </row>
    <row r="23366" spans="1:3" x14ac:dyDescent="0.25">
      <c r="A23366" s="1" t="s">
        <v>23365</v>
      </c>
      <c r="C23366" s="3">
        <v>1</v>
      </c>
    </row>
    <row r="23367" spans="1:3" x14ac:dyDescent="0.25">
      <c r="A23367" s="1" t="s">
        <v>23366</v>
      </c>
      <c r="C23367" s="3">
        <v>1</v>
      </c>
    </row>
    <row r="23368" spans="1:3" x14ac:dyDescent="0.25">
      <c r="A23368" s="1" t="s">
        <v>23367</v>
      </c>
      <c r="C23368" s="3">
        <v>1</v>
      </c>
    </row>
    <row r="23369" spans="1:3" x14ac:dyDescent="0.25">
      <c r="A23369" s="1" t="s">
        <v>23368</v>
      </c>
      <c r="C23369" s="3">
        <v>1</v>
      </c>
    </row>
    <row r="23370" spans="1:3" x14ac:dyDescent="0.25">
      <c r="A23370" s="1" t="s">
        <v>23369</v>
      </c>
      <c r="C23370" s="3">
        <v>1</v>
      </c>
    </row>
    <row r="23371" spans="1:3" x14ac:dyDescent="0.25">
      <c r="A23371" s="1" t="s">
        <v>23370</v>
      </c>
      <c r="C23371" s="3">
        <v>1</v>
      </c>
    </row>
    <row r="23372" spans="1:3" x14ac:dyDescent="0.25">
      <c r="A23372" s="1" t="s">
        <v>23371</v>
      </c>
      <c r="C23372" s="3">
        <v>1</v>
      </c>
    </row>
    <row r="23373" spans="1:3" x14ac:dyDescent="0.25">
      <c r="A23373" s="1" t="s">
        <v>23372</v>
      </c>
      <c r="C23373" s="3">
        <v>1</v>
      </c>
    </row>
    <row r="23374" spans="1:3" x14ac:dyDescent="0.25">
      <c r="A23374" s="1" t="s">
        <v>23373</v>
      </c>
      <c r="C23374" s="3">
        <v>1</v>
      </c>
    </row>
    <row r="23375" spans="1:3" x14ac:dyDescent="0.25">
      <c r="A23375" s="1" t="s">
        <v>23374</v>
      </c>
      <c r="C23375" s="3">
        <v>1</v>
      </c>
    </row>
    <row r="23376" spans="1:3" x14ac:dyDescent="0.25">
      <c r="A23376" s="1" t="s">
        <v>23375</v>
      </c>
      <c r="C23376" s="3">
        <v>1</v>
      </c>
    </row>
    <row r="23377" spans="1:3" x14ac:dyDescent="0.25">
      <c r="A23377" s="1" t="s">
        <v>23376</v>
      </c>
      <c r="C23377" s="3">
        <v>1</v>
      </c>
    </row>
    <row r="23378" spans="1:3" x14ac:dyDescent="0.25">
      <c r="A23378" s="1" t="s">
        <v>23377</v>
      </c>
      <c r="C23378" s="3">
        <v>1</v>
      </c>
    </row>
    <row r="23379" spans="1:3" x14ac:dyDescent="0.25">
      <c r="A23379" s="1" t="s">
        <v>23378</v>
      </c>
      <c r="C23379" s="3">
        <v>1</v>
      </c>
    </row>
    <row r="23380" spans="1:3" x14ac:dyDescent="0.25">
      <c r="A23380" s="1" t="s">
        <v>23379</v>
      </c>
      <c r="C23380" s="3">
        <v>1</v>
      </c>
    </row>
    <row r="23381" spans="1:3" x14ac:dyDescent="0.25">
      <c r="A23381" s="1" t="s">
        <v>23380</v>
      </c>
      <c r="C23381" s="3">
        <v>1</v>
      </c>
    </row>
    <row r="23382" spans="1:3" x14ac:dyDescent="0.25">
      <c r="A23382" s="1" t="s">
        <v>23381</v>
      </c>
      <c r="C23382" s="3">
        <v>1</v>
      </c>
    </row>
    <row r="23383" spans="1:3" x14ac:dyDescent="0.25">
      <c r="A23383" s="1" t="s">
        <v>23382</v>
      </c>
      <c r="C23383" s="3">
        <v>1</v>
      </c>
    </row>
    <row r="23384" spans="1:3" x14ac:dyDescent="0.25">
      <c r="A23384" s="1" t="s">
        <v>23383</v>
      </c>
      <c r="C23384" s="3">
        <v>1</v>
      </c>
    </row>
    <row r="23385" spans="1:3" x14ac:dyDescent="0.25">
      <c r="A23385" s="1" t="s">
        <v>23384</v>
      </c>
      <c r="C23385" s="3">
        <v>1</v>
      </c>
    </row>
    <row r="23386" spans="1:3" x14ac:dyDescent="0.25">
      <c r="A23386" s="1" t="s">
        <v>23385</v>
      </c>
      <c r="C23386" s="3">
        <v>1</v>
      </c>
    </row>
    <row r="23387" spans="1:3" x14ac:dyDescent="0.25">
      <c r="A23387" s="1" t="s">
        <v>23386</v>
      </c>
      <c r="C23387" s="3">
        <v>1</v>
      </c>
    </row>
    <row r="23388" spans="1:3" x14ac:dyDescent="0.25">
      <c r="A23388" s="1" t="s">
        <v>23387</v>
      </c>
      <c r="C23388" s="3">
        <v>1</v>
      </c>
    </row>
    <row r="23389" spans="1:3" x14ac:dyDescent="0.25">
      <c r="A23389" s="1" t="s">
        <v>23388</v>
      </c>
      <c r="C23389" s="3">
        <v>1</v>
      </c>
    </row>
    <row r="23390" spans="1:3" x14ac:dyDescent="0.25">
      <c r="A23390" s="1" t="s">
        <v>23389</v>
      </c>
      <c r="C23390" s="3">
        <v>1</v>
      </c>
    </row>
    <row r="23391" spans="1:3" x14ac:dyDescent="0.25">
      <c r="A23391" s="1" t="s">
        <v>23390</v>
      </c>
      <c r="C23391" s="3">
        <v>1</v>
      </c>
    </row>
    <row r="23392" spans="1:3" x14ac:dyDescent="0.25">
      <c r="A23392" s="1" t="s">
        <v>23391</v>
      </c>
      <c r="C23392" s="3">
        <v>1</v>
      </c>
    </row>
    <row r="23393" spans="1:3" x14ac:dyDescent="0.25">
      <c r="A23393" s="1" t="s">
        <v>23392</v>
      </c>
      <c r="C23393" s="3">
        <v>1</v>
      </c>
    </row>
    <row r="23394" spans="1:3" x14ac:dyDescent="0.25">
      <c r="A23394" s="1" t="s">
        <v>23393</v>
      </c>
      <c r="C23394" s="3">
        <v>1</v>
      </c>
    </row>
    <row r="23395" spans="1:3" x14ac:dyDescent="0.25">
      <c r="A23395" s="1" t="s">
        <v>23394</v>
      </c>
      <c r="C23395" s="3">
        <v>1</v>
      </c>
    </row>
    <row r="23396" spans="1:3" x14ac:dyDescent="0.25">
      <c r="A23396" s="1" t="s">
        <v>23395</v>
      </c>
      <c r="C23396" s="3">
        <v>1</v>
      </c>
    </row>
    <row r="23397" spans="1:3" x14ac:dyDescent="0.25">
      <c r="A23397" s="1" t="s">
        <v>23396</v>
      </c>
      <c r="C23397" s="3">
        <v>1</v>
      </c>
    </row>
    <row r="23398" spans="1:3" x14ac:dyDescent="0.25">
      <c r="A23398" s="1" t="s">
        <v>23397</v>
      </c>
      <c r="C23398" s="3">
        <v>1</v>
      </c>
    </row>
    <row r="23399" spans="1:3" x14ac:dyDescent="0.25">
      <c r="A23399" s="1" t="s">
        <v>23398</v>
      </c>
      <c r="C23399" s="3">
        <v>1</v>
      </c>
    </row>
    <row r="23400" spans="1:3" x14ac:dyDescent="0.25">
      <c r="A23400" s="1" t="s">
        <v>23399</v>
      </c>
      <c r="C23400" s="3">
        <v>1</v>
      </c>
    </row>
    <row r="23401" spans="1:3" x14ac:dyDescent="0.25">
      <c r="A23401" s="1" t="s">
        <v>23400</v>
      </c>
      <c r="C23401" s="3">
        <v>1</v>
      </c>
    </row>
    <row r="23402" spans="1:3" x14ac:dyDescent="0.25">
      <c r="A23402" s="1" t="s">
        <v>23401</v>
      </c>
      <c r="C23402" s="3">
        <v>1</v>
      </c>
    </row>
    <row r="23403" spans="1:3" x14ac:dyDescent="0.25">
      <c r="A23403" s="1" t="s">
        <v>23402</v>
      </c>
      <c r="C23403" s="3">
        <v>1</v>
      </c>
    </row>
    <row r="23404" spans="1:3" x14ac:dyDescent="0.25">
      <c r="A23404" s="1" t="s">
        <v>23403</v>
      </c>
      <c r="C23404" s="3">
        <v>1</v>
      </c>
    </row>
    <row r="23405" spans="1:3" x14ac:dyDescent="0.25">
      <c r="A23405" s="1" t="s">
        <v>23404</v>
      </c>
      <c r="C23405" s="3">
        <v>1</v>
      </c>
    </row>
    <row r="23406" spans="1:3" x14ac:dyDescent="0.25">
      <c r="A23406" s="1" t="s">
        <v>23405</v>
      </c>
      <c r="C23406" s="3">
        <v>1</v>
      </c>
    </row>
    <row r="23407" spans="1:3" x14ac:dyDescent="0.25">
      <c r="A23407" s="1" t="s">
        <v>23406</v>
      </c>
      <c r="C23407" s="3">
        <v>1</v>
      </c>
    </row>
    <row r="23408" spans="1:3" x14ac:dyDescent="0.25">
      <c r="A23408" s="1" t="s">
        <v>23407</v>
      </c>
      <c r="C23408" s="3">
        <v>1</v>
      </c>
    </row>
    <row r="23409" spans="1:3" x14ac:dyDescent="0.25">
      <c r="A23409" s="1" t="s">
        <v>23408</v>
      </c>
      <c r="C23409" s="3">
        <v>1</v>
      </c>
    </row>
    <row r="23410" spans="1:3" x14ac:dyDescent="0.25">
      <c r="A23410" s="1" t="s">
        <v>23409</v>
      </c>
      <c r="C23410" s="3">
        <v>1</v>
      </c>
    </row>
    <row r="23411" spans="1:3" x14ac:dyDescent="0.25">
      <c r="A23411" s="1" t="s">
        <v>23410</v>
      </c>
      <c r="C23411" s="3">
        <v>1</v>
      </c>
    </row>
    <row r="23412" spans="1:3" x14ac:dyDescent="0.25">
      <c r="A23412" s="1" t="s">
        <v>23411</v>
      </c>
      <c r="C23412" s="3">
        <v>1</v>
      </c>
    </row>
    <row r="23413" spans="1:3" x14ac:dyDescent="0.25">
      <c r="A23413" s="1" t="s">
        <v>23412</v>
      </c>
      <c r="C23413" s="3">
        <v>1</v>
      </c>
    </row>
    <row r="23414" spans="1:3" x14ac:dyDescent="0.25">
      <c r="A23414" s="1" t="s">
        <v>23413</v>
      </c>
      <c r="C23414" s="3">
        <v>1</v>
      </c>
    </row>
    <row r="23415" spans="1:3" x14ac:dyDescent="0.25">
      <c r="A23415" s="1" t="s">
        <v>23414</v>
      </c>
      <c r="C23415" s="3">
        <v>1</v>
      </c>
    </row>
    <row r="23416" spans="1:3" x14ac:dyDescent="0.25">
      <c r="A23416" s="1" t="s">
        <v>23415</v>
      </c>
      <c r="C23416" s="3">
        <v>1</v>
      </c>
    </row>
    <row r="23417" spans="1:3" x14ac:dyDescent="0.25">
      <c r="A23417" s="1" t="s">
        <v>23416</v>
      </c>
      <c r="C23417" s="3">
        <v>1</v>
      </c>
    </row>
    <row r="23418" spans="1:3" x14ac:dyDescent="0.25">
      <c r="A23418" s="1" t="s">
        <v>23417</v>
      </c>
      <c r="C23418" s="3">
        <v>1</v>
      </c>
    </row>
    <row r="23419" spans="1:3" x14ac:dyDescent="0.25">
      <c r="A23419" s="1" t="s">
        <v>23418</v>
      </c>
      <c r="C23419" s="3">
        <v>1</v>
      </c>
    </row>
    <row r="23420" spans="1:3" x14ac:dyDescent="0.25">
      <c r="A23420" s="1" t="s">
        <v>23419</v>
      </c>
      <c r="C23420" s="3">
        <v>1</v>
      </c>
    </row>
    <row r="23421" spans="1:3" x14ac:dyDescent="0.25">
      <c r="A23421" s="1" t="s">
        <v>23420</v>
      </c>
      <c r="C23421" s="3">
        <v>1</v>
      </c>
    </row>
    <row r="23422" spans="1:3" x14ac:dyDescent="0.25">
      <c r="A23422" s="1" t="s">
        <v>23421</v>
      </c>
      <c r="C23422" s="3">
        <v>1</v>
      </c>
    </row>
    <row r="23423" spans="1:3" x14ac:dyDescent="0.25">
      <c r="A23423" s="1" t="s">
        <v>23422</v>
      </c>
      <c r="C23423" s="3">
        <v>1</v>
      </c>
    </row>
    <row r="23424" spans="1:3" x14ac:dyDescent="0.25">
      <c r="A23424" s="1" t="s">
        <v>23423</v>
      </c>
      <c r="C23424" s="3">
        <v>1</v>
      </c>
    </row>
    <row r="23425" spans="1:3" x14ac:dyDescent="0.25">
      <c r="A23425" s="1" t="s">
        <v>23424</v>
      </c>
      <c r="C23425" s="3">
        <v>1</v>
      </c>
    </row>
    <row r="23426" spans="1:3" x14ac:dyDescent="0.25">
      <c r="A23426" s="1" t="s">
        <v>23425</v>
      </c>
      <c r="C23426" s="3">
        <v>1</v>
      </c>
    </row>
    <row r="23427" spans="1:3" x14ac:dyDescent="0.25">
      <c r="A23427" s="1" t="s">
        <v>23426</v>
      </c>
      <c r="C23427" s="3">
        <v>1</v>
      </c>
    </row>
    <row r="23428" spans="1:3" x14ac:dyDescent="0.25">
      <c r="A23428" s="1" t="s">
        <v>23427</v>
      </c>
      <c r="C23428" s="3">
        <v>1</v>
      </c>
    </row>
    <row r="23429" spans="1:3" x14ac:dyDescent="0.25">
      <c r="A23429" s="1" t="s">
        <v>23428</v>
      </c>
      <c r="C23429" s="3">
        <v>1</v>
      </c>
    </row>
    <row r="23430" spans="1:3" x14ac:dyDescent="0.25">
      <c r="A23430" s="1" t="s">
        <v>23429</v>
      </c>
      <c r="C23430" s="3">
        <v>1</v>
      </c>
    </row>
    <row r="23431" spans="1:3" x14ac:dyDescent="0.25">
      <c r="A23431" s="1" t="s">
        <v>23430</v>
      </c>
      <c r="C23431" s="3">
        <v>1</v>
      </c>
    </row>
    <row r="23432" spans="1:3" x14ac:dyDescent="0.25">
      <c r="A23432" s="1" t="s">
        <v>23431</v>
      </c>
      <c r="C23432" s="3">
        <v>1</v>
      </c>
    </row>
    <row r="23433" spans="1:3" x14ac:dyDescent="0.25">
      <c r="A23433" s="1" t="s">
        <v>23432</v>
      </c>
      <c r="C23433" s="3">
        <v>1</v>
      </c>
    </row>
    <row r="23434" spans="1:3" x14ac:dyDescent="0.25">
      <c r="A23434" s="1" t="s">
        <v>23433</v>
      </c>
      <c r="C23434" s="3">
        <v>1</v>
      </c>
    </row>
    <row r="23435" spans="1:3" x14ac:dyDescent="0.25">
      <c r="A23435" s="1" t="s">
        <v>23434</v>
      </c>
      <c r="C23435" s="3">
        <v>1</v>
      </c>
    </row>
    <row r="23436" spans="1:3" x14ac:dyDescent="0.25">
      <c r="A23436" s="1" t="s">
        <v>23435</v>
      </c>
      <c r="C23436" s="3">
        <v>1</v>
      </c>
    </row>
    <row r="23437" spans="1:3" x14ac:dyDescent="0.25">
      <c r="A23437" s="1" t="s">
        <v>23436</v>
      </c>
      <c r="C23437" s="3">
        <v>1</v>
      </c>
    </row>
    <row r="23438" spans="1:3" x14ac:dyDescent="0.25">
      <c r="A23438" s="1" t="s">
        <v>23437</v>
      </c>
      <c r="C23438" s="3">
        <v>1</v>
      </c>
    </row>
    <row r="23439" spans="1:3" x14ac:dyDescent="0.25">
      <c r="A23439" s="1" t="s">
        <v>23438</v>
      </c>
      <c r="C23439" s="3">
        <v>1</v>
      </c>
    </row>
    <row r="23440" spans="1:3" x14ac:dyDescent="0.25">
      <c r="A23440" s="1" t="s">
        <v>23439</v>
      </c>
      <c r="C23440" s="3">
        <v>1</v>
      </c>
    </row>
    <row r="23441" spans="1:3" x14ac:dyDescent="0.25">
      <c r="A23441" s="1" t="s">
        <v>23440</v>
      </c>
      <c r="C23441" s="3">
        <v>1</v>
      </c>
    </row>
    <row r="23442" spans="1:3" x14ac:dyDescent="0.25">
      <c r="A23442" s="1" t="s">
        <v>23441</v>
      </c>
      <c r="C23442" s="3">
        <v>1</v>
      </c>
    </row>
    <row r="23443" spans="1:3" x14ac:dyDescent="0.25">
      <c r="A23443" s="1" t="s">
        <v>23442</v>
      </c>
      <c r="C23443" s="3">
        <v>1</v>
      </c>
    </row>
    <row r="23444" spans="1:3" x14ac:dyDescent="0.25">
      <c r="A23444" s="1" t="s">
        <v>23443</v>
      </c>
      <c r="C23444" s="3">
        <v>1</v>
      </c>
    </row>
    <row r="23445" spans="1:3" x14ac:dyDescent="0.25">
      <c r="A23445" s="1" t="s">
        <v>23444</v>
      </c>
      <c r="C23445" s="3">
        <v>1</v>
      </c>
    </row>
    <row r="23446" spans="1:3" x14ac:dyDescent="0.25">
      <c r="A23446" s="1" t="s">
        <v>23445</v>
      </c>
      <c r="C23446" s="3">
        <v>1</v>
      </c>
    </row>
    <row r="23447" spans="1:3" x14ac:dyDescent="0.25">
      <c r="A23447" s="1" t="s">
        <v>23446</v>
      </c>
      <c r="C23447" s="3">
        <v>1</v>
      </c>
    </row>
    <row r="23448" spans="1:3" x14ac:dyDescent="0.25">
      <c r="A23448" s="1" t="s">
        <v>23447</v>
      </c>
      <c r="C23448" s="3">
        <v>1</v>
      </c>
    </row>
    <row r="23449" spans="1:3" x14ac:dyDescent="0.25">
      <c r="A23449" s="1" t="s">
        <v>23448</v>
      </c>
      <c r="C23449" s="3">
        <v>1</v>
      </c>
    </row>
    <row r="23450" spans="1:3" x14ac:dyDescent="0.25">
      <c r="A23450" s="1" t="s">
        <v>23449</v>
      </c>
      <c r="C23450" s="3">
        <v>1</v>
      </c>
    </row>
    <row r="23451" spans="1:3" x14ac:dyDescent="0.25">
      <c r="A23451" s="1" t="s">
        <v>23450</v>
      </c>
      <c r="C23451" s="3">
        <v>1</v>
      </c>
    </row>
    <row r="23452" spans="1:3" x14ac:dyDescent="0.25">
      <c r="A23452" s="1" t="s">
        <v>23451</v>
      </c>
      <c r="C23452" s="3">
        <v>1</v>
      </c>
    </row>
    <row r="23453" spans="1:3" x14ac:dyDescent="0.25">
      <c r="A23453" s="1" t="s">
        <v>23452</v>
      </c>
      <c r="C23453" s="3">
        <v>1</v>
      </c>
    </row>
    <row r="23454" spans="1:3" x14ac:dyDescent="0.25">
      <c r="A23454" s="1" t="s">
        <v>23453</v>
      </c>
      <c r="C23454" s="3">
        <v>1</v>
      </c>
    </row>
    <row r="23455" spans="1:3" x14ac:dyDescent="0.25">
      <c r="A23455" s="1" t="s">
        <v>23454</v>
      </c>
      <c r="C23455" s="3">
        <v>1</v>
      </c>
    </row>
    <row r="23456" spans="1:3" x14ac:dyDescent="0.25">
      <c r="A23456" s="1" t="s">
        <v>23455</v>
      </c>
      <c r="C23456" s="3">
        <v>1</v>
      </c>
    </row>
    <row r="23457" spans="1:3" x14ac:dyDescent="0.25">
      <c r="A23457" s="1" t="s">
        <v>23456</v>
      </c>
      <c r="C23457" s="3">
        <v>1</v>
      </c>
    </row>
    <row r="23458" spans="1:3" x14ac:dyDescent="0.25">
      <c r="A23458" s="1" t="s">
        <v>23457</v>
      </c>
      <c r="C23458" s="3">
        <v>1</v>
      </c>
    </row>
    <row r="23459" spans="1:3" x14ac:dyDescent="0.25">
      <c r="A23459" s="1" t="s">
        <v>23458</v>
      </c>
      <c r="C23459" s="3">
        <v>1</v>
      </c>
    </row>
    <row r="23460" spans="1:3" x14ac:dyDescent="0.25">
      <c r="A23460" s="1" t="s">
        <v>23459</v>
      </c>
      <c r="C23460" s="3">
        <v>1</v>
      </c>
    </row>
    <row r="23461" spans="1:3" x14ac:dyDescent="0.25">
      <c r="A23461" s="1" t="s">
        <v>23460</v>
      </c>
      <c r="C23461" s="3">
        <v>1</v>
      </c>
    </row>
    <row r="23462" spans="1:3" x14ac:dyDescent="0.25">
      <c r="A23462" s="1" t="s">
        <v>23461</v>
      </c>
      <c r="C23462" s="3">
        <v>1</v>
      </c>
    </row>
    <row r="23463" spans="1:3" x14ac:dyDescent="0.25">
      <c r="A23463" s="1" t="s">
        <v>23462</v>
      </c>
      <c r="C23463" s="3">
        <v>1</v>
      </c>
    </row>
    <row r="23464" spans="1:3" x14ac:dyDescent="0.25">
      <c r="A23464" s="1" t="s">
        <v>23463</v>
      </c>
      <c r="C23464" s="3">
        <v>1</v>
      </c>
    </row>
    <row r="23465" spans="1:3" x14ac:dyDescent="0.25">
      <c r="A23465" s="1" t="s">
        <v>23464</v>
      </c>
      <c r="C23465" s="3">
        <v>1</v>
      </c>
    </row>
    <row r="23466" spans="1:3" x14ac:dyDescent="0.25">
      <c r="A23466" s="1" t="s">
        <v>23465</v>
      </c>
      <c r="C23466" s="3">
        <v>1</v>
      </c>
    </row>
    <row r="23467" spans="1:3" x14ac:dyDescent="0.25">
      <c r="A23467" s="1" t="s">
        <v>23466</v>
      </c>
      <c r="C23467" s="3">
        <v>1</v>
      </c>
    </row>
    <row r="23468" spans="1:3" x14ac:dyDescent="0.25">
      <c r="A23468" s="1" t="s">
        <v>23467</v>
      </c>
      <c r="C23468" s="3">
        <v>1</v>
      </c>
    </row>
    <row r="23469" spans="1:3" x14ac:dyDescent="0.25">
      <c r="A23469" s="1" t="s">
        <v>23468</v>
      </c>
      <c r="C23469" s="3">
        <v>1</v>
      </c>
    </row>
    <row r="23470" spans="1:3" x14ac:dyDescent="0.25">
      <c r="A23470" s="1" t="s">
        <v>23469</v>
      </c>
      <c r="C23470" s="3">
        <v>1</v>
      </c>
    </row>
    <row r="23471" spans="1:3" x14ac:dyDescent="0.25">
      <c r="A23471" s="1" t="s">
        <v>23470</v>
      </c>
      <c r="C23471" s="3">
        <v>1</v>
      </c>
    </row>
    <row r="23472" spans="1:3" x14ac:dyDescent="0.25">
      <c r="A23472" s="1" t="s">
        <v>23471</v>
      </c>
      <c r="C23472" s="3">
        <v>1</v>
      </c>
    </row>
    <row r="23473" spans="1:3" x14ac:dyDescent="0.25">
      <c r="A23473" s="1" t="s">
        <v>23472</v>
      </c>
      <c r="C23473" s="3">
        <v>1</v>
      </c>
    </row>
    <row r="23474" spans="1:3" x14ac:dyDescent="0.25">
      <c r="A23474" s="1" t="s">
        <v>23473</v>
      </c>
      <c r="C23474" s="3">
        <v>1</v>
      </c>
    </row>
    <row r="23475" spans="1:3" x14ac:dyDescent="0.25">
      <c r="A23475" s="1" t="s">
        <v>23474</v>
      </c>
      <c r="C23475" s="3">
        <v>1</v>
      </c>
    </row>
    <row r="23476" spans="1:3" x14ac:dyDescent="0.25">
      <c r="A23476" s="1" t="s">
        <v>23475</v>
      </c>
      <c r="C23476" s="3">
        <v>1</v>
      </c>
    </row>
    <row r="23477" spans="1:3" x14ac:dyDescent="0.25">
      <c r="A23477" s="1" t="s">
        <v>23476</v>
      </c>
      <c r="C23477" s="3">
        <v>1</v>
      </c>
    </row>
    <row r="23478" spans="1:3" x14ac:dyDescent="0.25">
      <c r="A23478" s="1" t="s">
        <v>23477</v>
      </c>
      <c r="C23478" s="3">
        <v>1</v>
      </c>
    </row>
    <row r="23479" spans="1:3" x14ac:dyDescent="0.25">
      <c r="A23479" s="1" t="s">
        <v>23478</v>
      </c>
      <c r="C23479" s="3">
        <v>1</v>
      </c>
    </row>
    <row r="23480" spans="1:3" x14ac:dyDescent="0.25">
      <c r="A23480" s="1" t="s">
        <v>23479</v>
      </c>
      <c r="C23480" s="3">
        <v>1</v>
      </c>
    </row>
    <row r="23481" spans="1:3" x14ac:dyDescent="0.25">
      <c r="A23481" s="1" t="s">
        <v>23480</v>
      </c>
      <c r="C23481" s="3">
        <v>1</v>
      </c>
    </row>
    <row r="23482" spans="1:3" x14ac:dyDescent="0.25">
      <c r="A23482" s="1" t="s">
        <v>23481</v>
      </c>
      <c r="C23482" s="3">
        <v>1</v>
      </c>
    </row>
    <row r="23483" spans="1:3" x14ac:dyDescent="0.25">
      <c r="A23483" s="1" t="s">
        <v>23482</v>
      </c>
      <c r="C23483" s="3">
        <v>1</v>
      </c>
    </row>
    <row r="23484" spans="1:3" x14ac:dyDescent="0.25">
      <c r="A23484" s="1" t="s">
        <v>23483</v>
      </c>
      <c r="C23484" s="3">
        <v>1</v>
      </c>
    </row>
    <row r="23485" spans="1:3" x14ac:dyDescent="0.25">
      <c r="A23485" s="1" t="s">
        <v>23484</v>
      </c>
      <c r="C23485" s="3">
        <v>1</v>
      </c>
    </row>
    <row r="23486" spans="1:3" x14ac:dyDescent="0.25">
      <c r="A23486" s="1" t="s">
        <v>23485</v>
      </c>
      <c r="C23486" s="3">
        <v>1</v>
      </c>
    </row>
    <row r="23487" spans="1:3" x14ac:dyDescent="0.25">
      <c r="A23487" s="1" t="s">
        <v>23486</v>
      </c>
      <c r="C23487" s="3">
        <v>1</v>
      </c>
    </row>
    <row r="23488" spans="1:3" x14ac:dyDescent="0.25">
      <c r="A23488" s="1" t="s">
        <v>23487</v>
      </c>
      <c r="C23488" s="3">
        <v>1</v>
      </c>
    </row>
    <row r="23489" spans="1:3" x14ac:dyDescent="0.25">
      <c r="A23489" s="1" t="s">
        <v>23488</v>
      </c>
      <c r="C23489" s="3">
        <v>1</v>
      </c>
    </row>
    <row r="23490" spans="1:3" x14ac:dyDescent="0.25">
      <c r="A23490" s="1" t="s">
        <v>23489</v>
      </c>
      <c r="C23490" s="3">
        <v>1</v>
      </c>
    </row>
    <row r="23491" spans="1:3" x14ac:dyDescent="0.25">
      <c r="A23491" s="1" t="s">
        <v>23490</v>
      </c>
      <c r="C23491" s="3">
        <v>1</v>
      </c>
    </row>
    <row r="23492" spans="1:3" x14ac:dyDescent="0.25">
      <c r="A23492" s="1" t="s">
        <v>23491</v>
      </c>
      <c r="C23492" s="3">
        <v>1</v>
      </c>
    </row>
    <row r="23493" spans="1:3" x14ac:dyDescent="0.25">
      <c r="A23493" s="1" t="s">
        <v>23492</v>
      </c>
      <c r="C23493" s="3">
        <v>1</v>
      </c>
    </row>
    <row r="23494" spans="1:3" x14ac:dyDescent="0.25">
      <c r="A23494" s="1" t="s">
        <v>23493</v>
      </c>
      <c r="C23494" s="3">
        <v>1</v>
      </c>
    </row>
    <row r="23495" spans="1:3" x14ac:dyDescent="0.25">
      <c r="A23495" s="1" t="s">
        <v>23494</v>
      </c>
      <c r="C23495" s="3">
        <v>1</v>
      </c>
    </row>
    <row r="23496" spans="1:3" x14ac:dyDescent="0.25">
      <c r="A23496" s="1" t="s">
        <v>23495</v>
      </c>
      <c r="C23496" s="3">
        <v>1</v>
      </c>
    </row>
    <row r="23497" spans="1:3" x14ac:dyDescent="0.25">
      <c r="A23497" s="1" t="s">
        <v>23496</v>
      </c>
      <c r="C23497" s="3">
        <v>1</v>
      </c>
    </row>
    <row r="23498" spans="1:3" x14ac:dyDescent="0.25">
      <c r="A23498" s="1" t="s">
        <v>23497</v>
      </c>
      <c r="C23498" s="3">
        <v>1</v>
      </c>
    </row>
    <row r="23499" spans="1:3" x14ac:dyDescent="0.25">
      <c r="A23499" s="1" t="s">
        <v>23498</v>
      </c>
      <c r="C23499" s="3">
        <v>1</v>
      </c>
    </row>
    <row r="23500" spans="1:3" x14ac:dyDescent="0.25">
      <c r="A23500" s="1" t="s">
        <v>23499</v>
      </c>
      <c r="C23500" s="3">
        <v>1</v>
      </c>
    </row>
    <row r="23501" spans="1:3" x14ac:dyDescent="0.25">
      <c r="A23501" s="1" t="s">
        <v>23500</v>
      </c>
      <c r="C23501" s="3">
        <v>1</v>
      </c>
    </row>
    <row r="23502" spans="1:3" x14ac:dyDescent="0.25">
      <c r="A23502" s="1" t="s">
        <v>23501</v>
      </c>
      <c r="C23502" s="3">
        <v>1</v>
      </c>
    </row>
    <row r="23503" spans="1:3" x14ac:dyDescent="0.25">
      <c r="A23503" s="1" t="s">
        <v>23502</v>
      </c>
      <c r="C23503" s="3">
        <v>1</v>
      </c>
    </row>
    <row r="23504" spans="1:3" x14ac:dyDescent="0.25">
      <c r="A23504" s="1" t="s">
        <v>23503</v>
      </c>
      <c r="C23504" s="3">
        <v>1</v>
      </c>
    </row>
    <row r="23505" spans="1:3" x14ac:dyDescent="0.25">
      <c r="A23505" s="1" t="s">
        <v>23504</v>
      </c>
      <c r="C23505" s="3">
        <v>1</v>
      </c>
    </row>
    <row r="23506" spans="1:3" x14ac:dyDescent="0.25">
      <c r="A23506" s="1" t="s">
        <v>23505</v>
      </c>
      <c r="C23506" s="3">
        <v>1</v>
      </c>
    </row>
    <row r="23507" spans="1:3" x14ac:dyDescent="0.25">
      <c r="A23507" s="1" t="s">
        <v>23506</v>
      </c>
      <c r="C23507" s="3">
        <v>1</v>
      </c>
    </row>
    <row r="23508" spans="1:3" x14ac:dyDescent="0.25">
      <c r="A23508" s="1" t="s">
        <v>23507</v>
      </c>
      <c r="C23508" s="3">
        <v>1</v>
      </c>
    </row>
    <row r="23509" spans="1:3" x14ac:dyDescent="0.25">
      <c r="A23509" s="1" t="s">
        <v>23508</v>
      </c>
      <c r="C23509" s="3">
        <v>1</v>
      </c>
    </row>
    <row r="23510" spans="1:3" x14ac:dyDescent="0.25">
      <c r="A23510" s="1" t="s">
        <v>23509</v>
      </c>
      <c r="C23510" s="3">
        <v>1</v>
      </c>
    </row>
    <row r="23511" spans="1:3" x14ac:dyDescent="0.25">
      <c r="A23511" s="1" t="s">
        <v>23510</v>
      </c>
      <c r="C23511" s="3">
        <v>1</v>
      </c>
    </row>
    <row r="23512" spans="1:3" x14ac:dyDescent="0.25">
      <c r="A23512" s="1" t="s">
        <v>23511</v>
      </c>
      <c r="C23512" s="3">
        <v>1</v>
      </c>
    </row>
    <row r="23513" spans="1:3" x14ac:dyDescent="0.25">
      <c r="A23513" s="1" t="s">
        <v>23512</v>
      </c>
      <c r="C23513" s="3">
        <v>1</v>
      </c>
    </row>
    <row r="23514" spans="1:3" x14ac:dyDescent="0.25">
      <c r="A23514" s="1" t="s">
        <v>23513</v>
      </c>
      <c r="C23514" s="3">
        <v>1</v>
      </c>
    </row>
    <row r="23515" spans="1:3" x14ac:dyDescent="0.25">
      <c r="A23515" s="1" t="s">
        <v>23514</v>
      </c>
      <c r="C23515" s="3">
        <v>1</v>
      </c>
    </row>
    <row r="23516" spans="1:3" x14ac:dyDescent="0.25">
      <c r="A23516" s="1" t="s">
        <v>23515</v>
      </c>
      <c r="C23516" s="3">
        <v>1</v>
      </c>
    </row>
    <row r="23517" spans="1:3" x14ac:dyDescent="0.25">
      <c r="A23517" s="1" t="s">
        <v>23516</v>
      </c>
      <c r="C23517" s="3">
        <v>1</v>
      </c>
    </row>
    <row r="23518" spans="1:3" x14ac:dyDescent="0.25">
      <c r="A23518" s="1" t="s">
        <v>23517</v>
      </c>
      <c r="C23518" s="3">
        <v>1</v>
      </c>
    </row>
    <row r="23519" spans="1:3" x14ac:dyDescent="0.25">
      <c r="A23519" s="1" t="s">
        <v>23518</v>
      </c>
      <c r="C23519" s="3">
        <v>1</v>
      </c>
    </row>
    <row r="23520" spans="1:3" x14ac:dyDescent="0.25">
      <c r="A23520" s="1" t="s">
        <v>23519</v>
      </c>
      <c r="C23520" s="3">
        <v>1</v>
      </c>
    </row>
    <row r="23521" spans="1:3" x14ac:dyDescent="0.25">
      <c r="A23521" s="1" t="s">
        <v>23520</v>
      </c>
      <c r="C23521" s="3">
        <v>1</v>
      </c>
    </row>
    <row r="23522" spans="1:3" x14ac:dyDescent="0.25">
      <c r="A23522" s="1" t="s">
        <v>23521</v>
      </c>
      <c r="C23522" s="3">
        <v>1</v>
      </c>
    </row>
    <row r="23523" spans="1:3" x14ac:dyDescent="0.25">
      <c r="A23523" s="1" t="s">
        <v>23522</v>
      </c>
      <c r="C23523" s="3">
        <v>1</v>
      </c>
    </row>
    <row r="23524" spans="1:3" x14ac:dyDescent="0.25">
      <c r="A23524" s="1" t="s">
        <v>23523</v>
      </c>
      <c r="C23524" s="3">
        <v>1</v>
      </c>
    </row>
    <row r="23525" spans="1:3" x14ac:dyDescent="0.25">
      <c r="A23525" s="1" t="s">
        <v>23524</v>
      </c>
      <c r="C23525" s="3">
        <v>1</v>
      </c>
    </row>
    <row r="23526" spans="1:3" x14ac:dyDescent="0.25">
      <c r="A23526" s="1" t="s">
        <v>23525</v>
      </c>
      <c r="C23526" s="3">
        <v>1</v>
      </c>
    </row>
    <row r="23527" spans="1:3" x14ac:dyDescent="0.25">
      <c r="A23527" s="1" t="s">
        <v>23526</v>
      </c>
      <c r="C23527" s="3">
        <v>1</v>
      </c>
    </row>
    <row r="23528" spans="1:3" x14ac:dyDescent="0.25">
      <c r="A23528" s="1" t="s">
        <v>23527</v>
      </c>
      <c r="C23528" s="3">
        <v>1</v>
      </c>
    </row>
    <row r="23529" spans="1:3" x14ac:dyDescent="0.25">
      <c r="A23529" s="1" t="s">
        <v>23528</v>
      </c>
      <c r="C23529" s="3">
        <v>1</v>
      </c>
    </row>
    <row r="23530" spans="1:3" x14ac:dyDescent="0.25">
      <c r="A23530" s="1" t="s">
        <v>23529</v>
      </c>
      <c r="C23530" s="3">
        <v>1</v>
      </c>
    </row>
    <row r="23531" spans="1:3" x14ac:dyDescent="0.25">
      <c r="A23531" s="1" t="s">
        <v>23530</v>
      </c>
      <c r="C23531" s="3">
        <v>1</v>
      </c>
    </row>
    <row r="23532" spans="1:3" x14ac:dyDescent="0.25">
      <c r="A23532" s="1" t="s">
        <v>23531</v>
      </c>
      <c r="C23532" s="3">
        <v>1</v>
      </c>
    </row>
    <row r="23533" spans="1:3" x14ac:dyDescent="0.25">
      <c r="A23533" s="1" t="s">
        <v>23532</v>
      </c>
      <c r="C23533" s="3">
        <v>1</v>
      </c>
    </row>
    <row r="23534" spans="1:3" x14ac:dyDescent="0.25">
      <c r="A23534" s="1" t="s">
        <v>23533</v>
      </c>
      <c r="C23534" s="3">
        <v>1</v>
      </c>
    </row>
    <row r="23535" spans="1:3" x14ac:dyDescent="0.25">
      <c r="A23535" s="1" t="s">
        <v>23534</v>
      </c>
      <c r="C23535" s="3">
        <v>1</v>
      </c>
    </row>
    <row r="23536" spans="1:3" x14ac:dyDescent="0.25">
      <c r="A23536" s="1" t="s">
        <v>23535</v>
      </c>
      <c r="C23536" s="3">
        <v>1</v>
      </c>
    </row>
    <row r="23537" spans="1:3" x14ac:dyDescent="0.25">
      <c r="A23537" s="1" t="s">
        <v>23536</v>
      </c>
      <c r="C23537" s="3">
        <v>1</v>
      </c>
    </row>
    <row r="23538" spans="1:3" x14ac:dyDescent="0.25">
      <c r="A23538" s="1" t="s">
        <v>23537</v>
      </c>
      <c r="C23538" s="3">
        <v>1</v>
      </c>
    </row>
    <row r="23539" spans="1:3" x14ac:dyDescent="0.25">
      <c r="A23539" s="1" t="s">
        <v>23538</v>
      </c>
      <c r="C23539" s="3">
        <v>1</v>
      </c>
    </row>
    <row r="23540" spans="1:3" x14ac:dyDescent="0.25">
      <c r="A23540" s="1" t="s">
        <v>23539</v>
      </c>
      <c r="C23540" s="3">
        <v>1</v>
      </c>
    </row>
    <row r="23541" spans="1:3" x14ac:dyDescent="0.25">
      <c r="A23541" s="1" t="s">
        <v>23540</v>
      </c>
      <c r="C23541" s="3">
        <v>1</v>
      </c>
    </row>
    <row r="23542" spans="1:3" x14ac:dyDescent="0.25">
      <c r="A23542" s="1" t="s">
        <v>23541</v>
      </c>
      <c r="C23542" s="3">
        <v>1</v>
      </c>
    </row>
    <row r="23543" spans="1:3" x14ac:dyDescent="0.25">
      <c r="A23543" s="1" t="s">
        <v>23542</v>
      </c>
      <c r="C23543" s="3">
        <v>1</v>
      </c>
    </row>
    <row r="23544" spans="1:3" x14ac:dyDescent="0.25">
      <c r="A23544" s="1" t="s">
        <v>23543</v>
      </c>
      <c r="C23544" s="3">
        <v>1</v>
      </c>
    </row>
    <row r="23545" spans="1:3" x14ac:dyDescent="0.25">
      <c r="A23545" s="1" t="s">
        <v>23544</v>
      </c>
      <c r="C23545" s="3">
        <v>1</v>
      </c>
    </row>
    <row r="23546" spans="1:3" x14ac:dyDescent="0.25">
      <c r="A23546" s="1" t="s">
        <v>23545</v>
      </c>
      <c r="C23546" s="3">
        <v>1</v>
      </c>
    </row>
    <row r="23547" spans="1:3" x14ac:dyDescent="0.25">
      <c r="A23547" s="1" t="s">
        <v>23546</v>
      </c>
      <c r="C23547" s="3">
        <v>1</v>
      </c>
    </row>
    <row r="23548" spans="1:3" x14ac:dyDescent="0.25">
      <c r="A23548" s="1" t="s">
        <v>23547</v>
      </c>
      <c r="C23548" s="3">
        <v>1</v>
      </c>
    </row>
    <row r="23549" spans="1:3" x14ac:dyDescent="0.25">
      <c r="A23549" s="1" t="s">
        <v>23548</v>
      </c>
      <c r="C23549" s="3">
        <v>1</v>
      </c>
    </row>
    <row r="23550" spans="1:3" x14ac:dyDescent="0.25">
      <c r="A23550" s="1" t="s">
        <v>23549</v>
      </c>
      <c r="C23550" s="3">
        <v>1</v>
      </c>
    </row>
    <row r="23551" spans="1:3" x14ac:dyDescent="0.25">
      <c r="A23551" s="1" t="s">
        <v>23550</v>
      </c>
      <c r="C23551" s="3">
        <v>1</v>
      </c>
    </row>
    <row r="23552" spans="1:3" x14ac:dyDescent="0.25">
      <c r="A23552" s="1" t="s">
        <v>23551</v>
      </c>
      <c r="C23552" s="3">
        <v>1</v>
      </c>
    </row>
    <row r="23553" spans="1:3" x14ac:dyDescent="0.25">
      <c r="A23553" s="1" t="s">
        <v>23552</v>
      </c>
      <c r="C23553" s="3">
        <v>1</v>
      </c>
    </row>
    <row r="23554" spans="1:3" x14ac:dyDescent="0.25">
      <c r="A23554" s="1" t="s">
        <v>23553</v>
      </c>
      <c r="C23554" s="3">
        <v>1</v>
      </c>
    </row>
    <row r="23555" spans="1:3" x14ac:dyDescent="0.25">
      <c r="A23555" s="1" t="s">
        <v>23554</v>
      </c>
      <c r="C23555" s="3">
        <v>1</v>
      </c>
    </row>
    <row r="23556" spans="1:3" x14ac:dyDescent="0.25">
      <c r="A23556" s="1" t="s">
        <v>23555</v>
      </c>
      <c r="C23556" s="3">
        <v>1</v>
      </c>
    </row>
    <row r="23557" spans="1:3" x14ac:dyDescent="0.25">
      <c r="A23557" s="1" t="s">
        <v>23556</v>
      </c>
      <c r="C23557" s="3">
        <v>1</v>
      </c>
    </row>
    <row r="23558" spans="1:3" x14ac:dyDescent="0.25">
      <c r="A23558" s="1" t="s">
        <v>23557</v>
      </c>
      <c r="C23558" s="3">
        <v>1</v>
      </c>
    </row>
    <row r="23559" spans="1:3" x14ac:dyDescent="0.25">
      <c r="A23559" s="1" t="s">
        <v>23558</v>
      </c>
      <c r="C23559" s="3">
        <v>1</v>
      </c>
    </row>
    <row r="23560" spans="1:3" x14ac:dyDescent="0.25">
      <c r="A23560" s="1" t="s">
        <v>23559</v>
      </c>
      <c r="C23560" s="3">
        <v>1</v>
      </c>
    </row>
    <row r="23561" spans="1:3" x14ac:dyDescent="0.25">
      <c r="A23561" s="1" t="s">
        <v>23560</v>
      </c>
      <c r="C23561" s="3">
        <v>1</v>
      </c>
    </row>
    <row r="23562" spans="1:3" x14ac:dyDescent="0.25">
      <c r="A23562" s="1" t="s">
        <v>23561</v>
      </c>
      <c r="C23562" s="3">
        <v>1</v>
      </c>
    </row>
    <row r="23563" spans="1:3" x14ac:dyDescent="0.25">
      <c r="A23563" s="1" t="s">
        <v>23562</v>
      </c>
      <c r="C23563" s="3">
        <v>1</v>
      </c>
    </row>
    <row r="23564" spans="1:3" x14ac:dyDescent="0.25">
      <c r="A23564" s="1" t="s">
        <v>23563</v>
      </c>
      <c r="C23564" s="3">
        <v>1</v>
      </c>
    </row>
    <row r="23565" spans="1:3" x14ac:dyDescent="0.25">
      <c r="A23565" s="1" t="s">
        <v>23564</v>
      </c>
      <c r="C23565" s="3">
        <v>1</v>
      </c>
    </row>
    <row r="23566" spans="1:3" x14ac:dyDescent="0.25">
      <c r="A23566" s="1" t="s">
        <v>23565</v>
      </c>
      <c r="C23566" s="3">
        <v>1</v>
      </c>
    </row>
    <row r="23567" spans="1:3" x14ac:dyDescent="0.25">
      <c r="A23567" s="1" t="s">
        <v>23566</v>
      </c>
      <c r="C23567" s="3">
        <v>1</v>
      </c>
    </row>
    <row r="23568" spans="1:3" x14ac:dyDescent="0.25">
      <c r="A23568" s="1" t="s">
        <v>23567</v>
      </c>
      <c r="C23568" s="3">
        <v>1</v>
      </c>
    </row>
    <row r="23569" spans="1:3" x14ac:dyDescent="0.25">
      <c r="A23569" s="1" t="s">
        <v>23568</v>
      </c>
      <c r="C23569" s="3">
        <v>1</v>
      </c>
    </row>
    <row r="23570" spans="1:3" x14ac:dyDescent="0.25">
      <c r="A23570" s="1" t="s">
        <v>23569</v>
      </c>
      <c r="C23570" s="3">
        <v>1</v>
      </c>
    </row>
    <row r="23571" spans="1:3" x14ac:dyDescent="0.25">
      <c r="A23571" s="1" t="s">
        <v>23570</v>
      </c>
      <c r="C23571" s="3">
        <v>1</v>
      </c>
    </row>
    <row r="23572" spans="1:3" x14ac:dyDescent="0.25">
      <c r="A23572" s="1" t="s">
        <v>23571</v>
      </c>
      <c r="C23572" s="3">
        <v>1</v>
      </c>
    </row>
    <row r="23573" spans="1:3" x14ac:dyDescent="0.25">
      <c r="A23573" s="1" t="s">
        <v>23572</v>
      </c>
      <c r="C23573" s="3">
        <v>1</v>
      </c>
    </row>
    <row r="23574" spans="1:3" x14ac:dyDescent="0.25">
      <c r="A23574" s="1" t="s">
        <v>23573</v>
      </c>
      <c r="C23574" s="3">
        <v>1</v>
      </c>
    </row>
    <row r="23575" spans="1:3" x14ac:dyDescent="0.25">
      <c r="A23575" s="1" t="s">
        <v>23574</v>
      </c>
      <c r="C23575" s="3">
        <v>1</v>
      </c>
    </row>
    <row r="23576" spans="1:3" x14ac:dyDescent="0.25">
      <c r="A23576" s="1" t="s">
        <v>23575</v>
      </c>
      <c r="C23576" s="3">
        <v>1</v>
      </c>
    </row>
    <row r="23577" spans="1:3" x14ac:dyDescent="0.25">
      <c r="A23577" s="1" t="s">
        <v>23576</v>
      </c>
      <c r="C23577" s="3">
        <v>1</v>
      </c>
    </row>
    <row r="23578" spans="1:3" x14ac:dyDescent="0.25">
      <c r="A23578" s="1" t="s">
        <v>23577</v>
      </c>
      <c r="C23578" s="3">
        <v>1</v>
      </c>
    </row>
    <row r="23579" spans="1:3" x14ac:dyDescent="0.25">
      <c r="A23579" s="1" t="s">
        <v>23578</v>
      </c>
      <c r="C23579" s="3">
        <v>1</v>
      </c>
    </row>
    <row r="23580" spans="1:3" x14ac:dyDescent="0.25">
      <c r="A23580" s="1" t="s">
        <v>23579</v>
      </c>
      <c r="C23580" s="3">
        <v>1</v>
      </c>
    </row>
    <row r="23581" spans="1:3" x14ac:dyDescent="0.25">
      <c r="A23581" s="1" t="s">
        <v>23580</v>
      </c>
      <c r="C23581" s="3">
        <v>1</v>
      </c>
    </row>
    <row r="23582" spans="1:3" x14ac:dyDescent="0.25">
      <c r="A23582" s="1" t="s">
        <v>23581</v>
      </c>
      <c r="C23582" s="3">
        <v>1</v>
      </c>
    </row>
    <row r="23583" spans="1:3" x14ac:dyDescent="0.25">
      <c r="A23583" s="1" t="s">
        <v>23582</v>
      </c>
      <c r="C23583" s="3">
        <v>1</v>
      </c>
    </row>
    <row r="23584" spans="1:3" x14ac:dyDescent="0.25">
      <c r="A23584" s="1" t="s">
        <v>23583</v>
      </c>
      <c r="C23584" s="3">
        <v>1</v>
      </c>
    </row>
    <row r="23585" spans="1:3" x14ac:dyDescent="0.25">
      <c r="A23585" s="1" t="s">
        <v>23584</v>
      </c>
      <c r="C23585" s="3">
        <v>1</v>
      </c>
    </row>
    <row r="23586" spans="1:3" x14ac:dyDescent="0.25">
      <c r="A23586" s="1" t="s">
        <v>23585</v>
      </c>
      <c r="C23586" s="3">
        <v>1</v>
      </c>
    </row>
    <row r="23587" spans="1:3" x14ac:dyDescent="0.25">
      <c r="A23587" s="1" t="s">
        <v>23586</v>
      </c>
      <c r="C23587" s="3">
        <v>1</v>
      </c>
    </row>
    <row r="23588" spans="1:3" x14ac:dyDescent="0.25">
      <c r="A23588" s="1" t="s">
        <v>23587</v>
      </c>
      <c r="C23588" s="3">
        <v>1</v>
      </c>
    </row>
    <row r="23589" spans="1:3" x14ac:dyDescent="0.25">
      <c r="A23589" s="1" t="s">
        <v>23588</v>
      </c>
      <c r="C23589" s="3">
        <v>1</v>
      </c>
    </row>
    <row r="23590" spans="1:3" x14ac:dyDescent="0.25">
      <c r="A23590" s="1" t="s">
        <v>23589</v>
      </c>
      <c r="C23590" s="3">
        <v>1</v>
      </c>
    </row>
    <row r="23591" spans="1:3" x14ac:dyDescent="0.25">
      <c r="A23591" s="1" t="s">
        <v>23590</v>
      </c>
      <c r="C23591" s="3">
        <v>1</v>
      </c>
    </row>
    <row r="23592" spans="1:3" x14ac:dyDescent="0.25">
      <c r="A23592" s="1" t="s">
        <v>23591</v>
      </c>
      <c r="C23592" s="3">
        <v>1</v>
      </c>
    </row>
    <row r="23593" spans="1:3" x14ac:dyDescent="0.25">
      <c r="A23593" s="1" t="s">
        <v>23592</v>
      </c>
      <c r="C23593" s="3">
        <v>1</v>
      </c>
    </row>
    <row r="23594" spans="1:3" x14ac:dyDescent="0.25">
      <c r="A23594" s="1" t="s">
        <v>23593</v>
      </c>
      <c r="C23594" s="3">
        <v>1</v>
      </c>
    </row>
    <row r="23595" spans="1:3" x14ac:dyDescent="0.25">
      <c r="A23595" s="1" t="s">
        <v>23594</v>
      </c>
      <c r="C23595" s="3">
        <v>1</v>
      </c>
    </row>
    <row r="23596" spans="1:3" x14ac:dyDescent="0.25">
      <c r="A23596" s="1" t="s">
        <v>23595</v>
      </c>
      <c r="C23596" s="3">
        <v>1</v>
      </c>
    </row>
    <row r="23597" spans="1:3" x14ac:dyDescent="0.25">
      <c r="A23597" s="1" t="s">
        <v>23596</v>
      </c>
      <c r="C23597" s="3">
        <v>1</v>
      </c>
    </row>
    <row r="23598" spans="1:3" x14ac:dyDescent="0.25">
      <c r="A23598" s="1" t="s">
        <v>23597</v>
      </c>
      <c r="C23598" s="3">
        <v>1</v>
      </c>
    </row>
    <row r="23599" spans="1:3" x14ac:dyDescent="0.25">
      <c r="A23599" s="1" t="s">
        <v>23598</v>
      </c>
      <c r="C23599" s="3">
        <v>1</v>
      </c>
    </row>
    <row r="23600" spans="1:3" x14ac:dyDescent="0.25">
      <c r="A23600" s="1" t="s">
        <v>23599</v>
      </c>
      <c r="C23600" s="3">
        <v>1</v>
      </c>
    </row>
    <row r="23601" spans="1:3" x14ac:dyDescent="0.25">
      <c r="A23601" s="1" t="s">
        <v>23600</v>
      </c>
      <c r="C23601" s="3">
        <v>1</v>
      </c>
    </row>
    <row r="23602" spans="1:3" x14ac:dyDescent="0.25">
      <c r="A23602" s="1" t="s">
        <v>23601</v>
      </c>
      <c r="C23602" s="3">
        <v>1</v>
      </c>
    </row>
    <row r="23603" spans="1:3" x14ac:dyDescent="0.25">
      <c r="A23603" s="1" t="s">
        <v>23602</v>
      </c>
      <c r="C23603" s="3">
        <v>1</v>
      </c>
    </row>
    <row r="23604" spans="1:3" x14ac:dyDescent="0.25">
      <c r="A23604" s="1" t="s">
        <v>23603</v>
      </c>
      <c r="C23604" s="3">
        <v>1</v>
      </c>
    </row>
    <row r="23605" spans="1:3" x14ac:dyDescent="0.25">
      <c r="A23605" s="1" t="s">
        <v>23604</v>
      </c>
      <c r="C23605" s="3">
        <v>1</v>
      </c>
    </row>
    <row r="23606" spans="1:3" x14ac:dyDescent="0.25">
      <c r="A23606" s="1" t="s">
        <v>23605</v>
      </c>
      <c r="C23606" s="3">
        <v>1</v>
      </c>
    </row>
    <row r="23607" spans="1:3" x14ac:dyDescent="0.25">
      <c r="A23607" s="1" t="s">
        <v>23606</v>
      </c>
      <c r="C23607" s="3">
        <v>1</v>
      </c>
    </row>
    <row r="23608" spans="1:3" x14ac:dyDescent="0.25">
      <c r="A23608" s="1" t="s">
        <v>23607</v>
      </c>
      <c r="C23608" s="3">
        <v>1</v>
      </c>
    </row>
    <row r="23609" spans="1:3" x14ac:dyDescent="0.25">
      <c r="A23609" s="1" t="s">
        <v>23608</v>
      </c>
      <c r="C23609" s="3">
        <v>1</v>
      </c>
    </row>
    <row r="23610" spans="1:3" x14ac:dyDescent="0.25">
      <c r="A23610" s="1" t="s">
        <v>23609</v>
      </c>
      <c r="C23610" s="3">
        <v>1</v>
      </c>
    </row>
    <row r="23611" spans="1:3" x14ac:dyDescent="0.25">
      <c r="A23611" s="1" t="s">
        <v>23610</v>
      </c>
      <c r="C23611" s="3">
        <v>1</v>
      </c>
    </row>
    <row r="23612" spans="1:3" x14ac:dyDescent="0.25">
      <c r="A23612" s="1" t="s">
        <v>23611</v>
      </c>
      <c r="C23612" s="3">
        <v>1</v>
      </c>
    </row>
    <row r="23613" spans="1:3" x14ac:dyDescent="0.25">
      <c r="A23613" s="1" t="s">
        <v>23612</v>
      </c>
      <c r="C23613" s="3">
        <v>1</v>
      </c>
    </row>
    <row r="23614" spans="1:3" x14ac:dyDescent="0.25">
      <c r="A23614" s="1" t="s">
        <v>23613</v>
      </c>
      <c r="C23614" s="3">
        <v>1</v>
      </c>
    </row>
    <row r="23615" spans="1:3" x14ac:dyDescent="0.25">
      <c r="A23615" s="1" t="s">
        <v>23614</v>
      </c>
      <c r="C23615" s="3">
        <v>1</v>
      </c>
    </row>
    <row r="23616" spans="1:3" x14ac:dyDescent="0.25">
      <c r="A23616" s="1" t="s">
        <v>23615</v>
      </c>
      <c r="C23616" s="3">
        <v>1</v>
      </c>
    </row>
    <row r="23617" spans="1:3" x14ac:dyDescent="0.25">
      <c r="A23617" s="1" t="s">
        <v>23616</v>
      </c>
      <c r="C23617" s="3">
        <v>1</v>
      </c>
    </row>
    <row r="23618" spans="1:3" x14ac:dyDescent="0.25">
      <c r="A23618" s="1" t="s">
        <v>23617</v>
      </c>
      <c r="C23618" s="3">
        <v>1</v>
      </c>
    </row>
    <row r="23619" spans="1:3" x14ac:dyDescent="0.25">
      <c r="A23619" s="1" t="s">
        <v>23618</v>
      </c>
      <c r="C23619" s="3">
        <v>1</v>
      </c>
    </row>
    <row r="23620" spans="1:3" x14ac:dyDescent="0.25">
      <c r="A23620" s="1" t="s">
        <v>23619</v>
      </c>
      <c r="C23620" s="3">
        <v>1</v>
      </c>
    </row>
    <row r="23621" spans="1:3" x14ac:dyDescent="0.25">
      <c r="A23621" s="1" t="s">
        <v>23620</v>
      </c>
      <c r="C23621" s="3">
        <v>1</v>
      </c>
    </row>
    <row r="23622" spans="1:3" x14ac:dyDescent="0.25">
      <c r="A23622" s="1" t="s">
        <v>23621</v>
      </c>
      <c r="C23622" s="3">
        <v>1</v>
      </c>
    </row>
    <row r="23623" spans="1:3" x14ac:dyDescent="0.25">
      <c r="A23623" s="1" t="s">
        <v>23622</v>
      </c>
      <c r="C23623" s="3">
        <v>1</v>
      </c>
    </row>
    <row r="23624" spans="1:3" x14ac:dyDescent="0.25">
      <c r="A23624" s="1" t="s">
        <v>23623</v>
      </c>
      <c r="C23624" s="3">
        <v>1</v>
      </c>
    </row>
    <row r="23625" spans="1:3" x14ac:dyDescent="0.25">
      <c r="A23625" s="1" t="s">
        <v>23624</v>
      </c>
      <c r="C23625" s="3">
        <v>1</v>
      </c>
    </row>
    <row r="23626" spans="1:3" x14ac:dyDescent="0.25">
      <c r="A23626" s="1" t="s">
        <v>23625</v>
      </c>
      <c r="C23626" s="3">
        <v>1</v>
      </c>
    </row>
    <row r="23627" spans="1:3" x14ac:dyDescent="0.25">
      <c r="A23627" s="1" t="s">
        <v>23626</v>
      </c>
      <c r="C23627" s="3">
        <v>1</v>
      </c>
    </row>
    <row r="23628" spans="1:3" x14ac:dyDescent="0.25">
      <c r="A23628" s="1" t="s">
        <v>23627</v>
      </c>
      <c r="C23628" s="3">
        <v>1</v>
      </c>
    </row>
    <row r="23629" spans="1:3" x14ac:dyDescent="0.25">
      <c r="A23629" s="1" t="s">
        <v>23628</v>
      </c>
      <c r="C23629" s="3">
        <v>1</v>
      </c>
    </row>
    <row r="23630" spans="1:3" x14ac:dyDescent="0.25">
      <c r="A23630" s="1" t="s">
        <v>23629</v>
      </c>
      <c r="C23630" s="3">
        <v>1</v>
      </c>
    </row>
    <row r="23631" spans="1:3" x14ac:dyDescent="0.25">
      <c r="A23631" s="1" t="s">
        <v>23630</v>
      </c>
      <c r="C23631" s="3">
        <v>1</v>
      </c>
    </row>
    <row r="23632" spans="1:3" x14ac:dyDescent="0.25">
      <c r="A23632" s="1" t="s">
        <v>23631</v>
      </c>
      <c r="C23632" s="3">
        <v>1</v>
      </c>
    </row>
    <row r="23633" spans="1:3" x14ac:dyDescent="0.25">
      <c r="A23633" s="1" t="s">
        <v>23632</v>
      </c>
      <c r="C23633" s="3">
        <v>1</v>
      </c>
    </row>
    <row r="23634" spans="1:3" x14ac:dyDescent="0.25">
      <c r="A23634" s="1" t="s">
        <v>23633</v>
      </c>
      <c r="C23634" s="3">
        <v>1</v>
      </c>
    </row>
    <row r="23635" spans="1:3" x14ac:dyDescent="0.25">
      <c r="A23635" s="1" t="s">
        <v>23634</v>
      </c>
      <c r="C23635" s="3">
        <v>1</v>
      </c>
    </row>
    <row r="23636" spans="1:3" x14ac:dyDescent="0.25">
      <c r="A23636" s="1" t="s">
        <v>23635</v>
      </c>
      <c r="C23636" s="3">
        <v>1</v>
      </c>
    </row>
    <row r="23637" spans="1:3" x14ac:dyDescent="0.25">
      <c r="A23637" s="1" t="s">
        <v>23636</v>
      </c>
      <c r="C23637" s="3">
        <v>1</v>
      </c>
    </row>
    <row r="23638" spans="1:3" x14ac:dyDescent="0.25">
      <c r="A23638" s="1" t="s">
        <v>23637</v>
      </c>
      <c r="C23638" s="3">
        <v>1</v>
      </c>
    </row>
    <row r="23639" spans="1:3" x14ac:dyDescent="0.25">
      <c r="A23639" s="1" t="s">
        <v>23638</v>
      </c>
      <c r="C23639" s="3">
        <v>1</v>
      </c>
    </row>
    <row r="23640" spans="1:3" x14ac:dyDescent="0.25">
      <c r="A23640" s="1" t="s">
        <v>23639</v>
      </c>
      <c r="C23640" s="3">
        <v>1</v>
      </c>
    </row>
    <row r="23641" spans="1:3" x14ac:dyDescent="0.25">
      <c r="A23641" s="1" t="s">
        <v>23640</v>
      </c>
      <c r="C23641" s="3">
        <v>1</v>
      </c>
    </row>
    <row r="23642" spans="1:3" x14ac:dyDescent="0.25">
      <c r="A23642" s="1" t="s">
        <v>23641</v>
      </c>
      <c r="C23642" s="3">
        <v>1</v>
      </c>
    </row>
    <row r="23643" spans="1:3" x14ac:dyDescent="0.25">
      <c r="A23643" s="1" t="s">
        <v>23642</v>
      </c>
      <c r="C23643" s="3">
        <v>1</v>
      </c>
    </row>
    <row r="23644" spans="1:3" x14ac:dyDescent="0.25">
      <c r="A23644" s="1" t="s">
        <v>23643</v>
      </c>
      <c r="C23644" s="3">
        <v>1</v>
      </c>
    </row>
    <row r="23645" spans="1:3" x14ac:dyDescent="0.25">
      <c r="A23645" s="1" t="s">
        <v>23644</v>
      </c>
      <c r="C23645" s="3">
        <v>1</v>
      </c>
    </row>
    <row r="23646" spans="1:3" x14ac:dyDescent="0.25">
      <c r="A23646" s="1" t="s">
        <v>23645</v>
      </c>
      <c r="C23646" s="3">
        <v>1</v>
      </c>
    </row>
    <row r="23647" spans="1:3" x14ac:dyDescent="0.25">
      <c r="A23647" s="1" t="s">
        <v>23646</v>
      </c>
      <c r="C23647" s="3">
        <v>1</v>
      </c>
    </row>
    <row r="23648" spans="1:3" x14ac:dyDescent="0.25">
      <c r="A23648" s="1" t="s">
        <v>23647</v>
      </c>
      <c r="C23648" s="3">
        <v>1</v>
      </c>
    </row>
    <row r="23649" spans="1:3" x14ac:dyDescent="0.25">
      <c r="A23649" s="1" t="s">
        <v>23648</v>
      </c>
      <c r="C23649" s="3">
        <v>1</v>
      </c>
    </row>
    <row r="23650" spans="1:3" x14ac:dyDescent="0.25">
      <c r="A23650" s="1" t="s">
        <v>23649</v>
      </c>
      <c r="C23650" s="3">
        <v>1</v>
      </c>
    </row>
    <row r="23651" spans="1:3" x14ac:dyDescent="0.25">
      <c r="A23651" s="1" t="s">
        <v>23650</v>
      </c>
      <c r="C23651" s="3">
        <v>1</v>
      </c>
    </row>
    <row r="23652" spans="1:3" x14ac:dyDescent="0.25">
      <c r="A23652" s="1" t="s">
        <v>23651</v>
      </c>
      <c r="C23652" s="3">
        <v>1</v>
      </c>
    </row>
    <row r="23653" spans="1:3" x14ac:dyDescent="0.25">
      <c r="A23653" s="1" t="s">
        <v>23652</v>
      </c>
      <c r="C23653" s="3">
        <v>1</v>
      </c>
    </row>
    <row r="23654" spans="1:3" x14ac:dyDescent="0.25">
      <c r="A23654" s="1" t="s">
        <v>23653</v>
      </c>
      <c r="C23654" s="3">
        <v>1</v>
      </c>
    </row>
    <row r="23655" spans="1:3" x14ac:dyDescent="0.25">
      <c r="A23655" s="1" t="s">
        <v>23654</v>
      </c>
      <c r="C23655" s="3">
        <v>1</v>
      </c>
    </row>
    <row r="23656" spans="1:3" x14ac:dyDescent="0.25">
      <c r="A23656" s="1" t="s">
        <v>23655</v>
      </c>
      <c r="C23656" s="3">
        <v>1</v>
      </c>
    </row>
    <row r="23657" spans="1:3" x14ac:dyDescent="0.25">
      <c r="A23657" s="1" t="s">
        <v>23656</v>
      </c>
      <c r="C23657" s="3">
        <v>1</v>
      </c>
    </row>
    <row r="23658" spans="1:3" x14ac:dyDescent="0.25">
      <c r="A23658" s="1" t="s">
        <v>23657</v>
      </c>
      <c r="C23658" s="3">
        <v>1</v>
      </c>
    </row>
    <row r="23659" spans="1:3" x14ac:dyDescent="0.25">
      <c r="A23659" s="1" t="s">
        <v>23658</v>
      </c>
      <c r="C23659" s="3">
        <v>1</v>
      </c>
    </row>
    <row r="23660" spans="1:3" x14ac:dyDescent="0.25">
      <c r="A23660" s="1" t="s">
        <v>23659</v>
      </c>
      <c r="C23660" s="3">
        <v>1</v>
      </c>
    </row>
    <row r="23661" spans="1:3" x14ac:dyDescent="0.25">
      <c r="A23661" s="1" t="s">
        <v>23660</v>
      </c>
      <c r="C23661" s="3">
        <v>1</v>
      </c>
    </row>
    <row r="23662" spans="1:3" x14ac:dyDescent="0.25">
      <c r="A23662" s="1" t="s">
        <v>23661</v>
      </c>
      <c r="C23662" s="3">
        <v>1</v>
      </c>
    </row>
    <row r="23663" spans="1:3" x14ac:dyDescent="0.25">
      <c r="A23663" s="1" t="s">
        <v>23662</v>
      </c>
      <c r="C23663" s="3">
        <v>1</v>
      </c>
    </row>
    <row r="23664" spans="1:3" x14ac:dyDescent="0.25">
      <c r="A23664" s="1" t="s">
        <v>23663</v>
      </c>
      <c r="C23664" s="3">
        <v>1</v>
      </c>
    </row>
    <row r="23665" spans="1:3" x14ac:dyDescent="0.25">
      <c r="A23665" s="1" t="s">
        <v>23664</v>
      </c>
      <c r="C23665" s="3">
        <v>1</v>
      </c>
    </row>
    <row r="23666" spans="1:3" x14ac:dyDescent="0.25">
      <c r="A23666" s="1" t="s">
        <v>23665</v>
      </c>
      <c r="C23666" s="3">
        <v>1</v>
      </c>
    </row>
    <row r="23667" spans="1:3" x14ac:dyDescent="0.25">
      <c r="A23667" s="1" t="s">
        <v>23666</v>
      </c>
      <c r="C23667" s="3">
        <v>1</v>
      </c>
    </row>
    <row r="23668" spans="1:3" x14ac:dyDescent="0.25">
      <c r="A23668" s="1" t="s">
        <v>23667</v>
      </c>
      <c r="C23668" s="3">
        <v>1</v>
      </c>
    </row>
    <row r="23669" spans="1:3" x14ac:dyDescent="0.25">
      <c r="A23669" s="1" t="s">
        <v>23668</v>
      </c>
      <c r="C23669" s="3">
        <v>1</v>
      </c>
    </row>
    <row r="23670" spans="1:3" x14ac:dyDescent="0.25">
      <c r="A23670" s="1" t="s">
        <v>23669</v>
      </c>
      <c r="C23670" s="3">
        <v>1</v>
      </c>
    </row>
    <row r="23671" spans="1:3" x14ac:dyDescent="0.25">
      <c r="A23671" s="1" t="s">
        <v>23670</v>
      </c>
      <c r="C23671" s="3">
        <v>1</v>
      </c>
    </row>
    <row r="23672" spans="1:3" x14ac:dyDescent="0.25">
      <c r="A23672" s="1" t="s">
        <v>23671</v>
      </c>
      <c r="C23672" s="3">
        <v>1</v>
      </c>
    </row>
    <row r="23673" spans="1:3" x14ac:dyDescent="0.25">
      <c r="A23673" s="1" t="s">
        <v>23672</v>
      </c>
      <c r="C23673" s="3">
        <v>1</v>
      </c>
    </row>
    <row r="23674" spans="1:3" x14ac:dyDescent="0.25">
      <c r="A23674" s="1" t="s">
        <v>23673</v>
      </c>
      <c r="C23674" s="3">
        <v>1</v>
      </c>
    </row>
    <row r="23675" spans="1:3" x14ac:dyDescent="0.25">
      <c r="A23675" s="1" t="s">
        <v>23674</v>
      </c>
      <c r="C23675" s="3">
        <v>1</v>
      </c>
    </row>
    <row r="23676" spans="1:3" x14ac:dyDescent="0.25">
      <c r="A23676" s="1" t="s">
        <v>23675</v>
      </c>
      <c r="C23676" s="3">
        <v>1</v>
      </c>
    </row>
    <row r="23677" spans="1:3" x14ac:dyDescent="0.25">
      <c r="A23677" s="1" t="s">
        <v>23676</v>
      </c>
      <c r="C23677" s="3">
        <v>1</v>
      </c>
    </row>
    <row r="23678" spans="1:3" x14ac:dyDescent="0.25">
      <c r="A23678" s="1" t="s">
        <v>23677</v>
      </c>
      <c r="C23678" s="3">
        <v>1</v>
      </c>
    </row>
    <row r="23679" spans="1:3" x14ac:dyDescent="0.25">
      <c r="A23679" s="1" t="s">
        <v>23678</v>
      </c>
      <c r="C23679" s="3">
        <v>1</v>
      </c>
    </row>
    <row r="23680" spans="1:3" x14ac:dyDescent="0.25">
      <c r="A23680" s="1" t="s">
        <v>23679</v>
      </c>
      <c r="C23680" s="3">
        <v>1</v>
      </c>
    </row>
    <row r="23681" spans="1:3" x14ac:dyDescent="0.25">
      <c r="A23681" s="1" t="s">
        <v>23680</v>
      </c>
      <c r="C23681" s="3">
        <v>1</v>
      </c>
    </row>
    <row r="23682" spans="1:3" x14ac:dyDescent="0.25">
      <c r="A23682" s="1" t="s">
        <v>23681</v>
      </c>
      <c r="C23682" s="3">
        <v>1</v>
      </c>
    </row>
    <row r="23683" spans="1:3" x14ac:dyDescent="0.25">
      <c r="A23683" s="1" t="s">
        <v>23682</v>
      </c>
      <c r="C23683" s="3">
        <v>1</v>
      </c>
    </row>
    <row r="23684" spans="1:3" x14ac:dyDescent="0.25">
      <c r="A23684" s="1" t="s">
        <v>23683</v>
      </c>
      <c r="C23684" s="3">
        <v>1</v>
      </c>
    </row>
    <row r="23685" spans="1:3" x14ac:dyDescent="0.25">
      <c r="A23685" s="1" t="s">
        <v>23684</v>
      </c>
      <c r="C23685" s="3">
        <v>1</v>
      </c>
    </row>
    <row r="23686" spans="1:3" x14ac:dyDescent="0.25">
      <c r="A23686" s="1" t="s">
        <v>23685</v>
      </c>
      <c r="C23686" s="3">
        <v>1</v>
      </c>
    </row>
    <row r="23687" spans="1:3" x14ac:dyDescent="0.25">
      <c r="A23687" s="1" t="s">
        <v>23686</v>
      </c>
      <c r="C23687" s="3">
        <v>1</v>
      </c>
    </row>
    <row r="23688" spans="1:3" x14ac:dyDescent="0.25">
      <c r="A23688" s="1" t="s">
        <v>23687</v>
      </c>
      <c r="C23688" s="3">
        <v>1</v>
      </c>
    </row>
    <row r="23689" spans="1:3" x14ac:dyDescent="0.25">
      <c r="A23689" s="1" t="s">
        <v>23688</v>
      </c>
      <c r="C23689" s="3">
        <v>1</v>
      </c>
    </row>
    <row r="23690" spans="1:3" x14ac:dyDescent="0.25">
      <c r="A23690" s="1" t="s">
        <v>23689</v>
      </c>
      <c r="C23690" s="3">
        <v>1</v>
      </c>
    </row>
    <row r="23691" spans="1:3" x14ac:dyDescent="0.25">
      <c r="A23691" s="1" t="s">
        <v>23690</v>
      </c>
      <c r="C23691" s="3">
        <v>1</v>
      </c>
    </row>
    <row r="23692" spans="1:3" x14ac:dyDescent="0.25">
      <c r="A23692" s="1" t="s">
        <v>23691</v>
      </c>
      <c r="C23692" s="3">
        <v>1</v>
      </c>
    </row>
    <row r="23693" spans="1:3" x14ac:dyDescent="0.25">
      <c r="A23693" s="1" t="s">
        <v>23692</v>
      </c>
      <c r="C23693" s="3">
        <v>1</v>
      </c>
    </row>
    <row r="23694" spans="1:3" x14ac:dyDescent="0.25">
      <c r="A23694" s="1" t="s">
        <v>23693</v>
      </c>
      <c r="C23694" s="3">
        <v>1</v>
      </c>
    </row>
    <row r="23695" spans="1:3" x14ac:dyDescent="0.25">
      <c r="A23695" s="1" t="s">
        <v>23694</v>
      </c>
      <c r="C23695" s="3">
        <v>1</v>
      </c>
    </row>
    <row r="23696" spans="1:3" x14ac:dyDescent="0.25">
      <c r="A23696" s="1" t="s">
        <v>23695</v>
      </c>
      <c r="C23696" s="3">
        <v>1</v>
      </c>
    </row>
    <row r="23697" spans="1:3" x14ac:dyDescent="0.25">
      <c r="A23697" s="1" t="s">
        <v>23696</v>
      </c>
      <c r="C23697" s="3">
        <v>1</v>
      </c>
    </row>
    <row r="23698" spans="1:3" x14ac:dyDescent="0.25">
      <c r="A23698" s="1" t="s">
        <v>23697</v>
      </c>
      <c r="C23698" s="3">
        <v>1</v>
      </c>
    </row>
    <row r="23699" spans="1:3" x14ac:dyDescent="0.25">
      <c r="A23699" s="1" t="s">
        <v>23698</v>
      </c>
      <c r="C23699" s="3">
        <v>1</v>
      </c>
    </row>
    <row r="23700" spans="1:3" x14ac:dyDescent="0.25">
      <c r="A23700" s="1" t="s">
        <v>23699</v>
      </c>
      <c r="C23700" s="3">
        <v>1</v>
      </c>
    </row>
    <row r="23701" spans="1:3" x14ac:dyDescent="0.25">
      <c r="A23701" s="1" t="s">
        <v>23700</v>
      </c>
      <c r="C23701" s="3">
        <v>1</v>
      </c>
    </row>
    <row r="23702" spans="1:3" x14ac:dyDescent="0.25">
      <c r="A23702" s="1" t="s">
        <v>23701</v>
      </c>
      <c r="C23702" s="3">
        <v>1</v>
      </c>
    </row>
    <row r="23703" spans="1:3" x14ac:dyDescent="0.25">
      <c r="A23703" s="1" t="s">
        <v>23702</v>
      </c>
      <c r="C23703" s="3">
        <v>1</v>
      </c>
    </row>
    <row r="23704" spans="1:3" x14ac:dyDescent="0.25">
      <c r="A23704" s="1" t="s">
        <v>23703</v>
      </c>
      <c r="C23704" s="3">
        <v>1</v>
      </c>
    </row>
    <row r="23705" spans="1:3" x14ac:dyDescent="0.25">
      <c r="A23705" s="1" t="s">
        <v>23704</v>
      </c>
      <c r="C23705" s="3">
        <v>1</v>
      </c>
    </row>
    <row r="23706" spans="1:3" x14ac:dyDescent="0.25">
      <c r="A23706" s="1" t="s">
        <v>23705</v>
      </c>
      <c r="C23706" s="3">
        <v>1</v>
      </c>
    </row>
    <row r="23707" spans="1:3" x14ac:dyDescent="0.25">
      <c r="A23707" s="1" t="s">
        <v>23706</v>
      </c>
      <c r="C23707" s="3">
        <v>1</v>
      </c>
    </row>
    <row r="23708" spans="1:3" x14ac:dyDescent="0.25">
      <c r="A23708" s="1" t="s">
        <v>23707</v>
      </c>
      <c r="C23708" s="3">
        <v>1</v>
      </c>
    </row>
    <row r="23709" spans="1:3" x14ac:dyDescent="0.25">
      <c r="A23709" s="1" t="s">
        <v>23708</v>
      </c>
      <c r="C23709" s="3">
        <v>1</v>
      </c>
    </row>
    <row r="23710" spans="1:3" x14ac:dyDescent="0.25">
      <c r="A23710" s="1" t="s">
        <v>23709</v>
      </c>
      <c r="C23710" s="3">
        <v>1</v>
      </c>
    </row>
    <row r="23711" spans="1:3" x14ac:dyDescent="0.25">
      <c r="A23711" s="1" t="s">
        <v>23710</v>
      </c>
      <c r="C23711" s="3">
        <v>1</v>
      </c>
    </row>
    <row r="23712" spans="1:3" x14ac:dyDescent="0.25">
      <c r="A23712" s="1" t="s">
        <v>23711</v>
      </c>
      <c r="C23712" s="3">
        <v>1</v>
      </c>
    </row>
    <row r="23713" spans="1:3" x14ac:dyDescent="0.25">
      <c r="A23713" s="1" t="s">
        <v>23712</v>
      </c>
      <c r="C23713" s="3">
        <v>1</v>
      </c>
    </row>
    <row r="23714" spans="1:3" x14ac:dyDescent="0.25">
      <c r="A23714" s="1" t="s">
        <v>23713</v>
      </c>
      <c r="C23714" s="3">
        <v>1</v>
      </c>
    </row>
    <row r="23715" spans="1:3" x14ac:dyDescent="0.25">
      <c r="A23715" s="1" t="s">
        <v>23714</v>
      </c>
      <c r="C23715" s="3">
        <v>1</v>
      </c>
    </row>
    <row r="23716" spans="1:3" x14ac:dyDescent="0.25">
      <c r="A23716" s="1" t="s">
        <v>23715</v>
      </c>
      <c r="C23716" s="3">
        <v>1</v>
      </c>
    </row>
    <row r="23717" spans="1:3" x14ac:dyDescent="0.25">
      <c r="A23717" s="1" t="s">
        <v>23716</v>
      </c>
      <c r="C23717" s="3">
        <v>1</v>
      </c>
    </row>
    <row r="23718" spans="1:3" x14ac:dyDescent="0.25">
      <c r="A23718" s="1" t="s">
        <v>23717</v>
      </c>
      <c r="C23718" s="3">
        <v>1</v>
      </c>
    </row>
    <row r="23719" spans="1:3" x14ac:dyDescent="0.25">
      <c r="A23719" s="1" t="s">
        <v>23718</v>
      </c>
      <c r="C23719" s="3">
        <v>1</v>
      </c>
    </row>
    <row r="23720" spans="1:3" x14ac:dyDescent="0.25">
      <c r="A23720" s="1" t="s">
        <v>23719</v>
      </c>
      <c r="C23720" s="3">
        <v>1</v>
      </c>
    </row>
    <row r="23721" spans="1:3" x14ac:dyDescent="0.25">
      <c r="A23721" s="1" t="s">
        <v>23720</v>
      </c>
      <c r="C23721" s="3">
        <v>1</v>
      </c>
    </row>
    <row r="23722" spans="1:3" x14ac:dyDescent="0.25">
      <c r="A23722" s="1" t="s">
        <v>23721</v>
      </c>
      <c r="C23722" s="3">
        <v>1</v>
      </c>
    </row>
    <row r="23723" spans="1:3" x14ac:dyDescent="0.25">
      <c r="A23723" s="1" t="s">
        <v>23722</v>
      </c>
      <c r="C23723" s="3">
        <v>1</v>
      </c>
    </row>
    <row r="23724" spans="1:3" x14ac:dyDescent="0.25">
      <c r="A23724" s="1" t="s">
        <v>23723</v>
      </c>
      <c r="C23724" s="3">
        <v>1</v>
      </c>
    </row>
    <row r="23725" spans="1:3" x14ac:dyDescent="0.25">
      <c r="A23725" s="1" t="s">
        <v>23724</v>
      </c>
      <c r="C23725" s="3">
        <v>1</v>
      </c>
    </row>
    <row r="23726" spans="1:3" x14ac:dyDescent="0.25">
      <c r="A23726" s="1" t="s">
        <v>23725</v>
      </c>
      <c r="C23726" s="3">
        <v>1</v>
      </c>
    </row>
    <row r="23727" spans="1:3" x14ac:dyDescent="0.25">
      <c r="A23727" s="1" t="s">
        <v>23726</v>
      </c>
      <c r="C23727" s="3">
        <v>1</v>
      </c>
    </row>
    <row r="23728" spans="1:3" x14ac:dyDescent="0.25">
      <c r="A23728" s="1" t="s">
        <v>23727</v>
      </c>
      <c r="C23728" s="3">
        <v>1</v>
      </c>
    </row>
    <row r="23729" spans="1:3" x14ac:dyDescent="0.25">
      <c r="A23729" s="1" t="s">
        <v>23728</v>
      </c>
      <c r="C23729" s="3">
        <v>1</v>
      </c>
    </row>
    <row r="23730" spans="1:3" x14ac:dyDescent="0.25">
      <c r="A23730" s="1" t="s">
        <v>23729</v>
      </c>
      <c r="C23730" s="3">
        <v>1</v>
      </c>
    </row>
    <row r="23731" spans="1:3" x14ac:dyDescent="0.25">
      <c r="A23731" s="1" t="s">
        <v>23730</v>
      </c>
      <c r="C23731" s="3">
        <v>1</v>
      </c>
    </row>
    <row r="23732" spans="1:3" x14ac:dyDescent="0.25">
      <c r="A23732" s="1" t="s">
        <v>23731</v>
      </c>
      <c r="C23732" s="3">
        <v>1</v>
      </c>
    </row>
    <row r="23733" spans="1:3" x14ac:dyDescent="0.25">
      <c r="A23733" s="1" t="s">
        <v>23732</v>
      </c>
      <c r="C23733" s="3">
        <v>1</v>
      </c>
    </row>
    <row r="23734" spans="1:3" x14ac:dyDescent="0.25">
      <c r="A23734" s="1" t="s">
        <v>23733</v>
      </c>
      <c r="C23734" s="3">
        <v>1</v>
      </c>
    </row>
    <row r="23735" spans="1:3" x14ac:dyDescent="0.25">
      <c r="A23735" s="1" t="s">
        <v>23734</v>
      </c>
      <c r="C23735" s="3">
        <v>1</v>
      </c>
    </row>
    <row r="23736" spans="1:3" x14ac:dyDescent="0.25">
      <c r="A23736" s="1" t="s">
        <v>23735</v>
      </c>
      <c r="C23736" s="3">
        <v>1</v>
      </c>
    </row>
    <row r="23737" spans="1:3" x14ac:dyDescent="0.25">
      <c r="A23737" s="1" t="s">
        <v>23736</v>
      </c>
      <c r="C23737" s="3">
        <v>1</v>
      </c>
    </row>
    <row r="23738" spans="1:3" x14ac:dyDescent="0.25">
      <c r="A23738" s="1" t="s">
        <v>23737</v>
      </c>
      <c r="C23738" s="3">
        <v>1</v>
      </c>
    </row>
    <row r="23739" spans="1:3" x14ac:dyDescent="0.25">
      <c r="A23739" s="1" t="s">
        <v>23738</v>
      </c>
      <c r="C23739" s="3">
        <v>1</v>
      </c>
    </row>
    <row r="23740" spans="1:3" x14ac:dyDescent="0.25">
      <c r="A23740" s="1" t="s">
        <v>23739</v>
      </c>
      <c r="C23740" s="3">
        <v>1</v>
      </c>
    </row>
    <row r="23741" spans="1:3" x14ac:dyDescent="0.25">
      <c r="A23741" s="1" t="s">
        <v>23740</v>
      </c>
      <c r="C23741" s="3">
        <v>1</v>
      </c>
    </row>
    <row r="23742" spans="1:3" x14ac:dyDescent="0.25">
      <c r="A23742" s="1" t="s">
        <v>23741</v>
      </c>
      <c r="C23742" s="3">
        <v>1</v>
      </c>
    </row>
    <row r="23743" spans="1:3" x14ac:dyDescent="0.25">
      <c r="A23743" s="1" t="s">
        <v>23742</v>
      </c>
      <c r="C23743" s="3">
        <v>1</v>
      </c>
    </row>
    <row r="23744" spans="1:3" x14ac:dyDescent="0.25">
      <c r="A23744" s="1" t="s">
        <v>23743</v>
      </c>
      <c r="C23744" s="3">
        <v>1</v>
      </c>
    </row>
    <row r="23745" spans="1:3" x14ac:dyDescent="0.25">
      <c r="A23745" s="1" t="s">
        <v>23744</v>
      </c>
      <c r="C23745" s="3">
        <v>1</v>
      </c>
    </row>
    <row r="23746" spans="1:3" x14ac:dyDescent="0.25">
      <c r="A23746" s="1" t="s">
        <v>23745</v>
      </c>
      <c r="C23746" s="3">
        <v>1</v>
      </c>
    </row>
    <row r="23747" spans="1:3" x14ac:dyDescent="0.25">
      <c r="A23747" s="1" t="s">
        <v>23746</v>
      </c>
      <c r="C23747" s="3">
        <v>1</v>
      </c>
    </row>
    <row r="23748" spans="1:3" x14ac:dyDescent="0.25">
      <c r="A23748" s="1" t="s">
        <v>23747</v>
      </c>
      <c r="C23748" s="3">
        <v>1</v>
      </c>
    </row>
    <row r="23749" spans="1:3" x14ac:dyDescent="0.25">
      <c r="A23749" s="1" t="s">
        <v>23748</v>
      </c>
      <c r="C23749" s="3">
        <v>1</v>
      </c>
    </row>
    <row r="23750" spans="1:3" x14ac:dyDescent="0.25">
      <c r="A23750" s="1" t="s">
        <v>23749</v>
      </c>
      <c r="C23750" s="3">
        <v>1</v>
      </c>
    </row>
    <row r="23751" spans="1:3" x14ac:dyDescent="0.25">
      <c r="A23751" s="1" t="s">
        <v>23750</v>
      </c>
      <c r="C23751" s="3">
        <v>1</v>
      </c>
    </row>
    <row r="23752" spans="1:3" x14ac:dyDescent="0.25">
      <c r="A23752" s="1" t="s">
        <v>23751</v>
      </c>
      <c r="C23752" s="3">
        <v>1</v>
      </c>
    </row>
    <row r="23753" spans="1:3" x14ac:dyDescent="0.25">
      <c r="A23753" s="1" t="s">
        <v>23752</v>
      </c>
      <c r="C23753" s="3">
        <v>1</v>
      </c>
    </row>
    <row r="23754" spans="1:3" x14ac:dyDescent="0.25">
      <c r="A23754" s="1" t="s">
        <v>23753</v>
      </c>
      <c r="C23754" s="3">
        <v>1</v>
      </c>
    </row>
    <row r="23755" spans="1:3" x14ac:dyDescent="0.25">
      <c r="A23755" s="1" t="s">
        <v>23754</v>
      </c>
      <c r="C23755" s="3">
        <v>1</v>
      </c>
    </row>
    <row r="23756" spans="1:3" x14ac:dyDescent="0.25">
      <c r="A23756" s="1" t="s">
        <v>23755</v>
      </c>
      <c r="C23756" s="3">
        <v>1</v>
      </c>
    </row>
    <row r="23757" spans="1:3" x14ac:dyDescent="0.25">
      <c r="A23757" s="1" t="s">
        <v>23756</v>
      </c>
      <c r="C23757" s="3">
        <v>1</v>
      </c>
    </row>
    <row r="23758" spans="1:3" x14ac:dyDescent="0.25">
      <c r="A23758" s="1" t="s">
        <v>23757</v>
      </c>
      <c r="C23758" s="3">
        <v>1</v>
      </c>
    </row>
    <row r="23759" spans="1:3" x14ac:dyDescent="0.25">
      <c r="A23759" s="1" t="s">
        <v>23758</v>
      </c>
      <c r="C23759" s="3">
        <v>1</v>
      </c>
    </row>
    <row r="23760" spans="1:3" x14ac:dyDescent="0.25">
      <c r="A23760" s="1" t="s">
        <v>23759</v>
      </c>
      <c r="C23760" s="3">
        <v>1</v>
      </c>
    </row>
    <row r="23761" spans="1:3" x14ac:dyDescent="0.25">
      <c r="A23761" s="1" t="s">
        <v>23760</v>
      </c>
      <c r="C23761" s="3">
        <v>1</v>
      </c>
    </row>
    <row r="23762" spans="1:3" x14ac:dyDescent="0.25">
      <c r="A23762" s="1" t="s">
        <v>23761</v>
      </c>
      <c r="C23762" s="3">
        <v>1</v>
      </c>
    </row>
    <row r="23763" spans="1:3" x14ac:dyDescent="0.25">
      <c r="A23763" s="1" t="s">
        <v>23762</v>
      </c>
      <c r="C23763" s="3">
        <v>1</v>
      </c>
    </row>
    <row r="23764" spans="1:3" x14ac:dyDescent="0.25">
      <c r="A23764" s="1" t="s">
        <v>23763</v>
      </c>
      <c r="C23764" s="3">
        <v>1</v>
      </c>
    </row>
    <row r="23765" spans="1:3" x14ac:dyDescent="0.25">
      <c r="A23765" s="1" t="s">
        <v>23764</v>
      </c>
      <c r="C23765" s="3">
        <v>1</v>
      </c>
    </row>
    <row r="23766" spans="1:3" x14ac:dyDescent="0.25">
      <c r="A23766" s="1" t="s">
        <v>23765</v>
      </c>
      <c r="C23766" s="3">
        <v>1</v>
      </c>
    </row>
    <row r="23767" spans="1:3" x14ac:dyDescent="0.25">
      <c r="A23767" s="1" t="s">
        <v>23766</v>
      </c>
      <c r="C23767" s="3">
        <v>1</v>
      </c>
    </row>
    <row r="23768" spans="1:3" x14ac:dyDescent="0.25">
      <c r="A23768" s="1" t="s">
        <v>23767</v>
      </c>
      <c r="C23768" s="3">
        <v>1</v>
      </c>
    </row>
    <row r="23769" spans="1:3" x14ac:dyDescent="0.25">
      <c r="A23769" s="1" t="s">
        <v>23768</v>
      </c>
      <c r="C23769" s="3">
        <v>1</v>
      </c>
    </row>
    <row r="23770" spans="1:3" x14ac:dyDescent="0.25">
      <c r="A23770" s="1" t="s">
        <v>23769</v>
      </c>
      <c r="C23770" s="3">
        <v>1</v>
      </c>
    </row>
    <row r="23771" spans="1:3" x14ac:dyDescent="0.25">
      <c r="A23771" s="1" t="s">
        <v>23770</v>
      </c>
      <c r="C23771" s="3">
        <v>1</v>
      </c>
    </row>
    <row r="23772" spans="1:3" x14ac:dyDescent="0.25">
      <c r="A23772" s="1" t="s">
        <v>23771</v>
      </c>
      <c r="C23772" s="3">
        <v>1</v>
      </c>
    </row>
    <row r="23773" spans="1:3" x14ac:dyDescent="0.25">
      <c r="A23773" s="1" t="s">
        <v>23772</v>
      </c>
      <c r="C23773" s="3">
        <v>1</v>
      </c>
    </row>
    <row r="23774" spans="1:3" x14ac:dyDescent="0.25">
      <c r="A23774" s="1" t="s">
        <v>23773</v>
      </c>
      <c r="C23774" s="3">
        <v>1</v>
      </c>
    </row>
    <row r="23775" spans="1:3" x14ac:dyDescent="0.25">
      <c r="A23775" s="1" t="s">
        <v>23774</v>
      </c>
      <c r="C23775" s="3">
        <v>1</v>
      </c>
    </row>
    <row r="23776" spans="1:3" x14ac:dyDescent="0.25">
      <c r="A23776" s="1" t="s">
        <v>23775</v>
      </c>
      <c r="C23776" s="3">
        <v>1</v>
      </c>
    </row>
    <row r="23777" spans="1:3" x14ac:dyDescent="0.25">
      <c r="A23777" s="1" t="s">
        <v>23776</v>
      </c>
      <c r="C23777" s="3">
        <v>1</v>
      </c>
    </row>
    <row r="23778" spans="1:3" x14ac:dyDescent="0.25">
      <c r="A23778" s="1" t="s">
        <v>23777</v>
      </c>
      <c r="C23778" s="3">
        <v>1</v>
      </c>
    </row>
    <row r="23779" spans="1:3" x14ac:dyDescent="0.25">
      <c r="A23779" s="1" t="s">
        <v>23778</v>
      </c>
      <c r="C23779" s="3">
        <v>1</v>
      </c>
    </row>
    <row r="23780" spans="1:3" x14ac:dyDescent="0.25">
      <c r="A23780" s="1" t="s">
        <v>23779</v>
      </c>
      <c r="C23780" s="3">
        <v>1</v>
      </c>
    </row>
    <row r="23781" spans="1:3" x14ac:dyDescent="0.25">
      <c r="A23781" s="1" t="s">
        <v>23780</v>
      </c>
      <c r="C23781" s="3">
        <v>1</v>
      </c>
    </row>
    <row r="23782" spans="1:3" x14ac:dyDescent="0.25">
      <c r="A23782" s="1" t="s">
        <v>23781</v>
      </c>
      <c r="C23782" s="3">
        <v>1</v>
      </c>
    </row>
    <row r="23783" spans="1:3" x14ac:dyDescent="0.25">
      <c r="A23783" s="1" t="s">
        <v>23782</v>
      </c>
      <c r="C23783" s="3">
        <v>1</v>
      </c>
    </row>
    <row r="23784" spans="1:3" x14ac:dyDescent="0.25">
      <c r="A23784" s="1" t="s">
        <v>23783</v>
      </c>
      <c r="C23784" s="3">
        <v>1</v>
      </c>
    </row>
    <row r="23785" spans="1:3" x14ac:dyDescent="0.25">
      <c r="A23785" s="1" t="s">
        <v>23784</v>
      </c>
      <c r="C23785" s="3">
        <v>1</v>
      </c>
    </row>
    <row r="23786" spans="1:3" x14ac:dyDescent="0.25">
      <c r="A23786" s="1" t="s">
        <v>23785</v>
      </c>
      <c r="C23786" s="3">
        <v>1</v>
      </c>
    </row>
    <row r="23787" spans="1:3" x14ac:dyDescent="0.25">
      <c r="A23787" s="1" t="s">
        <v>23786</v>
      </c>
      <c r="C23787" s="3">
        <v>1</v>
      </c>
    </row>
    <row r="23788" spans="1:3" x14ac:dyDescent="0.25">
      <c r="A23788" s="1" t="s">
        <v>23787</v>
      </c>
      <c r="C23788" s="3">
        <v>1</v>
      </c>
    </row>
    <row r="23789" spans="1:3" x14ac:dyDescent="0.25">
      <c r="A23789" s="1" t="s">
        <v>23788</v>
      </c>
      <c r="C23789" s="3">
        <v>1</v>
      </c>
    </row>
    <row r="23790" spans="1:3" x14ac:dyDescent="0.25">
      <c r="A23790" s="1" t="s">
        <v>23789</v>
      </c>
      <c r="C23790" s="3">
        <v>1</v>
      </c>
    </row>
    <row r="23791" spans="1:3" x14ac:dyDescent="0.25">
      <c r="A23791" s="1" t="s">
        <v>23790</v>
      </c>
      <c r="C23791" s="3">
        <v>1</v>
      </c>
    </row>
    <row r="23792" spans="1:3" x14ac:dyDescent="0.25">
      <c r="A23792" s="1" t="s">
        <v>23791</v>
      </c>
      <c r="C23792" s="3">
        <v>1</v>
      </c>
    </row>
    <row r="23793" spans="1:3" x14ac:dyDescent="0.25">
      <c r="A23793" s="1" t="s">
        <v>23792</v>
      </c>
      <c r="C23793" s="3">
        <v>1</v>
      </c>
    </row>
    <row r="23794" spans="1:3" x14ac:dyDescent="0.25">
      <c r="A23794" s="1" t="s">
        <v>23793</v>
      </c>
      <c r="C23794" s="3">
        <v>1</v>
      </c>
    </row>
    <row r="23795" spans="1:3" x14ac:dyDescent="0.25">
      <c r="A23795" s="1" t="s">
        <v>23794</v>
      </c>
      <c r="C23795" s="3">
        <v>1</v>
      </c>
    </row>
    <row r="23796" spans="1:3" x14ac:dyDescent="0.25">
      <c r="A23796" s="1" t="s">
        <v>23795</v>
      </c>
      <c r="C23796" s="3">
        <v>1</v>
      </c>
    </row>
    <row r="23797" spans="1:3" x14ac:dyDescent="0.25">
      <c r="A23797" s="1" t="s">
        <v>23796</v>
      </c>
      <c r="C23797" s="3">
        <v>1</v>
      </c>
    </row>
    <row r="23798" spans="1:3" x14ac:dyDescent="0.25">
      <c r="A23798" s="1" t="s">
        <v>23797</v>
      </c>
      <c r="C23798" s="3">
        <v>1</v>
      </c>
    </row>
    <row r="23799" spans="1:3" x14ac:dyDescent="0.25">
      <c r="A23799" s="1" t="s">
        <v>23798</v>
      </c>
      <c r="C23799" s="3">
        <v>1</v>
      </c>
    </row>
    <row r="23800" spans="1:3" x14ac:dyDescent="0.25">
      <c r="A23800" s="1" t="s">
        <v>23799</v>
      </c>
      <c r="C23800" s="3">
        <v>1</v>
      </c>
    </row>
    <row r="23801" spans="1:3" x14ac:dyDescent="0.25">
      <c r="A23801" s="1" t="s">
        <v>23800</v>
      </c>
      <c r="C23801" s="3">
        <v>1</v>
      </c>
    </row>
    <row r="23802" spans="1:3" x14ac:dyDescent="0.25">
      <c r="A23802" s="1" t="s">
        <v>23801</v>
      </c>
      <c r="C23802" s="3">
        <v>1</v>
      </c>
    </row>
    <row r="23803" spans="1:3" x14ac:dyDescent="0.25">
      <c r="A23803" s="1" t="s">
        <v>23802</v>
      </c>
      <c r="C23803" s="3">
        <v>1</v>
      </c>
    </row>
    <row r="23804" spans="1:3" x14ac:dyDescent="0.25">
      <c r="A23804" s="1" t="s">
        <v>23803</v>
      </c>
      <c r="C23804" s="3">
        <v>1</v>
      </c>
    </row>
    <row r="23805" spans="1:3" x14ac:dyDescent="0.25">
      <c r="A23805" s="1" t="s">
        <v>23804</v>
      </c>
      <c r="C23805" s="3">
        <v>1</v>
      </c>
    </row>
    <row r="23806" spans="1:3" x14ac:dyDescent="0.25">
      <c r="A23806" s="1" t="s">
        <v>23805</v>
      </c>
      <c r="C23806" s="3">
        <v>1</v>
      </c>
    </row>
    <row r="23807" spans="1:3" x14ac:dyDescent="0.25">
      <c r="A23807" s="1" t="s">
        <v>23806</v>
      </c>
      <c r="C23807" s="3">
        <v>1</v>
      </c>
    </row>
    <row r="23808" spans="1:3" x14ac:dyDescent="0.25">
      <c r="A23808" s="1" t="s">
        <v>23807</v>
      </c>
      <c r="C23808" s="3">
        <v>1</v>
      </c>
    </row>
    <row r="23809" spans="1:3" x14ac:dyDescent="0.25">
      <c r="A23809" s="1" t="s">
        <v>23808</v>
      </c>
      <c r="C23809" s="3">
        <v>1</v>
      </c>
    </row>
    <row r="23810" spans="1:3" x14ac:dyDescent="0.25">
      <c r="A23810" s="1" t="s">
        <v>23809</v>
      </c>
      <c r="C23810" s="3">
        <v>1</v>
      </c>
    </row>
    <row r="23811" spans="1:3" x14ac:dyDescent="0.25">
      <c r="A23811" s="1" t="s">
        <v>23810</v>
      </c>
      <c r="C23811" s="3">
        <v>1</v>
      </c>
    </row>
    <row r="23812" spans="1:3" x14ac:dyDescent="0.25">
      <c r="A23812" s="1" t="s">
        <v>23811</v>
      </c>
      <c r="C23812" s="3">
        <v>1</v>
      </c>
    </row>
    <row r="23813" spans="1:3" x14ac:dyDescent="0.25">
      <c r="A23813" s="1" t="s">
        <v>23812</v>
      </c>
      <c r="C23813" s="3">
        <v>1</v>
      </c>
    </row>
    <row r="23814" spans="1:3" x14ac:dyDescent="0.25">
      <c r="A23814" s="1" t="s">
        <v>23813</v>
      </c>
      <c r="C23814" s="3">
        <v>1</v>
      </c>
    </row>
    <row r="23815" spans="1:3" x14ac:dyDescent="0.25">
      <c r="A23815" s="1" t="s">
        <v>23814</v>
      </c>
      <c r="C23815" s="3">
        <v>1</v>
      </c>
    </row>
    <row r="23816" spans="1:3" x14ac:dyDescent="0.25">
      <c r="A23816" s="1" t="s">
        <v>23815</v>
      </c>
      <c r="C23816" s="3">
        <v>1</v>
      </c>
    </row>
    <row r="23817" spans="1:3" x14ac:dyDescent="0.25">
      <c r="A23817" s="1" t="s">
        <v>23816</v>
      </c>
      <c r="C23817" s="3">
        <v>1</v>
      </c>
    </row>
    <row r="23818" spans="1:3" x14ac:dyDescent="0.25">
      <c r="A23818" s="1" t="s">
        <v>23817</v>
      </c>
      <c r="C23818" s="3">
        <v>1</v>
      </c>
    </row>
    <row r="23819" spans="1:3" x14ac:dyDescent="0.25">
      <c r="A23819" s="1" t="s">
        <v>23818</v>
      </c>
      <c r="C23819" s="3">
        <v>1</v>
      </c>
    </row>
    <row r="23820" spans="1:3" x14ac:dyDescent="0.25">
      <c r="A23820" s="1" t="s">
        <v>23819</v>
      </c>
      <c r="C23820" s="3">
        <v>1</v>
      </c>
    </row>
    <row r="23821" spans="1:3" x14ac:dyDescent="0.25">
      <c r="A23821" s="1" t="s">
        <v>23820</v>
      </c>
      <c r="C23821" s="3">
        <v>1</v>
      </c>
    </row>
    <row r="23822" spans="1:3" x14ac:dyDescent="0.25">
      <c r="A23822" s="1" t="s">
        <v>23821</v>
      </c>
      <c r="C23822" s="3">
        <v>1</v>
      </c>
    </row>
    <row r="23823" spans="1:3" x14ac:dyDescent="0.25">
      <c r="A23823" s="1" t="s">
        <v>23822</v>
      </c>
      <c r="C23823" s="3">
        <v>1</v>
      </c>
    </row>
    <row r="23824" spans="1:3" x14ac:dyDescent="0.25">
      <c r="A23824" s="1" t="s">
        <v>23823</v>
      </c>
      <c r="C23824" s="3">
        <v>1</v>
      </c>
    </row>
    <row r="23825" spans="1:3" x14ac:dyDescent="0.25">
      <c r="A23825" s="1" t="s">
        <v>23824</v>
      </c>
      <c r="C23825" s="3">
        <v>1</v>
      </c>
    </row>
    <row r="23826" spans="1:3" x14ac:dyDescent="0.25">
      <c r="A23826" s="1" t="s">
        <v>23825</v>
      </c>
      <c r="C23826" s="3">
        <v>1</v>
      </c>
    </row>
    <row r="23827" spans="1:3" x14ac:dyDescent="0.25">
      <c r="A23827" s="1" t="s">
        <v>23826</v>
      </c>
      <c r="C23827" s="3">
        <v>1</v>
      </c>
    </row>
    <row r="23828" spans="1:3" x14ac:dyDescent="0.25">
      <c r="A23828" s="1" t="s">
        <v>23827</v>
      </c>
      <c r="C23828" s="3">
        <v>1</v>
      </c>
    </row>
    <row r="23829" spans="1:3" x14ac:dyDescent="0.25">
      <c r="A23829" s="1" t="s">
        <v>23828</v>
      </c>
      <c r="C23829" s="3">
        <v>1</v>
      </c>
    </row>
    <row r="23830" spans="1:3" x14ac:dyDescent="0.25">
      <c r="A23830" s="1" t="s">
        <v>23829</v>
      </c>
      <c r="C23830" s="3">
        <v>1</v>
      </c>
    </row>
    <row r="23831" spans="1:3" x14ac:dyDescent="0.25">
      <c r="A23831" s="1" t="s">
        <v>23830</v>
      </c>
      <c r="C23831" s="3">
        <v>1</v>
      </c>
    </row>
    <row r="23832" spans="1:3" x14ac:dyDescent="0.25">
      <c r="A23832" s="1" t="s">
        <v>23831</v>
      </c>
      <c r="C23832" s="3">
        <v>1</v>
      </c>
    </row>
    <row r="23833" spans="1:3" x14ac:dyDescent="0.25">
      <c r="A23833" s="1" t="s">
        <v>23832</v>
      </c>
      <c r="C23833" s="3">
        <v>1</v>
      </c>
    </row>
    <row r="23834" spans="1:3" x14ac:dyDescent="0.25">
      <c r="A23834" s="1" t="s">
        <v>23833</v>
      </c>
      <c r="C23834" s="3">
        <v>1</v>
      </c>
    </row>
    <row r="23835" spans="1:3" x14ac:dyDescent="0.25">
      <c r="A23835" s="1" t="s">
        <v>23834</v>
      </c>
      <c r="C23835" s="3">
        <v>1</v>
      </c>
    </row>
    <row r="23836" spans="1:3" x14ac:dyDescent="0.25">
      <c r="A23836" s="1" t="s">
        <v>23835</v>
      </c>
      <c r="C23836" s="3">
        <v>1</v>
      </c>
    </row>
    <row r="23837" spans="1:3" x14ac:dyDescent="0.25">
      <c r="A23837" s="1" t="s">
        <v>23836</v>
      </c>
      <c r="C23837" s="3">
        <v>1</v>
      </c>
    </row>
    <row r="23838" spans="1:3" x14ac:dyDescent="0.25">
      <c r="A23838" s="1" t="s">
        <v>23837</v>
      </c>
      <c r="C23838" s="3">
        <v>1</v>
      </c>
    </row>
    <row r="23839" spans="1:3" x14ac:dyDescent="0.25">
      <c r="A23839" s="1" t="s">
        <v>23838</v>
      </c>
      <c r="C23839" s="3">
        <v>1</v>
      </c>
    </row>
    <row r="23840" spans="1:3" x14ac:dyDescent="0.25">
      <c r="A23840" s="1" t="s">
        <v>23839</v>
      </c>
      <c r="C23840" s="3">
        <v>1</v>
      </c>
    </row>
    <row r="23841" spans="1:3" x14ac:dyDescent="0.25">
      <c r="A23841" s="1" t="s">
        <v>23840</v>
      </c>
      <c r="C23841" s="3">
        <v>1</v>
      </c>
    </row>
    <row r="23842" spans="1:3" x14ac:dyDescent="0.25">
      <c r="A23842" s="1" t="s">
        <v>23841</v>
      </c>
      <c r="C23842" s="3">
        <v>1</v>
      </c>
    </row>
    <row r="23843" spans="1:3" x14ac:dyDescent="0.25">
      <c r="A23843" s="1" t="s">
        <v>23842</v>
      </c>
      <c r="C23843" s="3">
        <v>1</v>
      </c>
    </row>
    <row r="23844" spans="1:3" x14ac:dyDescent="0.25">
      <c r="A23844" s="1" t="s">
        <v>23843</v>
      </c>
      <c r="C23844" s="3">
        <v>1</v>
      </c>
    </row>
    <row r="23845" spans="1:3" x14ac:dyDescent="0.25">
      <c r="A23845" s="1" t="s">
        <v>23844</v>
      </c>
      <c r="C23845" s="3">
        <v>1</v>
      </c>
    </row>
    <row r="23846" spans="1:3" x14ac:dyDescent="0.25">
      <c r="A23846" s="1" t="s">
        <v>23845</v>
      </c>
      <c r="C23846" s="3">
        <v>1</v>
      </c>
    </row>
    <row r="23847" spans="1:3" x14ac:dyDescent="0.25">
      <c r="A23847" s="1" t="s">
        <v>23846</v>
      </c>
      <c r="C23847" s="3">
        <v>1</v>
      </c>
    </row>
    <row r="23848" spans="1:3" x14ac:dyDescent="0.25">
      <c r="A23848" s="1" t="s">
        <v>23847</v>
      </c>
      <c r="C23848" s="3">
        <v>1</v>
      </c>
    </row>
    <row r="23849" spans="1:3" x14ac:dyDescent="0.25">
      <c r="A23849" s="1" t="s">
        <v>23848</v>
      </c>
      <c r="C23849" s="3">
        <v>1</v>
      </c>
    </row>
    <row r="23850" spans="1:3" x14ac:dyDescent="0.25">
      <c r="A23850" s="1" t="s">
        <v>23849</v>
      </c>
      <c r="C23850" s="3">
        <v>1</v>
      </c>
    </row>
    <row r="23851" spans="1:3" x14ac:dyDescent="0.25">
      <c r="A23851" s="1" t="s">
        <v>23850</v>
      </c>
      <c r="C23851" s="3">
        <v>1</v>
      </c>
    </row>
    <row r="23852" spans="1:3" x14ac:dyDescent="0.25">
      <c r="A23852" s="1" t="s">
        <v>23851</v>
      </c>
      <c r="C23852" s="3">
        <v>1</v>
      </c>
    </row>
    <row r="23853" spans="1:3" x14ac:dyDescent="0.25">
      <c r="A23853" s="1" t="s">
        <v>23852</v>
      </c>
      <c r="C23853" s="3">
        <v>1</v>
      </c>
    </row>
    <row r="23854" spans="1:3" x14ac:dyDescent="0.25">
      <c r="A23854" s="1" t="s">
        <v>23853</v>
      </c>
      <c r="C23854" s="3">
        <v>1</v>
      </c>
    </row>
    <row r="23855" spans="1:3" x14ac:dyDescent="0.25">
      <c r="A23855" s="1" t="s">
        <v>23854</v>
      </c>
      <c r="C23855" s="3">
        <v>1</v>
      </c>
    </row>
    <row r="23856" spans="1:3" x14ac:dyDescent="0.25">
      <c r="A23856" s="1" t="s">
        <v>23855</v>
      </c>
      <c r="C23856" s="3">
        <v>1</v>
      </c>
    </row>
    <row r="23857" spans="1:3" x14ac:dyDescent="0.25">
      <c r="A23857" s="1" t="s">
        <v>23856</v>
      </c>
      <c r="C23857" s="3">
        <v>1</v>
      </c>
    </row>
    <row r="23858" spans="1:3" x14ac:dyDescent="0.25">
      <c r="A23858" s="1" t="s">
        <v>23857</v>
      </c>
      <c r="C23858" s="3">
        <v>1</v>
      </c>
    </row>
    <row r="23859" spans="1:3" x14ac:dyDescent="0.25">
      <c r="A23859" s="1" t="s">
        <v>23858</v>
      </c>
      <c r="C23859" s="3">
        <v>1</v>
      </c>
    </row>
    <row r="23860" spans="1:3" x14ac:dyDescent="0.25">
      <c r="A23860" s="1" t="s">
        <v>23859</v>
      </c>
      <c r="C23860" s="3">
        <v>1</v>
      </c>
    </row>
    <row r="23861" spans="1:3" x14ac:dyDescent="0.25">
      <c r="A23861" s="1" t="s">
        <v>23860</v>
      </c>
      <c r="C23861" s="3">
        <v>1</v>
      </c>
    </row>
    <row r="23862" spans="1:3" x14ac:dyDescent="0.25">
      <c r="A23862" s="1" t="s">
        <v>23861</v>
      </c>
      <c r="C23862" s="3">
        <v>1</v>
      </c>
    </row>
    <row r="23863" spans="1:3" x14ac:dyDescent="0.25">
      <c r="A23863" s="1" t="s">
        <v>23862</v>
      </c>
      <c r="C23863" s="3">
        <v>1</v>
      </c>
    </row>
    <row r="23864" spans="1:3" x14ac:dyDescent="0.25">
      <c r="A23864" s="1" t="s">
        <v>23863</v>
      </c>
      <c r="C23864" s="3">
        <v>1</v>
      </c>
    </row>
    <row r="23865" spans="1:3" x14ac:dyDescent="0.25">
      <c r="A23865" s="1" t="s">
        <v>23864</v>
      </c>
      <c r="C23865" s="3">
        <v>1</v>
      </c>
    </row>
    <row r="23866" spans="1:3" x14ac:dyDescent="0.25">
      <c r="A23866" s="1" t="s">
        <v>23865</v>
      </c>
      <c r="C23866" s="3">
        <v>1</v>
      </c>
    </row>
    <row r="23867" spans="1:3" x14ac:dyDescent="0.25">
      <c r="A23867" s="1" t="s">
        <v>23866</v>
      </c>
      <c r="C23867" s="3">
        <v>1</v>
      </c>
    </row>
    <row r="23868" spans="1:3" x14ac:dyDescent="0.25">
      <c r="A23868" s="1" t="s">
        <v>23867</v>
      </c>
      <c r="C23868" s="3">
        <v>1</v>
      </c>
    </row>
    <row r="23869" spans="1:3" x14ac:dyDescent="0.25">
      <c r="A23869" s="1" t="s">
        <v>23868</v>
      </c>
      <c r="C23869" s="3">
        <v>1</v>
      </c>
    </row>
    <row r="23870" spans="1:3" x14ac:dyDescent="0.25">
      <c r="A23870" s="1" t="s">
        <v>23869</v>
      </c>
      <c r="C23870" s="3">
        <v>1</v>
      </c>
    </row>
    <row r="23871" spans="1:3" x14ac:dyDescent="0.25">
      <c r="A23871" s="1" t="s">
        <v>23870</v>
      </c>
      <c r="C23871" s="3">
        <v>1</v>
      </c>
    </row>
    <row r="23872" spans="1:3" x14ac:dyDescent="0.25">
      <c r="A23872" s="1" t="s">
        <v>23871</v>
      </c>
      <c r="C23872" s="3">
        <v>1</v>
      </c>
    </row>
    <row r="23873" spans="1:3" x14ac:dyDescent="0.25">
      <c r="A23873" s="1" t="s">
        <v>23872</v>
      </c>
      <c r="C23873" s="3">
        <v>1</v>
      </c>
    </row>
    <row r="23874" spans="1:3" x14ac:dyDescent="0.25">
      <c r="A23874" s="1" t="s">
        <v>23873</v>
      </c>
      <c r="C23874" s="3">
        <v>1</v>
      </c>
    </row>
    <row r="23875" spans="1:3" x14ac:dyDescent="0.25">
      <c r="A23875" s="1" t="s">
        <v>23874</v>
      </c>
      <c r="C23875" s="3">
        <v>1</v>
      </c>
    </row>
    <row r="23876" spans="1:3" x14ac:dyDescent="0.25">
      <c r="A23876" s="1" t="s">
        <v>23875</v>
      </c>
      <c r="C23876" s="3">
        <v>1</v>
      </c>
    </row>
    <row r="23877" spans="1:3" x14ac:dyDescent="0.25">
      <c r="A23877" s="1" t="s">
        <v>23876</v>
      </c>
      <c r="C23877" s="3">
        <v>1</v>
      </c>
    </row>
    <row r="23878" spans="1:3" x14ac:dyDescent="0.25">
      <c r="A23878" s="1" t="s">
        <v>23877</v>
      </c>
      <c r="C23878" s="3">
        <v>1</v>
      </c>
    </row>
    <row r="23879" spans="1:3" x14ac:dyDescent="0.25">
      <c r="A23879" s="1" t="s">
        <v>23878</v>
      </c>
      <c r="C23879" s="3">
        <v>1</v>
      </c>
    </row>
    <row r="23880" spans="1:3" x14ac:dyDescent="0.25">
      <c r="A23880" s="1" t="s">
        <v>23879</v>
      </c>
      <c r="C23880" s="3">
        <v>1</v>
      </c>
    </row>
    <row r="23881" spans="1:3" x14ac:dyDescent="0.25">
      <c r="A23881" s="1" t="s">
        <v>23880</v>
      </c>
      <c r="C23881" s="3">
        <v>1</v>
      </c>
    </row>
    <row r="23882" spans="1:3" x14ac:dyDescent="0.25">
      <c r="A23882" s="1" t="s">
        <v>23881</v>
      </c>
      <c r="C23882" s="3">
        <v>1</v>
      </c>
    </row>
    <row r="23883" spans="1:3" x14ac:dyDescent="0.25">
      <c r="A23883" s="1" t="s">
        <v>23882</v>
      </c>
      <c r="C23883" s="3">
        <v>1</v>
      </c>
    </row>
    <row r="23884" spans="1:3" x14ac:dyDescent="0.25">
      <c r="A23884" s="1" t="s">
        <v>23883</v>
      </c>
      <c r="C23884" s="3">
        <v>1</v>
      </c>
    </row>
    <row r="23885" spans="1:3" x14ac:dyDescent="0.25">
      <c r="A23885" s="1" t="s">
        <v>23884</v>
      </c>
      <c r="C23885" s="3">
        <v>1</v>
      </c>
    </row>
    <row r="23886" spans="1:3" x14ac:dyDescent="0.25">
      <c r="A23886" s="1" t="s">
        <v>23885</v>
      </c>
      <c r="C23886" s="3">
        <v>1</v>
      </c>
    </row>
    <row r="23887" spans="1:3" x14ac:dyDescent="0.25">
      <c r="A23887" s="1" t="s">
        <v>23886</v>
      </c>
      <c r="C23887" s="3">
        <v>1</v>
      </c>
    </row>
    <row r="23888" spans="1:3" x14ac:dyDescent="0.25">
      <c r="A23888" s="1" t="s">
        <v>23887</v>
      </c>
      <c r="C23888" s="3">
        <v>1</v>
      </c>
    </row>
    <row r="23889" spans="1:3" x14ac:dyDescent="0.25">
      <c r="A23889" s="1" t="s">
        <v>23888</v>
      </c>
      <c r="C23889" s="3">
        <v>1</v>
      </c>
    </row>
    <row r="23890" spans="1:3" x14ac:dyDescent="0.25">
      <c r="A23890" s="1" t="s">
        <v>23889</v>
      </c>
      <c r="C23890" s="3">
        <v>1</v>
      </c>
    </row>
    <row r="23891" spans="1:3" x14ac:dyDescent="0.25">
      <c r="A23891" s="1" t="s">
        <v>23890</v>
      </c>
      <c r="C23891" s="3">
        <v>1</v>
      </c>
    </row>
    <row r="23892" spans="1:3" x14ac:dyDescent="0.25">
      <c r="A23892" s="1" t="s">
        <v>23891</v>
      </c>
      <c r="C23892" s="3">
        <v>1</v>
      </c>
    </row>
    <row r="23893" spans="1:3" x14ac:dyDescent="0.25">
      <c r="A23893" s="1" t="s">
        <v>23892</v>
      </c>
      <c r="C23893" s="3">
        <v>1</v>
      </c>
    </row>
    <row r="23894" spans="1:3" x14ac:dyDescent="0.25">
      <c r="A23894" s="1" t="s">
        <v>23893</v>
      </c>
      <c r="C23894" s="3">
        <v>1</v>
      </c>
    </row>
    <row r="23895" spans="1:3" x14ac:dyDescent="0.25">
      <c r="A23895" s="1" t="s">
        <v>23894</v>
      </c>
      <c r="C23895" s="3">
        <v>1</v>
      </c>
    </row>
    <row r="23896" spans="1:3" x14ac:dyDescent="0.25">
      <c r="A23896" s="1" t="s">
        <v>23895</v>
      </c>
      <c r="C23896" s="3">
        <v>1</v>
      </c>
    </row>
    <row r="23897" spans="1:3" x14ac:dyDescent="0.25">
      <c r="A23897" s="1" t="s">
        <v>23896</v>
      </c>
      <c r="C23897" s="3">
        <v>1</v>
      </c>
    </row>
    <row r="23898" spans="1:3" x14ac:dyDescent="0.25">
      <c r="A23898" s="1" t="s">
        <v>23897</v>
      </c>
      <c r="C23898" s="3">
        <v>1</v>
      </c>
    </row>
    <row r="23899" spans="1:3" x14ac:dyDescent="0.25">
      <c r="A23899" s="1" t="s">
        <v>23898</v>
      </c>
      <c r="C23899" s="3">
        <v>1</v>
      </c>
    </row>
    <row r="23900" spans="1:3" x14ac:dyDescent="0.25">
      <c r="A23900" s="1" t="s">
        <v>23899</v>
      </c>
      <c r="C23900" s="3">
        <v>1</v>
      </c>
    </row>
    <row r="23901" spans="1:3" x14ac:dyDescent="0.25">
      <c r="A23901" s="1" t="s">
        <v>23900</v>
      </c>
      <c r="C23901" s="3">
        <v>1</v>
      </c>
    </row>
    <row r="23902" spans="1:3" x14ac:dyDescent="0.25">
      <c r="A23902" s="1" t="s">
        <v>23901</v>
      </c>
      <c r="C23902" s="3">
        <v>1</v>
      </c>
    </row>
    <row r="23903" spans="1:3" x14ac:dyDescent="0.25">
      <c r="A23903" s="1" t="s">
        <v>23902</v>
      </c>
      <c r="C23903" s="3">
        <v>1</v>
      </c>
    </row>
    <row r="23904" spans="1:3" x14ac:dyDescent="0.25">
      <c r="A23904" s="1" t="s">
        <v>23903</v>
      </c>
      <c r="C23904" s="3">
        <v>1</v>
      </c>
    </row>
    <row r="23905" spans="1:3" x14ac:dyDescent="0.25">
      <c r="A23905" s="1" t="s">
        <v>23904</v>
      </c>
      <c r="C23905" s="3">
        <v>1</v>
      </c>
    </row>
    <row r="23906" spans="1:3" x14ac:dyDescent="0.25">
      <c r="A23906" s="1" t="s">
        <v>23905</v>
      </c>
      <c r="C23906" s="3">
        <v>1</v>
      </c>
    </row>
    <row r="23907" spans="1:3" x14ac:dyDescent="0.25">
      <c r="A23907" s="1" t="s">
        <v>23906</v>
      </c>
      <c r="C23907" s="3">
        <v>1</v>
      </c>
    </row>
    <row r="23908" spans="1:3" x14ac:dyDescent="0.25">
      <c r="A23908" s="1" t="s">
        <v>23907</v>
      </c>
      <c r="C23908" s="3">
        <v>1</v>
      </c>
    </row>
    <row r="23909" spans="1:3" x14ac:dyDescent="0.25">
      <c r="A23909" s="1" t="s">
        <v>23908</v>
      </c>
      <c r="C23909" s="3">
        <v>1</v>
      </c>
    </row>
    <row r="23910" spans="1:3" x14ac:dyDescent="0.25">
      <c r="A23910" s="1" t="s">
        <v>23909</v>
      </c>
      <c r="C23910" s="3">
        <v>1</v>
      </c>
    </row>
    <row r="23911" spans="1:3" x14ac:dyDescent="0.25">
      <c r="A23911" s="1" t="s">
        <v>23910</v>
      </c>
      <c r="C23911" s="3">
        <v>1</v>
      </c>
    </row>
    <row r="23912" spans="1:3" x14ac:dyDescent="0.25">
      <c r="A23912" s="1" t="s">
        <v>23911</v>
      </c>
      <c r="C23912" s="3">
        <v>1</v>
      </c>
    </row>
    <row r="23913" spans="1:3" x14ac:dyDescent="0.25">
      <c r="A23913" s="1" t="s">
        <v>23912</v>
      </c>
      <c r="C23913" s="3">
        <v>1</v>
      </c>
    </row>
    <row r="23914" spans="1:3" x14ac:dyDescent="0.25">
      <c r="A23914" s="1" t="s">
        <v>23913</v>
      </c>
      <c r="C23914" s="3">
        <v>1</v>
      </c>
    </row>
    <row r="23915" spans="1:3" x14ac:dyDescent="0.25">
      <c r="A23915" s="1" t="s">
        <v>23914</v>
      </c>
      <c r="C23915" s="3">
        <v>1</v>
      </c>
    </row>
    <row r="23916" spans="1:3" x14ac:dyDescent="0.25">
      <c r="A23916" s="1" t="s">
        <v>23915</v>
      </c>
      <c r="C23916" s="3">
        <v>1</v>
      </c>
    </row>
    <row r="23917" spans="1:3" x14ac:dyDescent="0.25">
      <c r="A23917" s="1" t="s">
        <v>23916</v>
      </c>
      <c r="C23917" s="3">
        <v>1</v>
      </c>
    </row>
    <row r="23918" spans="1:3" x14ac:dyDescent="0.25">
      <c r="A23918" s="1" t="s">
        <v>23917</v>
      </c>
      <c r="C23918" s="3">
        <v>1</v>
      </c>
    </row>
    <row r="23919" spans="1:3" x14ac:dyDescent="0.25">
      <c r="A23919" s="1" t="s">
        <v>23918</v>
      </c>
      <c r="C23919" s="3">
        <v>1</v>
      </c>
    </row>
    <row r="23920" spans="1:3" x14ac:dyDescent="0.25">
      <c r="A23920" s="1" t="s">
        <v>23919</v>
      </c>
      <c r="C23920" s="3">
        <v>1</v>
      </c>
    </row>
    <row r="23921" spans="1:3" x14ac:dyDescent="0.25">
      <c r="A23921" s="1" t="s">
        <v>23920</v>
      </c>
      <c r="C23921" s="3">
        <v>1</v>
      </c>
    </row>
    <row r="23922" spans="1:3" x14ac:dyDescent="0.25">
      <c r="A23922" s="1" t="s">
        <v>23921</v>
      </c>
      <c r="C23922" s="3">
        <v>1</v>
      </c>
    </row>
    <row r="23923" spans="1:3" x14ac:dyDescent="0.25">
      <c r="A23923" s="1" t="s">
        <v>23922</v>
      </c>
      <c r="C23923" s="3">
        <v>1</v>
      </c>
    </row>
    <row r="23924" spans="1:3" x14ac:dyDescent="0.25">
      <c r="A23924" s="1" t="s">
        <v>23923</v>
      </c>
      <c r="C23924" s="3">
        <v>1</v>
      </c>
    </row>
    <row r="23925" spans="1:3" x14ac:dyDescent="0.25">
      <c r="A23925" s="1" t="s">
        <v>23924</v>
      </c>
      <c r="C23925" s="3">
        <v>1</v>
      </c>
    </row>
    <row r="23926" spans="1:3" x14ac:dyDescent="0.25">
      <c r="A23926" s="1" t="s">
        <v>23925</v>
      </c>
      <c r="C23926" s="3">
        <v>1</v>
      </c>
    </row>
    <row r="23927" spans="1:3" x14ac:dyDescent="0.25">
      <c r="A23927" s="1" t="s">
        <v>23926</v>
      </c>
      <c r="C23927" s="3">
        <v>1</v>
      </c>
    </row>
    <row r="23928" spans="1:3" x14ac:dyDescent="0.25">
      <c r="A23928" s="1" t="s">
        <v>23927</v>
      </c>
      <c r="C23928" s="3">
        <v>1</v>
      </c>
    </row>
    <row r="23929" spans="1:3" x14ac:dyDescent="0.25">
      <c r="A23929" s="1" t="s">
        <v>23928</v>
      </c>
      <c r="C23929" s="3">
        <v>1</v>
      </c>
    </row>
    <row r="23930" spans="1:3" x14ac:dyDescent="0.25">
      <c r="A23930" s="1" t="s">
        <v>23929</v>
      </c>
      <c r="C23930" s="3">
        <v>1</v>
      </c>
    </row>
    <row r="23931" spans="1:3" x14ac:dyDescent="0.25">
      <c r="A23931" s="1" t="s">
        <v>23930</v>
      </c>
      <c r="C23931" s="3">
        <v>1</v>
      </c>
    </row>
    <row r="23932" spans="1:3" x14ac:dyDescent="0.25">
      <c r="A23932" s="1" t="s">
        <v>23931</v>
      </c>
      <c r="C23932" s="3">
        <v>1</v>
      </c>
    </row>
    <row r="23933" spans="1:3" x14ac:dyDescent="0.25">
      <c r="A23933" s="1" t="s">
        <v>23932</v>
      </c>
      <c r="C23933" s="3">
        <v>1</v>
      </c>
    </row>
    <row r="23934" spans="1:3" x14ac:dyDescent="0.25">
      <c r="A23934" s="1" t="s">
        <v>23933</v>
      </c>
      <c r="C23934" s="3">
        <v>1</v>
      </c>
    </row>
    <row r="23935" spans="1:3" x14ac:dyDescent="0.25">
      <c r="A23935" s="1" t="s">
        <v>23934</v>
      </c>
      <c r="C23935" s="3">
        <v>1</v>
      </c>
    </row>
    <row r="23936" spans="1:3" x14ac:dyDescent="0.25">
      <c r="A23936" s="1" t="s">
        <v>23935</v>
      </c>
      <c r="C23936" s="3">
        <v>1</v>
      </c>
    </row>
    <row r="23937" spans="1:3" x14ac:dyDescent="0.25">
      <c r="A23937" s="1" t="s">
        <v>23936</v>
      </c>
      <c r="C23937" s="3">
        <v>1</v>
      </c>
    </row>
    <row r="23938" spans="1:3" x14ac:dyDescent="0.25">
      <c r="A23938" s="1" t="s">
        <v>23937</v>
      </c>
      <c r="C23938" s="3">
        <v>1</v>
      </c>
    </row>
    <row r="23939" spans="1:3" x14ac:dyDescent="0.25">
      <c r="A23939" s="1" t="s">
        <v>23938</v>
      </c>
      <c r="C23939" s="3">
        <v>1</v>
      </c>
    </row>
    <row r="23940" spans="1:3" x14ac:dyDescent="0.25">
      <c r="A23940" s="1" t="s">
        <v>23939</v>
      </c>
      <c r="C23940" s="3">
        <v>1</v>
      </c>
    </row>
    <row r="23941" spans="1:3" x14ac:dyDescent="0.25">
      <c r="A23941" s="1" t="s">
        <v>23940</v>
      </c>
      <c r="C23941" s="3">
        <v>1</v>
      </c>
    </row>
    <row r="23942" spans="1:3" x14ac:dyDescent="0.25">
      <c r="A23942" s="1" t="s">
        <v>23941</v>
      </c>
      <c r="C23942" s="3">
        <v>1</v>
      </c>
    </row>
    <row r="23943" spans="1:3" x14ac:dyDescent="0.25">
      <c r="A23943" s="1" t="s">
        <v>23942</v>
      </c>
      <c r="C23943" s="3">
        <v>1</v>
      </c>
    </row>
    <row r="23944" spans="1:3" x14ac:dyDescent="0.25">
      <c r="A23944" s="1" t="s">
        <v>23943</v>
      </c>
      <c r="C23944" s="3">
        <v>1</v>
      </c>
    </row>
    <row r="23945" spans="1:3" x14ac:dyDescent="0.25">
      <c r="A23945" s="1" t="s">
        <v>23944</v>
      </c>
      <c r="C23945" s="3">
        <v>1</v>
      </c>
    </row>
    <row r="23946" spans="1:3" x14ac:dyDescent="0.25">
      <c r="A23946" s="1" t="s">
        <v>23945</v>
      </c>
      <c r="C23946" s="3">
        <v>1</v>
      </c>
    </row>
    <row r="23947" spans="1:3" x14ac:dyDescent="0.25">
      <c r="A23947" s="1" t="s">
        <v>23946</v>
      </c>
      <c r="C23947" s="3">
        <v>1</v>
      </c>
    </row>
    <row r="23948" spans="1:3" x14ac:dyDescent="0.25">
      <c r="A23948" s="1" t="s">
        <v>23947</v>
      </c>
      <c r="C23948" s="3">
        <v>1</v>
      </c>
    </row>
    <row r="23949" spans="1:3" x14ac:dyDescent="0.25">
      <c r="A23949" s="1" t="s">
        <v>23948</v>
      </c>
      <c r="C23949" s="3">
        <v>1</v>
      </c>
    </row>
    <row r="23950" spans="1:3" x14ac:dyDescent="0.25">
      <c r="A23950" s="1" t="s">
        <v>23949</v>
      </c>
      <c r="C23950" s="3">
        <v>1</v>
      </c>
    </row>
    <row r="23951" spans="1:3" x14ac:dyDescent="0.25">
      <c r="A23951" s="1" t="s">
        <v>23950</v>
      </c>
      <c r="C23951" s="3">
        <v>1</v>
      </c>
    </row>
    <row r="23952" spans="1:3" x14ac:dyDescent="0.25">
      <c r="A23952" s="1" t="s">
        <v>23951</v>
      </c>
      <c r="C23952" s="3">
        <v>1</v>
      </c>
    </row>
    <row r="23953" spans="1:3" x14ac:dyDescent="0.25">
      <c r="A23953" s="1" t="s">
        <v>23952</v>
      </c>
      <c r="C23953" s="3">
        <v>1</v>
      </c>
    </row>
    <row r="23954" spans="1:3" x14ac:dyDescent="0.25">
      <c r="A23954" s="1" t="s">
        <v>23953</v>
      </c>
      <c r="C23954" s="3">
        <v>1</v>
      </c>
    </row>
    <row r="23955" spans="1:3" x14ac:dyDescent="0.25">
      <c r="A23955" s="1" t="s">
        <v>23954</v>
      </c>
      <c r="C23955" s="3">
        <v>1</v>
      </c>
    </row>
    <row r="23956" spans="1:3" x14ac:dyDescent="0.25">
      <c r="A23956" s="1" t="s">
        <v>23955</v>
      </c>
      <c r="C23956" s="3">
        <v>1</v>
      </c>
    </row>
    <row r="23957" spans="1:3" x14ac:dyDescent="0.25">
      <c r="A23957" s="1" t="s">
        <v>23956</v>
      </c>
      <c r="C23957" s="3">
        <v>1</v>
      </c>
    </row>
    <row r="23958" spans="1:3" x14ac:dyDescent="0.25">
      <c r="A23958" s="1" t="s">
        <v>23957</v>
      </c>
      <c r="C23958" s="3">
        <v>1</v>
      </c>
    </row>
    <row r="23959" spans="1:3" x14ac:dyDescent="0.25">
      <c r="A23959" s="1" t="s">
        <v>23958</v>
      </c>
      <c r="C23959" s="3">
        <v>1</v>
      </c>
    </row>
    <row r="23960" spans="1:3" x14ac:dyDescent="0.25">
      <c r="A23960" s="1" t="s">
        <v>23959</v>
      </c>
      <c r="C23960" s="3">
        <v>1</v>
      </c>
    </row>
    <row r="23961" spans="1:3" x14ac:dyDescent="0.25">
      <c r="A23961" s="1" t="s">
        <v>23960</v>
      </c>
      <c r="C23961" s="3">
        <v>1</v>
      </c>
    </row>
    <row r="23962" spans="1:3" x14ac:dyDescent="0.25">
      <c r="A23962" s="1" t="s">
        <v>23961</v>
      </c>
      <c r="C23962" s="3">
        <v>1</v>
      </c>
    </row>
    <row r="23963" spans="1:3" x14ac:dyDescent="0.25">
      <c r="A23963" s="1" t="s">
        <v>23962</v>
      </c>
      <c r="C23963" s="3">
        <v>1</v>
      </c>
    </row>
    <row r="23964" spans="1:3" x14ac:dyDescent="0.25">
      <c r="A23964" s="1" t="s">
        <v>23963</v>
      </c>
      <c r="C23964" s="3">
        <v>1</v>
      </c>
    </row>
    <row r="23965" spans="1:3" x14ac:dyDescent="0.25">
      <c r="A23965" s="1" t="s">
        <v>23964</v>
      </c>
      <c r="C23965" s="3">
        <v>1</v>
      </c>
    </row>
    <row r="23966" spans="1:3" x14ac:dyDescent="0.25">
      <c r="A23966" s="1" t="s">
        <v>23965</v>
      </c>
      <c r="C23966" s="3">
        <v>1</v>
      </c>
    </row>
    <row r="23967" spans="1:3" x14ac:dyDescent="0.25">
      <c r="A23967" s="1" t="s">
        <v>23966</v>
      </c>
      <c r="C23967" s="3">
        <v>1</v>
      </c>
    </row>
    <row r="23968" spans="1:3" x14ac:dyDescent="0.25">
      <c r="A23968" s="1" t="s">
        <v>23967</v>
      </c>
      <c r="C23968" s="3">
        <v>1</v>
      </c>
    </row>
    <row r="23969" spans="1:3" x14ac:dyDescent="0.25">
      <c r="A23969" s="1" t="s">
        <v>23968</v>
      </c>
      <c r="C23969" s="3">
        <v>1</v>
      </c>
    </row>
    <row r="23970" spans="1:3" x14ac:dyDescent="0.25">
      <c r="A23970" s="1" t="s">
        <v>23969</v>
      </c>
      <c r="C23970" s="3">
        <v>1</v>
      </c>
    </row>
    <row r="23971" spans="1:3" x14ac:dyDescent="0.25">
      <c r="A23971" s="1" t="s">
        <v>23970</v>
      </c>
      <c r="C23971" s="3">
        <v>1</v>
      </c>
    </row>
    <row r="23972" spans="1:3" x14ac:dyDescent="0.25">
      <c r="A23972" s="1" t="s">
        <v>23971</v>
      </c>
      <c r="C23972" s="3">
        <v>1</v>
      </c>
    </row>
    <row r="23973" spans="1:3" x14ac:dyDescent="0.25">
      <c r="A23973" s="1" t="s">
        <v>23972</v>
      </c>
      <c r="C23973" s="3">
        <v>1</v>
      </c>
    </row>
    <row r="23974" spans="1:3" x14ac:dyDescent="0.25">
      <c r="A23974" s="1" t="s">
        <v>23973</v>
      </c>
      <c r="C23974" s="3">
        <v>1</v>
      </c>
    </row>
    <row r="23975" spans="1:3" x14ac:dyDescent="0.25">
      <c r="A23975" s="1" t="s">
        <v>23974</v>
      </c>
      <c r="C23975" s="3">
        <v>1</v>
      </c>
    </row>
    <row r="23976" spans="1:3" x14ac:dyDescent="0.25">
      <c r="A23976" s="1" t="s">
        <v>23975</v>
      </c>
      <c r="C23976" s="3">
        <v>1</v>
      </c>
    </row>
    <row r="23977" spans="1:3" x14ac:dyDescent="0.25">
      <c r="A23977" s="1" t="s">
        <v>23976</v>
      </c>
      <c r="C23977" s="3">
        <v>1</v>
      </c>
    </row>
    <row r="23978" spans="1:3" x14ac:dyDescent="0.25">
      <c r="A23978" s="1" t="s">
        <v>23977</v>
      </c>
      <c r="C23978" s="3">
        <v>1</v>
      </c>
    </row>
    <row r="23979" spans="1:3" x14ac:dyDescent="0.25">
      <c r="A23979" s="1" t="s">
        <v>23978</v>
      </c>
      <c r="C23979" s="3">
        <v>1</v>
      </c>
    </row>
    <row r="23980" spans="1:3" x14ac:dyDescent="0.25">
      <c r="A23980" s="1" t="s">
        <v>23979</v>
      </c>
      <c r="C23980" s="3">
        <v>1</v>
      </c>
    </row>
    <row r="23981" spans="1:3" x14ac:dyDescent="0.25">
      <c r="A23981" s="1" t="s">
        <v>23980</v>
      </c>
      <c r="C23981" s="3">
        <v>1</v>
      </c>
    </row>
    <row r="23982" spans="1:3" x14ac:dyDescent="0.25">
      <c r="A23982" s="1" t="s">
        <v>23981</v>
      </c>
      <c r="C23982" s="3">
        <v>1</v>
      </c>
    </row>
    <row r="23983" spans="1:3" x14ac:dyDescent="0.25">
      <c r="A23983" s="1" t="s">
        <v>23982</v>
      </c>
      <c r="C23983" s="3">
        <v>1</v>
      </c>
    </row>
    <row r="23984" spans="1:3" x14ac:dyDescent="0.25">
      <c r="A23984" s="1" t="s">
        <v>23983</v>
      </c>
      <c r="C23984" s="3">
        <v>1</v>
      </c>
    </row>
    <row r="23985" spans="1:3" x14ac:dyDescent="0.25">
      <c r="A23985" s="1" t="s">
        <v>23984</v>
      </c>
      <c r="C23985" s="3">
        <v>1</v>
      </c>
    </row>
    <row r="23986" spans="1:3" x14ac:dyDescent="0.25">
      <c r="A23986" s="1" t="s">
        <v>23985</v>
      </c>
      <c r="C23986" s="3">
        <v>1</v>
      </c>
    </row>
    <row r="23987" spans="1:3" x14ac:dyDescent="0.25">
      <c r="A23987" s="1" t="s">
        <v>23986</v>
      </c>
      <c r="C23987" s="3">
        <v>1</v>
      </c>
    </row>
    <row r="23988" spans="1:3" x14ac:dyDescent="0.25">
      <c r="A23988" s="1" t="s">
        <v>23987</v>
      </c>
      <c r="C23988" s="3">
        <v>1</v>
      </c>
    </row>
    <row r="23989" spans="1:3" x14ac:dyDescent="0.25">
      <c r="A23989" s="1" t="s">
        <v>23988</v>
      </c>
      <c r="C23989" s="3">
        <v>1</v>
      </c>
    </row>
    <row r="23990" spans="1:3" x14ac:dyDescent="0.25">
      <c r="A23990" s="1" t="s">
        <v>23989</v>
      </c>
      <c r="C23990" s="3">
        <v>1</v>
      </c>
    </row>
    <row r="23991" spans="1:3" x14ac:dyDescent="0.25">
      <c r="A23991" s="1" t="s">
        <v>23990</v>
      </c>
      <c r="C23991" s="3">
        <v>1</v>
      </c>
    </row>
    <row r="23992" spans="1:3" x14ac:dyDescent="0.25">
      <c r="A23992" s="1" t="s">
        <v>23991</v>
      </c>
      <c r="C23992" s="3">
        <v>1</v>
      </c>
    </row>
    <row r="23993" spans="1:3" x14ac:dyDescent="0.25">
      <c r="A23993" s="1" t="s">
        <v>23992</v>
      </c>
      <c r="C23993" s="3">
        <v>1</v>
      </c>
    </row>
    <row r="23994" spans="1:3" x14ac:dyDescent="0.25">
      <c r="A23994" s="1" t="s">
        <v>23993</v>
      </c>
      <c r="C23994" s="3">
        <v>1</v>
      </c>
    </row>
    <row r="23995" spans="1:3" x14ac:dyDescent="0.25">
      <c r="A23995" s="1" t="s">
        <v>23994</v>
      </c>
      <c r="C23995" s="3">
        <v>1</v>
      </c>
    </row>
    <row r="23996" spans="1:3" x14ac:dyDescent="0.25">
      <c r="A23996" s="1" t="s">
        <v>23995</v>
      </c>
      <c r="C23996" s="3">
        <v>1</v>
      </c>
    </row>
    <row r="23997" spans="1:3" x14ac:dyDescent="0.25">
      <c r="A23997" s="1" t="s">
        <v>23996</v>
      </c>
      <c r="C23997" s="3">
        <v>1</v>
      </c>
    </row>
    <row r="23998" spans="1:3" x14ac:dyDescent="0.25">
      <c r="A23998" s="1" t="s">
        <v>23997</v>
      </c>
      <c r="C23998" s="3">
        <v>1</v>
      </c>
    </row>
    <row r="23999" spans="1:3" x14ac:dyDescent="0.25">
      <c r="A23999" s="1" t="s">
        <v>23998</v>
      </c>
      <c r="C23999" s="3">
        <v>1</v>
      </c>
    </row>
    <row r="24000" spans="1:3" x14ac:dyDescent="0.25">
      <c r="A24000" s="1" t="s">
        <v>23999</v>
      </c>
      <c r="C24000" s="3">
        <v>1</v>
      </c>
    </row>
    <row r="24001" spans="1:3" x14ac:dyDescent="0.25">
      <c r="A24001" s="1" t="s">
        <v>24000</v>
      </c>
      <c r="C24001" s="3">
        <v>1</v>
      </c>
    </row>
    <row r="24002" spans="1:3" x14ac:dyDescent="0.25">
      <c r="A24002" s="1" t="s">
        <v>24001</v>
      </c>
      <c r="C24002" s="3">
        <v>1</v>
      </c>
    </row>
    <row r="24003" spans="1:3" x14ac:dyDescent="0.25">
      <c r="A24003" s="1" t="s">
        <v>24002</v>
      </c>
      <c r="C24003" s="3">
        <v>1</v>
      </c>
    </row>
    <row r="24004" spans="1:3" x14ac:dyDescent="0.25">
      <c r="A24004" s="1" t="s">
        <v>24003</v>
      </c>
      <c r="C24004" s="3">
        <v>1</v>
      </c>
    </row>
    <row r="24005" spans="1:3" x14ac:dyDescent="0.25">
      <c r="A24005" s="1" t="s">
        <v>24004</v>
      </c>
      <c r="C24005" s="3">
        <v>1</v>
      </c>
    </row>
    <row r="24006" spans="1:3" x14ac:dyDescent="0.25">
      <c r="A24006" s="1" t="s">
        <v>24005</v>
      </c>
      <c r="C24006" s="3">
        <v>1</v>
      </c>
    </row>
    <row r="24007" spans="1:3" x14ac:dyDescent="0.25">
      <c r="A24007" s="1" t="s">
        <v>24006</v>
      </c>
      <c r="C24007" s="3">
        <v>1</v>
      </c>
    </row>
    <row r="24008" spans="1:3" x14ac:dyDescent="0.25">
      <c r="A24008" s="1" t="s">
        <v>24007</v>
      </c>
      <c r="C24008" s="3">
        <v>1</v>
      </c>
    </row>
    <row r="24009" spans="1:3" x14ac:dyDescent="0.25">
      <c r="A24009" s="1" t="s">
        <v>24008</v>
      </c>
      <c r="C24009" s="3">
        <v>1</v>
      </c>
    </row>
    <row r="24010" spans="1:3" x14ac:dyDescent="0.25">
      <c r="A24010" s="1" t="s">
        <v>24009</v>
      </c>
      <c r="C24010" s="3">
        <v>1</v>
      </c>
    </row>
    <row r="24011" spans="1:3" x14ac:dyDescent="0.25">
      <c r="A24011" s="1" t="s">
        <v>24010</v>
      </c>
      <c r="C24011" s="3">
        <v>1</v>
      </c>
    </row>
    <row r="24012" spans="1:3" x14ac:dyDescent="0.25">
      <c r="A24012" s="1" t="s">
        <v>24011</v>
      </c>
      <c r="C24012" s="3">
        <v>1</v>
      </c>
    </row>
    <row r="24013" spans="1:3" x14ac:dyDescent="0.25">
      <c r="A24013" s="1" t="s">
        <v>24012</v>
      </c>
      <c r="C24013" s="3">
        <v>1</v>
      </c>
    </row>
    <row r="24014" spans="1:3" x14ac:dyDescent="0.25">
      <c r="A24014" s="1" t="s">
        <v>24013</v>
      </c>
      <c r="C24014" s="3">
        <v>1</v>
      </c>
    </row>
    <row r="24015" spans="1:3" x14ac:dyDescent="0.25">
      <c r="A24015" s="1" t="s">
        <v>24014</v>
      </c>
      <c r="C24015" s="3">
        <v>1</v>
      </c>
    </row>
    <row r="24016" spans="1:3" x14ac:dyDescent="0.25">
      <c r="A24016" s="1" t="s">
        <v>24015</v>
      </c>
      <c r="C24016" s="3">
        <v>1</v>
      </c>
    </row>
    <row r="24017" spans="1:3" x14ac:dyDescent="0.25">
      <c r="A24017" s="1" t="s">
        <v>24016</v>
      </c>
      <c r="C24017" s="3">
        <v>1</v>
      </c>
    </row>
    <row r="24018" spans="1:3" x14ac:dyDescent="0.25">
      <c r="A24018" s="1" t="s">
        <v>24017</v>
      </c>
      <c r="C24018" s="3">
        <v>1</v>
      </c>
    </row>
    <row r="24019" spans="1:3" x14ac:dyDescent="0.25">
      <c r="A24019" s="1" t="s">
        <v>24018</v>
      </c>
      <c r="C24019" s="3">
        <v>1</v>
      </c>
    </row>
    <row r="24020" spans="1:3" x14ac:dyDescent="0.25">
      <c r="A24020" s="1" t="s">
        <v>24019</v>
      </c>
      <c r="C24020" s="3">
        <v>1</v>
      </c>
    </row>
    <row r="24021" spans="1:3" x14ac:dyDescent="0.25">
      <c r="A24021" s="1" t="s">
        <v>24020</v>
      </c>
      <c r="C24021" s="3">
        <v>1</v>
      </c>
    </row>
    <row r="24022" spans="1:3" x14ac:dyDescent="0.25">
      <c r="A24022" s="1" t="s">
        <v>24021</v>
      </c>
      <c r="C24022" s="3">
        <v>1</v>
      </c>
    </row>
    <row r="24023" spans="1:3" x14ac:dyDescent="0.25">
      <c r="A24023" s="1" t="s">
        <v>24022</v>
      </c>
      <c r="C24023" s="3">
        <v>1</v>
      </c>
    </row>
    <row r="24024" spans="1:3" x14ac:dyDescent="0.25">
      <c r="A24024" s="1" t="s">
        <v>24023</v>
      </c>
      <c r="C24024" s="3">
        <v>1</v>
      </c>
    </row>
    <row r="24025" spans="1:3" x14ac:dyDescent="0.25">
      <c r="A24025" s="1" t="s">
        <v>24024</v>
      </c>
      <c r="C24025" s="3">
        <v>1</v>
      </c>
    </row>
    <row r="24026" spans="1:3" x14ac:dyDescent="0.25">
      <c r="A24026" s="1" t="s">
        <v>24025</v>
      </c>
      <c r="C24026" s="3">
        <v>1</v>
      </c>
    </row>
    <row r="24027" spans="1:3" x14ac:dyDescent="0.25">
      <c r="A24027" s="1" t="s">
        <v>24026</v>
      </c>
      <c r="C24027" s="3">
        <v>1</v>
      </c>
    </row>
    <row r="24028" spans="1:3" x14ac:dyDescent="0.25">
      <c r="A24028" s="1" t="s">
        <v>24027</v>
      </c>
      <c r="C24028" s="3">
        <v>1</v>
      </c>
    </row>
    <row r="24029" spans="1:3" x14ac:dyDescent="0.25">
      <c r="A24029" s="1" t="s">
        <v>24028</v>
      </c>
      <c r="C24029" s="3">
        <v>1</v>
      </c>
    </row>
    <row r="24030" spans="1:3" x14ac:dyDescent="0.25">
      <c r="A24030" s="1" t="s">
        <v>24029</v>
      </c>
      <c r="C24030" s="3">
        <v>1</v>
      </c>
    </row>
    <row r="24031" spans="1:3" x14ac:dyDescent="0.25">
      <c r="A24031" s="1" t="s">
        <v>24030</v>
      </c>
      <c r="C24031" s="3">
        <v>1</v>
      </c>
    </row>
    <row r="24032" spans="1:3" x14ac:dyDescent="0.25">
      <c r="A24032" s="1" t="s">
        <v>24031</v>
      </c>
      <c r="C24032" s="3">
        <v>1</v>
      </c>
    </row>
    <row r="24033" spans="1:3" x14ac:dyDescent="0.25">
      <c r="A24033" s="1" t="s">
        <v>24032</v>
      </c>
      <c r="C24033" s="3">
        <v>1</v>
      </c>
    </row>
    <row r="24034" spans="1:3" x14ac:dyDescent="0.25">
      <c r="A24034" s="1" t="s">
        <v>24033</v>
      </c>
      <c r="C24034" s="3">
        <v>1</v>
      </c>
    </row>
    <row r="24035" spans="1:3" x14ac:dyDescent="0.25">
      <c r="A24035" s="1" t="s">
        <v>24034</v>
      </c>
      <c r="C24035" s="3">
        <v>1</v>
      </c>
    </row>
    <row r="24036" spans="1:3" x14ac:dyDescent="0.25">
      <c r="A24036" s="1" t="s">
        <v>24035</v>
      </c>
      <c r="C24036" s="3">
        <v>1</v>
      </c>
    </row>
    <row r="24037" spans="1:3" x14ac:dyDescent="0.25">
      <c r="A24037" s="1" t="s">
        <v>24036</v>
      </c>
      <c r="C24037" s="3">
        <v>1</v>
      </c>
    </row>
    <row r="24038" spans="1:3" x14ac:dyDescent="0.25">
      <c r="A24038" s="1" t="s">
        <v>24037</v>
      </c>
      <c r="C24038" s="3">
        <v>1</v>
      </c>
    </row>
    <row r="24039" spans="1:3" x14ac:dyDescent="0.25">
      <c r="A24039" s="1" t="s">
        <v>24038</v>
      </c>
      <c r="C24039" s="3">
        <v>1</v>
      </c>
    </row>
    <row r="24040" spans="1:3" x14ac:dyDescent="0.25">
      <c r="A24040" s="1" t="s">
        <v>24039</v>
      </c>
      <c r="C24040" s="3">
        <v>1</v>
      </c>
    </row>
    <row r="24041" spans="1:3" x14ac:dyDescent="0.25">
      <c r="A24041" s="1" t="s">
        <v>24040</v>
      </c>
      <c r="C24041" s="3">
        <v>1</v>
      </c>
    </row>
    <row r="24042" spans="1:3" x14ac:dyDescent="0.25">
      <c r="A24042" s="1" t="s">
        <v>24041</v>
      </c>
      <c r="C24042" s="3">
        <v>1</v>
      </c>
    </row>
    <row r="24043" spans="1:3" x14ac:dyDescent="0.25">
      <c r="A24043" s="1" t="s">
        <v>24042</v>
      </c>
      <c r="C24043" s="3">
        <v>1</v>
      </c>
    </row>
    <row r="24044" spans="1:3" x14ac:dyDescent="0.25">
      <c r="A24044" s="1" t="s">
        <v>24043</v>
      </c>
      <c r="C24044" s="3">
        <v>1</v>
      </c>
    </row>
    <row r="24045" spans="1:3" x14ac:dyDescent="0.25">
      <c r="A24045" s="1" t="s">
        <v>24044</v>
      </c>
      <c r="C24045" s="3">
        <v>1</v>
      </c>
    </row>
    <row r="24046" spans="1:3" x14ac:dyDescent="0.25">
      <c r="A24046" s="1" t="s">
        <v>24045</v>
      </c>
      <c r="C24046" s="3">
        <v>1</v>
      </c>
    </row>
    <row r="24047" spans="1:3" x14ac:dyDescent="0.25">
      <c r="A24047" s="1" t="s">
        <v>24046</v>
      </c>
      <c r="C24047" s="3">
        <v>1</v>
      </c>
    </row>
    <row r="24048" spans="1:3" x14ac:dyDescent="0.25">
      <c r="A24048" s="1" t="s">
        <v>24047</v>
      </c>
      <c r="C24048" s="3">
        <v>1</v>
      </c>
    </row>
    <row r="24049" spans="1:3" x14ac:dyDescent="0.25">
      <c r="A24049" s="1" t="s">
        <v>24048</v>
      </c>
      <c r="C24049" s="3">
        <v>1</v>
      </c>
    </row>
    <row r="24050" spans="1:3" x14ac:dyDescent="0.25">
      <c r="A24050" s="1" t="s">
        <v>24049</v>
      </c>
      <c r="C24050" s="3">
        <v>1</v>
      </c>
    </row>
    <row r="24051" spans="1:3" x14ac:dyDescent="0.25">
      <c r="A24051" s="1" t="s">
        <v>24050</v>
      </c>
      <c r="C24051" s="3">
        <v>1</v>
      </c>
    </row>
    <row r="24052" spans="1:3" x14ac:dyDescent="0.25">
      <c r="A24052" s="1" t="s">
        <v>24051</v>
      </c>
      <c r="C24052" s="3">
        <v>1</v>
      </c>
    </row>
    <row r="24053" spans="1:3" x14ac:dyDescent="0.25">
      <c r="A24053" s="1" t="s">
        <v>24052</v>
      </c>
      <c r="C24053" s="3">
        <v>1</v>
      </c>
    </row>
    <row r="24054" spans="1:3" x14ac:dyDescent="0.25">
      <c r="A24054" s="1" t="s">
        <v>24053</v>
      </c>
      <c r="C24054" s="3">
        <v>1</v>
      </c>
    </row>
    <row r="24055" spans="1:3" x14ac:dyDescent="0.25">
      <c r="A24055" s="1" t="s">
        <v>24054</v>
      </c>
      <c r="C24055" s="3">
        <v>1</v>
      </c>
    </row>
    <row r="24056" spans="1:3" x14ac:dyDescent="0.25">
      <c r="A24056" s="1" t="s">
        <v>24055</v>
      </c>
      <c r="C24056" s="3">
        <v>1</v>
      </c>
    </row>
    <row r="24057" spans="1:3" x14ac:dyDescent="0.25">
      <c r="A24057" s="1" t="s">
        <v>24056</v>
      </c>
      <c r="C24057" s="3">
        <v>1</v>
      </c>
    </row>
    <row r="24058" spans="1:3" x14ac:dyDescent="0.25">
      <c r="A24058" s="1" t="s">
        <v>24057</v>
      </c>
      <c r="C24058" s="3">
        <v>1</v>
      </c>
    </row>
    <row r="24059" spans="1:3" x14ac:dyDescent="0.25">
      <c r="A24059" s="1" t="s">
        <v>24058</v>
      </c>
      <c r="C24059" s="3">
        <v>1</v>
      </c>
    </row>
    <row r="24060" spans="1:3" x14ac:dyDescent="0.25">
      <c r="A24060" s="1" t="s">
        <v>24059</v>
      </c>
      <c r="C24060" s="3">
        <v>1</v>
      </c>
    </row>
    <row r="24061" spans="1:3" x14ac:dyDescent="0.25">
      <c r="A24061" s="1" t="s">
        <v>24060</v>
      </c>
      <c r="C24061" s="3">
        <v>1</v>
      </c>
    </row>
    <row r="24062" spans="1:3" x14ac:dyDescent="0.25">
      <c r="A24062" s="1" t="s">
        <v>24061</v>
      </c>
      <c r="C24062" s="3">
        <v>1</v>
      </c>
    </row>
    <row r="24063" spans="1:3" x14ac:dyDescent="0.25">
      <c r="A24063" s="1" t="s">
        <v>24062</v>
      </c>
      <c r="C24063" s="3">
        <v>1</v>
      </c>
    </row>
    <row r="24064" spans="1:3" x14ac:dyDescent="0.25">
      <c r="A24064" s="1" t="s">
        <v>24063</v>
      </c>
      <c r="C24064" s="3">
        <v>1</v>
      </c>
    </row>
    <row r="24065" spans="1:3" x14ac:dyDescent="0.25">
      <c r="A24065" s="1" t="s">
        <v>24064</v>
      </c>
      <c r="C24065" s="3">
        <v>1</v>
      </c>
    </row>
    <row r="24066" spans="1:3" x14ac:dyDescent="0.25">
      <c r="A24066" s="1" t="s">
        <v>24065</v>
      </c>
      <c r="C24066" s="3">
        <v>1</v>
      </c>
    </row>
    <row r="24067" spans="1:3" x14ac:dyDescent="0.25">
      <c r="A24067" s="1" t="s">
        <v>24066</v>
      </c>
      <c r="C24067" s="3">
        <v>1</v>
      </c>
    </row>
    <row r="24068" spans="1:3" x14ac:dyDescent="0.25">
      <c r="A24068" s="1" t="s">
        <v>24067</v>
      </c>
      <c r="C24068" s="3">
        <v>1</v>
      </c>
    </row>
    <row r="24069" spans="1:3" x14ac:dyDescent="0.25">
      <c r="A24069" s="1" t="s">
        <v>24068</v>
      </c>
      <c r="C24069" s="3">
        <v>1</v>
      </c>
    </row>
    <row r="24070" spans="1:3" x14ac:dyDescent="0.25">
      <c r="A24070" s="1" t="s">
        <v>24069</v>
      </c>
      <c r="C24070" s="3">
        <v>1</v>
      </c>
    </row>
    <row r="24071" spans="1:3" x14ac:dyDescent="0.25">
      <c r="A24071" s="1" t="s">
        <v>24070</v>
      </c>
      <c r="C24071" s="3">
        <v>1</v>
      </c>
    </row>
    <row r="24072" spans="1:3" x14ac:dyDescent="0.25">
      <c r="A24072" s="1" t="s">
        <v>24071</v>
      </c>
      <c r="C24072" s="3">
        <v>1</v>
      </c>
    </row>
    <row r="24073" spans="1:3" x14ac:dyDescent="0.25">
      <c r="A24073" s="1" t="s">
        <v>24072</v>
      </c>
      <c r="C24073" s="3">
        <v>1</v>
      </c>
    </row>
    <row r="24074" spans="1:3" x14ac:dyDescent="0.25">
      <c r="A24074" s="1" t="s">
        <v>24073</v>
      </c>
      <c r="C24074" s="3">
        <v>1</v>
      </c>
    </row>
    <row r="24075" spans="1:3" x14ac:dyDescent="0.25">
      <c r="A24075" s="1" t="s">
        <v>24074</v>
      </c>
      <c r="C24075" s="3">
        <v>1</v>
      </c>
    </row>
    <row r="24076" spans="1:3" x14ac:dyDescent="0.25">
      <c r="A24076" s="1" t="s">
        <v>24075</v>
      </c>
      <c r="C24076" s="3">
        <v>1</v>
      </c>
    </row>
    <row r="24077" spans="1:3" x14ac:dyDescent="0.25">
      <c r="A24077" s="1" t="s">
        <v>24076</v>
      </c>
      <c r="C24077" s="3">
        <v>1</v>
      </c>
    </row>
    <row r="24078" spans="1:3" x14ac:dyDescent="0.25">
      <c r="A24078" s="1" t="s">
        <v>24077</v>
      </c>
      <c r="C24078" s="3">
        <v>1</v>
      </c>
    </row>
    <row r="24079" spans="1:3" x14ac:dyDescent="0.25">
      <c r="A24079" s="1" t="s">
        <v>24078</v>
      </c>
      <c r="C24079" s="3">
        <v>1</v>
      </c>
    </row>
    <row r="24080" spans="1:3" x14ac:dyDescent="0.25">
      <c r="A24080" s="1" t="s">
        <v>24079</v>
      </c>
      <c r="C24080" s="3">
        <v>1</v>
      </c>
    </row>
    <row r="24081" spans="1:3" x14ac:dyDescent="0.25">
      <c r="A24081" s="1" t="s">
        <v>24080</v>
      </c>
      <c r="C24081" s="3">
        <v>1</v>
      </c>
    </row>
    <row r="24082" spans="1:3" x14ac:dyDescent="0.25">
      <c r="A24082" s="1" t="s">
        <v>24081</v>
      </c>
      <c r="C24082" s="3">
        <v>1</v>
      </c>
    </row>
    <row r="24083" spans="1:3" x14ac:dyDescent="0.25">
      <c r="A24083" s="1" t="s">
        <v>24082</v>
      </c>
      <c r="C24083" s="3">
        <v>1</v>
      </c>
    </row>
    <row r="24084" spans="1:3" x14ac:dyDescent="0.25">
      <c r="A24084" s="1" t="s">
        <v>24083</v>
      </c>
      <c r="C24084" s="3">
        <v>1</v>
      </c>
    </row>
    <row r="24085" spans="1:3" x14ac:dyDescent="0.25">
      <c r="A24085" s="1" t="s">
        <v>24084</v>
      </c>
      <c r="C24085" s="3">
        <v>1</v>
      </c>
    </row>
    <row r="24086" spans="1:3" x14ac:dyDescent="0.25">
      <c r="A24086" s="1" t="s">
        <v>24085</v>
      </c>
      <c r="C24086" s="3">
        <v>1</v>
      </c>
    </row>
    <row r="24087" spans="1:3" x14ac:dyDescent="0.25">
      <c r="A24087" s="1" t="s">
        <v>24086</v>
      </c>
      <c r="C24087" s="3">
        <v>1</v>
      </c>
    </row>
    <row r="24088" spans="1:3" x14ac:dyDescent="0.25">
      <c r="A24088" s="1" t="s">
        <v>24087</v>
      </c>
      <c r="C24088" s="3">
        <v>1</v>
      </c>
    </row>
    <row r="24089" spans="1:3" x14ac:dyDescent="0.25">
      <c r="A24089" s="1" t="s">
        <v>24088</v>
      </c>
      <c r="C24089" s="3">
        <v>1</v>
      </c>
    </row>
    <row r="24090" spans="1:3" x14ac:dyDescent="0.25">
      <c r="A24090" s="1" t="s">
        <v>24089</v>
      </c>
      <c r="C24090" s="3">
        <v>1</v>
      </c>
    </row>
    <row r="24091" spans="1:3" x14ac:dyDescent="0.25">
      <c r="A24091" s="1" t="s">
        <v>24090</v>
      </c>
      <c r="C24091" s="3">
        <v>1</v>
      </c>
    </row>
    <row r="24092" spans="1:3" x14ac:dyDescent="0.25">
      <c r="A24092" s="1" t="s">
        <v>24091</v>
      </c>
      <c r="C24092" s="3">
        <v>1</v>
      </c>
    </row>
    <row r="24093" spans="1:3" x14ac:dyDescent="0.25">
      <c r="A24093" s="1" t="s">
        <v>24092</v>
      </c>
      <c r="C24093" s="3">
        <v>1</v>
      </c>
    </row>
    <row r="24094" spans="1:3" x14ac:dyDescent="0.25">
      <c r="A24094" s="1" t="s">
        <v>24093</v>
      </c>
      <c r="C24094" s="3">
        <v>1</v>
      </c>
    </row>
    <row r="24095" spans="1:3" x14ac:dyDescent="0.25">
      <c r="A24095" s="1" t="s">
        <v>24094</v>
      </c>
      <c r="C24095" s="3">
        <v>1</v>
      </c>
    </row>
    <row r="24096" spans="1:3" x14ac:dyDescent="0.25">
      <c r="A24096" s="1" t="s">
        <v>24095</v>
      </c>
      <c r="C24096" s="3">
        <v>1</v>
      </c>
    </row>
    <row r="24097" spans="1:3" x14ac:dyDescent="0.25">
      <c r="A24097" s="1" t="s">
        <v>24096</v>
      </c>
      <c r="C24097" s="3">
        <v>1</v>
      </c>
    </row>
    <row r="24098" spans="1:3" x14ac:dyDescent="0.25">
      <c r="A24098" s="1" t="s">
        <v>24097</v>
      </c>
      <c r="C24098" s="3">
        <v>1</v>
      </c>
    </row>
    <row r="24099" spans="1:3" x14ac:dyDescent="0.25">
      <c r="A24099" s="1" t="s">
        <v>24098</v>
      </c>
      <c r="C24099" s="3">
        <v>1</v>
      </c>
    </row>
    <row r="24100" spans="1:3" x14ac:dyDescent="0.25">
      <c r="A24100" s="1" t="s">
        <v>24099</v>
      </c>
      <c r="C24100" s="3">
        <v>1</v>
      </c>
    </row>
    <row r="24101" spans="1:3" x14ac:dyDescent="0.25">
      <c r="A24101" s="1" t="s">
        <v>24100</v>
      </c>
      <c r="C24101" s="3">
        <v>1</v>
      </c>
    </row>
    <row r="24102" spans="1:3" x14ac:dyDescent="0.25">
      <c r="A24102" s="1" t="s">
        <v>24101</v>
      </c>
      <c r="C24102" s="3">
        <v>1</v>
      </c>
    </row>
    <row r="24103" spans="1:3" x14ac:dyDescent="0.25">
      <c r="A24103" s="1" t="s">
        <v>24102</v>
      </c>
      <c r="C24103" s="3">
        <v>1</v>
      </c>
    </row>
    <row r="24104" spans="1:3" x14ac:dyDescent="0.25">
      <c r="A24104" s="1" t="s">
        <v>24103</v>
      </c>
      <c r="C24104" s="3">
        <v>1</v>
      </c>
    </row>
    <row r="24105" spans="1:3" x14ac:dyDescent="0.25">
      <c r="A24105" s="1" t="s">
        <v>24104</v>
      </c>
      <c r="C24105" s="3">
        <v>1</v>
      </c>
    </row>
    <row r="24106" spans="1:3" x14ac:dyDescent="0.25">
      <c r="A24106" s="1" t="s">
        <v>24105</v>
      </c>
      <c r="C24106" s="3">
        <v>1</v>
      </c>
    </row>
    <row r="24107" spans="1:3" x14ac:dyDescent="0.25">
      <c r="A24107" s="1" t="s">
        <v>24106</v>
      </c>
      <c r="C24107" s="3">
        <v>1</v>
      </c>
    </row>
    <row r="24108" spans="1:3" x14ac:dyDescent="0.25">
      <c r="A24108" s="1" t="s">
        <v>24107</v>
      </c>
      <c r="C24108" s="3">
        <v>1</v>
      </c>
    </row>
    <row r="24109" spans="1:3" x14ac:dyDescent="0.25">
      <c r="A24109" s="1" t="s">
        <v>24108</v>
      </c>
      <c r="C24109" s="3">
        <v>1</v>
      </c>
    </row>
    <row r="24110" spans="1:3" x14ac:dyDescent="0.25">
      <c r="A24110" s="1" t="s">
        <v>24109</v>
      </c>
      <c r="C24110" s="3">
        <v>1</v>
      </c>
    </row>
    <row r="24111" spans="1:3" x14ac:dyDescent="0.25">
      <c r="A24111" s="1" t="s">
        <v>24110</v>
      </c>
      <c r="C24111" s="3">
        <v>1</v>
      </c>
    </row>
    <row r="24112" spans="1:3" x14ac:dyDescent="0.25">
      <c r="A24112" s="1" t="s">
        <v>24111</v>
      </c>
      <c r="C24112" s="3">
        <v>1</v>
      </c>
    </row>
    <row r="24113" spans="1:3" x14ac:dyDescent="0.25">
      <c r="A24113" s="1" t="s">
        <v>24112</v>
      </c>
      <c r="C24113" s="3">
        <v>1</v>
      </c>
    </row>
    <row r="24114" spans="1:3" x14ac:dyDescent="0.25">
      <c r="A24114" s="1" t="s">
        <v>24113</v>
      </c>
      <c r="C24114" s="3">
        <v>1</v>
      </c>
    </row>
    <row r="24115" spans="1:3" x14ac:dyDescent="0.25">
      <c r="A24115" s="1" t="s">
        <v>24114</v>
      </c>
      <c r="C24115" s="3">
        <v>1</v>
      </c>
    </row>
    <row r="24116" spans="1:3" x14ac:dyDescent="0.25">
      <c r="A24116" s="1" t="s">
        <v>24115</v>
      </c>
      <c r="C24116" s="3">
        <v>1</v>
      </c>
    </row>
    <row r="24117" spans="1:3" x14ac:dyDescent="0.25">
      <c r="A24117" s="1" t="s">
        <v>24116</v>
      </c>
      <c r="C24117" s="3">
        <v>1</v>
      </c>
    </row>
    <row r="24118" spans="1:3" x14ac:dyDescent="0.25">
      <c r="A24118" s="1" t="s">
        <v>24117</v>
      </c>
      <c r="C24118" s="3">
        <v>1</v>
      </c>
    </row>
    <row r="24119" spans="1:3" x14ac:dyDescent="0.25">
      <c r="A24119" s="1" t="s">
        <v>24118</v>
      </c>
      <c r="C24119" s="3">
        <v>1</v>
      </c>
    </row>
    <row r="24120" spans="1:3" x14ac:dyDescent="0.25">
      <c r="A24120" s="1" t="s">
        <v>24119</v>
      </c>
      <c r="C24120" s="3">
        <v>1</v>
      </c>
    </row>
    <row r="24121" spans="1:3" x14ac:dyDescent="0.25">
      <c r="A24121" s="1" t="s">
        <v>24120</v>
      </c>
      <c r="C24121" s="3">
        <v>1</v>
      </c>
    </row>
    <row r="24122" spans="1:3" x14ac:dyDescent="0.25">
      <c r="A24122" s="1" t="s">
        <v>24121</v>
      </c>
      <c r="C24122" s="3">
        <v>1</v>
      </c>
    </row>
    <row r="24123" spans="1:3" x14ac:dyDescent="0.25">
      <c r="A24123" s="1" t="s">
        <v>24122</v>
      </c>
      <c r="C24123" s="3">
        <v>1</v>
      </c>
    </row>
    <row r="24124" spans="1:3" x14ac:dyDescent="0.25">
      <c r="A24124" s="1" t="s">
        <v>24123</v>
      </c>
      <c r="C24124" s="3">
        <v>1</v>
      </c>
    </row>
    <row r="24125" spans="1:3" x14ac:dyDescent="0.25">
      <c r="A24125" s="1" t="s">
        <v>24124</v>
      </c>
      <c r="C24125" s="3">
        <v>1</v>
      </c>
    </row>
    <row r="24126" spans="1:3" x14ac:dyDescent="0.25">
      <c r="A24126" s="1" t="s">
        <v>24125</v>
      </c>
      <c r="C24126" s="3">
        <v>1</v>
      </c>
    </row>
    <row r="24127" spans="1:3" x14ac:dyDescent="0.25">
      <c r="A24127" s="1" t="s">
        <v>24126</v>
      </c>
      <c r="C24127" s="3">
        <v>1</v>
      </c>
    </row>
    <row r="24128" spans="1:3" x14ac:dyDescent="0.25">
      <c r="A24128" s="1" t="s">
        <v>24127</v>
      </c>
      <c r="C24128" s="3">
        <v>1</v>
      </c>
    </row>
    <row r="24129" spans="1:3" x14ac:dyDescent="0.25">
      <c r="A24129" s="1" t="s">
        <v>24128</v>
      </c>
      <c r="C24129" s="3">
        <v>1</v>
      </c>
    </row>
    <row r="24130" spans="1:3" x14ac:dyDescent="0.25">
      <c r="A24130" s="1" t="s">
        <v>24129</v>
      </c>
      <c r="C24130" s="3">
        <v>1</v>
      </c>
    </row>
    <row r="24131" spans="1:3" x14ac:dyDescent="0.25">
      <c r="A24131" s="1" t="s">
        <v>24130</v>
      </c>
      <c r="C24131" s="3">
        <v>1</v>
      </c>
    </row>
    <row r="24132" spans="1:3" x14ac:dyDescent="0.25">
      <c r="A24132" s="1" t="s">
        <v>24131</v>
      </c>
      <c r="C24132" s="3">
        <v>1</v>
      </c>
    </row>
    <row r="24133" spans="1:3" x14ac:dyDescent="0.25">
      <c r="A24133" s="1" t="s">
        <v>24132</v>
      </c>
      <c r="C24133" s="3">
        <v>1</v>
      </c>
    </row>
    <row r="24134" spans="1:3" x14ac:dyDescent="0.25">
      <c r="A24134" s="1" t="s">
        <v>24133</v>
      </c>
      <c r="C24134" s="3">
        <v>1</v>
      </c>
    </row>
    <row r="24135" spans="1:3" x14ac:dyDescent="0.25">
      <c r="A24135" s="1" t="s">
        <v>24134</v>
      </c>
      <c r="C24135" s="3">
        <v>1</v>
      </c>
    </row>
    <row r="24136" spans="1:3" x14ac:dyDescent="0.25">
      <c r="A24136" s="1" t="s">
        <v>24135</v>
      </c>
      <c r="C24136" s="3">
        <v>1</v>
      </c>
    </row>
    <row r="24137" spans="1:3" x14ac:dyDescent="0.25">
      <c r="A24137" s="1" t="s">
        <v>24136</v>
      </c>
      <c r="C24137" s="3">
        <v>1</v>
      </c>
    </row>
    <row r="24138" spans="1:3" x14ac:dyDescent="0.25">
      <c r="A24138" s="1" t="s">
        <v>24137</v>
      </c>
      <c r="C24138" s="3">
        <v>1</v>
      </c>
    </row>
    <row r="24139" spans="1:3" x14ac:dyDescent="0.25">
      <c r="A24139" s="1" t="s">
        <v>24138</v>
      </c>
      <c r="C24139" s="3">
        <v>1</v>
      </c>
    </row>
    <row r="24140" spans="1:3" x14ac:dyDescent="0.25">
      <c r="A24140" s="1" t="s">
        <v>24139</v>
      </c>
      <c r="C24140" s="3">
        <v>1</v>
      </c>
    </row>
    <row r="24141" spans="1:3" x14ac:dyDescent="0.25">
      <c r="A24141" s="1" t="s">
        <v>24140</v>
      </c>
      <c r="C24141" s="3">
        <v>1</v>
      </c>
    </row>
    <row r="24142" spans="1:3" x14ac:dyDescent="0.25">
      <c r="A24142" s="1" t="s">
        <v>24141</v>
      </c>
      <c r="C24142" s="3">
        <v>1</v>
      </c>
    </row>
    <row r="24143" spans="1:3" x14ac:dyDescent="0.25">
      <c r="A24143" s="1" t="s">
        <v>24142</v>
      </c>
      <c r="C24143" s="3">
        <v>1</v>
      </c>
    </row>
    <row r="24144" spans="1:3" x14ac:dyDescent="0.25">
      <c r="A24144" s="1" t="s">
        <v>24143</v>
      </c>
      <c r="C24144" s="3">
        <v>1</v>
      </c>
    </row>
    <row r="24145" spans="1:3" x14ac:dyDescent="0.25">
      <c r="A24145" s="1" t="s">
        <v>24144</v>
      </c>
      <c r="C24145" s="3">
        <v>1</v>
      </c>
    </row>
    <row r="24146" spans="1:3" x14ac:dyDescent="0.25">
      <c r="A24146" s="1" t="s">
        <v>24145</v>
      </c>
      <c r="C24146" s="3">
        <v>1</v>
      </c>
    </row>
    <row r="24147" spans="1:3" x14ac:dyDescent="0.25">
      <c r="A24147" s="1" t="s">
        <v>24146</v>
      </c>
      <c r="C24147" s="3">
        <v>1</v>
      </c>
    </row>
    <row r="24148" spans="1:3" x14ac:dyDescent="0.25">
      <c r="A24148" s="1" t="s">
        <v>24147</v>
      </c>
      <c r="C24148" s="3">
        <v>1</v>
      </c>
    </row>
    <row r="24149" spans="1:3" x14ac:dyDescent="0.25">
      <c r="A24149" s="1" t="s">
        <v>24148</v>
      </c>
      <c r="C24149" s="3">
        <v>1</v>
      </c>
    </row>
    <row r="24150" spans="1:3" x14ac:dyDescent="0.25">
      <c r="A24150" s="1" t="s">
        <v>24149</v>
      </c>
      <c r="C24150" s="3">
        <v>1</v>
      </c>
    </row>
    <row r="24151" spans="1:3" x14ac:dyDescent="0.25">
      <c r="A24151" s="1" t="s">
        <v>24150</v>
      </c>
      <c r="C24151" s="3">
        <v>1</v>
      </c>
    </row>
    <row r="24152" spans="1:3" x14ac:dyDescent="0.25">
      <c r="A24152" s="1" t="s">
        <v>24151</v>
      </c>
      <c r="C24152" s="3">
        <v>1</v>
      </c>
    </row>
    <row r="24153" spans="1:3" x14ac:dyDescent="0.25">
      <c r="A24153" s="1" t="s">
        <v>24152</v>
      </c>
      <c r="C24153" s="3">
        <v>1</v>
      </c>
    </row>
    <row r="24154" spans="1:3" x14ac:dyDescent="0.25">
      <c r="A24154" s="1" t="s">
        <v>24153</v>
      </c>
      <c r="C24154" s="3">
        <v>1</v>
      </c>
    </row>
    <row r="24155" spans="1:3" x14ac:dyDescent="0.25">
      <c r="A24155" s="1" t="s">
        <v>24154</v>
      </c>
      <c r="C24155" s="3">
        <v>1</v>
      </c>
    </row>
    <row r="24156" spans="1:3" x14ac:dyDescent="0.25">
      <c r="A24156" s="1" t="s">
        <v>24155</v>
      </c>
      <c r="C24156" s="3">
        <v>1</v>
      </c>
    </row>
    <row r="24157" spans="1:3" x14ac:dyDescent="0.25">
      <c r="A24157" s="1" t="s">
        <v>24156</v>
      </c>
      <c r="C24157" s="3">
        <v>1</v>
      </c>
    </row>
    <row r="24158" spans="1:3" x14ac:dyDescent="0.25">
      <c r="A24158" s="1" t="s">
        <v>24157</v>
      </c>
      <c r="C24158" s="3">
        <v>1</v>
      </c>
    </row>
    <row r="24159" spans="1:3" x14ac:dyDescent="0.25">
      <c r="A24159" s="1" t="s">
        <v>24158</v>
      </c>
      <c r="C24159" s="3">
        <v>1</v>
      </c>
    </row>
    <row r="24160" spans="1:3" x14ac:dyDescent="0.25">
      <c r="A24160" s="1" t="s">
        <v>24159</v>
      </c>
      <c r="C24160" s="3">
        <v>1</v>
      </c>
    </row>
    <row r="24161" spans="1:3" x14ac:dyDescent="0.25">
      <c r="A24161" s="1" t="s">
        <v>24160</v>
      </c>
      <c r="C24161" s="3">
        <v>1</v>
      </c>
    </row>
    <row r="24162" spans="1:3" x14ac:dyDescent="0.25">
      <c r="A24162" s="1" t="s">
        <v>24161</v>
      </c>
      <c r="C24162" s="3">
        <v>1</v>
      </c>
    </row>
    <row r="24163" spans="1:3" x14ac:dyDescent="0.25">
      <c r="A24163" s="1" t="s">
        <v>24162</v>
      </c>
      <c r="C24163" s="3">
        <v>1</v>
      </c>
    </row>
    <row r="24164" spans="1:3" x14ac:dyDescent="0.25">
      <c r="A24164" s="1" t="s">
        <v>24163</v>
      </c>
      <c r="C24164" s="3">
        <v>1</v>
      </c>
    </row>
    <row r="24165" spans="1:3" x14ac:dyDescent="0.25">
      <c r="A24165" s="1" t="s">
        <v>24164</v>
      </c>
      <c r="C24165" s="3">
        <v>1</v>
      </c>
    </row>
    <row r="24166" spans="1:3" x14ac:dyDescent="0.25">
      <c r="A24166" s="1" t="s">
        <v>24165</v>
      </c>
      <c r="C24166" s="3">
        <v>1</v>
      </c>
    </row>
    <row r="24167" spans="1:3" x14ac:dyDescent="0.25">
      <c r="A24167" s="1" t="s">
        <v>24166</v>
      </c>
      <c r="C24167" s="3">
        <v>1</v>
      </c>
    </row>
    <row r="24168" spans="1:3" x14ac:dyDescent="0.25">
      <c r="A24168" s="1" t="s">
        <v>24167</v>
      </c>
      <c r="C24168" s="3">
        <v>1</v>
      </c>
    </row>
    <row r="24169" spans="1:3" x14ac:dyDescent="0.25">
      <c r="A24169" s="1" t="s">
        <v>24168</v>
      </c>
      <c r="C24169" s="3">
        <v>1</v>
      </c>
    </row>
    <row r="24170" spans="1:3" x14ac:dyDescent="0.25">
      <c r="A24170" s="1" t="s">
        <v>24169</v>
      </c>
      <c r="C24170" s="3">
        <v>1</v>
      </c>
    </row>
    <row r="24171" spans="1:3" x14ac:dyDescent="0.25">
      <c r="A24171" s="1" t="s">
        <v>24170</v>
      </c>
      <c r="C24171" s="3">
        <v>1</v>
      </c>
    </row>
    <row r="24172" spans="1:3" x14ac:dyDescent="0.25">
      <c r="A24172" s="1" t="s">
        <v>24171</v>
      </c>
      <c r="C24172" s="3">
        <v>1</v>
      </c>
    </row>
    <row r="24173" spans="1:3" x14ac:dyDescent="0.25">
      <c r="A24173" s="1" t="s">
        <v>24172</v>
      </c>
      <c r="C24173" s="3">
        <v>1</v>
      </c>
    </row>
    <row r="24174" spans="1:3" x14ac:dyDescent="0.25">
      <c r="A24174" s="1" t="s">
        <v>24173</v>
      </c>
      <c r="C24174" s="3">
        <v>1</v>
      </c>
    </row>
    <row r="24175" spans="1:3" x14ac:dyDescent="0.25">
      <c r="A24175" s="1" t="s">
        <v>24174</v>
      </c>
      <c r="C24175" s="3">
        <v>1</v>
      </c>
    </row>
    <row r="24176" spans="1:3" x14ac:dyDescent="0.25">
      <c r="A24176" s="1" t="s">
        <v>24175</v>
      </c>
      <c r="C24176" s="3">
        <v>1</v>
      </c>
    </row>
    <row r="24177" spans="1:3" x14ac:dyDescent="0.25">
      <c r="A24177" s="1" t="s">
        <v>24176</v>
      </c>
      <c r="C24177" s="3">
        <v>1</v>
      </c>
    </row>
    <row r="24178" spans="1:3" x14ac:dyDescent="0.25">
      <c r="A24178" s="1" t="s">
        <v>24177</v>
      </c>
      <c r="C24178" s="3">
        <v>1</v>
      </c>
    </row>
    <row r="24179" spans="1:3" x14ac:dyDescent="0.25">
      <c r="A24179" s="1" t="s">
        <v>24178</v>
      </c>
      <c r="C24179" s="3">
        <v>1</v>
      </c>
    </row>
    <row r="24180" spans="1:3" x14ac:dyDescent="0.25">
      <c r="A24180" s="1" t="s">
        <v>24179</v>
      </c>
      <c r="C24180" s="3">
        <v>1</v>
      </c>
    </row>
    <row r="24181" spans="1:3" x14ac:dyDescent="0.25">
      <c r="A24181" s="1" t="s">
        <v>24180</v>
      </c>
      <c r="C24181" s="3">
        <v>1</v>
      </c>
    </row>
    <row r="24182" spans="1:3" x14ac:dyDescent="0.25">
      <c r="A24182" s="1" t="s">
        <v>24181</v>
      </c>
      <c r="C24182" s="3">
        <v>1</v>
      </c>
    </row>
    <row r="24183" spans="1:3" x14ac:dyDescent="0.25">
      <c r="A24183" s="1" t="s">
        <v>24182</v>
      </c>
      <c r="C24183" s="3">
        <v>1</v>
      </c>
    </row>
    <row r="24184" spans="1:3" x14ac:dyDescent="0.25">
      <c r="A24184" s="1" t="s">
        <v>24183</v>
      </c>
      <c r="C24184" s="3">
        <v>1</v>
      </c>
    </row>
    <row r="24185" spans="1:3" x14ac:dyDescent="0.25">
      <c r="A24185" s="1" t="s">
        <v>24184</v>
      </c>
      <c r="C24185" s="3">
        <v>1</v>
      </c>
    </row>
    <row r="24186" spans="1:3" x14ac:dyDescent="0.25">
      <c r="A24186" s="1" t="s">
        <v>24185</v>
      </c>
      <c r="C24186" s="3">
        <v>1</v>
      </c>
    </row>
    <row r="24187" spans="1:3" x14ac:dyDescent="0.25">
      <c r="A24187" s="1" t="s">
        <v>24186</v>
      </c>
      <c r="C24187" s="3">
        <v>1</v>
      </c>
    </row>
    <row r="24188" spans="1:3" x14ac:dyDescent="0.25">
      <c r="A24188" s="1" t="s">
        <v>24187</v>
      </c>
      <c r="C24188" s="3">
        <v>1</v>
      </c>
    </row>
    <row r="24189" spans="1:3" x14ac:dyDescent="0.25">
      <c r="A24189" s="1" t="s">
        <v>24188</v>
      </c>
      <c r="C24189" s="3">
        <v>1</v>
      </c>
    </row>
    <row r="24190" spans="1:3" x14ac:dyDescent="0.25">
      <c r="A24190" s="1" t="s">
        <v>24189</v>
      </c>
      <c r="C24190" s="3">
        <v>1</v>
      </c>
    </row>
    <row r="24191" spans="1:3" x14ac:dyDescent="0.25">
      <c r="A24191" s="1" t="s">
        <v>24190</v>
      </c>
      <c r="C24191" s="3">
        <v>1</v>
      </c>
    </row>
    <row r="24192" spans="1:3" x14ac:dyDescent="0.25">
      <c r="A24192" s="1" t="s">
        <v>24191</v>
      </c>
      <c r="C24192" s="3">
        <v>1</v>
      </c>
    </row>
    <row r="24193" spans="1:3" x14ac:dyDescent="0.25">
      <c r="A24193" s="1" t="s">
        <v>24192</v>
      </c>
      <c r="C24193" s="3">
        <v>1</v>
      </c>
    </row>
    <row r="24194" spans="1:3" x14ac:dyDescent="0.25">
      <c r="A24194" s="1" t="s">
        <v>24193</v>
      </c>
      <c r="C24194" s="3">
        <v>1</v>
      </c>
    </row>
    <row r="24195" spans="1:3" x14ac:dyDescent="0.25">
      <c r="A24195" s="1" t="s">
        <v>24194</v>
      </c>
      <c r="C24195" s="3">
        <v>1</v>
      </c>
    </row>
    <row r="24196" spans="1:3" x14ac:dyDescent="0.25">
      <c r="A24196" s="1" t="s">
        <v>24195</v>
      </c>
      <c r="C24196" s="3">
        <v>1</v>
      </c>
    </row>
    <row r="24197" spans="1:3" x14ac:dyDescent="0.25">
      <c r="A24197" s="1" t="s">
        <v>24196</v>
      </c>
      <c r="C24197" s="3">
        <v>1</v>
      </c>
    </row>
    <row r="24198" spans="1:3" x14ac:dyDescent="0.25">
      <c r="A24198" s="1" t="s">
        <v>24197</v>
      </c>
      <c r="C24198" s="3">
        <v>1</v>
      </c>
    </row>
    <row r="24199" spans="1:3" x14ac:dyDescent="0.25">
      <c r="A24199" s="1" t="s">
        <v>24198</v>
      </c>
      <c r="C24199" s="3">
        <v>1</v>
      </c>
    </row>
    <row r="24200" spans="1:3" x14ac:dyDescent="0.25">
      <c r="A24200" s="1" t="s">
        <v>24199</v>
      </c>
      <c r="C24200" s="3">
        <v>1</v>
      </c>
    </row>
    <row r="24201" spans="1:3" x14ac:dyDescent="0.25">
      <c r="A24201" s="1" t="s">
        <v>24200</v>
      </c>
      <c r="C24201" s="3">
        <v>1</v>
      </c>
    </row>
    <row r="24202" spans="1:3" x14ac:dyDescent="0.25">
      <c r="A24202" s="1" t="s">
        <v>24201</v>
      </c>
      <c r="C24202" s="3">
        <v>1</v>
      </c>
    </row>
    <row r="24203" spans="1:3" x14ac:dyDescent="0.25">
      <c r="A24203" s="1" t="s">
        <v>24202</v>
      </c>
      <c r="C24203" s="3">
        <v>1</v>
      </c>
    </row>
    <row r="24204" spans="1:3" x14ac:dyDescent="0.25">
      <c r="A24204" s="1" t="s">
        <v>24203</v>
      </c>
      <c r="C24204" s="3">
        <v>1</v>
      </c>
    </row>
    <row r="24205" spans="1:3" x14ac:dyDescent="0.25">
      <c r="A24205" s="1" t="s">
        <v>24204</v>
      </c>
      <c r="C24205" s="3">
        <v>1</v>
      </c>
    </row>
    <row r="24206" spans="1:3" x14ac:dyDescent="0.25">
      <c r="A24206" s="1" t="s">
        <v>24205</v>
      </c>
      <c r="C24206" s="3">
        <v>1</v>
      </c>
    </row>
    <row r="24207" spans="1:3" x14ac:dyDescent="0.25">
      <c r="A24207" s="1" t="s">
        <v>24206</v>
      </c>
      <c r="C24207" s="3">
        <v>1</v>
      </c>
    </row>
    <row r="24208" spans="1:3" x14ac:dyDescent="0.25">
      <c r="A24208" s="1" t="s">
        <v>24207</v>
      </c>
      <c r="C24208" s="3">
        <v>1</v>
      </c>
    </row>
    <row r="24209" spans="1:3" x14ac:dyDescent="0.25">
      <c r="A24209" s="1" t="s">
        <v>24208</v>
      </c>
      <c r="C24209" s="3">
        <v>1</v>
      </c>
    </row>
    <row r="24210" spans="1:3" x14ac:dyDescent="0.25">
      <c r="A24210" s="1" t="s">
        <v>24209</v>
      </c>
      <c r="C24210" s="3">
        <v>1</v>
      </c>
    </row>
    <row r="24211" spans="1:3" x14ac:dyDescent="0.25">
      <c r="A24211" s="1" t="s">
        <v>24210</v>
      </c>
      <c r="C24211" s="3">
        <v>1</v>
      </c>
    </row>
    <row r="24212" spans="1:3" x14ac:dyDescent="0.25">
      <c r="A24212" s="1" t="s">
        <v>24211</v>
      </c>
      <c r="C24212" s="3">
        <v>1</v>
      </c>
    </row>
    <row r="24213" spans="1:3" x14ac:dyDescent="0.25">
      <c r="A24213" s="1" t="s">
        <v>24212</v>
      </c>
      <c r="C24213" s="3">
        <v>1</v>
      </c>
    </row>
    <row r="24214" spans="1:3" x14ac:dyDescent="0.25">
      <c r="A24214" s="1" t="s">
        <v>24213</v>
      </c>
      <c r="C24214" s="3">
        <v>1</v>
      </c>
    </row>
    <row r="24215" spans="1:3" x14ac:dyDescent="0.25">
      <c r="A24215" s="1" t="s">
        <v>24214</v>
      </c>
      <c r="C24215" s="3">
        <v>1</v>
      </c>
    </row>
    <row r="24216" spans="1:3" x14ac:dyDescent="0.25">
      <c r="A24216" s="1" t="s">
        <v>24215</v>
      </c>
      <c r="C24216" s="3">
        <v>1</v>
      </c>
    </row>
    <row r="24217" spans="1:3" x14ac:dyDescent="0.25">
      <c r="A24217" s="1" t="s">
        <v>24216</v>
      </c>
      <c r="C24217" s="3">
        <v>1</v>
      </c>
    </row>
    <row r="24218" spans="1:3" x14ac:dyDescent="0.25">
      <c r="A24218" s="1" t="s">
        <v>24217</v>
      </c>
      <c r="C24218" s="3">
        <v>1</v>
      </c>
    </row>
    <row r="24219" spans="1:3" x14ac:dyDescent="0.25">
      <c r="A24219" s="1" t="s">
        <v>24218</v>
      </c>
      <c r="C24219" s="3">
        <v>1</v>
      </c>
    </row>
    <row r="24220" spans="1:3" x14ac:dyDescent="0.25">
      <c r="A24220" s="1" t="s">
        <v>24219</v>
      </c>
      <c r="C24220" s="3">
        <v>1</v>
      </c>
    </row>
    <row r="24221" spans="1:3" x14ac:dyDescent="0.25">
      <c r="A24221" s="1" t="s">
        <v>24220</v>
      </c>
      <c r="C24221" s="3">
        <v>1</v>
      </c>
    </row>
    <row r="24222" spans="1:3" x14ac:dyDescent="0.25">
      <c r="A24222" s="1" t="s">
        <v>24221</v>
      </c>
      <c r="C24222" s="3">
        <v>1</v>
      </c>
    </row>
    <row r="24223" spans="1:3" x14ac:dyDescent="0.25">
      <c r="A24223" s="1" t="s">
        <v>24222</v>
      </c>
      <c r="C24223" s="3">
        <v>1</v>
      </c>
    </row>
    <row r="24224" spans="1:3" x14ac:dyDescent="0.25">
      <c r="A24224" s="1" t="s">
        <v>24223</v>
      </c>
      <c r="C24224" s="3">
        <v>1</v>
      </c>
    </row>
    <row r="24225" spans="1:3" x14ac:dyDescent="0.25">
      <c r="A24225" s="1" t="s">
        <v>24224</v>
      </c>
      <c r="C24225" s="3">
        <v>1</v>
      </c>
    </row>
    <row r="24226" spans="1:3" x14ac:dyDescent="0.25">
      <c r="A24226" s="1" t="s">
        <v>24225</v>
      </c>
      <c r="C24226" s="3">
        <v>1</v>
      </c>
    </row>
    <row r="24227" spans="1:3" x14ac:dyDescent="0.25">
      <c r="A24227" s="1" t="s">
        <v>24226</v>
      </c>
      <c r="C24227" s="3">
        <v>1</v>
      </c>
    </row>
    <row r="24228" spans="1:3" x14ac:dyDescent="0.25">
      <c r="A24228" s="1" t="s">
        <v>24227</v>
      </c>
      <c r="C24228" s="3">
        <v>1</v>
      </c>
    </row>
    <row r="24229" spans="1:3" x14ac:dyDescent="0.25">
      <c r="A24229" s="1" t="s">
        <v>24228</v>
      </c>
      <c r="C24229" s="3">
        <v>1</v>
      </c>
    </row>
    <row r="24230" spans="1:3" x14ac:dyDescent="0.25">
      <c r="A24230" s="1" t="s">
        <v>24229</v>
      </c>
      <c r="C24230" s="3">
        <v>1</v>
      </c>
    </row>
    <row r="24231" spans="1:3" x14ac:dyDescent="0.25">
      <c r="A24231" s="1" t="s">
        <v>24230</v>
      </c>
      <c r="C24231" s="3">
        <v>1</v>
      </c>
    </row>
    <row r="24232" spans="1:3" x14ac:dyDescent="0.25">
      <c r="A24232" s="1" t="s">
        <v>24231</v>
      </c>
      <c r="C24232" s="3">
        <v>1</v>
      </c>
    </row>
    <row r="24233" spans="1:3" x14ac:dyDescent="0.25">
      <c r="A24233" s="1" t="s">
        <v>24232</v>
      </c>
      <c r="C24233" s="3">
        <v>1</v>
      </c>
    </row>
    <row r="24234" spans="1:3" x14ac:dyDescent="0.25">
      <c r="A24234" s="1" t="s">
        <v>24233</v>
      </c>
      <c r="C24234" s="3">
        <v>1</v>
      </c>
    </row>
    <row r="24235" spans="1:3" x14ac:dyDescent="0.25">
      <c r="A24235" s="1" t="s">
        <v>24234</v>
      </c>
      <c r="C24235" s="3">
        <v>1</v>
      </c>
    </row>
    <row r="24236" spans="1:3" x14ac:dyDescent="0.25">
      <c r="A24236" s="1" t="s">
        <v>24235</v>
      </c>
      <c r="C24236" s="3">
        <v>1</v>
      </c>
    </row>
    <row r="24237" spans="1:3" x14ac:dyDescent="0.25">
      <c r="A24237" s="1" t="s">
        <v>24236</v>
      </c>
      <c r="C24237" s="3">
        <v>1</v>
      </c>
    </row>
    <row r="24238" spans="1:3" x14ac:dyDescent="0.25">
      <c r="A24238" s="1" t="s">
        <v>24237</v>
      </c>
      <c r="C24238" s="3">
        <v>1</v>
      </c>
    </row>
    <row r="24239" spans="1:3" x14ac:dyDescent="0.25">
      <c r="A24239" s="1" t="s">
        <v>24238</v>
      </c>
      <c r="C24239" s="3">
        <v>1</v>
      </c>
    </row>
    <row r="24240" spans="1:3" x14ac:dyDescent="0.25">
      <c r="A24240" s="1" t="s">
        <v>24239</v>
      </c>
      <c r="C24240" s="3">
        <v>1</v>
      </c>
    </row>
    <row r="24241" spans="1:3" x14ac:dyDescent="0.25">
      <c r="A24241" s="1" t="s">
        <v>24240</v>
      </c>
      <c r="C24241" s="3">
        <v>1</v>
      </c>
    </row>
    <row r="24242" spans="1:3" x14ac:dyDescent="0.25">
      <c r="A24242" s="1" t="s">
        <v>24241</v>
      </c>
      <c r="C24242" s="3">
        <v>1</v>
      </c>
    </row>
    <row r="24243" spans="1:3" x14ac:dyDescent="0.25">
      <c r="A24243" s="1" t="s">
        <v>24242</v>
      </c>
      <c r="C24243" s="3">
        <v>1</v>
      </c>
    </row>
    <row r="24244" spans="1:3" x14ac:dyDescent="0.25">
      <c r="A24244" s="1" t="s">
        <v>24243</v>
      </c>
      <c r="C24244" s="3">
        <v>1</v>
      </c>
    </row>
    <row r="24245" spans="1:3" x14ac:dyDescent="0.25">
      <c r="A24245" s="1" t="s">
        <v>24244</v>
      </c>
      <c r="C24245" s="3">
        <v>1</v>
      </c>
    </row>
    <row r="24246" spans="1:3" x14ac:dyDescent="0.25">
      <c r="A24246" s="1" t="s">
        <v>24245</v>
      </c>
      <c r="C24246" s="3">
        <v>1</v>
      </c>
    </row>
    <row r="24247" spans="1:3" x14ac:dyDescent="0.25">
      <c r="A24247" s="1" t="s">
        <v>24246</v>
      </c>
      <c r="C24247" s="3">
        <v>1</v>
      </c>
    </row>
    <row r="24248" spans="1:3" x14ac:dyDescent="0.25">
      <c r="A24248" s="1" t="s">
        <v>24247</v>
      </c>
      <c r="C24248" s="3">
        <v>1</v>
      </c>
    </row>
    <row r="24249" spans="1:3" x14ac:dyDescent="0.25">
      <c r="A24249" s="1" t="s">
        <v>24248</v>
      </c>
      <c r="C24249" s="3">
        <v>1</v>
      </c>
    </row>
    <row r="24250" spans="1:3" x14ac:dyDescent="0.25">
      <c r="A24250" s="1" t="s">
        <v>24249</v>
      </c>
      <c r="C24250" s="3">
        <v>1</v>
      </c>
    </row>
    <row r="24251" spans="1:3" x14ac:dyDescent="0.25">
      <c r="A24251" s="1" t="s">
        <v>24250</v>
      </c>
      <c r="C24251" s="3">
        <v>1</v>
      </c>
    </row>
    <row r="24252" spans="1:3" x14ac:dyDescent="0.25">
      <c r="A24252" s="1" t="s">
        <v>24251</v>
      </c>
      <c r="C24252" s="3">
        <v>1</v>
      </c>
    </row>
    <row r="24253" spans="1:3" x14ac:dyDescent="0.25">
      <c r="A24253" s="1" t="s">
        <v>24252</v>
      </c>
      <c r="C24253" s="3">
        <v>1</v>
      </c>
    </row>
    <row r="24254" spans="1:3" x14ac:dyDescent="0.25">
      <c r="A24254" s="1" t="s">
        <v>24253</v>
      </c>
      <c r="C24254" s="3">
        <v>1</v>
      </c>
    </row>
    <row r="24255" spans="1:3" x14ac:dyDescent="0.25">
      <c r="A24255" s="1" t="s">
        <v>24254</v>
      </c>
      <c r="C24255" s="3">
        <v>1</v>
      </c>
    </row>
    <row r="24256" spans="1:3" x14ac:dyDescent="0.25">
      <c r="A24256" s="1" t="s">
        <v>24255</v>
      </c>
      <c r="C24256" s="3">
        <v>1</v>
      </c>
    </row>
    <row r="24257" spans="1:3" x14ac:dyDescent="0.25">
      <c r="A24257" s="1" t="s">
        <v>24256</v>
      </c>
      <c r="C24257" s="3">
        <v>1</v>
      </c>
    </row>
    <row r="24258" spans="1:3" x14ac:dyDescent="0.25">
      <c r="A24258" s="1" t="s">
        <v>24257</v>
      </c>
      <c r="C24258" s="3">
        <v>1</v>
      </c>
    </row>
    <row r="24259" spans="1:3" x14ac:dyDescent="0.25">
      <c r="A24259" s="1" t="s">
        <v>24258</v>
      </c>
      <c r="C24259" s="3">
        <v>1</v>
      </c>
    </row>
    <row r="24260" spans="1:3" x14ac:dyDescent="0.25">
      <c r="A24260" s="1" t="s">
        <v>24259</v>
      </c>
      <c r="C24260" s="3">
        <v>1</v>
      </c>
    </row>
    <row r="24261" spans="1:3" x14ac:dyDescent="0.25">
      <c r="A24261" s="1" t="s">
        <v>24260</v>
      </c>
      <c r="C24261" s="3">
        <v>1</v>
      </c>
    </row>
    <row r="24262" spans="1:3" x14ac:dyDescent="0.25">
      <c r="A24262" s="1" t="s">
        <v>24261</v>
      </c>
      <c r="C24262" s="3">
        <v>1</v>
      </c>
    </row>
    <row r="24263" spans="1:3" x14ac:dyDescent="0.25">
      <c r="A24263" s="1" t="s">
        <v>24262</v>
      </c>
      <c r="C24263" s="3">
        <v>1</v>
      </c>
    </row>
    <row r="24264" spans="1:3" x14ac:dyDescent="0.25">
      <c r="A24264" s="1" t="s">
        <v>24263</v>
      </c>
      <c r="C24264" s="3">
        <v>1</v>
      </c>
    </row>
    <row r="24265" spans="1:3" x14ac:dyDescent="0.25">
      <c r="A24265" s="1" t="s">
        <v>24264</v>
      </c>
      <c r="C24265" s="3">
        <v>1</v>
      </c>
    </row>
    <row r="24266" spans="1:3" x14ac:dyDescent="0.25">
      <c r="A24266" s="1" t="s">
        <v>24265</v>
      </c>
      <c r="C24266" s="3">
        <v>1</v>
      </c>
    </row>
    <row r="24267" spans="1:3" x14ac:dyDescent="0.25">
      <c r="A24267" s="1" t="s">
        <v>24266</v>
      </c>
      <c r="C24267" s="3">
        <v>1</v>
      </c>
    </row>
    <row r="24268" spans="1:3" x14ac:dyDescent="0.25">
      <c r="A24268" s="1" t="s">
        <v>24267</v>
      </c>
      <c r="C24268" s="3">
        <v>1</v>
      </c>
    </row>
    <row r="24269" spans="1:3" x14ac:dyDescent="0.25">
      <c r="A24269" s="1" t="s">
        <v>24268</v>
      </c>
      <c r="C24269" s="3">
        <v>1</v>
      </c>
    </row>
    <row r="24270" spans="1:3" x14ac:dyDescent="0.25">
      <c r="A24270" s="1" t="s">
        <v>24269</v>
      </c>
      <c r="C24270" s="3">
        <v>1</v>
      </c>
    </row>
    <row r="24271" spans="1:3" x14ac:dyDescent="0.25">
      <c r="A24271" s="1" t="s">
        <v>24270</v>
      </c>
      <c r="C24271" s="3">
        <v>1</v>
      </c>
    </row>
    <row r="24272" spans="1:3" x14ac:dyDescent="0.25">
      <c r="A24272" s="1" t="s">
        <v>24271</v>
      </c>
      <c r="C24272" s="3">
        <v>1</v>
      </c>
    </row>
    <row r="24273" spans="1:3" x14ac:dyDescent="0.25">
      <c r="A24273" s="1" t="s">
        <v>24272</v>
      </c>
      <c r="C24273" s="3">
        <v>1</v>
      </c>
    </row>
    <row r="24274" spans="1:3" x14ac:dyDescent="0.25">
      <c r="A24274" s="1" t="s">
        <v>24273</v>
      </c>
      <c r="C24274" s="3">
        <v>1</v>
      </c>
    </row>
    <row r="24275" spans="1:3" x14ac:dyDescent="0.25">
      <c r="A24275" s="1" t="s">
        <v>24274</v>
      </c>
      <c r="C24275" s="3">
        <v>1</v>
      </c>
    </row>
    <row r="24276" spans="1:3" x14ac:dyDescent="0.25">
      <c r="A24276" s="1" t="s">
        <v>24275</v>
      </c>
      <c r="C24276" s="3">
        <v>1</v>
      </c>
    </row>
    <row r="24277" spans="1:3" x14ac:dyDescent="0.25">
      <c r="A24277" s="1" t="s">
        <v>24276</v>
      </c>
      <c r="C24277" s="3">
        <v>1</v>
      </c>
    </row>
    <row r="24278" spans="1:3" x14ac:dyDescent="0.25">
      <c r="A24278" s="1" t="s">
        <v>24277</v>
      </c>
      <c r="C24278" s="3">
        <v>1</v>
      </c>
    </row>
    <row r="24279" spans="1:3" x14ac:dyDescent="0.25">
      <c r="A24279" s="1" t="s">
        <v>24278</v>
      </c>
      <c r="C24279" s="3">
        <v>1</v>
      </c>
    </row>
    <row r="24280" spans="1:3" x14ac:dyDescent="0.25">
      <c r="A24280" s="1" t="s">
        <v>24279</v>
      </c>
      <c r="C24280" s="3">
        <v>1</v>
      </c>
    </row>
    <row r="24281" spans="1:3" x14ac:dyDescent="0.25">
      <c r="A24281" s="1" t="s">
        <v>24280</v>
      </c>
      <c r="C24281" s="3">
        <v>1</v>
      </c>
    </row>
    <row r="24282" spans="1:3" x14ac:dyDescent="0.25">
      <c r="A24282" s="1" t="s">
        <v>24281</v>
      </c>
      <c r="C24282" s="3">
        <v>1</v>
      </c>
    </row>
    <row r="24283" spans="1:3" x14ac:dyDescent="0.25">
      <c r="A24283" s="1" t="s">
        <v>24282</v>
      </c>
      <c r="C24283" s="3">
        <v>1</v>
      </c>
    </row>
    <row r="24284" spans="1:3" x14ac:dyDescent="0.25">
      <c r="A24284" s="1" t="s">
        <v>24283</v>
      </c>
      <c r="C24284" s="3">
        <v>1</v>
      </c>
    </row>
    <row r="24285" spans="1:3" x14ac:dyDescent="0.25">
      <c r="A24285" s="1" t="s">
        <v>24284</v>
      </c>
      <c r="C24285" s="3">
        <v>1</v>
      </c>
    </row>
    <row r="24286" spans="1:3" x14ac:dyDescent="0.25">
      <c r="A24286" s="1" t="s">
        <v>24285</v>
      </c>
      <c r="C24286" s="3">
        <v>1</v>
      </c>
    </row>
    <row r="24287" spans="1:3" x14ac:dyDescent="0.25">
      <c r="A24287" s="1" t="s">
        <v>24286</v>
      </c>
      <c r="C24287" s="3">
        <v>1</v>
      </c>
    </row>
    <row r="24288" spans="1:3" x14ac:dyDescent="0.25">
      <c r="A24288" s="1" t="s">
        <v>24287</v>
      </c>
      <c r="C24288" s="3">
        <v>1</v>
      </c>
    </row>
    <row r="24289" spans="1:3" x14ac:dyDescent="0.25">
      <c r="A24289" s="1" t="s">
        <v>24288</v>
      </c>
      <c r="C24289" s="3">
        <v>1</v>
      </c>
    </row>
    <row r="24290" spans="1:3" x14ac:dyDescent="0.25">
      <c r="A24290" s="1" t="s">
        <v>24289</v>
      </c>
      <c r="C24290" s="3">
        <v>1</v>
      </c>
    </row>
    <row r="24291" spans="1:3" x14ac:dyDescent="0.25">
      <c r="A24291" s="1" t="s">
        <v>24290</v>
      </c>
      <c r="C24291" s="3">
        <v>1</v>
      </c>
    </row>
    <row r="24292" spans="1:3" x14ac:dyDescent="0.25">
      <c r="A24292" s="1" t="s">
        <v>24291</v>
      </c>
      <c r="C24292" s="3">
        <v>1</v>
      </c>
    </row>
    <row r="24293" spans="1:3" x14ac:dyDescent="0.25">
      <c r="A24293" s="1" t="s">
        <v>24292</v>
      </c>
      <c r="C24293" s="3">
        <v>1</v>
      </c>
    </row>
    <row r="24294" spans="1:3" x14ac:dyDescent="0.25">
      <c r="A24294" s="1" t="s">
        <v>24293</v>
      </c>
      <c r="C24294" s="3">
        <v>1</v>
      </c>
    </row>
    <row r="24295" spans="1:3" x14ac:dyDescent="0.25">
      <c r="A24295" s="1" t="s">
        <v>24294</v>
      </c>
      <c r="C24295" s="3">
        <v>1</v>
      </c>
    </row>
    <row r="24296" spans="1:3" x14ac:dyDescent="0.25">
      <c r="A24296" s="1" t="s">
        <v>24295</v>
      </c>
      <c r="C24296" s="3">
        <v>1</v>
      </c>
    </row>
    <row r="24297" spans="1:3" x14ac:dyDescent="0.25">
      <c r="A24297" s="1" t="s">
        <v>24296</v>
      </c>
      <c r="C24297" s="3">
        <v>1</v>
      </c>
    </row>
    <row r="24298" spans="1:3" x14ac:dyDescent="0.25">
      <c r="A24298" s="1" t="s">
        <v>24297</v>
      </c>
      <c r="C24298" s="3">
        <v>1</v>
      </c>
    </row>
    <row r="24299" spans="1:3" x14ac:dyDescent="0.25">
      <c r="A24299" s="1" t="s">
        <v>24298</v>
      </c>
      <c r="C24299" s="3">
        <v>1</v>
      </c>
    </row>
    <row r="24300" spans="1:3" x14ac:dyDescent="0.25">
      <c r="A24300" s="1" t="s">
        <v>24299</v>
      </c>
      <c r="C24300" s="3">
        <v>1</v>
      </c>
    </row>
    <row r="24301" spans="1:3" x14ac:dyDescent="0.25">
      <c r="A24301" s="1" t="s">
        <v>24300</v>
      </c>
      <c r="C24301" s="3">
        <v>1</v>
      </c>
    </row>
    <row r="24302" spans="1:3" x14ac:dyDescent="0.25">
      <c r="A24302" s="1" t="s">
        <v>24301</v>
      </c>
      <c r="C24302" s="3">
        <v>1</v>
      </c>
    </row>
    <row r="24303" spans="1:3" x14ac:dyDescent="0.25">
      <c r="A24303" s="1" t="s">
        <v>24302</v>
      </c>
      <c r="C24303" s="3">
        <v>1</v>
      </c>
    </row>
    <row r="24304" spans="1:3" x14ac:dyDescent="0.25">
      <c r="A24304" s="1" t="s">
        <v>24303</v>
      </c>
      <c r="C24304" s="3">
        <v>1</v>
      </c>
    </row>
    <row r="24305" spans="1:3" x14ac:dyDescent="0.25">
      <c r="A24305" s="1" t="s">
        <v>24304</v>
      </c>
      <c r="C24305" s="3">
        <v>1</v>
      </c>
    </row>
    <row r="24306" spans="1:3" x14ac:dyDescent="0.25">
      <c r="A24306" s="1" t="s">
        <v>24305</v>
      </c>
      <c r="C24306" s="3">
        <v>1</v>
      </c>
    </row>
    <row r="24307" spans="1:3" x14ac:dyDescent="0.25">
      <c r="A24307" s="1" t="s">
        <v>24306</v>
      </c>
      <c r="C24307" s="3">
        <v>1</v>
      </c>
    </row>
    <row r="24308" spans="1:3" x14ac:dyDescent="0.25">
      <c r="A24308" s="1" t="s">
        <v>24307</v>
      </c>
      <c r="C24308" s="3">
        <v>1</v>
      </c>
    </row>
    <row r="24309" spans="1:3" x14ac:dyDescent="0.25">
      <c r="A24309" s="1" t="s">
        <v>24308</v>
      </c>
      <c r="C24309" s="3">
        <v>1</v>
      </c>
    </row>
    <row r="24310" spans="1:3" x14ac:dyDescent="0.25">
      <c r="A24310" s="1" t="s">
        <v>24309</v>
      </c>
      <c r="C24310" s="3">
        <v>1</v>
      </c>
    </row>
    <row r="24311" spans="1:3" x14ac:dyDescent="0.25">
      <c r="A24311" s="1" t="s">
        <v>24310</v>
      </c>
      <c r="C24311" s="3">
        <v>1</v>
      </c>
    </row>
    <row r="24312" spans="1:3" x14ac:dyDescent="0.25">
      <c r="A24312" s="1" t="s">
        <v>24311</v>
      </c>
      <c r="C24312" s="3">
        <v>1</v>
      </c>
    </row>
    <row r="24313" spans="1:3" x14ac:dyDescent="0.25">
      <c r="A24313" s="1" t="s">
        <v>24312</v>
      </c>
      <c r="C24313" s="3">
        <v>1</v>
      </c>
    </row>
    <row r="24314" spans="1:3" x14ac:dyDescent="0.25">
      <c r="A24314" s="1" t="s">
        <v>24313</v>
      </c>
      <c r="C24314" s="3">
        <v>1</v>
      </c>
    </row>
    <row r="24315" spans="1:3" x14ac:dyDescent="0.25">
      <c r="A24315" s="1" t="s">
        <v>24314</v>
      </c>
      <c r="C24315" s="3">
        <v>1</v>
      </c>
    </row>
    <row r="24316" spans="1:3" x14ac:dyDescent="0.25">
      <c r="A24316" s="1" t="s">
        <v>24315</v>
      </c>
      <c r="C24316" s="3">
        <v>1</v>
      </c>
    </row>
    <row r="24317" spans="1:3" x14ac:dyDescent="0.25">
      <c r="A24317" s="1" t="s">
        <v>24316</v>
      </c>
      <c r="C24317" s="3">
        <v>1</v>
      </c>
    </row>
    <row r="24318" spans="1:3" x14ac:dyDescent="0.25">
      <c r="A24318" s="1" t="s">
        <v>24317</v>
      </c>
      <c r="C24318" s="3">
        <v>1</v>
      </c>
    </row>
    <row r="24319" spans="1:3" x14ac:dyDescent="0.25">
      <c r="A24319" s="1" t="s">
        <v>24318</v>
      </c>
      <c r="C24319" s="3">
        <v>1</v>
      </c>
    </row>
    <row r="24320" spans="1:3" x14ac:dyDescent="0.25">
      <c r="A24320" s="1" t="s">
        <v>24319</v>
      </c>
      <c r="C24320" s="3">
        <v>1</v>
      </c>
    </row>
    <row r="24321" spans="1:3" x14ac:dyDescent="0.25">
      <c r="A24321" s="1" t="s">
        <v>24320</v>
      </c>
      <c r="C24321" s="3">
        <v>1</v>
      </c>
    </row>
    <row r="24322" spans="1:3" x14ac:dyDescent="0.25">
      <c r="A24322" s="1" t="s">
        <v>24321</v>
      </c>
      <c r="C24322" s="3">
        <v>1</v>
      </c>
    </row>
    <row r="24323" spans="1:3" x14ac:dyDescent="0.25">
      <c r="A24323" s="1" t="s">
        <v>24322</v>
      </c>
      <c r="C24323" s="3">
        <v>1</v>
      </c>
    </row>
    <row r="24324" spans="1:3" x14ac:dyDescent="0.25">
      <c r="A24324" s="1" t="s">
        <v>24323</v>
      </c>
      <c r="C24324" s="3">
        <v>1</v>
      </c>
    </row>
    <row r="24325" spans="1:3" x14ac:dyDescent="0.25">
      <c r="A24325" s="1" t="s">
        <v>24324</v>
      </c>
      <c r="C24325" s="3">
        <v>1</v>
      </c>
    </row>
    <row r="24326" spans="1:3" x14ac:dyDescent="0.25">
      <c r="A24326" s="1" t="s">
        <v>24325</v>
      </c>
      <c r="C24326" s="3">
        <v>1</v>
      </c>
    </row>
    <row r="24327" spans="1:3" x14ac:dyDescent="0.25">
      <c r="A24327" s="1" t="s">
        <v>24326</v>
      </c>
      <c r="C24327" s="3">
        <v>1</v>
      </c>
    </row>
    <row r="24328" spans="1:3" x14ac:dyDescent="0.25">
      <c r="A24328" s="1" t="s">
        <v>24327</v>
      </c>
      <c r="C24328" s="3">
        <v>1</v>
      </c>
    </row>
    <row r="24329" spans="1:3" x14ac:dyDescent="0.25">
      <c r="A24329" s="1" t="s">
        <v>24328</v>
      </c>
      <c r="C24329" s="3">
        <v>1</v>
      </c>
    </row>
    <row r="24330" spans="1:3" x14ac:dyDescent="0.25">
      <c r="A24330" s="1" t="s">
        <v>24329</v>
      </c>
      <c r="C24330" s="3">
        <v>1</v>
      </c>
    </row>
    <row r="24331" spans="1:3" x14ac:dyDescent="0.25">
      <c r="A24331" s="1" t="s">
        <v>24330</v>
      </c>
      <c r="C24331" s="3">
        <v>1</v>
      </c>
    </row>
    <row r="24332" spans="1:3" x14ac:dyDescent="0.25">
      <c r="A24332" s="1" t="s">
        <v>24331</v>
      </c>
      <c r="C24332" s="3">
        <v>1</v>
      </c>
    </row>
    <row r="24333" spans="1:3" x14ac:dyDescent="0.25">
      <c r="A24333" s="1" t="s">
        <v>24332</v>
      </c>
      <c r="C24333" s="3">
        <v>1</v>
      </c>
    </row>
    <row r="24334" spans="1:3" x14ac:dyDescent="0.25">
      <c r="A24334" s="1" t="s">
        <v>24333</v>
      </c>
      <c r="C24334" s="3">
        <v>1</v>
      </c>
    </row>
    <row r="24335" spans="1:3" x14ac:dyDescent="0.25">
      <c r="A24335" s="1" t="s">
        <v>24334</v>
      </c>
      <c r="C24335" s="3">
        <v>1</v>
      </c>
    </row>
    <row r="24336" spans="1:3" x14ac:dyDescent="0.25">
      <c r="A24336" s="1" t="s">
        <v>24335</v>
      </c>
      <c r="C24336" s="3">
        <v>1</v>
      </c>
    </row>
    <row r="24337" spans="1:3" x14ac:dyDescent="0.25">
      <c r="A24337" s="1" t="s">
        <v>24336</v>
      </c>
      <c r="C24337" s="3">
        <v>1</v>
      </c>
    </row>
    <row r="24338" spans="1:3" x14ac:dyDescent="0.25">
      <c r="A24338" s="1" t="s">
        <v>24337</v>
      </c>
      <c r="C24338" s="3">
        <v>1</v>
      </c>
    </row>
    <row r="24339" spans="1:3" x14ac:dyDescent="0.25">
      <c r="A24339" s="1" t="s">
        <v>24338</v>
      </c>
      <c r="C24339" s="3">
        <v>1</v>
      </c>
    </row>
    <row r="24340" spans="1:3" x14ac:dyDescent="0.25">
      <c r="A24340" s="1" t="s">
        <v>24339</v>
      </c>
      <c r="C24340" s="3">
        <v>1</v>
      </c>
    </row>
    <row r="24341" spans="1:3" x14ac:dyDescent="0.25">
      <c r="A24341" s="1" t="s">
        <v>24340</v>
      </c>
      <c r="C24341" s="3">
        <v>1</v>
      </c>
    </row>
    <row r="24342" spans="1:3" x14ac:dyDescent="0.25">
      <c r="A24342" s="1" t="s">
        <v>24341</v>
      </c>
      <c r="C24342" s="3">
        <v>1</v>
      </c>
    </row>
    <row r="24343" spans="1:3" x14ac:dyDescent="0.25">
      <c r="A24343" s="1" t="s">
        <v>24342</v>
      </c>
      <c r="C24343" s="3">
        <v>1</v>
      </c>
    </row>
    <row r="24344" spans="1:3" x14ac:dyDescent="0.25">
      <c r="A24344" s="1" t="s">
        <v>24343</v>
      </c>
      <c r="C24344" s="3">
        <v>1</v>
      </c>
    </row>
    <row r="24345" spans="1:3" x14ac:dyDescent="0.25">
      <c r="A24345" s="1" t="s">
        <v>24344</v>
      </c>
      <c r="C24345" s="3">
        <v>1</v>
      </c>
    </row>
    <row r="24346" spans="1:3" x14ac:dyDescent="0.25">
      <c r="A24346" s="1" t="s">
        <v>24345</v>
      </c>
      <c r="C24346" s="3">
        <v>1</v>
      </c>
    </row>
    <row r="24347" spans="1:3" x14ac:dyDescent="0.25">
      <c r="A24347" s="1" t="s">
        <v>24346</v>
      </c>
      <c r="C24347" s="3">
        <v>1</v>
      </c>
    </row>
    <row r="24348" spans="1:3" x14ac:dyDescent="0.25">
      <c r="A24348" s="1" t="s">
        <v>24347</v>
      </c>
      <c r="C24348" s="3">
        <v>1</v>
      </c>
    </row>
    <row r="24349" spans="1:3" x14ac:dyDescent="0.25">
      <c r="A24349" s="1" t="s">
        <v>24348</v>
      </c>
      <c r="C24349" s="3">
        <v>1</v>
      </c>
    </row>
    <row r="24350" spans="1:3" x14ac:dyDescent="0.25">
      <c r="A24350" s="1" t="s">
        <v>24349</v>
      </c>
      <c r="C24350" s="3">
        <v>1</v>
      </c>
    </row>
    <row r="24351" spans="1:3" x14ac:dyDescent="0.25">
      <c r="A24351" s="1" t="s">
        <v>24350</v>
      </c>
      <c r="C24351" s="3">
        <v>1</v>
      </c>
    </row>
    <row r="24352" spans="1:3" x14ac:dyDescent="0.25">
      <c r="A24352" s="1" t="s">
        <v>24351</v>
      </c>
      <c r="C24352" s="3">
        <v>1</v>
      </c>
    </row>
    <row r="24353" spans="1:3" x14ac:dyDescent="0.25">
      <c r="A24353" s="1" t="s">
        <v>24352</v>
      </c>
      <c r="C24353" s="3">
        <v>1</v>
      </c>
    </row>
    <row r="24354" spans="1:3" x14ac:dyDescent="0.25">
      <c r="A24354" s="1" t="s">
        <v>24353</v>
      </c>
      <c r="C24354" s="3">
        <v>1</v>
      </c>
    </row>
    <row r="24355" spans="1:3" x14ac:dyDescent="0.25">
      <c r="A24355" s="1" t="s">
        <v>24354</v>
      </c>
      <c r="C24355" s="3">
        <v>1</v>
      </c>
    </row>
    <row r="24356" spans="1:3" x14ac:dyDescent="0.25">
      <c r="A24356" s="1" t="s">
        <v>24355</v>
      </c>
      <c r="C24356" s="3">
        <v>1</v>
      </c>
    </row>
    <row r="24357" spans="1:3" x14ac:dyDescent="0.25">
      <c r="A24357" s="1" t="s">
        <v>24356</v>
      </c>
      <c r="C24357" s="3">
        <v>1</v>
      </c>
    </row>
    <row r="24358" spans="1:3" x14ac:dyDescent="0.25">
      <c r="A24358" s="1" t="s">
        <v>24357</v>
      </c>
      <c r="C24358" s="3">
        <v>1</v>
      </c>
    </row>
    <row r="24359" spans="1:3" x14ac:dyDescent="0.25">
      <c r="A24359" s="1" t="s">
        <v>24358</v>
      </c>
      <c r="C24359" s="3">
        <v>1</v>
      </c>
    </row>
    <row r="24360" spans="1:3" x14ac:dyDescent="0.25">
      <c r="A24360" s="1" t="s">
        <v>24359</v>
      </c>
      <c r="C24360" s="3">
        <v>1</v>
      </c>
    </row>
    <row r="24361" spans="1:3" x14ac:dyDescent="0.25">
      <c r="A24361" s="1" t="s">
        <v>24360</v>
      </c>
      <c r="C24361" s="3">
        <v>1</v>
      </c>
    </row>
    <row r="24362" spans="1:3" x14ac:dyDescent="0.25">
      <c r="A24362" s="1" t="s">
        <v>24361</v>
      </c>
      <c r="C24362" s="3">
        <v>1</v>
      </c>
    </row>
    <row r="24363" spans="1:3" x14ac:dyDescent="0.25">
      <c r="A24363" s="1" t="s">
        <v>24362</v>
      </c>
      <c r="C24363" s="3">
        <v>1</v>
      </c>
    </row>
    <row r="24364" spans="1:3" x14ac:dyDescent="0.25">
      <c r="A24364" s="1" t="s">
        <v>24363</v>
      </c>
      <c r="C24364" s="3">
        <v>1</v>
      </c>
    </row>
    <row r="24365" spans="1:3" x14ac:dyDescent="0.25">
      <c r="A24365" s="1" t="s">
        <v>24364</v>
      </c>
      <c r="C24365" s="3">
        <v>1</v>
      </c>
    </row>
    <row r="24366" spans="1:3" x14ac:dyDescent="0.25">
      <c r="A24366" s="1" t="s">
        <v>24365</v>
      </c>
      <c r="C24366" s="3">
        <v>1</v>
      </c>
    </row>
    <row r="24367" spans="1:3" x14ac:dyDescent="0.25">
      <c r="A24367" s="1" t="s">
        <v>24366</v>
      </c>
      <c r="C24367" s="3">
        <v>1</v>
      </c>
    </row>
    <row r="24368" spans="1:3" x14ac:dyDescent="0.25">
      <c r="A24368" s="1" t="s">
        <v>24367</v>
      </c>
      <c r="C24368" s="3">
        <v>1</v>
      </c>
    </row>
    <row r="24369" spans="1:3" x14ac:dyDescent="0.25">
      <c r="A24369" s="1" t="s">
        <v>24368</v>
      </c>
      <c r="C24369" s="3">
        <v>1</v>
      </c>
    </row>
    <row r="24370" spans="1:3" x14ac:dyDescent="0.25">
      <c r="A24370" s="1" t="s">
        <v>24369</v>
      </c>
      <c r="C24370" s="3">
        <v>1</v>
      </c>
    </row>
    <row r="24371" spans="1:3" x14ac:dyDescent="0.25">
      <c r="A24371" s="1" t="s">
        <v>24370</v>
      </c>
      <c r="C24371" s="3">
        <v>1</v>
      </c>
    </row>
    <row r="24372" spans="1:3" x14ac:dyDescent="0.25">
      <c r="A24372" s="1" t="s">
        <v>24371</v>
      </c>
      <c r="C24372" s="3">
        <v>1</v>
      </c>
    </row>
    <row r="24373" spans="1:3" x14ac:dyDescent="0.25">
      <c r="A24373" s="1" t="s">
        <v>24372</v>
      </c>
      <c r="C24373" s="3">
        <v>1</v>
      </c>
    </row>
    <row r="24374" spans="1:3" x14ac:dyDescent="0.25">
      <c r="A24374" s="1" t="s">
        <v>24373</v>
      </c>
      <c r="C24374" s="3">
        <v>1</v>
      </c>
    </row>
    <row r="24375" spans="1:3" x14ac:dyDescent="0.25">
      <c r="A24375" s="1" t="s">
        <v>24374</v>
      </c>
      <c r="C24375" s="3">
        <v>1</v>
      </c>
    </row>
    <row r="24376" spans="1:3" x14ac:dyDescent="0.25">
      <c r="A24376" s="1" t="s">
        <v>24375</v>
      </c>
      <c r="C24376" s="3">
        <v>1</v>
      </c>
    </row>
    <row r="24377" spans="1:3" x14ac:dyDescent="0.25">
      <c r="A24377" s="1" t="s">
        <v>24376</v>
      </c>
      <c r="C24377" s="3">
        <v>1</v>
      </c>
    </row>
    <row r="24378" spans="1:3" x14ac:dyDescent="0.25">
      <c r="A24378" s="1" t="s">
        <v>24377</v>
      </c>
      <c r="C24378" s="3">
        <v>1</v>
      </c>
    </row>
    <row r="24379" spans="1:3" x14ac:dyDescent="0.25">
      <c r="A24379" s="1" t="s">
        <v>24378</v>
      </c>
      <c r="C24379" s="3">
        <v>1</v>
      </c>
    </row>
    <row r="24380" spans="1:3" x14ac:dyDescent="0.25">
      <c r="A24380" s="1" t="s">
        <v>24379</v>
      </c>
      <c r="C24380" s="3">
        <v>1</v>
      </c>
    </row>
    <row r="24381" spans="1:3" x14ac:dyDescent="0.25">
      <c r="A24381" s="1" t="s">
        <v>24380</v>
      </c>
      <c r="C24381" s="3">
        <v>1</v>
      </c>
    </row>
    <row r="24382" spans="1:3" x14ac:dyDescent="0.25">
      <c r="A24382" s="1" t="s">
        <v>24381</v>
      </c>
      <c r="C24382" s="3">
        <v>1</v>
      </c>
    </row>
    <row r="24383" spans="1:3" x14ac:dyDescent="0.25">
      <c r="A24383" s="1" t="s">
        <v>24382</v>
      </c>
      <c r="C24383" s="3">
        <v>1</v>
      </c>
    </row>
    <row r="24384" spans="1:3" x14ac:dyDescent="0.25">
      <c r="A24384" s="1" t="s">
        <v>24383</v>
      </c>
      <c r="C24384" s="3">
        <v>1</v>
      </c>
    </row>
    <row r="24385" spans="1:3" x14ac:dyDescent="0.25">
      <c r="A24385" s="1" t="s">
        <v>24384</v>
      </c>
      <c r="C24385" s="3">
        <v>1</v>
      </c>
    </row>
    <row r="24386" spans="1:3" x14ac:dyDescent="0.25">
      <c r="A24386" s="1" t="s">
        <v>24385</v>
      </c>
      <c r="C24386" s="3">
        <v>1</v>
      </c>
    </row>
    <row r="24387" spans="1:3" x14ac:dyDescent="0.25">
      <c r="A24387" s="1" t="s">
        <v>24386</v>
      </c>
      <c r="C24387" s="3">
        <v>1</v>
      </c>
    </row>
    <row r="24388" spans="1:3" x14ac:dyDescent="0.25">
      <c r="A24388" s="1" t="s">
        <v>24387</v>
      </c>
      <c r="C24388" s="3">
        <v>1</v>
      </c>
    </row>
    <row r="24389" spans="1:3" x14ac:dyDescent="0.25">
      <c r="A24389" s="1" t="s">
        <v>24388</v>
      </c>
      <c r="C24389" s="3">
        <v>1</v>
      </c>
    </row>
    <row r="24390" spans="1:3" x14ac:dyDescent="0.25">
      <c r="A24390" s="1" t="s">
        <v>24389</v>
      </c>
      <c r="C24390" s="3">
        <v>1</v>
      </c>
    </row>
    <row r="24391" spans="1:3" x14ac:dyDescent="0.25">
      <c r="A24391" s="1" t="s">
        <v>24390</v>
      </c>
      <c r="C24391" s="3">
        <v>1</v>
      </c>
    </row>
    <row r="24392" spans="1:3" x14ac:dyDescent="0.25">
      <c r="A24392" s="1" t="s">
        <v>24391</v>
      </c>
      <c r="C24392" s="3">
        <v>1</v>
      </c>
    </row>
    <row r="24393" spans="1:3" x14ac:dyDescent="0.25">
      <c r="A24393" s="1" t="s">
        <v>24392</v>
      </c>
      <c r="C24393" s="3">
        <v>1</v>
      </c>
    </row>
    <row r="24394" spans="1:3" x14ac:dyDescent="0.25">
      <c r="A24394" s="1" t="s">
        <v>24393</v>
      </c>
      <c r="C24394" s="3">
        <v>1</v>
      </c>
    </row>
    <row r="24395" spans="1:3" x14ac:dyDescent="0.25">
      <c r="A24395" s="1" t="s">
        <v>24394</v>
      </c>
      <c r="C24395" s="3">
        <v>1</v>
      </c>
    </row>
    <row r="24396" spans="1:3" x14ac:dyDescent="0.25">
      <c r="A24396" s="1" t="s">
        <v>24395</v>
      </c>
      <c r="C24396" s="3">
        <v>1</v>
      </c>
    </row>
    <row r="24397" spans="1:3" x14ac:dyDescent="0.25">
      <c r="A24397" s="1" t="s">
        <v>24396</v>
      </c>
      <c r="C24397" s="3">
        <v>1</v>
      </c>
    </row>
    <row r="24398" spans="1:3" x14ac:dyDescent="0.25">
      <c r="A24398" s="1" t="s">
        <v>24397</v>
      </c>
      <c r="C24398" s="3">
        <v>1</v>
      </c>
    </row>
    <row r="24399" spans="1:3" x14ac:dyDescent="0.25">
      <c r="A24399" s="1" t="s">
        <v>24398</v>
      </c>
      <c r="C24399" s="3">
        <v>1</v>
      </c>
    </row>
    <row r="24400" spans="1:3" x14ac:dyDescent="0.25">
      <c r="A24400" s="1" t="s">
        <v>24399</v>
      </c>
      <c r="C24400" s="3">
        <v>1</v>
      </c>
    </row>
    <row r="24401" spans="1:3" x14ac:dyDescent="0.25">
      <c r="A24401" s="1" t="s">
        <v>24400</v>
      </c>
      <c r="C24401" s="3">
        <v>1</v>
      </c>
    </row>
    <row r="24402" spans="1:3" x14ac:dyDescent="0.25">
      <c r="A24402" s="1" t="s">
        <v>24401</v>
      </c>
      <c r="C24402" s="3">
        <v>1</v>
      </c>
    </row>
    <row r="24403" spans="1:3" x14ac:dyDescent="0.25">
      <c r="A24403" s="1" t="s">
        <v>24402</v>
      </c>
      <c r="C24403" s="3">
        <v>1</v>
      </c>
    </row>
    <row r="24404" spans="1:3" x14ac:dyDescent="0.25">
      <c r="A24404" s="1" t="s">
        <v>24403</v>
      </c>
      <c r="C24404" s="3">
        <v>1</v>
      </c>
    </row>
    <row r="24405" spans="1:3" x14ac:dyDescent="0.25">
      <c r="A24405" s="1" t="s">
        <v>24404</v>
      </c>
      <c r="C24405" s="3">
        <v>1</v>
      </c>
    </row>
    <row r="24406" spans="1:3" x14ac:dyDescent="0.25">
      <c r="A24406" s="1" t="s">
        <v>24405</v>
      </c>
      <c r="C24406" s="3">
        <v>1</v>
      </c>
    </row>
    <row r="24407" spans="1:3" x14ac:dyDescent="0.25">
      <c r="A24407" s="1" t="s">
        <v>24406</v>
      </c>
      <c r="C24407" s="3">
        <v>1</v>
      </c>
    </row>
    <row r="24408" spans="1:3" x14ac:dyDescent="0.25">
      <c r="A24408" s="1" t="s">
        <v>24407</v>
      </c>
      <c r="C24408" s="3">
        <v>1</v>
      </c>
    </row>
    <row r="24409" spans="1:3" x14ac:dyDescent="0.25">
      <c r="A24409" s="1" t="s">
        <v>24408</v>
      </c>
      <c r="C24409" s="3">
        <v>1</v>
      </c>
    </row>
    <row r="24410" spans="1:3" x14ac:dyDescent="0.25">
      <c r="A24410" s="1" t="s">
        <v>24409</v>
      </c>
      <c r="C24410" s="3">
        <v>1</v>
      </c>
    </row>
    <row r="24411" spans="1:3" x14ac:dyDescent="0.25">
      <c r="A24411" s="1" t="s">
        <v>24410</v>
      </c>
      <c r="C24411" s="3">
        <v>1</v>
      </c>
    </row>
    <row r="24412" spans="1:3" x14ac:dyDescent="0.25">
      <c r="A24412" s="1" t="s">
        <v>24411</v>
      </c>
      <c r="C24412" s="3">
        <v>1</v>
      </c>
    </row>
    <row r="24413" spans="1:3" x14ac:dyDescent="0.25">
      <c r="A24413" s="1" t="s">
        <v>24412</v>
      </c>
      <c r="C24413" s="3">
        <v>1</v>
      </c>
    </row>
    <row r="24414" spans="1:3" x14ac:dyDescent="0.25">
      <c r="A24414" s="1" t="s">
        <v>24413</v>
      </c>
      <c r="C24414" s="3">
        <v>1</v>
      </c>
    </row>
    <row r="24415" spans="1:3" x14ac:dyDescent="0.25">
      <c r="A24415" s="1" t="s">
        <v>24414</v>
      </c>
      <c r="C24415" s="3">
        <v>1</v>
      </c>
    </row>
    <row r="24416" spans="1:3" x14ac:dyDescent="0.25">
      <c r="A24416" s="1" t="s">
        <v>24415</v>
      </c>
      <c r="C24416" s="3">
        <v>1</v>
      </c>
    </row>
    <row r="24417" spans="1:3" x14ac:dyDescent="0.25">
      <c r="A24417" s="1" t="s">
        <v>24416</v>
      </c>
      <c r="C24417" s="3">
        <v>1</v>
      </c>
    </row>
    <row r="24418" spans="1:3" x14ac:dyDescent="0.25">
      <c r="A24418" s="1" t="s">
        <v>24417</v>
      </c>
      <c r="C24418" s="3">
        <v>1</v>
      </c>
    </row>
    <row r="24419" spans="1:3" x14ac:dyDescent="0.25">
      <c r="A24419" s="1" t="s">
        <v>24418</v>
      </c>
      <c r="C24419" s="3">
        <v>1</v>
      </c>
    </row>
    <row r="24420" spans="1:3" x14ac:dyDescent="0.25">
      <c r="A24420" s="1" t="s">
        <v>24419</v>
      </c>
      <c r="C24420" s="3">
        <v>1</v>
      </c>
    </row>
    <row r="24421" spans="1:3" x14ac:dyDescent="0.25">
      <c r="A24421" s="1" t="s">
        <v>24420</v>
      </c>
      <c r="C24421" s="3">
        <v>1</v>
      </c>
    </row>
    <row r="24422" spans="1:3" x14ac:dyDescent="0.25">
      <c r="A24422" s="1" t="s">
        <v>24421</v>
      </c>
      <c r="C24422" s="3">
        <v>1</v>
      </c>
    </row>
    <row r="24423" spans="1:3" x14ac:dyDescent="0.25">
      <c r="A24423" s="1" t="s">
        <v>24422</v>
      </c>
      <c r="C24423" s="3">
        <v>1</v>
      </c>
    </row>
    <row r="24424" spans="1:3" x14ac:dyDescent="0.25">
      <c r="A24424" s="1" t="s">
        <v>24423</v>
      </c>
      <c r="C24424" s="3">
        <v>1</v>
      </c>
    </row>
    <row r="24425" spans="1:3" x14ac:dyDescent="0.25">
      <c r="A24425" s="1" t="s">
        <v>24424</v>
      </c>
      <c r="C24425" s="3">
        <v>1</v>
      </c>
    </row>
    <row r="24426" spans="1:3" x14ac:dyDescent="0.25">
      <c r="A24426" s="1" t="s">
        <v>24425</v>
      </c>
      <c r="C24426" s="3">
        <v>1</v>
      </c>
    </row>
    <row r="24427" spans="1:3" x14ac:dyDescent="0.25">
      <c r="A24427" s="1" t="s">
        <v>24426</v>
      </c>
      <c r="C24427" s="3">
        <v>1</v>
      </c>
    </row>
    <row r="24428" spans="1:3" x14ac:dyDescent="0.25">
      <c r="A24428" s="1" t="s">
        <v>24427</v>
      </c>
      <c r="C24428" s="3">
        <v>1</v>
      </c>
    </row>
    <row r="24429" spans="1:3" x14ac:dyDescent="0.25">
      <c r="A24429" s="1" t="s">
        <v>24428</v>
      </c>
      <c r="C24429" s="3">
        <v>1</v>
      </c>
    </row>
    <row r="24430" spans="1:3" x14ac:dyDescent="0.25">
      <c r="A24430" s="1" t="s">
        <v>24429</v>
      </c>
      <c r="C24430" s="3">
        <v>1</v>
      </c>
    </row>
    <row r="24431" spans="1:3" x14ac:dyDescent="0.25">
      <c r="A24431" s="1" t="s">
        <v>24430</v>
      </c>
      <c r="C24431" s="3">
        <v>1</v>
      </c>
    </row>
    <row r="24432" spans="1:3" x14ac:dyDescent="0.25">
      <c r="A24432" s="1" t="s">
        <v>24431</v>
      </c>
      <c r="C24432" s="3">
        <v>1</v>
      </c>
    </row>
    <row r="24433" spans="1:3" x14ac:dyDescent="0.25">
      <c r="A24433" s="1" t="s">
        <v>24432</v>
      </c>
      <c r="C24433" s="3">
        <v>1</v>
      </c>
    </row>
    <row r="24434" spans="1:3" x14ac:dyDescent="0.25">
      <c r="A24434" s="1" t="s">
        <v>24433</v>
      </c>
      <c r="C24434" s="3">
        <v>1</v>
      </c>
    </row>
    <row r="24435" spans="1:3" x14ac:dyDescent="0.25">
      <c r="A24435" s="1" t="s">
        <v>24434</v>
      </c>
      <c r="C24435" s="3">
        <v>1</v>
      </c>
    </row>
    <row r="24436" spans="1:3" x14ac:dyDescent="0.25">
      <c r="A24436" s="1" t="s">
        <v>24435</v>
      </c>
      <c r="C24436" s="3">
        <v>1</v>
      </c>
    </row>
    <row r="24437" spans="1:3" x14ac:dyDescent="0.25">
      <c r="A24437" s="1" t="s">
        <v>24436</v>
      </c>
      <c r="C24437" s="3">
        <v>1</v>
      </c>
    </row>
    <row r="24438" spans="1:3" x14ac:dyDescent="0.25">
      <c r="A24438" s="1" t="s">
        <v>24437</v>
      </c>
      <c r="C24438" s="3">
        <v>1</v>
      </c>
    </row>
    <row r="24439" spans="1:3" x14ac:dyDescent="0.25">
      <c r="A24439" s="1" t="s">
        <v>24438</v>
      </c>
      <c r="C24439" s="3">
        <v>1</v>
      </c>
    </row>
    <row r="24440" spans="1:3" x14ac:dyDescent="0.25">
      <c r="A24440" s="1" t="s">
        <v>24439</v>
      </c>
      <c r="C24440" s="3">
        <v>1</v>
      </c>
    </row>
    <row r="24441" spans="1:3" x14ac:dyDescent="0.25">
      <c r="A24441" s="1" t="s">
        <v>24440</v>
      </c>
      <c r="C24441" s="3">
        <v>1</v>
      </c>
    </row>
    <row r="24442" spans="1:3" x14ac:dyDescent="0.25">
      <c r="A24442" s="1" t="s">
        <v>24441</v>
      </c>
      <c r="C24442" s="3">
        <v>1</v>
      </c>
    </row>
    <row r="24443" spans="1:3" x14ac:dyDescent="0.25">
      <c r="A24443" s="1" t="s">
        <v>24442</v>
      </c>
      <c r="C24443" s="3">
        <v>1</v>
      </c>
    </row>
    <row r="24444" spans="1:3" x14ac:dyDescent="0.25">
      <c r="A24444" s="1" t="s">
        <v>24443</v>
      </c>
      <c r="C24444" s="3">
        <v>1</v>
      </c>
    </row>
    <row r="24445" spans="1:3" x14ac:dyDescent="0.25">
      <c r="A24445" s="1" t="s">
        <v>24444</v>
      </c>
      <c r="C24445" s="3">
        <v>1</v>
      </c>
    </row>
    <row r="24446" spans="1:3" x14ac:dyDescent="0.25">
      <c r="A24446" s="1" t="s">
        <v>24445</v>
      </c>
      <c r="C24446" s="3">
        <v>1</v>
      </c>
    </row>
    <row r="24447" spans="1:3" x14ac:dyDescent="0.25">
      <c r="A24447" s="1" t="s">
        <v>24446</v>
      </c>
      <c r="C24447" s="3">
        <v>1</v>
      </c>
    </row>
    <row r="24448" spans="1:3" x14ac:dyDescent="0.25">
      <c r="A24448" s="1" t="s">
        <v>24447</v>
      </c>
      <c r="C24448" s="3">
        <v>1</v>
      </c>
    </row>
    <row r="24449" spans="1:3" x14ac:dyDescent="0.25">
      <c r="A24449" s="1" t="s">
        <v>24448</v>
      </c>
      <c r="C24449" s="3">
        <v>1</v>
      </c>
    </row>
    <row r="24450" spans="1:3" x14ac:dyDescent="0.25">
      <c r="A24450" s="1" t="s">
        <v>24449</v>
      </c>
      <c r="C24450" s="3">
        <v>1</v>
      </c>
    </row>
    <row r="24451" spans="1:3" x14ac:dyDescent="0.25">
      <c r="A24451" s="1" t="s">
        <v>24450</v>
      </c>
      <c r="C24451" s="3">
        <v>1</v>
      </c>
    </row>
    <row r="24452" spans="1:3" x14ac:dyDescent="0.25">
      <c r="A24452" s="1" t="s">
        <v>24451</v>
      </c>
      <c r="C24452" s="3">
        <v>1</v>
      </c>
    </row>
    <row r="24453" spans="1:3" x14ac:dyDescent="0.25">
      <c r="A24453" s="1" t="s">
        <v>24452</v>
      </c>
      <c r="C24453" s="3">
        <v>1</v>
      </c>
    </row>
    <row r="24454" spans="1:3" x14ac:dyDescent="0.25">
      <c r="A24454" s="1" t="s">
        <v>24453</v>
      </c>
      <c r="C24454" s="3">
        <v>1</v>
      </c>
    </row>
    <row r="24455" spans="1:3" x14ac:dyDescent="0.25">
      <c r="A24455" s="1" t="s">
        <v>24454</v>
      </c>
      <c r="C24455" s="3">
        <v>1</v>
      </c>
    </row>
    <row r="24456" spans="1:3" x14ac:dyDescent="0.25">
      <c r="A24456" s="1" t="s">
        <v>24455</v>
      </c>
      <c r="C24456" s="3">
        <v>1</v>
      </c>
    </row>
    <row r="24457" spans="1:3" x14ac:dyDescent="0.25">
      <c r="A24457" s="1" t="s">
        <v>24456</v>
      </c>
      <c r="C24457" s="3">
        <v>1</v>
      </c>
    </row>
    <row r="24458" spans="1:3" x14ac:dyDescent="0.25">
      <c r="A24458" s="1" t="s">
        <v>24457</v>
      </c>
      <c r="C24458" s="3">
        <v>1</v>
      </c>
    </row>
    <row r="24459" spans="1:3" x14ac:dyDescent="0.25">
      <c r="A24459" s="1" t="s">
        <v>24458</v>
      </c>
      <c r="C24459" s="3">
        <v>1</v>
      </c>
    </row>
    <row r="24460" spans="1:3" x14ac:dyDescent="0.25">
      <c r="A24460" s="1" t="s">
        <v>24459</v>
      </c>
      <c r="C24460" s="3">
        <v>1</v>
      </c>
    </row>
    <row r="24461" spans="1:3" x14ac:dyDescent="0.25">
      <c r="A24461" s="1" t="s">
        <v>24460</v>
      </c>
      <c r="C24461" s="3">
        <v>1</v>
      </c>
    </row>
    <row r="24462" spans="1:3" x14ac:dyDescent="0.25">
      <c r="A24462" s="1" t="s">
        <v>24461</v>
      </c>
      <c r="C24462" s="3">
        <v>1</v>
      </c>
    </row>
    <row r="24463" spans="1:3" x14ac:dyDescent="0.25">
      <c r="A24463" s="1" t="s">
        <v>24462</v>
      </c>
      <c r="C24463" s="3">
        <v>1</v>
      </c>
    </row>
    <row r="24464" spans="1:3" x14ac:dyDescent="0.25">
      <c r="A24464" s="1" t="s">
        <v>24463</v>
      </c>
      <c r="C24464" s="3">
        <v>1</v>
      </c>
    </row>
    <row r="24465" spans="1:3" x14ac:dyDescent="0.25">
      <c r="A24465" s="1" t="s">
        <v>24464</v>
      </c>
      <c r="C24465" s="3">
        <v>1</v>
      </c>
    </row>
    <row r="24466" spans="1:3" x14ac:dyDescent="0.25">
      <c r="A24466" s="1" t="s">
        <v>24465</v>
      </c>
      <c r="C24466" s="3">
        <v>1</v>
      </c>
    </row>
    <row r="24467" spans="1:3" x14ac:dyDescent="0.25">
      <c r="A24467" s="1" t="s">
        <v>24466</v>
      </c>
      <c r="C24467" s="3">
        <v>1</v>
      </c>
    </row>
    <row r="24468" spans="1:3" x14ac:dyDescent="0.25">
      <c r="A24468" s="1" t="s">
        <v>24467</v>
      </c>
      <c r="C24468" s="3">
        <v>1</v>
      </c>
    </row>
    <row r="24469" spans="1:3" x14ac:dyDescent="0.25">
      <c r="A24469" s="1" t="s">
        <v>24468</v>
      </c>
      <c r="C24469" s="3">
        <v>1</v>
      </c>
    </row>
    <row r="24470" spans="1:3" x14ac:dyDescent="0.25">
      <c r="A24470" s="1" t="s">
        <v>24469</v>
      </c>
      <c r="C24470" s="3">
        <v>1</v>
      </c>
    </row>
    <row r="24471" spans="1:3" x14ac:dyDescent="0.25">
      <c r="A24471" s="1" t="s">
        <v>24470</v>
      </c>
      <c r="C24471" s="3">
        <v>1</v>
      </c>
    </row>
    <row r="24472" spans="1:3" x14ac:dyDescent="0.25">
      <c r="A24472" s="1" t="s">
        <v>24471</v>
      </c>
      <c r="C24472" s="3">
        <v>1</v>
      </c>
    </row>
    <row r="24473" spans="1:3" x14ac:dyDescent="0.25">
      <c r="A24473" s="1" t="s">
        <v>24472</v>
      </c>
      <c r="C24473" s="3">
        <v>1</v>
      </c>
    </row>
    <row r="24474" spans="1:3" x14ac:dyDescent="0.25">
      <c r="A24474" s="1" t="s">
        <v>24473</v>
      </c>
      <c r="C24474" s="3">
        <v>1</v>
      </c>
    </row>
    <row r="24475" spans="1:3" x14ac:dyDescent="0.25">
      <c r="A24475" s="1" t="s">
        <v>24474</v>
      </c>
      <c r="C24475" s="3">
        <v>1</v>
      </c>
    </row>
    <row r="24476" spans="1:3" x14ac:dyDescent="0.25">
      <c r="A24476" s="1" t="s">
        <v>24475</v>
      </c>
      <c r="C24476" s="3">
        <v>1</v>
      </c>
    </row>
    <row r="24477" spans="1:3" x14ac:dyDescent="0.25">
      <c r="A24477" s="1" t="s">
        <v>24476</v>
      </c>
      <c r="C24477" s="3">
        <v>1</v>
      </c>
    </row>
    <row r="24478" spans="1:3" x14ac:dyDescent="0.25">
      <c r="A24478" s="1" t="s">
        <v>24477</v>
      </c>
      <c r="C24478" s="3">
        <v>1</v>
      </c>
    </row>
    <row r="24479" spans="1:3" x14ac:dyDescent="0.25">
      <c r="A24479" s="1" t="s">
        <v>24478</v>
      </c>
      <c r="C24479" s="3">
        <v>1</v>
      </c>
    </row>
    <row r="24480" spans="1:3" x14ac:dyDescent="0.25">
      <c r="A24480" s="1" t="s">
        <v>24479</v>
      </c>
      <c r="C24480" s="3">
        <v>1</v>
      </c>
    </row>
    <row r="24481" spans="1:3" x14ac:dyDescent="0.25">
      <c r="A24481" s="1" t="s">
        <v>24480</v>
      </c>
      <c r="C24481" s="3">
        <v>1</v>
      </c>
    </row>
    <row r="24482" spans="1:3" x14ac:dyDescent="0.25">
      <c r="A24482" s="1" t="s">
        <v>24481</v>
      </c>
      <c r="C24482" s="3">
        <v>1</v>
      </c>
    </row>
    <row r="24483" spans="1:3" x14ac:dyDescent="0.25">
      <c r="A24483" s="1" t="s">
        <v>24482</v>
      </c>
      <c r="C24483" s="3">
        <v>1</v>
      </c>
    </row>
    <row r="24484" spans="1:3" x14ac:dyDescent="0.25">
      <c r="A24484" s="1" t="s">
        <v>24483</v>
      </c>
      <c r="C24484" s="3">
        <v>1</v>
      </c>
    </row>
    <row r="24485" spans="1:3" x14ac:dyDescent="0.25">
      <c r="A24485" s="1" t="s">
        <v>24484</v>
      </c>
      <c r="C24485" s="3">
        <v>1</v>
      </c>
    </row>
    <row r="24486" spans="1:3" x14ac:dyDescent="0.25">
      <c r="A24486" s="1" t="s">
        <v>24485</v>
      </c>
      <c r="C24486" s="3">
        <v>1</v>
      </c>
    </row>
    <row r="24487" spans="1:3" x14ac:dyDescent="0.25">
      <c r="A24487" s="1" t="s">
        <v>24486</v>
      </c>
      <c r="C24487" s="3">
        <v>1</v>
      </c>
    </row>
    <row r="24488" spans="1:3" x14ac:dyDescent="0.25">
      <c r="A24488" s="1" t="s">
        <v>24487</v>
      </c>
      <c r="C24488" s="3">
        <v>1</v>
      </c>
    </row>
    <row r="24489" spans="1:3" x14ac:dyDescent="0.25">
      <c r="A24489" s="1" t="s">
        <v>24488</v>
      </c>
      <c r="C24489" s="3">
        <v>1</v>
      </c>
    </row>
    <row r="24490" spans="1:3" x14ac:dyDescent="0.25">
      <c r="A24490" s="1" t="s">
        <v>24489</v>
      </c>
      <c r="C24490" s="3">
        <v>1</v>
      </c>
    </row>
    <row r="24491" spans="1:3" x14ac:dyDescent="0.25">
      <c r="A24491" s="1" t="s">
        <v>24490</v>
      </c>
      <c r="C24491" s="3">
        <v>1</v>
      </c>
    </row>
    <row r="24492" spans="1:3" x14ac:dyDescent="0.25">
      <c r="A24492" s="1" t="s">
        <v>24491</v>
      </c>
      <c r="C24492" s="3">
        <v>1</v>
      </c>
    </row>
    <row r="24493" spans="1:3" x14ac:dyDescent="0.25">
      <c r="A24493" s="1" t="s">
        <v>24492</v>
      </c>
      <c r="C24493" s="3">
        <v>1</v>
      </c>
    </row>
    <row r="24494" spans="1:3" x14ac:dyDescent="0.25">
      <c r="A24494" s="1" t="s">
        <v>24493</v>
      </c>
      <c r="C24494" s="3">
        <v>1</v>
      </c>
    </row>
    <row r="24495" spans="1:3" x14ac:dyDescent="0.25">
      <c r="A24495" s="1" t="s">
        <v>24494</v>
      </c>
      <c r="C24495" s="3">
        <v>1</v>
      </c>
    </row>
    <row r="24496" spans="1:3" x14ac:dyDescent="0.25">
      <c r="A24496" s="1" t="s">
        <v>24495</v>
      </c>
      <c r="C24496" s="3">
        <v>1</v>
      </c>
    </row>
    <row r="24497" spans="1:3" x14ac:dyDescent="0.25">
      <c r="A24497" s="1" t="s">
        <v>24496</v>
      </c>
      <c r="C24497" s="3">
        <v>1</v>
      </c>
    </row>
    <row r="24498" spans="1:3" x14ac:dyDescent="0.25">
      <c r="A24498" s="1" t="s">
        <v>24497</v>
      </c>
      <c r="C24498" s="3">
        <v>1</v>
      </c>
    </row>
    <row r="24499" spans="1:3" x14ac:dyDescent="0.25">
      <c r="A24499" s="1" t="s">
        <v>24498</v>
      </c>
      <c r="C24499" s="3">
        <v>1</v>
      </c>
    </row>
    <row r="24500" spans="1:3" x14ac:dyDescent="0.25">
      <c r="A24500" s="1" t="s">
        <v>24499</v>
      </c>
      <c r="C24500" s="3">
        <v>1</v>
      </c>
    </row>
    <row r="24501" spans="1:3" x14ac:dyDescent="0.25">
      <c r="A24501" s="1" t="s">
        <v>24500</v>
      </c>
      <c r="C24501" s="3">
        <v>1</v>
      </c>
    </row>
    <row r="24502" spans="1:3" x14ac:dyDescent="0.25">
      <c r="A24502" s="1" t="s">
        <v>24501</v>
      </c>
      <c r="C24502" s="3">
        <v>1</v>
      </c>
    </row>
    <row r="24503" spans="1:3" x14ac:dyDescent="0.25">
      <c r="A24503" s="1" t="s">
        <v>24502</v>
      </c>
      <c r="C24503" s="3">
        <v>1</v>
      </c>
    </row>
    <row r="24504" spans="1:3" x14ac:dyDescent="0.25">
      <c r="A24504" s="1" t="s">
        <v>24503</v>
      </c>
      <c r="C24504" s="3">
        <v>1</v>
      </c>
    </row>
    <row r="24505" spans="1:3" x14ac:dyDescent="0.25">
      <c r="A24505" s="1" t="s">
        <v>24504</v>
      </c>
      <c r="C24505" s="3">
        <v>1</v>
      </c>
    </row>
    <row r="24506" spans="1:3" x14ac:dyDescent="0.25">
      <c r="A24506" s="1" t="s">
        <v>24505</v>
      </c>
      <c r="C24506" s="3">
        <v>1</v>
      </c>
    </row>
    <row r="24507" spans="1:3" x14ac:dyDescent="0.25">
      <c r="A24507" s="1" t="s">
        <v>24506</v>
      </c>
      <c r="C24507" s="3">
        <v>1</v>
      </c>
    </row>
    <row r="24508" spans="1:3" x14ac:dyDescent="0.25">
      <c r="A24508" s="1" t="s">
        <v>24507</v>
      </c>
      <c r="C24508" s="3">
        <v>1</v>
      </c>
    </row>
    <row r="24509" spans="1:3" x14ac:dyDescent="0.25">
      <c r="A24509" s="1" t="s">
        <v>24508</v>
      </c>
      <c r="C24509" s="3">
        <v>1</v>
      </c>
    </row>
    <row r="24510" spans="1:3" x14ac:dyDescent="0.25">
      <c r="A24510" s="1" t="s">
        <v>24509</v>
      </c>
      <c r="C24510" s="3">
        <v>1</v>
      </c>
    </row>
    <row r="24511" spans="1:3" x14ac:dyDescent="0.25">
      <c r="A24511" s="1" t="s">
        <v>24510</v>
      </c>
      <c r="C24511" s="3">
        <v>1</v>
      </c>
    </row>
    <row r="24512" spans="1:3" x14ac:dyDescent="0.25">
      <c r="A24512" s="1" t="s">
        <v>24511</v>
      </c>
      <c r="C24512" s="3">
        <v>1</v>
      </c>
    </row>
    <row r="24513" spans="1:3" x14ac:dyDescent="0.25">
      <c r="A24513" s="1" t="s">
        <v>24512</v>
      </c>
      <c r="C24513" s="3">
        <v>1</v>
      </c>
    </row>
    <row r="24514" spans="1:3" x14ac:dyDescent="0.25">
      <c r="A24514" s="1" t="s">
        <v>24513</v>
      </c>
      <c r="C24514" s="3">
        <v>1</v>
      </c>
    </row>
    <row r="24515" spans="1:3" x14ac:dyDescent="0.25">
      <c r="A24515" s="1" t="s">
        <v>24514</v>
      </c>
      <c r="C24515" s="3">
        <v>1</v>
      </c>
    </row>
    <row r="24516" spans="1:3" x14ac:dyDescent="0.25">
      <c r="A24516" s="1" t="s">
        <v>24515</v>
      </c>
      <c r="C24516" s="3">
        <v>1</v>
      </c>
    </row>
    <row r="24517" spans="1:3" x14ac:dyDescent="0.25">
      <c r="A24517" s="1" t="s">
        <v>24516</v>
      </c>
      <c r="C24517" s="3">
        <v>1</v>
      </c>
    </row>
    <row r="24518" spans="1:3" x14ac:dyDescent="0.25">
      <c r="A24518" s="1" t="s">
        <v>24517</v>
      </c>
      <c r="C24518" s="3">
        <v>1</v>
      </c>
    </row>
    <row r="24519" spans="1:3" x14ac:dyDescent="0.25">
      <c r="A24519" s="1" t="s">
        <v>24518</v>
      </c>
      <c r="C24519" s="3">
        <v>1</v>
      </c>
    </row>
    <row r="24520" spans="1:3" x14ac:dyDescent="0.25">
      <c r="A24520" s="1" t="s">
        <v>24519</v>
      </c>
      <c r="C24520" s="3">
        <v>1</v>
      </c>
    </row>
    <row r="24521" spans="1:3" x14ac:dyDescent="0.25">
      <c r="A24521" s="1" t="s">
        <v>24520</v>
      </c>
      <c r="C24521" s="3">
        <v>1</v>
      </c>
    </row>
    <row r="24522" spans="1:3" x14ac:dyDescent="0.25">
      <c r="A24522" s="1" t="s">
        <v>24521</v>
      </c>
      <c r="C24522" s="3">
        <v>1</v>
      </c>
    </row>
    <row r="24523" spans="1:3" x14ac:dyDescent="0.25">
      <c r="A24523" s="1" t="s">
        <v>24522</v>
      </c>
      <c r="C24523" s="3">
        <v>1</v>
      </c>
    </row>
    <row r="24524" spans="1:3" x14ac:dyDescent="0.25">
      <c r="A24524" s="1" t="s">
        <v>24523</v>
      </c>
      <c r="C24524" s="3">
        <v>1</v>
      </c>
    </row>
    <row r="24525" spans="1:3" x14ac:dyDescent="0.25">
      <c r="A24525" s="1" t="s">
        <v>24524</v>
      </c>
      <c r="C24525" s="3">
        <v>1</v>
      </c>
    </row>
    <row r="24526" spans="1:3" x14ac:dyDescent="0.25">
      <c r="A24526" s="1" t="s">
        <v>24525</v>
      </c>
      <c r="C24526" s="3">
        <v>1</v>
      </c>
    </row>
    <row r="24527" spans="1:3" x14ac:dyDescent="0.25">
      <c r="A24527" s="1" t="s">
        <v>24526</v>
      </c>
      <c r="C24527" s="3">
        <v>1</v>
      </c>
    </row>
    <row r="24528" spans="1:3" x14ac:dyDescent="0.25">
      <c r="A24528" s="1" t="s">
        <v>24527</v>
      </c>
      <c r="C24528" s="3">
        <v>1</v>
      </c>
    </row>
    <row r="24529" spans="1:3" x14ac:dyDescent="0.25">
      <c r="A24529" s="1" t="s">
        <v>24528</v>
      </c>
      <c r="C24529" s="3">
        <v>1</v>
      </c>
    </row>
    <row r="24530" spans="1:3" x14ac:dyDescent="0.25">
      <c r="A24530" s="1" t="s">
        <v>24529</v>
      </c>
      <c r="C24530" s="3">
        <v>1</v>
      </c>
    </row>
    <row r="24531" spans="1:3" x14ac:dyDescent="0.25">
      <c r="A24531" s="1" t="s">
        <v>24530</v>
      </c>
      <c r="C24531" s="3">
        <v>1</v>
      </c>
    </row>
    <row r="24532" spans="1:3" x14ac:dyDescent="0.25">
      <c r="A24532" s="1" t="s">
        <v>24531</v>
      </c>
      <c r="C24532" s="3">
        <v>1</v>
      </c>
    </row>
    <row r="24533" spans="1:3" x14ac:dyDescent="0.25">
      <c r="A24533" s="1" t="s">
        <v>24532</v>
      </c>
      <c r="C24533" s="3">
        <v>1</v>
      </c>
    </row>
    <row r="24534" spans="1:3" x14ac:dyDescent="0.25">
      <c r="A24534" s="1" t="s">
        <v>24533</v>
      </c>
      <c r="C24534" s="3">
        <v>1</v>
      </c>
    </row>
    <row r="24535" spans="1:3" x14ac:dyDescent="0.25">
      <c r="A24535" s="1" t="s">
        <v>24534</v>
      </c>
      <c r="C24535" s="3">
        <v>1</v>
      </c>
    </row>
    <row r="24536" spans="1:3" x14ac:dyDescent="0.25">
      <c r="A24536" s="1" t="s">
        <v>24535</v>
      </c>
      <c r="C24536" s="3">
        <v>1</v>
      </c>
    </row>
    <row r="24537" spans="1:3" x14ac:dyDescent="0.25">
      <c r="A24537" s="1" t="s">
        <v>24536</v>
      </c>
      <c r="C24537" s="3">
        <v>1</v>
      </c>
    </row>
    <row r="24538" spans="1:3" x14ac:dyDescent="0.25">
      <c r="A24538" s="1" t="s">
        <v>24537</v>
      </c>
      <c r="C24538" s="3">
        <v>1</v>
      </c>
    </row>
    <row r="24539" spans="1:3" x14ac:dyDescent="0.25">
      <c r="A24539" s="1" t="s">
        <v>24538</v>
      </c>
      <c r="C24539" s="3">
        <v>1</v>
      </c>
    </row>
    <row r="24540" spans="1:3" x14ac:dyDescent="0.25">
      <c r="A24540" s="1" t="s">
        <v>24539</v>
      </c>
      <c r="C24540" s="3">
        <v>1</v>
      </c>
    </row>
    <row r="24541" spans="1:3" x14ac:dyDescent="0.25">
      <c r="A24541" s="1" t="s">
        <v>24540</v>
      </c>
      <c r="C24541" s="3">
        <v>1</v>
      </c>
    </row>
    <row r="24542" spans="1:3" x14ac:dyDescent="0.25">
      <c r="A24542" s="1" t="s">
        <v>24541</v>
      </c>
      <c r="C24542" s="3">
        <v>1</v>
      </c>
    </row>
    <row r="24543" spans="1:3" x14ac:dyDescent="0.25">
      <c r="A24543" s="1" t="s">
        <v>24542</v>
      </c>
      <c r="C24543" s="3">
        <v>1</v>
      </c>
    </row>
    <row r="24544" spans="1:3" x14ac:dyDescent="0.25">
      <c r="A24544" s="1" t="s">
        <v>24543</v>
      </c>
      <c r="C24544" s="3">
        <v>1</v>
      </c>
    </row>
    <row r="24545" spans="1:3" x14ac:dyDescent="0.25">
      <c r="A24545" s="1" t="s">
        <v>24544</v>
      </c>
      <c r="C24545" s="3">
        <v>1</v>
      </c>
    </row>
    <row r="24546" spans="1:3" x14ac:dyDescent="0.25">
      <c r="A24546" s="1" t="s">
        <v>24545</v>
      </c>
      <c r="C24546" s="3">
        <v>1</v>
      </c>
    </row>
    <row r="24547" spans="1:3" x14ac:dyDescent="0.25">
      <c r="A24547" s="1" t="s">
        <v>24546</v>
      </c>
      <c r="C24547" s="3">
        <v>1</v>
      </c>
    </row>
    <row r="24548" spans="1:3" x14ac:dyDescent="0.25">
      <c r="A24548" s="1" t="s">
        <v>24547</v>
      </c>
      <c r="C24548" s="3">
        <v>1</v>
      </c>
    </row>
    <row r="24549" spans="1:3" x14ac:dyDescent="0.25">
      <c r="A24549" s="1" t="s">
        <v>24548</v>
      </c>
      <c r="C24549" s="3">
        <v>1</v>
      </c>
    </row>
    <row r="24550" spans="1:3" x14ac:dyDescent="0.25">
      <c r="A24550" s="1" t="s">
        <v>24549</v>
      </c>
      <c r="C24550" s="3">
        <v>1</v>
      </c>
    </row>
    <row r="24551" spans="1:3" x14ac:dyDescent="0.25">
      <c r="A24551" s="1" t="s">
        <v>24550</v>
      </c>
      <c r="C24551" s="3">
        <v>1</v>
      </c>
    </row>
    <row r="24552" spans="1:3" x14ac:dyDescent="0.25">
      <c r="A24552" s="1" t="s">
        <v>24551</v>
      </c>
      <c r="C24552" s="3">
        <v>1</v>
      </c>
    </row>
    <row r="24553" spans="1:3" x14ac:dyDescent="0.25">
      <c r="A24553" s="1" t="s">
        <v>24552</v>
      </c>
      <c r="C24553" s="3">
        <v>1</v>
      </c>
    </row>
    <row r="24554" spans="1:3" x14ac:dyDescent="0.25">
      <c r="A24554" s="1" t="s">
        <v>24553</v>
      </c>
      <c r="C24554" s="3">
        <v>1</v>
      </c>
    </row>
    <row r="24555" spans="1:3" x14ac:dyDescent="0.25">
      <c r="A24555" s="1" t="s">
        <v>24554</v>
      </c>
      <c r="C24555" s="3">
        <v>1</v>
      </c>
    </row>
    <row r="24556" spans="1:3" x14ac:dyDescent="0.25">
      <c r="A24556" s="1" t="s">
        <v>24555</v>
      </c>
      <c r="C24556" s="3">
        <v>1</v>
      </c>
    </row>
    <row r="24557" spans="1:3" x14ac:dyDescent="0.25">
      <c r="A24557" s="1" t="s">
        <v>24556</v>
      </c>
      <c r="C24557" s="3">
        <v>1</v>
      </c>
    </row>
    <row r="24558" spans="1:3" x14ac:dyDescent="0.25">
      <c r="A24558" s="1" t="s">
        <v>24557</v>
      </c>
      <c r="C24558" s="3">
        <v>1</v>
      </c>
    </row>
    <row r="24559" spans="1:3" x14ac:dyDescent="0.25">
      <c r="A24559" s="1" t="s">
        <v>24558</v>
      </c>
      <c r="C24559" s="3">
        <v>1</v>
      </c>
    </row>
    <row r="24560" spans="1:3" x14ac:dyDescent="0.25">
      <c r="A24560" s="1" t="s">
        <v>24559</v>
      </c>
      <c r="C24560" s="3">
        <v>1</v>
      </c>
    </row>
    <row r="24561" spans="1:3" x14ac:dyDescent="0.25">
      <c r="A24561" s="1" t="s">
        <v>24560</v>
      </c>
      <c r="C24561" s="3">
        <v>1</v>
      </c>
    </row>
    <row r="24562" spans="1:3" x14ac:dyDescent="0.25">
      <c r="A24562" s="1" t="s">
        <v>24561</v>
      </c>
      <c r="C24562" s="3">
        <v>1</v>
      </c>
    </row>
    <row r="24563" spans="1:3" x14ac:dyDescent="0.25">
      <c r="A24563" s="1" t="s">
        <v>24562</v>
      </c>
      <c r="C24563" s="3">
        <v>1</v>
      </c>
    </row>
    <row r="24564" spans="1:3" x14ac:dyDescent="0.25">
      <c r="A24564" s="1" t="s">
        <v>24563</v>
      </c>
      <c r="C24564" s="3">
        <v>1</v>
      </c>
    </row>
    <row r="24565" spans="1:3" x14ac:dyDescent="0.25">
      <c r="A24565" s="1" t="s">
        <v>24564</v>
      </c>
      <c r="C24565" s="3">
        <v>1</v>
      </c>
    </row>
    <row r="24566" spans="1:3" x14ac:dyDescent="0.25">
      <c r="A24566" s="1" t="s">
        <v>24565</v>
      </c>
      <c r="C24566" s="3">
        <v>1</v>
      </c>
    </row>
    <row r="24567" spans="1:3" x14ac:dyDescent="0.25">
      <c r="A24567" s="1" t="s">
        <v>24566</v>
      </c>
      <c r="C24567" s="3">
        <v>1</v>
      </c>
    </row>
    <row r="24568" spans="1:3" x14ac:dyDescent="0.25">
      <c r="A24568" s="1" t="s">
        <v>24567</v>
      </c>
      <c r="C24568" s="3">
        <v>1</v>
      </c>
    </row>
    <row r="24569" spans="1:3" x14ac:dyDescent="0.25">
      <c r="A24569" s="1" t="s">
        <v>24568</v>
      </c>
      <c r="C24569" s="3">
        <v>1</v>
      </c>
    </row>
    <row r="24570" spans="1:3" x14ac:dyDescent="0.25">
      <c r="A24570" s="1" t="s">
        <v>24569</v>
      </c>
      <c r="C24570" s="3">
        <v>1</v>
      </c>
    </row>
    <row r="24571" spans="1:3" x14ac:dyDescent="0.25">
      <c r="A24571" s="1" t="s">
        <v>24570</v>
      </c>
      <c r="C24571" s="3">
        <v>1</v>
      </c>
    </row>
    <row r="24572" spans="1:3" x14ac:dyDescent="0.25">
      <c r="A24572" s="1" t="s">
        <v>24571</v>
      </c>
      <c r="C24572" s="3">
        <v>1</v>
      </c>
    </row>
    <row r="24573" spans="1:3" x14ac:dyDescent="0.25">
      <c r="A24573" s="1" t="s">
        <v>24572</v>
      </c>
      <c r="C24573" s="3">
        <v>1</v>
      </c>
    </row>
    <row r="24574" spans="1:3" x14ac:dyDescent="0.25">
      <c r="A24574" s="1" t="s">
        <v>24573</v>
      </c>
      <c r="C24574" s="3">
        <v>1</v>
      </c>
    </row>
    <row r="24575" spans="1:3" x14ac:dyDescent="0.25">
      <c r="A24575" s="1" t="s">
        <v>24574</v>
      </c>
      <c r="C24575" s="3">
        <v>1</v>
      </c>
    </row>
    <row r="24576" spans="1:3" x14ac:dyDescent="0.25">
      <c r="A24576" s="1" t="s">
        <v>24575</v>
      </c>
      <c r="C24576" s="3">
        <v>1</v>
      </c>
    </row>
    <row r="24577" spans="1:3" x14ac:dyDescent="0.25">
      <c r="A24577" s="1" t="s">
        <v>24576</v>
      </c>
      <c r="C24577" s="3">
        <v>1</v>
      </c>
    </row>
    <row r="24578" spans="1:3" x14ac:dyDescent="0.25">
      <c r="A24578" s="1" t="s">
        <v>24577</v>
      </c>
      <c r="C24578" s="3">
        <v>1</v>
      </c>
    </row>
    <row r="24579" spans="1:3" x14ac:dyDescent="0.25">
      <c r="A24579" s="1" t="s">
        <v>24578</v>
      </c>
      <c r="C24579" s="3">
        <v>1</v>
      </c>
    </row>
    <row r="24580" spans="1:3" x14ac:dyDescent="0.25">
      <c r="A24580" s="1" t="s">
        <v>24579</v>
      </c>
      <c r="C24580" s="3">
        <v>1</v>
      </c>
    </row>
    <row r="24581" spans="1:3" x14ac:dyDescent="0.25">
      <c r="A24581" s="1" t="s">
        <v>24580</v>
      </c>
      <c r="C24581" s="3">
        <v>1</v>
      </c>
    </row>
    <row r="24582" spans="1:3" x14ac:dyDescent="0.25">
      <c r="A24582" s="1" t="s">
        <v>24581</v>
      </c>
      <c r="C24582" s="3">
        <v>1</v>
      </c>
    </row>
    <row r="24583" spans="1:3" x14ac:dyDescent="0.25">
      <c r="A24583" s="1" t="s">
        <v>24582</v>
      </c>
      <c r="C24583" s="3">
        <v>1</v>
      </c>
    </row>
    <row r="24584" spans="1:3" x14ac:dyDescent="0.25">
      <c r="A24584" s="1" t="s">
        <v>24583</v>
      </c>
      <c r="C24584" s="3">
        <v>1</v>
      </c>
    </row>
    <row r="24585" spans="1:3" x14ac:dyDescent="0.25">
      <c r="A24585" s="1" t="s">
        <v>24584</v>
      </c>
      <c r="C24585" s="3">
        <v>1</v>
      </c>
    </row>
    <row r="24586" spans="1:3" x14ac:dyDescent="0.25">
      <c r="A24586" s="1" t="s">
        <v>24585</v>
      </c>
      <c r="C24586" s="3">
        <v>1</v>
      </c>
    </row>
    <row r="24587" spans="1:3" x14ac:dyDescent="0.25">
      <c r="A24587" s="1" t="s">
        <v>24586</v>
      </c>
      <c r="C24587" s="3">
        <v>1</v>
      </c>
    </row>
    <row r="24588" spans="1:3" x14ac:dyDescent="0.25">
      <c r="A24588" s="1" t="s">
        <v>24587</v>
      </c>
      <c r="C24588" s="3">
        <v>1</v>
      </c>
    </row>
    <row r="24589" spans="1:3" x14ac:dyDescent="0.25">
      <c r="A24589" s="1" t="s">
        <v>24588</v>
      </c>
      <c r="C24589" s="3">
        <v>1</v>
      </c>
    </row>
    <row r="24590" spans="1:3" x14ac:dyDescent="0.25">
      <c r="A24590" s="1" t="s">
        <v>24589</v>
      </c>
      <c r="C24590" s="3">
        <v>1</v>
      </c>
    </row>
    <row r="24591" spans="1:3" x14ac:dyDescent="0.25">
      <c r="A24591" s="1" t="s">
        <v>24590</v>
      </c>
      <c r="C24591" s="3">
        <v>1</v>
      </c>
    </row>
    <row r="24592" spans="1:3" x14ac:dyDescent="0.25">
      <c r="A24592" s="1" t="s">
        <v>24591</v>
      </c>
      <c r="C24592" s="3">
        <v>1</v>
      </c>
    </row>
    <row r="24593" spans="1:3" x14ac:dyDescent="0.25">
      <c r="A24593" s="1" t="s">
        <v>24592</v>
      </c>
      <c r="C24593" s="3">
        <v>1</v>
      </c>
    </row>
    <row r="24594" spans="1:3" x14ac:dyDescent="0.25">
      <c r="A24594" s="1" t="s">
        <v>24593</v>
      </c>
      <c r="C24594" s="3">
        <v>1</v>
      </c>
    </row>
    <row r="24595" spans="1:3" x14ac:dyDescent="0.25">
      <c r="A24595" s="1" t="s">
        <v>24594</v>
      </c>
      <c r="C24595" s="3">
        <v>1</v>
      </c>
    </row>
    <row r="24596" spans="1:3" x14ac:dyDescent="0.25">
      <c r="A24596" s="1" t="s">
        <v>24595</v>
      </c>
      <c r="C24596" s="3">
        <v>1</v>
      </c>
    </row>
    <row r="24597" spans="1:3" x14ac:dyDescent="0.25">
      <c r="A24597" s="1" t="s">
        <v>24596</v>
      </c>
      <c r="C24597" s="3">
        <v>1</v>
      </c>
    </row>
    <row r="24598" spans="1:3" x14ac:dyDescent="0.25">
      <c r="A24598" s="1" t="s">
        <v>24597</v>
      </c>
      <c r="C24598" s="3">
        <v>1</v>
      </c>
    </row>
    <row r="24599" spans="1:3" x14ac:dyDescent="0.25">
      <c r="A24599" s="1" t="s">
        <v>24598</v>
      </c>
      <c r="C24599" s="3">
        <v>1</v>
      </c>
    </row>
    <row r="24600" spans="1:3" x14ac:dyDescent="0.25">
      <c r="A24600" s="1" t="s">
        <v>24599</v>
      </c>
      <c r="C24600" s="3">
        <v>1</v>
      </c>
    </row>
    <row r="24601" spans="1:3" x14ac:dyDescent="0.25">
      <c r="A24601" s="1" t="s">
        <v>24600</v>
      </c>
      <c r="C24601" s="3">
        <v>1</v>
      </c>
    </row>
    <row r="24602" spans="1:3" x14ac:dyDescent="0.25">
      <c r="A24602" s="1" t="s">
        <v>24601</v>
      </c>
      <c r="C24602" s="3">
        <v>1</v>
      </c>
    </row>
    <row r="24603" spans="1:3" x14ac:dyDescent="0.25">
      <c r="A24603" s="1" t="s">
        <v>24602</v>
      </c>
      <c r="C24603" s="3">
        <v>1</v>
      </c>
    </row>
    <row r="24604" spans="1:3" x14ac:dyDescent="0.25">
      <c r="A24604" s="1" t="s">
        <v>24603</v>
      </c>
      <c r="C24604" s="3">
        <v>1</v>
      </c>
    </row>
    <row r="24605" spans="1:3" x14ac:dyDescent="0.25">
      <c r="A24605" s="1" t="s">
        <v>24604</v>
      </c>
      <c r="C24605" s="3">
        <v>1</v>
      </c>
    </row>
    <row r="24606" spans="1:3" x14ac:dyDescent="0.25">
      <c r="A24606" s="1" t="s">
        <v>24605</v>
      </c>
      <c r="C24606" s="3">
        <v>1</v>
      </c>
    </row>
    <row r="24607" spans="1:3" x14ac:dyDescent="0.25">
      <c r="A24607" s="1" t="s">
        <v>24606</v>
      </c>
      <c r="C24607" s="3">
        <v>1</v>
      </c>
    </row>
    <row r="24608" spans="1:3" x14ac:dyDescent="0.25">
      <c r="A24608" s="1" t="s">
        <v>24607</v>
      </c>
      <c r="C24608" s="3">
        <v>1</v>
      </c>
    </row>
    <row r="24609" spans="1:3" x14ac:dyDescent="0.25">
      <c r="A24609" s="1" t="s">
        <v>24608</v>
      </c>
      <c r="C24609" s="3">
        <v>1</v>
      </c>
    </row>
    <row r="24610" spans="1:3" x14ac:dyDescent="0.25">
      <c r="A24610" s="1" t="s">
        <v>24609</v>
      </c>
      <c r="C24610" s="3">
        <v>1</v>
      </c>
    </row>
    <row r="24611" spans="1:3" x14ac:dyDescent="0.25">
      <c r="A24611" s="1" t="s">
        <v>24610</v>
      </c>
      <c r="C24611" s="3">
        <v>1</v>
      </c>
    </row>
    <row r="24612" spans="1:3" x14ac:dyDescent="0.25">
      <c r="A24612" s="1" t="s">
        <v>24611</v>
      </c>
      <c r="C24612" s="3">
        <v>1</v>
      </c>
    </row>
    <row r="24613" spans="1:3" x14ac:dyDescent="0.25">
      <c r="A24613" s="1" t="s">
        <v>24612</v>
      </c>
      <c r="C24613" s="3">
        <v>1</v>
      </c>
    </row>
    <row r="24614" spans="1:3" x14ac:dyDescent="0.25">
      <c r="A24614" s="1" t="s">
        <v>24613</v>
      </c>
      <c r="C24614" s="3">
        <v>1</v>
      </c>
    </row>
    <row r="24615" spans="1:3" x14ac:dyDescent="0.25">
      <c r="A24615" s="1" t="s">
        <v>24614</v>
      </c>
      <c r="C24615" s="3">
        <v>1</v>
      </c>
    </row>
    <row r="24616" spans="1:3" x14ac:dyDescent="0.25">
      <c r="A24616" s="1" t="s">
        <v>24615</v>
      </c>
      <c r="C24616" s="3">
        <v>1</v>
      </c>
    </row>
    <row r="24617" spans="1:3" x14ac:dyDescent="0.25">
      <c r="A24617" s="1" t="s">
        <v>24616</v>
      </c>
      <c r="C24617" s="3">
        <v>1</v>
      </c>
    </row>
    <row r="24618" spans="1:3" x14ac:dyDescent="0.25">
      <c r="A24618" s="1" t="s">
        <v>24617</v>
      </c>
      <c r="C24618" s="3">
        <v>1</v>
      </c>
    </row>
    <row r="24619" spans="1:3" x14ac:dyDescent="0.25">
      <c r="A24619" s="1" t="s">
        <v>24618</v>
      </c>
      <c r="C24619" s="3">
        <v>1</v>
      </c>
    </row>
    <row r="24620" spans="1:3" x14ac:dyDescent="0.25">
      <c r="A24620" s="1" t="s">
        <v>24619</v>
      </c>
      <c r="C24620" s="3">
        <v>1</v>
      </c>
    </row>
    <row r="24621" spans="1:3" x14ac:dyDescent="0.25">
      <c r="A24621" s="1" t="s">
        <v>24620</v>
      </c>
      <c r="C24621" s="3">
        <v>1</v>
      </c>
    </row>
    <row r="24622" spans="1:3" x14ac:dyDescent="0.25">
      <c r="A24622" s="1" t="s">
        <v>24621</v>
      </c>
      <c r="C24622" s="3">
        <v>1</v>
      </c>
    </row>
    <row r="24623" spans="1:3" x14ac:dyDescent="0.25">
      <c r="A24623" s="1" t="s">
        <v>24622</v>
      </c>
      <c r="C24623" s="3">
        <v>1</v>
      </c>
    </row>
    <row r="24624" spans="1:3" x14ac:dyDescent="0.25">
      <c r="A24624" s="1" t="s">
        <v>24623</v>
      </c>
      <c r="C24624" s="3">
        <v>1</v>
      </c>
    </row>
    <row r="24625" spans="1:3" x14ac:dyDescent="0.25">
      <c r="A24625" s="1" t="s">
        <v>24624</v>
      </c>
      <c r="C24625" s="3">
        <v>1</v>
      </c>
    </row>
    <row r="24626" spans="1:3" x14ac:dyDescent="0.25">
      <c r="A24626" s="1" t="s">
        <v>24625</v>
      </c>
      <c r="C24626" s="3">
        <v>1</v>
      </c>
    </row>
    <row r="24627" spans="1:3" x14ac:dyDescent="0.25">
      <c r="A24627" s="1" t="s">
        <v>24626</v>
      </c>
      <c r="C24627" s="3">
        <v>1</v>
      </c>
    </row>
    <row r="24628" spans="1:3" x14ac:dyDescent="0.25">
      <c r="A24628" s="1" t="s">
        <v>24627</v>
      </c>
      <c r="C24628" s="3">
        <v>1</v>
      </c>
    </row>
    <row r="24629" spans="1:3" x14ac:dyDescent="0.25">
      <c r="A24629" s="1" t="s">
        <v>24628</v>
      </c>
      <c r="C24629" s="3">
        <v>1</v>
      </c>
    </row>
    <row r="24630" spans="1:3" x14ac:dyDescent="0.25">
      <c r="A24630" s="1" t="s">
        <v>24629</v>
      </c>
      <c r="C24630" s="3">
        <v>1</v>
      </c>
    </row>
    <row r="24631" spans="1:3" x14ac:dyDescent="0.25">
      <c r="A24631" s="1" t="s">
        <v>24630</v>
      </c>
      <c r="C24631" s="3">
        <v>1</v>
      </c>
    </row>
    <row r="24632" spans="1:3" x14ac:dyDescent="0.25">
      <c r="A24632" s="1" t="s">
        <v>24631</v>
      </c>
      <c r="C24632" s="3">
        <v>1</v>
      </c>
    </row>
    <row r="24633" spans="1:3" x14ac:dyDescent="0.25">
      <c r="A24633" s="1" t="s">
        <v>24632</v>
      </c>
      <c r="C24633" s="3">
        <v>1</v>
      </c>
    </row>
    <row r="24634" spans="1:3" x14ac:dyDescent="0.25">
      <c r="A24634" s="1" t="s">
        <v>24633</v>
      </c>
      <c r="C24634" s="3">
        <v>1</v>
      </c>
    </row>
    <row r="24635" spans="1:3" x14ac:dyDescent="0.25">
      <c r="A24635" s="1" t="s">
        <v>24634</v>
      </c>
      <c r="C24635" s="3">
        <v>1</v>
      </c>
    </row>
    <row r="24636" spans="1:3" x14ac:dyDescent="0.25">
      <c r="A24636" s="1" t="s">
        <v>24635</v>
      </c>
      <c r="C24636" s="3">
        <v>1</v>
      </c>
    </row>
    <row r="24637" spans="1:3" x14ac:dyDescent="0.25">
      <c r="A24637" s="1" t="s">
        <v>24636</v>
      </c>
      <c r="C24637" s="3">
        <v>1</v>
      </c>
    </row>
    <row r="24638" spans="1:3" x14ac:dyDescent="0.25">
      <c r="A24638" s="1" t="s">
        <v>24637</v>
      </c>
      <c r="C24638" s="3">
        <v>1</v>
      </c>
    </row>
    <row r="24639" spans="1:3" x14ac:dyDescent="0.25">
      <c r="A24639" s="1" t="s">
        <v>24638</v>
      </c>
      <c r="C24639" s="3">
        <v>1</v>
      </c>
    </row>
    <row r="24640" spans="1:3" x14ac:dyDescent="0.25">
      <c r="A24640" s="1" t="s">
        <v>24639</v>
      </c>
      <c r="C24640" s="3">
        <v>1</v>
      </c>
    </row>
    <row r="24641" spans="1:3" x14ac:dyDescent="0.25">
      <c r="A24641" s="1" t="s">
        <v>24640</v>
      </c>
      <c r="C24641" s="3">
        <v>1</v>
      </c>
    </row>
    <row r="24642" spans="1:3" x14ac:dyDescent="0.25">
      <c r="A24642" s="1" t="s">
        <v>24641</v>
      </c>
      <c r="C24642" s="3">
        <v>1</v>
      </c>
    </row>
    <row r="24643" spans="1:3" x14ac:dyDescent="0.25">
      <c r="A24643" s="1" t="s">
        <v>24642</v>
      </c>
      <c r="C24643" s="3">
        <v>1</v>
      </c>
    </row>
    <row r="24644" spans="1:3" x14ac:dyDescent="0.25">
      <c r="A24644" s="1" t="s">
        <v>24643</v>
      </c>
      <c r="C24644" s="3">
        <v>1</v>
      </c>
    </row>
    <row r="24645" spans="1:3" x14ac:dyDescent="0.25">
      <c r="A24645" s="1" t="s">
        <v>24644</v>
      </c>
      <c r="C24645" s="3">
        <v>1</v>
      </c>
    </row>
    <row r="24646" spans="1:3" x14ac:dyDescent="0.25">
      <c r="A24646" s="1" t="s">
        <v>24645</v>
      </c>
      <c r="C24646" s="3">
        <v>1</v>
      </c>
    </row>
    <row r="24647" spans="1:3" x14ac:dyDescent="0.25">
      <c r="A24647" s="1" t="s">
        <v>24646</v>
      </c>
      <c r="C24647" s="3">
        <v>1</v>
      </c>
    </row>
    <row r="24648" spans="1:3" x14ac:dyDescent="0.25">
      <c r="A24648" s="1" t="s">
        <v>24647</v>
      </c>
      <c r="C24648" s="3">
        <v>1</v>
      </c>
    </row>
    <row r="24649" spans="1:3" x14ac:dyDescent="0.25">
      <c r="A24649" s="1" t="s">
        <v>24648</v>
      </c>
      <c r="C24649" s="3">
        <v>1</v>
      </c>
    </row>
    <row r="24650" spans="1:3" x14ac:dyDescent="0.25">
      <c r="A24650" s="1" t="s">
        <v>24649</v>
      </c>
      <c r="C24650" s="3">
        <v>1</v>
      </c>
    </row>
    <row r="24651" spans="1:3" x14ac:dyDescent="0.25">
      <c r="A24651" s="1" t="s">
        <v>24650</v>
      </c>
      <c r="C24651" s="3">
        <v>1</v>
      </c>
    </row>
    <row r="24652" spans="1:3" x14ac:dyDescent="0.25">
      <c r="A24652" s="1" t="s">
        <v>24651</v>
      </c>
      <c r="C24652" s="3">
        <v>1</v>
      </c>
    </row>
    <row r="24653" spans="1:3" x14ac:dyDescent="0.25">
      <c r="A24653" s="1" t="s">
        <v>24652</v>
      </c>
      <c r="C24653" s="3">
        <v>1</v>
      </c>
    </row>
    <row r="24654" spans="1:3" x14ac:dyDescent="0.25">
      <c r="A24654" s="1" t="s">
        <v>24653</v>
      </c>
      <c r="C24654" s="3">
        <v>1</v>
      </c>
    </row>
    <row r="24655" spans="1:3" x14ac:dyDescent="0.25">
      <c r="A24655" s="1" t="s">
        <v>24654</v>
      </c>
      <c r="C24655" s="3">
        <v>1</v>
      </c>
    </row>
    <row r="24656" spans="1:3" x14ac:dyDescent="0.25">
      <c r="A24656" s="1" t="s">
        <v>24655</v>
      </c>
      <c r="C24656" s="3">
        <v>1</v>
      </c>
    </row>
    <row r="24657" spans="1:3" x14ac:dyDescent="0.25">
      <c r="A24657" s="1" t="s">
        <v>24656</v>
      </c>
      <c r="C24657" s="3">
        <v>1</v>
      </c>
    </row>
    <row r="24658" spans="1:3" x14ac:dyDescent="0.25">
      <c r="A24658" s="1" t="s">
        <v>24657</v>
      </c>
      <c r="C24658" s="3">
        <v>1</v>
      </c>
    </row>
    <row r="24659" spans="1:3" x14ac:dyDescent="0.25">
      <c r="A24659" s="1" t="s">
        <v>24658</v>
      </c>
      <c r="C24659" s="3">
        <v>1</v>
      </c>
    </row>
    <row r="24660" spans="1:3" x14ac:dyDescent="0.25">
      <c r="A24660" s="1" t="s">
        <v>24659</v>
      </c>
      <c r="C24660" s="3">
        <v>1</v>
      </c>
    </row>
    <row r="24661" spans="1:3" x14ac:dyDescent="0.25">
      <c r="A24661" s="1" t="s">
        <v>24660</v>
      </c>
      <c r="C24661" s="3">
        <v>1</v>
      </c>
    </row>
    <row r="24662" spans="1:3" x14ac:dyDescent="0.25">
      <c r="A24662" s="1" t="s">
        <v>24661</v>
      </c>
      <c r="C24662" s="3">
        <v>1</v>
      </c>
    </row>
    <row r="24663" spans="1:3" x14ac:dyDescent="0.25">
      <c r="A24663" s="1" t="s">
        <v>24662</v>
      </c>
      <c r="C24663" s="3">
        <v>1</v>
      </c>
    </row>
    <row r="24664" spans="1:3" x14ac:dyDescent="0.25">
      <c r="A24664" s="1" t="s">
        <v>24663</v>
      </c>
      <c r="C24664" s="3">
        <v>1</v>
      </c>
    </row>
    <row r="24665" spans="1:3" x14ac:dyDescent="0.25">
      <c r="A24665" s="1" t="s">
        <v>24664</v>
      </c>
      <c r="C24665" s="3">
        <v>1</v>
      </c>
    </row>
    <row r="24666" spans="1:3" x14ac:dyDescent="0.25">
      <c r="A24666" s="1" t="s">
        <v>24665</v>
      </c>
      <c r="C24666" s="3">
        <v>1</v>
      </c>
    </row>
    <row r="24667" spans="1:3" x14ac:dyDescent="0.25">
      <c r="A24667" s="1" t="s">
        <v>24666</v>
      </c>
      <c r="C24667" s="3">
        <v>1</v>
      </c>
    </row>
    <row r="24668" spans="1:3" x14ac:dyDescent="0.25">
      <c r="A24668" s="1" t="s">
        <v>24667</v>
      </c>
      <c r="C24668" s="3">
        <v>1</v>
      </c>
    </row>
    <row r="24669" spans="1:3" x14ac:dyDescent="0.25">
      <c r="A24669" s="1" t="s">
        <v>24668</v>
      </c>
      <c r="C24669" s="3">
        <v>1</v>
      </c>
    </row>
    <row r="24670" spans="1:3" x14ac:dyDescent="0.25">
      <c r="A24670" s="1" t="s">
        <v>24669</v>
      </c>
      <c r="C24670" s="3">
        <v>1</v>
      </c>
    </row>
    <row r="24671" spans="1:3" x14ac:dyDescent="0.25">
      <c r="A24671" s="1" t="s">
        <v>24670</v>
      </c>
      <c r="C24671" s="3">
        <v>1</v>
      </c>
    </row>
    <row r="24672" spans="1:3" x14ac:dyDescent="0.25">
      <c r="A24672" s="1" t="s">
        <v>24671</v>
      </c>
      <c r="C24672" s="3">
        <v>1</v>
      </c>
    </row>
    <row r="24673" spans="1:3" x14ac:dyDescent="0.25">
      <c r="A24673" s="1" t="s">
        <v>24672</v>
      </c>
      <c r="C24673" s="3">
        <v>1</v>
      </c>
    </row>
    <row r="24674" spans="1:3" x14ac:dyDescent="0.25">
      <c r="A24674" s="1" t="s">
        <v>24673</v>
      </c>
      <c r="C24674" s="3">
        <v>1</v>
      </c>
    </row>
    <row r="24675" spans="1:3" x14ac:dyDescent="0.25">
      <c r="A24675" s="1" t="s">
        <v>24674</v>
      </c>
      <c r="C24675" s="3">
        <v>1</v>
      </c>
    </row>
    <row r="24676" spans="1:3" x14ac:dyDescent="0.25">
      <c r="A24676" s="1" t="s">
        <v>24675</v>
      </c>
      <c r="C24676" s="3">
        <v>1</v>
      </c>
    </row>
    <row r="24677" spans="1:3" x14ac:dyDescent="0.25">
      <c r="A24677" s="1" t="s">
        <v>24676</v>
      </c>
      <c r="C24677" s="3">
        <v>1</v>
      </c>
    </row>
    <row r="24678" spans="1:3" x14ac:dyDescent="0.25">
      <c r="A24678" s="1" t="s">
        <v>24677</v>
      </c>
      <c r="C24678" s="3">
        <v>1</v>
      </c>
    </row>
    <row r="24679" spans="1:3" x14ac:dyDescent="0.25">
      <c r="A24679" s="1" t="s">
        <v>24678</v>
      </c>
      <c r="C24679" s="3">
        <v>1</v>
      </c>
    </row>
    <row r="24680" spans="1:3" x14ac:dyDescent="0.25">
      <c r="A24680" s="1" t="s">
        <v>24679</v>
      </c>
      <c r="C24680" s="3">
        <v>1</v>
      </c>
    </row>
    <row r="24681" spans="1:3" x14ac:dyDescent="0.25">
      <c r="A24681" s="1" t="s">
        <v>24680</v>
      </c>
      <c r="C24681" s="3">
        <v>1</v>
      </c>
    </row>
    <row r="24682" spans="1:3" x14ac:dyDescent="0.25">
      <c r="A24682" s="1" t="s">
        <v>24681</v>
      </c>
      <c r="C24682" s="3">
        <v>1</v>
      </c>
    </row>
    <row r="24683" spans="1:3" x14ac:dyDescent="0.25">
      <c r="A24683" s="1" t="s">
        <v>24682</v>
      </c>
      <c r="C24683" s="3">
        <v>1</v>
      </c>
    </row>
    <row r="24684" spans="1:3" x14ac:dyDescent="0.25">
      <c r="A24684" s="1" t="s">
        <v>24683</v>
      </c>
      <c r="C24684" s="3">
        <v>1</v>
      </c>
    </row>
    <row r="24685" spans="1:3" x14ac:dyDescent="0.25">
      <c r="A24685" s="1" t="s">
        <v>24684</v>
      </c>
      <c r="C24685" s="3">
        <v>1</v>
      </c>
    </row>
    <row r="24686" spans="1:3" x14ac:dyDescent="0.25">
      <c r="A24686" s="1" t="s">
        <v>24685</v>
      </c>
      <c r="C24686" s="3">
        <v>1</v>
      </c>
    </row>
    <row r="24687" spans="1:3" x14ac:dyDescent="0.25">
      <c r="A24687" s="1" t="s">
        <v>24686</v>
      </c>
      <c r="C24687" s="3">
        <v>1</v>
      </c>
    </row>
    <row r="24688" spans="1:3" x14ac:dyDescent="0.25">
      <c r="A24688" s="1" t="s">
        <v>24687</v>
      </c>
      <c r="C24688" s="3">
        <v>1</v>
      </c>
    </row>
    <row r="24689" spans="1:3" x14ac:dyDescent="0.25">
      <c r="A24689" s="1" t="s">
        <v>24688</v>
      </c>
      <c r="C24689" s="3">
        <v>1</v>
      </c>
    </row>
    <row r="24690" spans="1:3" x14ac:dyDescent="0.25">
      <c r="A24690" s="1" t="s">
        <v>24689</v>
      </c>
      <c r="C24690" s="3">
        <v>1</v>
      </c>
    </row>
    <row r="24691" spans="1:3" x14ac:dyDescent="0.25">
      <c r="A24691" s="1" t="s">
        <v>24690</v>
      </c>
      <c r="C24691" s="3">
        <v>1</v>
      </c>
    </row>
    <row r="24692" spans="1:3" x14ac:dyDescent="0.25">
      <c r="A24692" s="1" t="s">
        <v>24691</v>
      </c>
      <c r="C24692" s="3">
        <v>1</v>
      </c>
    </row>
    <row r="24693" spans="1:3" x14ac:dyDescent="0.25">
      <c r="A24693" s="1" t="s">
        <v>24692</v>
      </c>
      <c r="C24693" s="3">
        <v>1</v>
      </c>
    </row>
    <row r="24694" spans="1:3" x14ac:dyDescent="0.25">
      <c r="A24694" s="1" t="s">
        <v>24693</v>
      </c>
      <c r="C24694" s="3">
        <v>1</v>
      </c>
    </row>
    <row r="24695" spans="1:3" x14ac:dyDescent="0.25">
      <c r="A24695" s="1" t="s">
        <v>24694</v>
      </c>
      <c r="C24695" s="3">
        <v>1</v>
      </c>
    </row>
    <row r="24696" spans="1:3" x14ac:dyDescent="0.25">
      <c r="A24696" s="1" t="s">
        <v>24695</v>
      </c>
      <c r="C24696" s="3">
        <v>1</v>
      </c>
    </row>
    <row r="24697" spans="1:3" x14ac:dyDescent="0.25">
      <c r="A24697" s="1" t="s">
        <v>24696</v>
      </c>
      <c r="C24697" s="3">
        <v>1</v>
      </c>
    </row>
    <row r="24698" spans="1:3" x14ac:dyDescent="0.25">
      <c r="A24698" s="1" t="s">
        <v>24697</v>
      </c>
      <c r="C24698" s="3">
        <v>1</v>
      </c>
    </row>
    <row r="24699" spans="1:3" x14ac:dyDescent="0.25">
      <c r="A24699" s="1" t="s">
        <v>24698</v>
      </c>
      <c r="C24699" s="3">
        <v>1</v>
      </c>
    </row>
    <row r="24700" spans="1:3" x14ac:dyDescent="0.25">
      <c r="A24700" s="1" t="s">
        <v>24699</v>
      </c>
      <c r="C24700" s="3">
        <v>1</v>
      </c>
    </row>
    <row r="24701" spans="1:3" x14ac:dyDescent="0.25">
      <c r="A24701" s="1" t="s">
        <v>24700</v>
      </c>
      <c r="C24701" s="3">
        <v>1</v>
      </c>
    </row>
    <row r="24702" spans="1:3" x14ac:dyDescent="0.25">
      <c r="A24702" s="1" t="s">
        <v>24701</v>
      </c>
      <c r="C24702" s="3">
        <v>1</v>
      </c>
    </row>
    <row r="24703" spans="1:3" x14ac:dyDescent="0.25">
      <c r="A24703" s="1" t="s">
        <v>24702</v>
      </c>
      <c r="C24703" s="3">
        <v>1</v>
      </c>
    </row>
    <row r="24704" spans="1:3" x14ac:dyDescent="0.25">
      <c r="A24704" s="1" t="s">
        <v>24703</v>
      </c>
      <c r="C24704" s="3">
        <v>1</v>
      </c>
    </row>
    <row r="24705" spans="1:3" x14ac:dyDescent="0.25">
      <c r="A24705" s="1" t="s">
        <v>24704</v>
      </c>
      <c r="C24705" s="3">
        <v>1</v>
      </c>
    </row>
    <row r="24706" spans="1:3" x14ac:dyDescent="0.25">
      <c r="A24706" s="1" t="s">
        <v>24705</v>
      </c>
      <c r="C24706" s="3">
        <v>1</v>
      </c>
    </row>
    <row r="24707" spans="1:3" x14ac:dyDescent="0.25">
      <c r="A24707" s="1" t="s">
        <v>24706</v>
      </c>
      <c r="C24707" s="3">
        <v>1</v>
      </c>
    </row>
    <row r="24708" spans="1:3" x14ac:dyDescent="0.25">
      <c r="A24708" s="1" t="s">
        <v>24707</v>
      </c>
      <c r="C24708" s="3">
        <v>1</v>
      </c>
    </row>
    <row r="24709" spans="1:3" x14ac:dyDescent="0.25">
      <c r="A24709" s="1" t="s">
        <v>24708</v>
      </c>
      <c r="C24709" s="3">
        <v>1</v>
      </c>
    </row>
    <row r="24710" spans="1:3" x14ac:dyDescent="0.25">
      <c r="A24710" s="1" t="s">
        <v>24709</v>
      </c>
      <c r="C24710" s="3">
        <v>1</v>
      </c>
    </row>
    <row r="24711" spans="1:3" x14ac:dyDescent="0.25">
      <c r="A24711" s="1" t="s">
        <v>24710</v>
      </c>
      <c r="C24711" s="3">
        <v>1</v>
      </c>
    </row>
    <row r="24712" spans="1:3" x14ac:dyDescent="0.25">
      <c r="A24712" s="1" t="s">
        <v>24711</v>
      </c>
      <c r="C24712" s="3">
        <v>1</v>
      </c>
    </row>
    <row r="24713" spans="1:3" x14ac:dyDescent="0.25">
      <c r="A24713" s="1" t="s">
        <v>24712</v>
      </c>
      <c r="C24713" s="3">
        <v>1</v>
      </c>
    </row>
    <row r="24714" spans="1:3" x14ac:dyDescent="0.25">
      <c r="A24714" s="1" t="s">
        <v>24713</v>
      </c>
      <c r="C24714" s="3">
        <v>1</v>
      </c>
    </row>
    <row r="24715" spans="1:3" x14ac:dyDescent="0.25">
      <c r="A24715" s="1" t="s">
        <v>24714</v>
      </c>
      <c r="C24715" s="3">
        <v>1</v>
      </c>
    </row>
    <row r="24716" spans="1:3" x14ac:dyDescent="0.25">
      <c r="A24716" s="1" t="s">
        <v>24715</v>
      </c>
      <c r="C24716" s="3">
        <v>1</v>
      </c>
    </row>
    <row r="24717" spans="1:3" x14ac:dyDescent="0.25">
      <c r="A24717" s="1" t="s">
        <v>24716</v>
      </c>
      <c r="C24717" s="3">
        <v>1</v>
      </c>
    </row>
    <row r="24718" spans="1:3" x14ac:dyDescent="0.25">
      <c r="A24718" s="1" t="s">
        <v>24717</v>
      </c>
      <c r="C24718" s="3">
        <v>1</v>
      </c>
    </row>
    <row r="24719" spans="1:3" x14ac:dyDescent="0.25">
      <c r="A24719" s="1" t="s">
        <v>24718</v>
      </c>
      <c r="C24719" s="3">
        <v>1</v>
      </c>
    </row>
    <row r="24720" spans="1:3" x14ac:dyDescent="0.25">
      <c r="A24720" s="1" t="s">
        <v>24719</v>
      </c>
      <c r="C24720" s="3">
        <v>1</v>
      </c>
    </row>
    <row r="24721" spans="1:3" x14ac:dyDescent="0.25">
      <c r="A24721" s="1" t="s">
        <v>24720</v>
      </c>
      <c r="C24721" s="3">
        <v>1</v>
      </c>
    </row>
    <row r="24722" spans="1:3" x14ac:dyDescent="0.25">
      <c r="A24722" s="1" t="s">
        <v>24721</v>
      </c>
      <c r="C24722" s="3">
        <v>1</v>
      </c>
    </row>
    <row r="24723" spans="1:3" x14ac:dyDescent="0.25">
      <c r="A24723" s="1" t="s">
        <v>24722</v>
      </c>
      <c r="C24723" s="3">
        <v>1</v>
      </c>
    </row>
    <row r="24724" spans="1:3" x14ac:dyDescent="0.25">
      <c r="A24724" s="1" t="s">
        <v>24723</v>
      </c>
      <c r="C24724" s="3">
        <v>1</v>
      </c>
    </row>
    <row r="24725" spans="1:3" x14ac:dyDescent="0.25">
      <c r="A24725" s="1" t="s">
        <v>24724</v>
      </c>
      <c r="C24725" s="3">
        <v>1</v>
      </c>
    </row>
    <row r="24726" spans="1:3" x14ac:dyDescent="0.25">
      <c r="A24726" s="1" t="s">
        <v>24725</v>
      </c>
      <c r="C24726" s="3">
        <v>1</v>
      </c>
    </row>
    <row r="24727" spans="1:3" x14ac:dyDescent="0.25">
      <c r="A24727" s="1" t="s">
        <v>24726</v>
      </c>
      <c r="C24727" s="3">
        <v>1</v>
      </c>
    </row>
    <row r="24728" spans="1:3" x14ac:dyDescent="0.25">
      <c r="A24728" s="1" t="s">
        <v>24727</v>
      </c>
      <c r="C24728" s="3">
        <v>1</v>
      </c>
    </row>
    <row r="24729" spans="1:3" x14ac:dyDescent="0.25">
      <c r="A24729" s="1" t="s">
        <v>24728</v>
      </c>
      <c r="C24729" s="3">
        <v>1</v>
      </c>
    </row>
    <row r="24730" spans="1:3" x14ac:dyDescent="0.25">
      <c r="A24730" s="1" t="s">
        <v>24729</v>
      </c>
      <c r="C24730" s="3">
        <v>1</v>
      </c>
    </row>
    <row r="24731" spans="1:3" x14ac:dyDescent="0.25">
      <c r="A24731" s="1" t="s">
        <v>24730</v>
      </c>
      <c r="C24731" s="3">
        <v>1</v>
      </c>
    </row>
    <row r="24732" spans="1:3" x14ac:dyDescent="0.25">
      <c r="A24732" s="1" t="s">
        <v>24731</v>
      </c>
      <c r="C24732" s="3">
        <v>1</v>
      </c>
    </row>
    <row r="24733" spans="1:3" x14ac:dyDescent="0.25">
      <c r="A24733" s="1" t="s">
        <v>24732</v>
      </c>
      <c r="C24733" s="3">
        <v>1</v>
      </c>
    </row>
    <row r="24734" spans="1:3" x14ac:dyDescent="0.25">
      <c r="A24734" s="1" t="s">
        <v>24733</v>
      </c>
      <c r="C24734" s="3">
        <v>1</v>
      </c>
    </row>
    <row r="24735" spans="1:3" x14ac:dyDescent="0.25">
      <c r="A24735" s="1" t="s">
        <v>24734</v>
      </c>
      <c r="C24735" s="3">
        <v>1</v>
      </c>
    </row>
    <row r="24736" spans="1:3" x14ac:dyDescent="0.25">
      <c r="A24736" s="1" t="s">
        <v>24735</v>
      </c>
      <c r="C24736" s="3">
        <v>1</v>
      </c>
    </row>
    <row r="24737" spans="1:3" x14ac:dyDescent="0.25">
      <c r="A24737" s="1" t="s">
        <v>24736</v>
      </c>
      <c r="C24737" s="3">
        <v>1</v>
      </c>
    </row>
    <row r="24738" spans="1:3" x14ac:dyDescent="0.25">
      <c r="A24738" s="1" t="s">
        <v>24737</v>
      </c>
      <c r="C24738" s="3">
        <v>1</v>
      </c>
    </row>
    <row r="24739" spans="1:3" x14ac:dyDescent="0.25">
      <c r="A24739" s="1" t="s">
        <v>24738</v>
      </c>
      <c r="C24739" s="3">
        <v>1</v>
      </c>
    </row>
    <row r="24740" spans="1:3" x14ac:dyDescent="0.25">
      <c r="A24740" s="1" t="s">
        <v>24739</v>
      </c>
      <c r="C24740" s="3">
        <v>1</v>
      </c>
    </row>
    <row r="24741" spans="1:3" x14ac:dyDescent="0.25">
      <c r="A24741" s="1" t="s">
        <v>24740</v>
      </c>
      <c r="C24741" s="3">
        <v>1</v>
      </c>
    </row>
    <row r="24742" spans="1:3" x14ac:dyDescent="0.25">
      <c r="A24742" s="1" t="s">
        <v>24741</v>
      </c>
      <c r="C24742" s="3">
        <v>1</v>
      </c>
    </row>
    <row r="24743" spans="1:3" x14ac:dyDescent="0.25">
      <c r="A24743" s="1" t="s">
        <v>24742</v>
      </c>
      <c r="C24743" s="3">
        <v>1</v>
      </c>
    </row>
    <row r="24744" spans="1:3" x14ac:dyDescent="0.25">
      <c r="A24744" s="1" t="s">
        <v>24743</v>
      </c>
      <c r="C24744" s="3">
        <v>1</v>
      </c>
    </row>
    <row r="24745" spans="1:3" x14ac:dyDescent="0.25">
      <c r="A24745" s="1" t="s">
        <v>24744</v>
      </c>
      <c r="C24745" s="3">
        <v>1</v>
      </c>
    </row>
    <row r="24746" spans="1:3" x14ac:dyDescent="0.25">
      <c r="A24746" s="1" t="s">
        <v>24745</v>
      </c>
      <c r="C24746" s="3">
        <v>1</v>
      </c>
    </row>
    <row r="24747" spans="1:3" x14ac:dyDescent="0.25">
      <c r="A24747" s="1" t="s">
        <v>24746</v>
      </c>
      <c r="C24747" s="3">
        <v>1</v>
      </c>
    </row>
    <row r="24748" spans="1:3" x14ac:dyDescent="0.25">
      <c r="A24748" s="1" t="s">
        <v>24747</v>
      </c>
      <c r="C24748" s="3">
        <v>1</v>
      </c>
    </row>
    <row r="24749" spans="1:3" x14ac:dyDescent="0.25">
      <c r="A24749" s="1" t="s">
        <v>24748</v>
      </c>
      <c r="C24749" s="3">
        <v>1</v>
      </c>
    </row>
    <row r="24750" spans="1:3" x14ac:dyDescent="0.25">
      <c r="A24750" s="1" t="s">
        <v>24749</v>
      </c>
      <c r="C24750" s="3">
        <v>1</v>
      </c>
    </row>
    <row r="24751" spans="1:3" x14ac:dyDescent="0.25">
      <c r="A24751" s="1" t="s">
        <v>24750</v>
      </c>
      <c r="C24751" s="3">
        <v>1</v>
      </c>
    </row>
    <row r="24752" spans="1:3" x14ac:dyDescent="0.25">
      <c r="A24752" s="1" t="s">
        <v>24751</v>
      </c>
      <c r="C24752" s="3">
        <v>1</v>
      </c>
    </row>
    <row r="24753" spans="1:3" x14ac:dyDescent="0.25">
      <c r="A24753" s="1" t="s">
        <v>24752</v>
      </c>
      <c r="C24753" s="3">
        <v>1</v>
      </c>
    </row>
    <row r="24754" spans="1:3" x14ac:dyDescent="0.25">
      <c r="A24754" s="1" t="s">
        <v>24753</v>
      </c>
      <c r="C24754" s="3">
        <v>1</v>
      </c>
    </row>
    <row r="24755" spans="1:3" x14ac:dyDescent="0.25">
      <c r="A24755" s="1" t="s">
        <v>24754</v>
      </c>
      <c r="C24755" s="3">
        <v>1</v>
      </c>
    </row>
    <row r="24756" spans="1:3" x14ac:dyDescent="0.25">
      <c r="A24756" s="1" t="s">
        <v>24755</v>
      </c>
      <c r="C24756" s="3">
        <v>1</v>
      </c>
    </row>
    <row r="24757" spans="1:3" x14ac:dyDescent="0.25">
      <c r="A24757" s="1" t="s">
        <v>24756</v>
      </c>
      <c r="C24757" s="3">
        <v>1</v>
      </c>
    </row>
    <row r="24758" spans="1:3" x14ac:dyDescent="0.25">
      <c r="A24758" s="1" t="s">
        <v>24757</v>
      </c>
      <c r="C24758" s="3">
        <v>1</v>
      </c>
    </row>
    <row r="24759" spans="1:3" x14ac:dyDescent="0.25">
      <c r="A24759" s="1" t="s">
        <v>24758</v>
      </c>
      <c r="C24759" s="3">
        <v>1</v>
      </c>
    </row>
    <row r="24760" spans="1:3" x14ac:dyDescent="0.25">
      <c r="A24760" s="1" t="s">
        <v>24759</v>
      </c>
      <c r="C24760" s="3">
        <v>1</v>
      </c>
    </row>
    <row r="24761" spans="1:3" x14ac:dyDescent="0.25">
      <c r="A24761" s="1" t="s">
        <v>24760</v>
      </c>
      <c r="C24761" s="3">
        <v>1</v>
      </c>
    </row>
    <row r="24762" spans="1:3" x14ac:dyDescent="0.25">
      <c r="A24762" s="1" t="s">
        <v>24761</v>
      </c>
      <c r="C24762" s="3">
        <v>1</v>
      </c>
    </row>
    <row r="24763" spans="1:3" x14ac:dyDescent="0.25">
      <c r="A24763" s="1" t="s">
        <v>24762</v>
      </c>
      <c r="C24763" s="3">
        <v>1</v>
      </c>
    </row>
    <row r="24764" spans="1:3" x14ac:dyDescent="0.25">
      <c r="A24764" s="1" t="s">
        <v>24763</v>
      </c>
      <c r="C24764" s="3">
        <v>1</v>
      </c>
    </row>
    <row r="24765" spans="1:3" x14ac:dyDescent="0.25">
      <c r="A24765" s="1" t="s">
        <v>24764</v>
      </c>
      <c r="C24765" s="3">
        <v>1</v>
      </c>
    </row>
    <row r="24766" spans="1:3" x14ac:dyDescent="0.25">
      <c r="A24766" s="1" t="s">
        <v>24765</v>
      </c>
      <c r="C24766" s="3">
        <v>1</v>
      </c>
    </row>
    <row r="24767" spans="1:3" x14ac:dyDescent="0.25">
      <c r="A24767" s="1" t="s">
        <v>24766</v>
      </c>
      <c r="C24767" s="3">
        <v>1</v>
      </c>
    </row>
    <row r="24768" spans="1:3" x14ac:dyDescent="0.25">
      <c r="A24768" s="1" t="s">
        <v>24767</v>
      </c>
      <c r="C24768" s="3">
        <v>1</v>
      </c>
    </row>
    <row r="24769" spans="1:3" x14ac:dyDescent="0.25">
      <c r="A24769" s="1" t="s">
        <v>24768</v>
      </c>
      <c r="C24769" s="3">
        <v>1</v>
      </c>
    </row>
    <row r="24770" spans="1:3" x14ac:dyDescent="0.25">
      <c r="A24770" s="1" t="s">
        <v>24769</v>
      </c>
      <c r="C24770" s="3">
        <v>1</v>
      </c>
    </row>
    <row r="24771" spans="1:3" x14ac:dyDescent="0.25">
      <c r="A24771" s="1" t="s">
        <v>24770</v>
      </c>
      <c r="C24771" s="3">
        <v>1</v>
      </c>
    </row>
    <row r="24772" spans="1:3" x14ac:dyDescent="0.25">
      <c r="A24772" s="1" t="s">
        <v>24771</v>
      </c>
      <c r="C24772" s="3">
        <v>1</v>
      </c>
    </row>
    <row r="24773" spans="1:3" x14ac:dyDescent="0.25">
      <c r="A24773" s="1" t="s">
        <v>24772</v>
      </c>
      <c r="C24773" s="3">
        <v>1</v>
      </c>
    </row>
    <row r="24774" spans="1:3" x14ac:dyDescent="0.25">
      <c r="A24774" s="1" t="s">
        <v>24773</v>
      </c>
      <c r="C24774" s="3">
        <v>1</v>
      </c>
    </row>
    <row r="24775" spans="1:3" x14ac:dyDescent="0.25">
      <c r="A24775" s="1" t="s">
        <v>24774</v>
      </c>
      <c r="C24775" s="3">
        <v>1</v>
      </c>
    </row>
    <row r="24776" spans="1:3" x14ac:dyDescent="0.25">
      <c r="A24776" s="1" t="s">
        <v>24775</v>
      </c>
      <c r="C24776" s="3">
        <v>1</v>
      </c>
    </row>
    <row r="24777" spans="1:3" x14ac:dyDescent="0.25">
      <c r="A24777" s="1" t="s">
        <v>24776</v>
      </c>
      <c r="C24777" s="3">
        <v>1</v>
      </c>
    </row>
    <row r="24778" spans="1:3" x14ac:dyDescent="0.25">
      <c r="A24778" s="1" t="s">
        <v>24777</v>
      </c>
      <c r="C24778" s="3">
        <v>1</v>
      </c>
    </row>
    <row r="24779" spans="1:3" x14ac:dyDescent="0.25">
      <c r="A24779" s="1" t="s">
        <v>24778</v>
      </c>
      <c r="C24779" s="3">
        <v>1</v>
      </c>
    </row>
    <row r="24780" spans="1:3" x14ac:dyDescent="0.25">
      <c r="A24780" s="1" t="s">
        <v>24779</v>
      </c>
      <c r="C24780" s="3">
        <v>1</v>
      </c>
    </row>
    <row r="24781" spans="1:3" x14ac:dyDescent="0.25">
      <c r="A24781" s="1" t="s">
        <v>24780</v>
      </c>
      <c r="C24781" s="3">
        <v>1</v>
      </c>
    </row>
    <row r="24782" spans="1:3" x14ac:dyDescent="0.25">
      <c r="A24782" s="1" t="s">
        <v>24781</v>
      </c>
      <c r="C24782" s="3">
        <v>1</v>
      </c>
    </row>
    <row r="24783" spans="1:3" x14ac:dyDescent="0.25">
      <c r="A24783" s="1" t="s">
        <v>24782</v>
      </c>
      <c r="C24783" s="3">
        <v>1</v>
      </c>
    </row>
    <row r="24784" spans="1:3" x14ac:dyDescent="0.25">
      <c r="A24784" s="1" t="s">
        <v>24783</v>
      </c>
      <c r="C24784" s="3">
        <v>1</v>
      </c>
    </row>
    <row r="24785" spans="1:3" x14ac:dyDescent="0.25">
      <c r="A24785" s="1" t="s">
        <v>24784</v>
      </c>
      <c r="C24785" s="3">
        <v>1</v>
      </c>
    </row>
    <row r="24786" spans="1:3" x14ac:dyDescent="0.25">
      <c r="A24786" s="1" t="s">
        <v>24785</v>
      </c>
      <c r="C24786" s="3">
        <v>1</v>
      </c>
    </row>
    <row r="24787" spans="1:3" x14ac:dyDescent="0.25">
      <c r="A24787" s="1" t="s">
        <v>24786</v>
      </c>
      <c r="C24787" s="3">
        <v>1</v>
      </c>
    </row>
    <row r="24788" spans="1:3" x14ac:dyDescent="0.25">
      <c r="A24788" s="1" t="s">
        <v>24787</v>
      </c>
      <c r="C24788" s="3">
        <v>1</v>
      </c>
    </row>
    <row r="24789" spans="1:3" x14ac:dyDescent="0.25">
      <c r="A24789" s="1" t="s">
        <v>24788</v>
      </c>
      <c r="C24789" s="3">
        <v>1</v>
      </c>
    </row>
    <row r="24790" spans="1:3" x14ac:dyDescent="0.25">
      <c r="A24790" s="1" t="s">
        <v>24789</v>
      </c>
      <c r="C24790" s="3">
        <v>1</v>
      </c>
    </row>
    <row r="24791" spans="1:3" x14ac:dyDescent="0.25">
      <c r="A24791" s="1" t="s">
        <v>24790</v>
      </c>
      <c r="C24791" s="3">
        <v>1</v>
      </c>
    </row>
    <row r="24792" spans="1:3" x14ac:dyDescent="0.25">
      <c r="A24792" s="1" t="s">
        <v>24791</v>
      </c>
      <c r="C24792" s="3">
        <v>1</v>
      </c>
    </row>
    <row r="24793" spans="1:3" x14ac:dyDescent="0.25">
      <c r="A24793" s="1" t="s">
        <v>24792</v>
      </c>
      <c r="C24793" s="3">
        <v>1</v>
      </c>
    </row>
    <row r="24794" spans="1:3" x14ac:dyDescent="0.25">
      <c r="A24794" s="1" t="s">
        <v>24793</v>
      </c>
      <c r="C24794" s="3">
        <v>1</v>
      </c>
    </row>
    <row r="24795" spans="1:3" x14ac:dyDescent="0.25">
      <c r="A24795" s="1" t="s">
        <v>24794</v>
      </c>
      <c r="C24795" s="3">
        <v>1</v>
      </c>
    </row>
    <row r="24796" spans="1:3" x14ac:dyDescent="0.25">
      <c r="A24796" s="1" t="s">
        <v>24795</v>
      </c>
      <c r="C24796" s="3">
        <v>1</v>
      </c>
    </row>
    <row r="24797" spans="1:3" x14ac:dyDescent="0.25">
      <c r="A24797" s="1" t="s">
        <v>24796</v>
      </c>
      <c r="C24797" s="3">
        <v>1</v>
      </c>
    </row>
    <row r="24798" spans="1:3" x14ac:dyDescent="0.25">
      <c r="A24798" s="1" t="s">
        <v>24797</v>
      </c>
      <c r="C24798" s="3">
        <v>1</v>
      </c>
    </row>
    <row r="24799" spans="1:3" x14ac:dyDescent="0.25">
      <c r="A24799" s="1" t="s">
        <v>24798</v>
      </c>
      <c r="C24799" s="3">
        <v>1</v>
      </c>
    </row>
    <row r="24800" spans="1:3" x14ac:dyDescent="0.25">
      <c r="A24800" s="1" t="s">
        <v>24799</v>
      </c>
      <c r="C24800" s="3">
        <v>1</v>
      </c>
    </row>
    <row r="24801" spans="1:3" x14ac:dyDescent="0.25">
      <c r="A24801" s="1" t="s">
        <v>24800</v>
      </c>
      <c r="C24801" s="3">
        <v>1</v>
      </c>
    </row>
    <row r="24802" spans="1:3" x14ac:dyDescent="0.25">
      <c r="A24802" s="1" t="s">
        <v>24801</v>
      </c>
      <c r="C24802" s="3">
        <v>1</v>
      </c>
    </row>
    <row r="24803" spans="1:3" x14ac:dyDescent="0.25">
      <c r="A24803" s="1" t="s">
        <v>24802</v>
      </c>
      <c r="C24803" s="3">
        <v>1</v>
      </c>
    </row>
    <row r="24804" spans="1:3" x14ac:dyDescent="0.25">
      <c r="A24804" s="1" t="s">
        <v>24803</v>
      </c>
      <c r="C24804" s="3">
        <v>1</v>
      </c>
    </row>
    <row r="24805" spans="1:3" x14ac:dyDescent="0.25">
      <c r="A24805" s="1" t="s">
        <v>24804</v>
      </c>
      <c r="C24805" s="3">
        <v>1</v>
      </c>
    </row>
    <row r="24806" spans="1:3" x14ac:dyDescent="0.25">
      <c r="A24806" s="1" t="s">
        <v>24805</v>
      </c>
      <c r="C24806" s="3">
        <v>1</v>
      </c>
    </row>
    <row r="24807" spans="1:3" x14ac:dyDescent="0.25">
      <c r="A24807" s="1" t="s">
        <v>24806</v>
      </c>
      <c r="C24807" s="3">
        <v>1</v>
      </c>
    </row>
    <row r="24808" spans="1:3" x14ac:dyDescent="0.25">
      <c r="A24808" s="1" t="s">
        <v>24807</v>
      </c>
      <c r="C24808" s="3">
        <v>1</v>
      </c>
    </row>
    <row r="24809" spans="1:3" x14ac:dyDescent="0.25">
      <c r="A24809" s="1" t="s">
        <v>24808</v>
      </c>
      <c r="C24809" s="3">
        <v>1</v>
      </c>
    </row>
    <row r="24810" spans="1:3" x14ac:dyDescent="0.25">
      <c r="A24810" s="1" t="s">
        <v>24809</v>
      </c>
      <c r="C24810" s="3">
        <v>1</v>
      </c>
    </row>
    <row r="24811" spans="1:3" x14ac:dyDescent="0.25">
      <c r="A24811" s="1" t="s">
        <v>24810</v>
      </c>
      <c r="C24811" s="3">
        <v>1</v>
      </c>
    </row>
    <row r="24812" spans="1:3" x14ac:dyDescent="0.25">
      <c r="A24812" s="1" t="s">
        <v>24811</v>
      </c>
      <c r="C24812" s="3">
        <v>1</v>
      </c>
    </row>
    <row r="24813" spans="1:3" x14ac:dyDescent="0.25">
      <c r="A24813" s="1" t="s">
        <v>24812</v>
      </c>
      <c r="C24813" s="3">
        <v>1</v>
      </c>
    </row>
    <row r="24814" spans="1:3" x14ac:dyDescent="0.25">
      <c r="A24814" s="1" t="s">
        <v>24813</v>
      </c>
      <c r="C24814" s="3">
        <v>1</v>
      </c>
    </row>
    <row r="24815" spans="1:3" x14ac:dyDescent="0.25">
      <c r="A24815" s="1" t="s">
        <v>24814</v>
      </c>
      <c r="C24815" s="3">
        <v>1</v>
      </c>
    </row>
    <row r="24816" spans="1:3" x14ac:dyDescent="0.25">
      <c r="A24816" s="1" t="s">
        <v>24815</v>
      </c>
      <c r="C24816" s="3">
        <v>1</v>
      </c>
    </row>
    <row r="24817" spans="1:3" x14ac:dyDescent="0.25">
      <c r="A24817" s="1" t="s">
        <v>24816</v>
      </c>
      <c r="C24817" s="3">
        <v>1</v>
      </c>
    </row>
    <row r="24818" spans="1:3" x14ac:dyDescent="0.25">
      <c r="A24818" s="1" t="s">
        <v>24817</v>
      </c>
      <c r="C24818" s="3">
        <v>1</v>
      </c>
    </row>
    <row r="24819" spans="1:3" x14ac:dyDescent="0.25">
      <c r="A24819" s="1" t="s">
        <v>24818</v>
      </c>
      <c r="C24819" s="3">
        <v>1</v>
      </c>
    </row>
    <row r="24820" spans="1:3" x14ac:dyDescent="0.25">
      <c r="A24820" s="1" t="s">
        <v>24819</v>
      </c>
      <c r="C24820" s="3">
        <v>1</v>
      </c>
    </row>
    <row r="24821" spans="1:3" x14ac:dyDescent="0.25">
      <c r="A24821" s="1" t="s">
        <v>24820</v>
      </c>
      <c r="C24821" s="3">
        <v>1</v>
      </c>
    </row>
    <row r="24822" spans="1:3" x14ac:dyDescent="0.25">
      <c r="A24822" s="1" t="s">
        <v>24821</v>
      </c>
      <c r="C24822" s="3">
        <v>1</v>
      </c>
    </row>
    <row r="24823" spans="1:3" x14ac:dyDescent="0.25">
      <c r="A24823" s="1" t="s">
        <v>24822</v>
      </c>
      <c r="C24823" s="3">
        <v>1</v>
      </c>
    </row>
    <row r="24824" spans="1:3" x14ac:dyDescent="0.25">
      <c r="A24824" s="1" t="s">
        <v>24823</v>
      </c>
      <c r="C24824" s="3">
        <v>1</v>
      </c>
    </row>
    <row r="24825" spans="1:3" x14ac:dyDescent="0.25">
      <c r="A24825" s="1" t="s">
        <v>24824</v>
      </c>
      <c r="C24825" s="3">
        <v>1</v>
      </c>
    </row>
    <row r="24826" spans="1:3" x14ac:dyDescent="0.25">
      <c r="A24826" s="1" t="s">
        <v>24825</v>
      </c>
      <c r="C24826" s="3">
        <v>1</v>
      </c>
    </row>
    <row r="24827" spans="1:3" x14ac:dyDescent="0.25">
      <c r="A24827" s="1" t="s">
        <v>24826</v>
      </c>
      <c r="C24827" s="3">
        <v>1</v>
      </c>
    </row>
    <row r="24828" spans="1:3" x14ac:dyDescent="0.25">
      <c r="A24828" s="1" t="s">
        <v>24827</v>
      </c>
      <c r="C24828" s="3">
        <v>1</v>
      </c>
    </row>
    <row r="24829" spans="1:3" x14ac:dyDescent="0.25">
      <c r="A24829" s="1" t="s">
        <v>24828</v>
      </c>
      <c r="C24829" s="3">
        <v>1</v>
      </c>
    </row>
    <row r="24830" spans="1:3" x14ac:dyDescent="0.25">
      <c r="A24830" s="1" t="s">
        <v>24829</v>
      </c>
      <c r="C24830" s="3">
        <v>1</v>
      </c>
    </row>
    <row r="24831" spans="1:3" x14ac:dyDescent="0.25">
      <c r="A24831" s="1" t="s">
        <v>24830</v>
      </c>
      <c r="C24831" s="3">
        <v>1</v>
      </c>
    </row>
    <row r="24832" spans="1:3" x14ac:dyDescent="0.25">
      <c r="A24832" s="1" t="s">
        <v>24831</v>
      </c>
      <c r="C24832" s="3">
        <v>1</v>
      </c>
    </row>
    <row r="24833" spans="1:3" x14ac:dyDescent="0.25">
      <c r="A24833" s="1" t="s">
        <v>24832</v>
      </c>
      <c r="C24833" s="3">
        <v>1</v>
      </c>
    </row>
    <row r="24834" spans="1:3" x14ac:dyDescent="0.25">
      <c r="A24834" s="1" t="s">
        <v>24833</v>
      </c>
      <c r="C24834" s="3">
        <v>1</v>
      </c>
    </row>
    <row r="24835" spans="1:3" x14ac:dyDescent="0.25">
      <c r="A24835" s="1" t="s">
        <v>24834</v>
      </c>
      <c r="C24835" s="3">
        <v>1</v>
      </c>
    </row>
    <row r="24836" spans="1:3" x14ac:dyDescent="0.25">
      <c r="A24836" s="1" t="s">
        <v>24835</v>
      </c>
      <c r="C24836" s="3">
        <v>1</v>
      </c>
    </row>
    <row r="24837" spans="1:3" x14ac:dyDescent="0.25">
      <c r="A24837" s="1" t="s">
        <v>24836</v>
      </c>
      <c r="C24837" s="3">
        <v>1</v>
      </c>
    </row>
    <row r="24838" spans="1:3" x14ac:dyDescent="0.25">
      <c r="A24838" s="1" t="s">
        <v>24837</v>
      </c>
      <c r="C24838" s="3">
        <v>1</v>
      </c>
    </row>
    <row r="24839" spans="1:3" x14ac:dyDescent="0.25">
      <c r="A24839" s="1" t="s">
        <v>24838</v>
      </c>
      <c r="C24839" s="3">
        <v>1</v>
      </c>
    </row>
    <row r="24840" spans="1:3" x14ac:dyDescent="0.25">
      <c r="A24840" s="1" t="s">
        <v>24839</v>
      </c>
      <c r="C24840" s="3">
        <v>1</v>
      </c>
    </row>
    <row r="24841" spans="1:3" x14ac:dyDescent="0.25">
      <c r="A24841" s="1" t="s">
        <v>24840</v>
      </c>
      <c r="C24841" s="3">
        <v>1</v>
      </c>
    </row>
    <row r="24842" spans="1:3" x14ac:dyDescent="0.25">
      <c r="A24842" s="1" t="s">
        <v>24841</v>
      </c>
      <c r="C24842" s="3">
        <v>1</v>
      </c>
    </row>
    <row r="24843" spans="1:3" x14ac:dyDescent="0.25">
      <c r="A24843" s="1" t="s">
        <v>24842</v>
      </c>
      <c r="C24843" s="3">
        <v>1</v>
      </c>
    </row>
    <row r="24844" spans="1:3" x14ac:dyDescent="0.25">
      <c r="A24844" s="1" t="s">
        <v>24843</v>
      </c>
      <c r="C24844" s="3">
        <v>1</v>
      </c>
    </row>
    <row r="24845" spans="1:3" x14ac:dyDescent="0.25">
      <c r="A24845" s="1" t="s">
        <v>24844</v>
      </c>
      <c r="C24845" s="3">
        <v>1</v>
      </c>
    </row>
    <row r="24846" spans="1:3" x14ac:dyDescent="0.25">
      <c r="A24846" s="1" t="s">
        <v>24845</v>
      </c>
      <c r="C24846" s="3">
        <v>1</v>
      </c>
    </row>
    <row r="24847" spans="1:3" x14ac:dyDescent="0.25">
      <c r="A24847" s="1" t="s">
        <v>24846</v>
      </c>
      <c r="C24847" s="3">
        <v>1</v>
      </c>
    </row>
    <row r="24848" spans="1:3" x14ac:dyDescent="0.25">
      <c r="A24848" s="1" t="s">
        <v>24847</v>
      </c>
      <c r="C24848" s="3">
        <v>1</v>
      </c>
    </row>
    <row r="24849" spans="1:3" x14ac:dyDescent="0.25">
      <c r="A24849" s="1" t="s">
        <v>24848</v>
      </c>
      <c r="C24849" s="3">
        <v>1</v>
      </c>
    </row>
    <row r="24850" spans="1:3" x14ac:dyDescent="0.25">
      <c r="A24850" s="1" t="s">
        <v>24849</v>
      </c>
      <c r="C24850" s="3">
        <v>1</v>
      </c>
    </row>
    <row r="24851" spans="1:3" x14ac:dyDescent="0.25">
      <c r="A24851" s="1" t="s">
        <v>24850</v>
      </c>
      <c r="C24851" s="3">
        <v>1</v>
      </c>
    </row>
    <row r="24852" spans="1:3" x14ac:dyDescent="0.25">
      <c r="A24852" s="1" t="s">
        <v>24851</v>
      </c>
      <c r="C24852" s="3">
        <v>1</v>
      </c>
    </row>
    <row r="24853" spans="1:3" x14ac:dyDescent="0.25">
      <c r="A24853" s="1" t="s">
        <v>24852</v>
      </c>
      <c r="C24853" s="3">
        <v>1</v>
      </c>
    </row>
    <row r="24854" spans="1:3" x14ac:dyDescent="0.25">
      <c r="A24854" s="1" t="s">
        <v>24853</v>
      </c>
      <c r="C24854" s="3">
        <v>1</v>
      </c>
    </row>
    <row r="24855" spans="1:3" x14ac:dyDescent="0.25">
      <c r="A24855" s="1" t="s">
        <v>24854</v>
      </c>
      <c r="C24855" s="3">
        <v>1</v>
      </c>
    </row>
    <row r="24856" spans="1:3" x14ac:dyDescent="0.25">
      <c r="A24856" s="1" t="s">
        <v>24855</v>
      </c>
      <c r="C24856" s="3">
        <v>1</v>
      </c>
    </row>
    <row r="24857" spans="1:3" x14ac:dyDescent="0.25">
      <c r="A24857" s="1" t="s">
        <v>24856</v>
      </c>
      <c r="C24857" s="3">
        <v>1</v>
      </c>
    </row>
    <row r="24858" spans="1:3" x14ac:dyDescent="0.25">
      <c r="A24858" s="1" t="s">
        <v>24857</v>
      </c>
      <c r="C24858" s="3">
        <v>1</v>
      </c>
    </row>
    <row r="24859" spans="1:3" x14ac:dyDescent="0.25">
      <c r="A24859" s="1" t="s">
        <v>24858</v>
      </c>
      <c r="C24859" s="3">
        <v>1</v>
      </c>
    </row>
    <row r="24860" spans="1:3" x14ac:dyDescent="0.25">
      <c r="A24860" s="1" t="s">
        <v>24859</v>
      </c>
      <c r="C24860" s="3">
        <v>1</v>
      </c>
    </row>
    <row r="24861" spans="1:3" x14ac:dyDescent="0.25">
      <c r="A24861" s="1" t="s">
        <v>24860</v>
      </c>
      <c r="C24861" s="3">
        <v>1</v>
      </c>
    </row>
    <row r="24862" spans="1:3" x14ac:dyDescent="0.25">
      <c r="A24862" s="1" t="s">
        <v>24861</v>
      </c>
      <c r="C24862" s="3">
        <v>1</v>
      </c>
    </row>
    <row r="24863" spans="1:3" x14ac:dyDescent="0.25">
      <c r="A24863" s="1" t="s">
        <v>24862</v>
      </c>
      <c r="C24863" s="3">
        <v>1</v>
      </c>
    </row>
    <row r="24864" spans="1:3" x14ac:dyDescent="0.25">
      <c r="A24864" s="1" t="s">
        <v>24863</v>
      </c>
      <c r="C24864" s="3">
        <v>1</v>
      </c>
    </row>
    <row r="24865" spans="1:3" x14ac:dyDescent="0.25">
      <c r="A24865" s="1" t="s">
        <v>24864</v>
      </c>
      <c r="C24865" s="3">
        <v>1</v>
      </c>
    </row>
    <row r="24866" spans="1:3" x14ac:dyDescent="0.25">
      <c r="A24866" s="1" t="s">
        <v>24865</v>
      </c>
      <c r="C24866" s="3">
        <v>1</v>
      </c>
    </row>
    <row r="24867" spans="1:3" x14ac:dyDescent="0.25">
      <c r="A24867" s="1" t="s">
        <v>24866</v>
      </c>
      <c r="C24867" s="3">
        <v>1</v>
      </c>
    </row>
    <row r="24868" spans="1:3" x14ac:dyDescent="0.25">
      <c r="A24868" s="1" t="s">
        <v>24867</v>
      </c>
      <c r="C24868" s="3">
        <v>1</v>
      </c>
    </row>
    <row r="24869" spans="1:3" x14ac:dyDescent="0.25">
      <c r="A24869" s="1" t="s">
        <v>24868</v>
      </c>
      <c r="C24869" s="3">
        <v>1</v>
      </c>
    </row>
    <row r="24870" spans="1:3" x14ac:dyDescent="0.25">
      <c r="A24870" s="1" t="s">
        <v>24869</v>
      </c>
      <c r="C24870" s="3">
        <v>1</v>
      </c>
    </row>
    <row r="24871" spans="1:3" x14ac:dyDescent="0.25">
      <c r="A24871" s="1" t="s">
        <v>24870</v>
      </c>
      <c r="C24871" s="3">
        <v>1</v>
      </c>
    </row>
    <row r="24872" spans="1:3" x14ac:dyDescent="0.25">
      <c r="A24872" s="1" t="s">
        <v>24871</v>
      </c>
      <c r="C24872" s="3">
        <v>1</v>
      </c>
    </row>
    <row r="24873" spans="1:3" x14ac:dyDescent="0.25">
      <c r="A24873" s="1" t="s">
        <v>24872</v>
      </c>
      <c r="C24873" s="3">
        <v>1</v>
      </c>
    </row>
    <row r="24874" spans="1:3" x14ac:dyDescent="0.25">
      <c r="A24874" s="1" t="s">
        <v>24873</v>
      </c>
      <c r="C24874" s="3">
        <v>1</v>
      </c>
    </row>
    <row r="24875" spans="1:3" x14ac:dyDescent="0.25">
      <c r="A24875" s="1" t="s">
        <v>24874</v>
      </c>
      <c r="C24875" s="3">
        <v>1</v>
      </c>
    </row>
    <row r="24876" spans="1:3" x14ac:dyDescent="0.25">
      <c r="A24876" s="1" t="s">
        <v>24875</v>
      </c>
      <c r="C24876" s="3">
        <v>1</v>
      </c>
    </row>
    <row r="24877" spans="1:3" x14ac:dyDescent="0.25">
      <c r="A24877" s="1" t="s">
        <v>24876</v>
      </c>
      <c r="C24877" s="3">
        <v>1</v>
      </c>
    </row>
    <row r="24878" spans="1:3" x14ac:dyDescent="0.25">
      <c r="A24878" s="1" t="s">
        <v>24877</v>
      </c>
      <c r="C24878" s="3">
        <v>1</v>
      </c>
    </row>
    <row r="24879" spans="1:3" x14ac:dyDescent="0.25">
      <c r="A24879" s="1" t="s">
        <v>24878</v>
      </c>
      <c r="C24879" s="3">
        <v>1</v>
      </c>
    </row>
    <row r="24880" spans="1:3" x14ac:dyDescent="0.25">
      <c r="A24880" s="1" t="s">
        <v>24879</v>
      </c>
      <c r="C24880" s="3">
        <v>1</v>
      </c>
    </row>
    <row r="24881" spans="1:3" x14ac:dyDescent="0.25">
      <c r="A24881" s="1" t="s">
        <v>24880</v>
      </c>
      <c r="C24881" s="3">
        <v>1</v>
      </c>
    </row>
    <row r="24882" spans="1:3" x14ac:dyDescent="0.25">
      <c r="A24882" s="1" t="s">
        <v>24881</v>
      </c>
      <c r="C24882" s="3">
        <v>1</v>
      </c>
    </row>
    <row r="24883" spans="1:3" x14ac:dyDescent="0.25">
      <c r="A24883" s="1" t="s">
        <v>24882</v>
      </c>
      <c r="C24883" s="3">
        <v>1</v>
      </c>
    </row>
    <row r="24884" spans="1:3" x14ac:dyDescent="0.25">
      <c r="A24884" s="1" t="s">
        <v>24883</v>
      </c>
      <c r="C24884" s="3">
        <v>1</v>
      </c>
    </row>
    <row r="24885" spans="1:3" x14ac:dyDescent="0.25">
      <c r="A24885" s="1" t="s">
        <v>24884</v>
      </c>
      <c r="C24885" s="3">
        <v>1</v>
      </c>
    </row>
    <row r="24886" spans="1:3" x14ac:dyDescent="0.25">
      <c r="A24886" s="1" t="s">
        <v>24885</v>
      </c>
      <c r="C24886" s="3">
        <v>1</v>
      </c>
    </row>
    <row r="24887" spans="1:3" x14ac:dyDescent="0.25">
      <c r="A24887" s="1" t="s">
        <v>24886</v>
      </c>
      <c r="C24887" s="3">
        <v>1</v>
      </c>
    </row>
    <row r="24888" spans="1:3" x14ac:dyDescent="0.25">
      <c r="A24888" s="1" t="s">
        <v>24887</v>
      </c>
      <c r="C24888" s="3">
        <v>1</v>
      </c>
    </row>
    <row r="24889" spans="1:3" x14ac:dyDescent="0.25">
      <c r="A24889" s="1" t="s">
        <v>24888</v>
      </c>
      <c r="C24889" s="3">
        <v>1</v>
      </c>
    </row>
    <row r="24890" spans="1:3" x14ac:dyDescent="0.25">
      <c r="A24890" s="1" t="s">
        <v>24889</v>
      </c>
      <c r="C24890" s="3">
        <v>1</v>
      </c>
    </row>
    <row r="24891" spans="1:3" x14ac:dyDescent="0.25">
      <c r="A24891" s="1" t="s">
        <v>24890</v>
      </c>
      <c r="C24891" s="3">
        <v>1</v>
      </c>
    </row>
    <row r="24892" spans="1:3" x14ac:dyDescent="0.25">
      <c r="A24892" s="1" t="s">
        <v>24891</v>
      </c>
      <c r="C24892" s="3">
        <v>1</v>
      </c>
    </row>
    <row r="24893" spans="1:3" x14ac:dyDescent="0.25">
      <c r="A24893" s="1" t="s">
        <v>24892</v>
      </c>
      <c r="C24893" s="3">
        <v>1</v>
      </c>
    </row>
    <row r="24894" spans="1:3" x14ac:dyDescent="0.25">
      <c r="A24894" s="1" t="s">
        <v>24893</v>
      </c>
      <c r="C24894" s="3">
        <v>1</v>
      </c>
    </row>
    <row r="24895" spans="1:3" x14ac:dyDescent="0.25">
      <c r="A24895" s="1" t="s">
        <v>24894</v>
      </c>
      <c r="C24895" s="3">
        <v>1</v>
      </c>
    </row>
    <row r="24896" spans="1:3" x14ac:dyDescent="0.25">
      <c r="A24896" s="1" t="s">
        <v>24895</v>
      </c>
      <c r="C24896" s="3">
        <v>1</v>
      </c>
    </row>
    <row r="24897" spans="1:3" x14ac:dyDescent="0.25">
      <c r="A24897" s="1" t="s">
        <v>24896</v>
      </c>
      <c r="C24897" s="3">
        <v>1</v>
      </c>
    </row>
    <row r="24898" spans="1:3" x14ac:dyDescent="0.25">
      <c r="A24898" s="1" t="s">
        <v>24897</v>
      </c>
      <c r="C24898" s="3">
        <v>1</v>
      </c>
    </row>
    <row r="24899" spans="1:3" x14ac:dyDescent="0.25">
      <c r="A24899" s="1" t="s">
        <v>24898</v>
      </c>
      <c r="C24899" s="3">
        <v>1</v>
      </c>
    </row>
    <row r="24900" spans="1:3" x14ac:dyDescent="0.25">
      <c r="A24900" s="1" t="s">
        <v>24899</v>
      </c>
      <c r="C24900" s="3">
        <v>1</v>
      </c>
    </row>
    <row r="24901" spans="1:3" x14ac:dyDescent="0.25">
      <c r="A24901" s="1" t="s">
        <v>24900</v>
      </c>
      <c r="C24901" s="3">
        <v>1</v>
      </c>
    </row>
    <row r="24902" spans="1:3" x14ac:dyDescent="0.25">
      <c r="A24902" s="1" t="s">
        <v>24901</v>
      </c>
      <c r="C24902" s="3">
        <v>1</v>
      </c>
    </row>
    <row r="24903" spans="1:3" x14ac:dyDescent="0.25">
      <c r="A24903" s="1" t="s">
        <v>24902</v>
      </c>
      <c r="C24903" s="3">
        <v>1</v>
      </c>
    </row>
    <row r="24904" spans="1:3" x14ac:dyDescent="0.25">
      <c r="A24904" s="1" t="s">
        <v>24903</v>
      </c>
      <c r="C24904" s="3">
        <v>1</v>
      </c>
    </row>
    <row r="24905" spans="1:3" x14ac:dyDescent="0.25">
      <c r="A24905" s="1" t="s">
        <v>24904</v>
      </c>
      <c r="C24905" s="3">
        <v>1</v>
      </c>
    </row>
    <row r="24906" spans="1:3" x14ac:dyDescent="0.25">
      <c r="A24906" s="1" t="s">
        <v>24905</v>
      </c>
      <c r="C24906" s="3">
        <v>1</v>
      </c>
    </row>
    <row r="24907" spans="1:3" x14ac:dyDescent="0.25">
      <c r="A24907" s="1" t="s">
        <v>24906</v>
      </c>
      <c r="C24907" s="3">
        <v>1</v>
      </c>
    </row>
    <row r="24908" spans="1:3" x14ac:dyDescent="0.25">
      <c r="A24908" s="1" t="s">
        <v>24907</v>
      </c>
      <c r="C24908" s="3">
        <v>1</v>
      </c>
    </row>
    <row r="24909" spans="1:3" x14ac:dyDescent="0.25">
      <c r="A24909" s="1" t="s">
        <v>24908</v>
      </c>
      <c r="C24909" s="3">
        <v>1</v>
      </c>
    </row>
    <row r="24910" spans="1:3" x14ac:dyDescent="0.25">
      <c r="A24910" s="1" t="s">
        <v>24909</v>
      </c>
      <c r="C24910" s="3">
        <v>1</v>
      </c>
    </row>
    <row r="24911" spans="1:3" x14ac:dyDescent="0.25">
      <c r="A24911" s="1" t="s">
        <v>24910</v>
      </c>
      <c r="C24911" s="3">
        <v>1</v>
      </c>
    </row>
    <row r="24912" spans="1:3" x14ac:dyDescent="0.25">
      <c r="A24912" s="1" t="s">
        <v>24911</v>
      </c>
      <c r="C24912" s="3">
        <v>1</v>
      </c>
    </row>
    <row r="24913" spans="1:3" x14ac:dyDescent="0.25">
      <c r="A24913" s="1" t="s">
        <v>24912</v>
      </c>
      <c r="C24913" s="3">
        <v>1</v>
      </c>
    </row>
    <row r="24914" spans="1:3" x14ac:dyDescent="0.25">
      <c r="A24914" s="1" t="s">
        <v>24913</v>
      </c>
      <c r="C24914" s="3">
        <v>1</v>
      </c>
    </row>
    <row r="24915" spans="1:3" x14ac:dyDescent="0.25">
      <c r="A24915" s="1" t="s">
        <v>24914</v>
      </c>
      <c r="C24915" s="3">
        <v>1</v>
      </c>
    </row>
    <row r="24916" spans="1:3" x14ac:dyDescent="0.25">
      <c r="A24916" s="1" t="s">
        <v>24915</v>
      </c>
      <c r="C24916" s="3">
        <v>1</v>
      </c>
    </row>
    <row r="24917" spans="1:3" x14ac:dyDescent="0.25">
      <c r="A24917" s="1" t="s">
        <v>24916</v>
      </c>
      <c r="C24917" s="3">
        <v>1</v>
      </c>
    </row>
    <row r="24918" spans="1:3" x14ac:dyDescent="0.25">
      <c r="A24918" s="1" t="s">
        <v>24917</v>
      </c>
      <c r="C24918" s="3">
        <v>1</v>
      </c>
    </row>
    <row r="24919" spans="1:3" x14ac:dyDescent="0.25">
      <c r="A24919" s="1" t="s">
        <v>24918</v>
      </c>
      <c r="C24919" s="3">
        <v>1</v>
      </c>
    </row>
    <row r="24920" spans="1:3" x14ac:dyDescent="0.25">
      <c r="A24920" s="1" t="s">
        <v>24919</v>
      </c>
      <c r="C24920" s="3">
        <v>1</v>
      </c>
    </row>
    <row r="24921" spans="1:3" x14ac:dyDescent="0.25">
      <c r="A24921" s="1" t="s">
        <v>24920</v>
      </c>
      <c r="C24921" s="3">
        <v>1</v>
      </c>
    </row>
    <row r="24922" spans="1:3" x14ac:dyDescent="0.25">
      <c r="A24922" s="1" t="s">
        <v>24921</v>
      </c>
      <c r="C24922" s="3">
        <v>1</v>
      </c>
    </row>
    <row r="24923" spans="1:3" x14ac:dyDescent="0.25">
      <c r="A24923" s="1" t="s">
        <v>24922</v>
      </c>
      <c r="C24923" s="3">
        <v>1</v>
      </c>
    </row>
    <row r="24924" spans="1:3" x14ac:dyDescent="0.25">
      <c r="A24924" s="1" t="s">
        <v>24923</v>
      </c>
      <c r="C24924" s="3">
        <v>1</v>
      </c>
    </row>
    <row r="24925" spans="1:3" x14ac:dyDescent="0.25">
      <c r="A24925" s="1" t="s">
        <v>24924</v>
      </c>
      <c r="C24925" s="3">
        <v>1</v>
      </c>
    </row>
    <row r="24926" spans="1:3" x14ac:dyDescent="0.25">
      <c r="A24926" s="1" t="s">
        <v>24925</v>
      </c>
      <c r="C24926" s="3">
        <v>1</v>
      </c>
    </row>
    <row r="24927" spans="1:3" x14ac:dyDescent="0.25">
      <c r="A24927" s="1" t="s">
        <v>24926</v>
      </c>
      <c r="C24927" s="3">
        <v>1</v>
      </c>
    </row>
    <row r="24928" spans="1:3" x14ac:dyDescent="0.25">
      <c r="A24928" s="1" t="s">
        <v>24927</v>
      </c>
      <c r="C24928" s="3">
        <v>1</v>
      </c>
    </row>
    <row r="24929" spans="1:3" x14ac:dyDescent="0.25">
      <c r="A24929" s="1" t="s">
        <v>24928</v>
      </c>
      <c r="C24929" s="3">
        <v>1</v>
      </c>
    </row>
    <row r="24930" spans="1:3" x14ac:dyDescent="0.25">
      <c r="A24930" s="1" t="s">
        <v>24929</v>
      </c>
      <c r="C24930" s="3">
        <v>1</v>
      </c>
    </row>
    <row r="24931" spans="1:3" x14ac:dyDescent="0.25">
      <c r="A24931" s="1" t="s">
        <v>24930</v>
      </c>
      <c r="C24931" s="3">
        <v>1</v>
      </c>
    </row>
    <row r="24932" spans="1:3" x14ac:dyDescent="0.25">
      <c r="A24932" s="1" t="s">
        <v>24931</v>
      </c>
      <c r="C24932" s="3">
        <v>1</v>
      </c>
    </row>
    <row r="24933" spans="1:3" x14ac:dyDescent="0.25">
      <c r="A24933" s="1" t="s">
        <v>24932</v>
      </c>
      <c r="C24933" s="3">
        <v>1</v>
      </c>
    </row>
    <row r="24934" spans="1:3" x14ac:dyDescent="0.25">
      <c r="A24934" s="1" t="s">
        <v>24933</v>
      </c>
      <c r="C24934" s="3">
        <v>1</v>
      </c>
    </row>
    <row r="24935" spans="1:3" x14ac:dyDescent="0.25">
      <c r="A24935" s="1" t="s">
        <v>24934</v>
      </c>
      <c r="C24935" s="3">
        <v>1</v>
      </c>
    </row>
    <row r="24936" spans="1:3" x14ac:dyDescent="0.25">
      <c r="A24936" s="1" t="s">
        <v>24935</v>
      </c>
      <c r="C24936" s="3">
        <v>1</v>
      </c>
    </row>
    <row r="24937" spans="1:3" x14ac:dyDescent="0.25">
      <c r="A24937" s="1" t="s">
        <v>24936</v>
      </c>
      <c r="C24937" s="3">
        <v>1</v>
      </c>
    </row>
    <row r="24938" spans="1:3" x14ac:dyDescent="0.25">
      <c r="A24938" s="1" t="s">
        <v>24937</v>
      </c>
      <c r="C24938" s="3">
        <v>1</v>
      </c>
    </row>
    <row r="24939" spans="1:3" x14ac:dyDescent="0.25">
      <c r="A24939" s="1" t="s">
        <v>24938</v>
      </c>
      <c r="C24939" s="3">
        <v>1</v>
      </c>
    </row>
    <row r="24940" spans="1:3" x14ac:dyDescent="0.25">
      <c r="A24940" s="1" t="s">
        <v>24939</v>
      </c>
      <c r="C24940" s="3">
        <v>1</v>
      </c>
    </row>
    <row r="24941" spans="1:3" x14ac:dyDescent="0.25">
      <c r="A24941" s="1" t="s">
        <v>24940</v>
      </c>
      <c r="C24941" s="3">
        <v>1</v>
      </c>
    </row>
    <row r="24942" spans="1:3" x14ac:dyDescent="0.25">
      <c r="A24942" s="1" t="s">
        <v>24941</v>
      </c>
      <c r="C24942" s="3">
        <v>1</v>
      </c>
    </row>
    <row r="24943" spans="1:3" x14ac:dyDescent="0.25">
      <c r="A24943" s="1" t="s">
        <v>24942</v>
      </c>
      <c r="C24943" s="3">
        <v>1</v>
      </c>
    </row>
    <row r="24944" spans="1:3" x14ac:dyDescent="0.25">
      <c r="A24944" s="1" t="s">
        <v>24943</v>
      </c>
      <c r="C24944" s="3">
        <v>1</v>
      </c>
    </row>
    <row r="24945" spans="1:3" x14ac:dyDescent="0.25">
      <c r="A24945" s="1" t="s">
        <v>24944</v>
      </c>
      <c r="C24945" s="3">
        <v>1</v>
      </c>
    </row>
    <row r="24946" spans="1:3" x14ac:dyDescent="0.25">
      <c r="A24946" s="1" t="s">
        <v>24945</v>
      </c>
      <c r="C24946" s="3">
        <v>1</v>
      </c>
    </row>
    <row r="24947" spans="1:3" x14ac:dyDescent="0.25">
      <c r="A24947" s="1" t="s">
        <v>24946</v>
      </c>
      <c r="C24947" s="3">
        <v>1</v>
      </c>
    </row>
    <row r="24948" spans="1:3" x14ac:dyDescent="0.25">
      <c r="A24948" s="1" t="s">
        <v>24947</v>
      </c>
      <c r="C24948" s="3">
        <v>1</v>
      </c>
    </row>
    <row r="24949" spans="1:3" x14ac:dyDescent="0.25">
      <c r="A24949" s="1" t="s">
        <v>24948</v>
      </c>
      <c r="C24949" s="3">
        <v>1</v>
      </c>
    </row>
    <row r="24950" spans="1:3" x14ac:dyDescent="0.25">
      <c r="A24950" s="1" t="s">
        <v>24949</v>
      </c>
      <c r="C24950" s="3">
        <v>1</v>
      </c>
    </row>
    <row r="24951" spans="1:3" x14ac:dyDescent="0.25">
      <c r="A24951" s="1" t="s">
        <v>24950</v>
      </c>
      <c r="C24951" s="3">
        <v>1</v>
      </c>
    </row>
    <row r="24952" spans="1:3" x14ac:dyDescent="0.25">
      <c r="A24952" s="1" t="s">
        <v>24951</v>
      </c>
      <c r="C24952" s="3">
        <v>1</v>
      </c>
    </row>
    <row r="24953" spans="1:3" x14ac:dyDescent="0.25">
      <c r="A24953" s="1" t="s">
        <v>24952</v>
      </c>
      <c r="C24953" s="3">
        <v>1</v>
      </c>
    </row>
    <row r="24954" spans="1:3" x14ac:dyDescent="0.25">
      <c r="A24954" s="1" t="s">
        <v>24953</v>
      </c>
      <c r="C24954" s="3">
        <v>1</v>
      </c>
    </row>
    <row r="24955" spans="1:3" x14ac:dyDescent="0.25">
      <c r="A24955" s="1" t="s">
        <v>24954</v>
      </c>
      <c r="C24955" s="3">
        <v>1</v>
      </c>
    </row>
    <row r="24956" spans="1:3" x14ac:dyDescent="0.25">
      <c r="A24956" s="1" t="s">
        <v>24955</v>
      </c>
      <c r="C24956" s="3">
        <v>1</v>
      </c>
    </row>
    <row r="24957" spans="1:3" x14ac:dyDescent="0.25">
      <c r="A24957" s="1" t="s">
        <v>24956</v>
      </c>
      <c r="C24957" s="3">
        <v>1</v>
      </c>
    </row>
    <row r="24958" spans="1:3" x14ac:dyDescent="0.25">
      <c r="A24958" s="1" t="s">
        <v>24957</v>
      </c>
      <c r="C24958" s="3">
        <v>1</v>
      </c>
    </row>
    <row r="24959" spans="1:3" x14ac:dyDescent="0.25">
      <c r="A24959" s="1" t="s">
        <v>24958</v>
      </c>
      <c r="C24959" s="3">
        <v>1</v>
      </c>
    </row>
    <row r="24960" spans="1:3" x14ac:dyDescent="0.25">
      <c r="A24960" s="1" t="s">
        <v>24959</v>
      </c>
      <c r="C24960" s="3">
        <v>1</v>
      </c>
    </row>
    <row r="24961" spans="1:3" x14ac:dyDescent="0.25">
      <c r="A24961" s="1" t="s">
        <v>24960</v>
      </c>
      <c r="C24961" s="3">
        <v>1</v>
      </c>
    </row>
    <row r="24962" spans="1:3" x14ac:dyDescent="0.25">
      <c r="A24962" s="1" t="s">
        <v>24961</v>
      </c>
      <c r="C24962" s="3">
        <v>1</v>
      </c>
    </row>
    <row r="24963" spans="1:3" x14ac:dyDescent="0.25">
      <c r="A24963" s="1" t="s">
        <v>24962</v>
      </c>
      <c r="C24963" s="3">
        <v>1</v>
      </c>
    </row>
    <row r="24964" spans="1:3" x14ac:dyDescent="0.25">
      <c r="A24964" s="1" t="s">
        <v>24963</v>
      </c>
      <c r="C24964" s="3">
        <v>1</v>
      </c>
    </row>
    <row r="24965" spans="1:3" x14ac:dyDescent="0.25">
      <c r="A24965" s="1" t="s">
        <v>24964</v>
      </c>
      <c r="C24965" s="3">
        <v>1</v>
      </c>
    </row>
    <row r="24966" spans="1:3" x14ac:dyDescent="0.25">
      <c r="A24966" s="1" t="s">
        <v>24965</v>
      </c>
      <c r="C24966" s="3">
        <v>1</v>
      </c>
    </row>
    <row r="24967" spans="1:3" x14ac:dyDescent="0.25">
      <c r="A24967" s="1" t="s">
        <v>24966</v>
      </c>
      <c r="C24967" s="3">
        <v>1</v>
      </c>
    </row>
    <row r="24968" spans="1:3" x14ac:dyDescent="0.25">
      <c r="A24968" s="1" t="s">
        <v>24967</v>
      </c>
      <c r="C24968" s="3">
        <v>1</v>
      </c>
    </row>
    <row r="24969" spans="1:3" x14ac:dyDescent="0.25">
      <c r="A24969" s="1" t="s">
        <v>24968</v>
      </c>
      <c r="C24969" s="3">
        <v>1</v>
      </c>
    </row>
    <row r="24970" spans="1:3" x14ac:dyDescent="0.25">
      <c r="A24970" s="1" t="s">
        <v>24969</v>
      </c>
      <c r="C24970" s="3">
        <v>1</v>
      </c>
    </row>
    <row r="24971" spans="1:3" x14ac:dyDescent="0.25">
      <c r="A24971" s="1" t="s">
        <v>24970</v>
      </c>
      <c r="C24971" s="3">
        <v>1</v>
      </c>
    </row>
    <row r="24972" spans="1:3" x14ac:dyDescent="0.25">
      <c r="A24972" s="1" t="s">
        <v>24971</v>
      </c>
      <c r="C24972" s="3">
        <v>1</v>
      </c>
    </row>
    <row r="24973" spans="1:3" x14ac:dyDescent="0.25">
      <c r="A24973" s="1" t="s">
        <v>24972</v>
      </c>
      <c r="C24973" s="3">
        <v>1</v>
      </c>
    </row>
    <row r="24974" spans="1:3" x14ac:dyDescent="0.25">
      <c r="A24974" s="1" t="s">
        <v>24973</v>
      </c>
      <c r="C24974" s="3">
        <v>1</v>
      </c>
    </row>
    <row r="24975" spans="1:3" x14ac:dyDescent="0.25">
      <c r="A24975" s="1" t="s">
        <v>24974</v>
      </c>
      <c r="C24975" s="3">
        <v>1</v>
      </c>
    </row>
    <row r="24976" spans="1:3" x14ac:dyDescent="0.25">
      <c r="A24976" s="1" t="s">
        <v>24975</v>
      </c>
      <c r="C24976" s="3">
        <v>1</v>
      </c>
    </row>
    <row r="24977" spans="1:3" x14ac:dyDescent="0.25">
      <c r="A24977" s="1" t="s">
        <v>24976</v>
      </c>
      <c r="C24977" s="3">
        <v>1</v>
      </c>
    </row>
    <row r="24978" spans="1:3" x14ac:dyDescent="0.25">
      <c r="A24978" s="1" t="s">
        <v>24977</v>
      </c>
      <c r="C24978" s="3">
        <v>1</v>
      </c>
    </row>
    <row r="24979" spans="1:3" x14ac:dyDescent="0.25">
      <c r="A24979" s="1" t="s">
        <v>24978</v>
      </c>
      <c r="C24979" s="3">
        <v>1</v>
      </c>
    </row>
    <row r="24980" spans="1:3" x14ac:dyDescent="0.25">
      <c r="A24980" s="1" t="s">
        <v>24979</v>
      </c>
      <c r="C24980" s="3">
        <v>1</v>
      </c>
    </row>
    <row r="24981" spans="1:3" x14ac:dyDescent="0.25">
      <c r="A24981" s="1" t="s">
        <v>24980</v>
      </c>
      <c r="C24981" s="3">
        <v>1</v>
      </c>
    </row>
    <row r="24982" spans="1:3" x14ac:dyDescent="0.25">
      <c r="A24982" s="1" t="s">
        <v>24981</v>
      </c>
      <c r="C24982" s="3">
        <v>1</v>
      </c>
    </row>
    <row r="24983" spans="1:3" x14ac:dyDescent="0.25">
      <c r="A24983" s="1" t="s">
        <v>24982</v>
      </c>
      <c r="C24983" s="3">
        <v>1</v>
      </c>
    </row>
    <row r="24984" spans="1:3" x14ac:dyDescent="0.25">
      <c r="A24984" s="1" t="s">
        <v>24983</v>
      </c>
      <c r="C24984" s="3">
        <v>1</v>
      </c>
    </row>
    <row r="24985" spans="1:3" x14ac:dyDescent="0.25">
      <c r="A24985" s="1" t="s">
        <v>24984</v>
      </c>
      <c r="C24985" s="3">
        <v>1</v>
      </c>
    </row>
    <row r="24986" spans="1:3" x14ac:dyDescent="0.25">
      <c r="A24986" s="1" t="s">
        <v>24985</v>
      </c>
      <c r="C24986" s="3">
        <v>1</v>
      </c>
    </row>
    <row r="24987" spans="1:3" x14ac:dyDescent="0.25">
      <c r="A24987" s="1" t="s">
        <v>24986</v>
      </c>
      <c r="C24987" s="3">
        <v>1</v>
      </c>
    </row>
    <row r="24988" spans="1:3" x14ac:dyDescent="0.25">
      <c r="A24988" s="1" t="s">
        <v>24987</v>
      </c>
      <c r="C24988" s="3">
        <v>1</v>
      </c>
    </row>
    <row r="24989" spans="1:3" x14ac:dyDescent="0.25">
      <c r="A24989" s="1" t="s">
        <v>24988</v>
      </c>
      <c r="C24989" s="3">
        <v>1</v>
      </c>
    </row>
    <row r="24990" spans="1:3" x14ac:dyDescent="0.25">
      <c r="A24990" s="1" t="s">
        <v>24989</v>
      </c>
      <c r="C24990" s="3">
        <v>1</v>
      </c>
    </row>
    <row r="24991" spans="1:3" x14ac:dyDescent="0.25">
      <c r="A24991" s="1" t="s">
        <v>24990</v>
      </c>
      <c r="C24991" s="3">
        <v>1</v>
      </c>
    </row>
    <row r="24992" spans="1:3" x14ac:dyDescent="0.25">
      <c r="A24992" s="1" t="s">
        <v>24991</v>
      </c>
      <c r="C24992" s="3">
        <v>1</v>
      </c>
    </row>
    <row r="24993" spans="1:3" x14ac:dyDescent="0.25">
      <c r="A24993" s="1" t="s">
        <v>24992</v>
      </c>
      <c r="C24993" s="3">
        <v>1</v>
      </c>
    </row>
    <row r="24994" spans="1:3" x14ac:dyDescent="0.25">
      <c r="A24994" s="1" t="s">
        <v>24993</v>
      </c>
      <c r="C24994" s="3">
        <v>1</v>
      </c>
    </row>
    <row r="24995" spans="1:3" x14ac:dyDescent="0.25">
      <c r="A24995" s="1" t="s">
        <v>24994</v>
      </c>
      <c r="C24995" s="3">
        <v>1</v>
      </c>
    </row>
    <row r="24996" spans="1:3" x14ac:dyDescent="0.25">
      <c r="A24996" s="1" t="s">
        <v>24995</v>
      </c>
      <c r="C24996" s="3">
        <v>1</v>
      </c>
    </row>
    <row r="24997" spans="1:3" x14ac:dyDescent="0.25">
      <c r="A24997" s="1" t="s">
        <v>24996</v>
      </c>
      <c r="C24997" s="3">
        <v>1</v>
      </c>
    </row>
    <row r="24998" spans="1:3" x14ac:dyDescent="0.25">
      <c r="A24998" s="1" t="s">
        <v>24997</v>
      </c>
      <c r="C24998" s="3">
        <v>1</v>
      </c>
    </row>
    <row r="24999" spans="1:3" x14ac:dyDescent="0.25">
      <c r="A24999" s="1" t="s">
        <v>24998</v>
      </c>
      <c r="C24999" s="3">
        <v>1</v>
      </c>
    </row>
    <row r="25000" spans="1:3" x14ac:dyDescent="0.25">
      <c r="A25000" s="1" t="s">
        <v>24999</v>
      </c>
      <c r="C25000" s="3">
        <v>1</v>
      </c>
    </row>
    <row r="25001" spans="1:3" x14ac:dyDescent="0.25">
      <c r="A25001" s="1" t="s">
        <v>25000</v>
      </c>
      <c r="C25001" s="3">
        <v>1</v>
      </c>
    </row>
    <row r="25002" spans="1:3" x14ac:dyDescent="0.25">
      <c r="A25002" s="1" t="s">
        <v>25001</v>
      </c>
      <c r="C25002" s="3">
        <v>1</v>
      </c>
    </row>
    <row r="25003" spans="1:3" x14ac:dyDescent="0.25">
      <c r="A25003" s="1" t="s">
        <v>25002</v>
      </c>
      <c r="C25003" s="3">
        <v>1</v>
      </c>
    </row>
    <row r="25004" spans="1:3" x14ac:dyDescent="0.25">
      <c r="A25004" s="1" t="s">
        <v>25003</v>
      </c>
      <c r="C25004" s="3">
        <v>1</v>
      </c>
    </row>
    <row r="25005" spans="1:3" x14ac:dyDescent="0.25">
      <c r="A25005" s="1" t="s">
        <v>25004</v>
      </c>
      <c r="C25005" s="3">
        <v>1</v>
      </c>
    </row>
    <row r="25006" spans="1:3" x14ac:dyDescent="0.25">
      <c r="A25006" s="1" t="s">
        <v>25005</v>
      </c>
      <c r="C25006" s="3">
        <v>1</v>
      </c>
    </row>
    <row r="25007" spans="1:3" x14ac:dyDescent="0.25">
      <c r="A25007" s="1" t="s">
        <v>25006</v>
      </c>
      <c r="C25007" s="3">
        <v>1</v>
      </c>
    </row>
    <row r="25008" spans="1:3" x14ac:dyDescent="0.25">
      <c r="A25008" s="1" t="s">
        <v>25007</v>
      </c>
      <c r="C25008" s="3">
        <v>1</v>
      </c>
    </row>
    <row r="25009" spans="1:3" x14ac:dyDescent="0.25">
      <c r="A25009" s="1" t="s">
        <v>25008</v>
      </c>
      <c r="C25009" s="3">
        <v>1</v>
      </c>
    </row>
    <row r="25010" spans="1:3" x14ac:dyDescent="0.25">
      <c r="A25010" s="1" t="s">
        <v>25009</v>
      </c>
      <c r="C25010" s="3">
        <v>1</v>
      </c>
    </row>
    <row r="25011" spans="1:3" x14ac:dyDescent="0.25">
      <c r="A25011" s="1" t="s">
        <v>25010</v>
      </c>
      <c r="C25011" s="3">
        <v>1</v>
      </c>
    </row>
    <row r="25012" spans="1:3" x14ac:dyDescent="0.25">
      <c r="A25012" s="1" t="s">
        <v>25011</v>
      </c>
      <c r="C25012" s="3">
        <v>1</v>
      </c>
    </row>
    <row r="25013" spans="1:3" x14ac:dyDescent="0.25">
      <c r="A25013" s="1" t="s">
        <v>25012</v>
      </c>
      <c r="C25013" s="3">
        <v>1</v>
      </c>
    </row>
    <row r="25014" spans="1:3" x14ac:dyDescent="0.25">
      <c r="A25014" s="1" t="s">
        <v>25013</v>
      </c>
      <c r="C25014" s="3">
        <v>1</v>
      </c>
    </row>
    <row r="25015" spans="1:3" x14ac:dyDescent="0.25">
      <c r="A25015" s="1" t="s">
        <v>25014</v>
      </c>
      <c r="C25015" s="3">
        <v>1</v>
      </c>
    </row>
    <row r="25016" spans="1:3" x14ac:dyDescent="0.25">
      <c r="A25016" s="1" t="s">
        <v>25015</v>
      </c>
      <c r="C25016" s="3">
        <v>1</v>
      </c>
    </row>
    <row r="25017" spans="1:3" x14ac:dyDescent="0.25">
      <c r="A25017" s="1" t="s">
        <v>25016</v>
      </c>
      <c r="C25017" s="3">
        <v>1</v>
      </c>
    </row>
    <row r="25018" spans="1:3" x14ac:dyDescent="0.25">
      <c r="A25018" s="1" t="s">
        <v>25017</v>
      </c>
      <c r="C25018" s="3">
        <v>1</v>
      </c>
    </row>
    <row r="25019" spans="1:3" x14ac:dyDescent="0.25">
      <c r="A25019" s="1" t="s">
        <v>25018</v>
      </c>
      <c r="C25019" s="3">
        <v>1</v>
      </c>
    </row>
    <row r="25020" spans="1:3" x14ac:dyDescent="0.25">
      <c r="A25020" s="1" t="s">
        <v>25019</v>
      </c>
      <c r="C25020" s="3">
        <v>1</v>
      </c>
    </row>
    <row r="25021" spans="1:3" x14ac:dyDescent="0.25">
      <c r="A25021" s="1" t="s">
        <v>25020</v>
      </c>
      <c r="C25021" s="3">
        <v>1</v>
      </c>
    </row>
    <row r="25022" spans="1:3" x14ac:dyDescent="0.25">
      <c r="A25022" s="1" t="s">
        <v>25021</v>
      </c>
      <c r="C25022" s="3">
        <v>1</v>
      </c>
    </row>
    <row r="25023" spans="1:3" x14ac:dyDescent="0.25">
      <c r="A25023" s="1" t="s">
        <v>25022</v>
      </c>
      <c r="C25023" s="3">
        <v>1</v>
      </c>
    </row>
    <row r="25024" spans="1:3" x14ac:dyDescent="0.25">
      <c r="A25024" s="1" t="s">
        <v>25023</v>
      </c>
      <c r="C25024" s="3">
        <v>1</v>
      </c>
    </row>
    <row r="25025" spans="1:3" x14ac:dyDescent="0.25">
      <c r="A25025" s="1" t="s">
        <v>25024</v>
      </c>
      <c r="C25025" s="3">
        <v>1</v>
      </c>
    </row>
    <row r="25026" spans="1:3" x14ac:dyDescent="0.25">
      <c r="A25026" s="1" t="s">
        <v>25025</v>
      </c>
      <c r="C25026" s="3">
        <v>1</v>
      </c>
    </row>
    <row r="25027" spans="1:3" x14ac:dyDescent="0.25">
      <c r="A25027" s="1" t="s">
        <v>25026</v>
      </c>
      <c r="C25027" s="3">
        <v>1</v>
      </c>
    </row>
    <row r="25028" spans="1:3" x14ac:dyDescent="0.25">
      <c r="A25028" s="1" t="s">
        <v>25027</v>
      </c>
      <c r="C25028" s="3">
        <v>1</v>
      </c>
    </row>
    <row r="25029" spans="1:3" x14ac:dyDescent="0.25">
      <c r="A25029" s="1" t="s">
        <v>25028</v>
      </c>
      <c r="C25029" s="3">
        <v>1</v>
      </c>
    </row>
    <row r="25030" spans="1:3" x14ac:dyDescent="0.25">
      <c r="A25030" s="1" t="s">
        <v>25029</v>
      </c>
      <c r="C25030" s="3">
        <v>1</v>
      </c>
    </row>
    <row r="25031" spans="1:3" x14ac:dyDescent="0.25">
      <c r="A25031" s="1" t="s">
        <v>25030</v>
      </c>
      <c r="C25031" s="3">
        <v>1</v>
      </c>
    </row>
    <row r="25032" spans="1:3" x14ac:dyDescent="0.25">
      <c r="A25032" s="1" t="s">
        <v>25031</v>
      </c>
      <c r="C25032" s="3">
        <v>1</v>
      </c>
    </row>
    <row r="25033" spans="1:3" x14ac:dyDescent="0.25">
      <c r="A25033" s="1" t="s">
        <v>25032</v>
      </c>
      <c r="C25033" s="3">
        <v>1</v>
      </c>
    </row>
    <row r="25034" spans="1:3" x14ac:dyDescent="0.25">
      <c r="A25034" s="1" t="s">
        <v>25033</v>
      </c>
      <c r="C25034" s="3">
        <v>1</v>
      </c>
    </row>
    <row r="25035" spans="1:3" x14ac:dyDescent="0.25">
      <c r="A25035" s="1" t="s">
        <v>25034</v>
      </c>
      <c r="C25035" s="3">
        <v>1</v>
      </c>
    </row>
    <row r="25036" spans="1:3" x14ac:dyDescent="0.25">
      <c r="A25036" s="1" t="s">
        <v>25035</v>
      </c>
      <c r="C25036" s="3">
        <v>1</v>
      </c>
    </row>
    <row r="25037" spans="1:3" x14ac:dyDescent="0.25">
      <c r="A25037" s="1" t="s">
        <v>25036</v>
      </c>
      <c r="C25037" s="3">
        <v>1</v>
      </c>
    </row>
    <row r="25038" spans="1:3" x14ac:dyDescent="0.25">
      <c r="A25038" s="1" t="s">
        <v>25037</v>
      </c>
      <c r="C25038" s="3">
        <v>1</v>
      </c>
    </row>
    <row r="25039" spans="1:3" x14ac:dyDescent="0.25">
      <c r="A25039" s="1" t="s">
        <v>25038</v>
      </c>
      <c r="C25039" s="3">
        <v>1</v>
      </c>
    </row>
    <row r="25040" spans="1:3" x14ac:dyDescent="0.25">
      <c r="A25040" s="1" t="s">
        <v>25039</v>
      </c>
      <c r="C25040" s="3">
        <v>1</v>
      </c>
    </row>
    <row r="25041" spans="1:3" x14ac:dyDescent="0.25">
      <c r="A25041" s="1" t="s">
        <v>25040</v>
      </c>
      <c r="C25041" s="3">
        <v>1</v>
      </c>
    </row>
    <row r="25042" spans="1:3" x14ac:dyDescent="0.25">
      <c r="A25042" s="1" t="s">
        <v>25041</v>
      </c>
      <c r="C25042" s="3">
        <v>1</v>
      </c>
    </row>
    <row r="25043" spans="1:3" x14ac:dyDescent="0.25">
      <c r="A25043" s="1" t="s">
        <v>25042</v>
      </c>
      <c r="C25043" s="3">
        <v>1</v>
      </c>
    </row>
    <row r="25044" spans="1:3" x14ac:dyDescent="0.25">
      <c r="A25044" s="1" t="s">
        <v>25043</v>
      </c>
      <c r="C25044" s="3">
        <v>1</v>
      </c>
    </row>
    <row r="25045" spans="1:3" x14ac:dyDescent="0.25">
      <c r="A25045" s="1" t="s">
        <v>25044</v>
      </c>
      <c r="C25045" s="3">
        <v>1</v>
      </c>
    </row>
    <row r="25046" spans="1:3" x14ac:dyDescent="0.25">
      <c r="A25046" s="1" t="s">
        <v>25045</v>
      </c>
      <c r="C25046" s="3">
        <v>1</v>
      </c>
    </row>
    <row r="25047" spans="1:3" x14ac:dyDescent="0.25">
      <c r="A25047" s="1" t="s">
        <v>25046</v>
      </c>
      <c r="C25047" s="3">
        <v>1</v>
      </c>
    </row>
    <row r="25048" spans="1:3" x14ac:dyDescent="0.25">
      <c r="A25048" s="1" t="s">
        <v>25047</v>
      </c>
      <c r="C25048" s="3">
        <v>1</v>
      </c>
    </row>
    <row r="25049" spans="1:3" x14ac:dyDescent="0.25">
      <c r="A25049" s="1" t="s">
        <v>25048</v>
      </c>
      <c r="C25049" s="3">
        <v>1</v>
      </c>
    </row>
    <row r="25050" spans="1:3" x14ac:dyDescent="0.25">
      <c r="A25050" s="1" t="s">
        <v>25049</v>
      </c>
      <c r="C25050" s="3">
        <v>1</v>
      </c>
    </row>
    <row r="25051" spans="1:3" x14ac:dyDescent="0.25">
      <c r="A25051" s="1" t="s">
        <v>25050</v>
      </c>
      <c r="C25051" s="3">
        <v>1</v>
      </c>
    </row>
    <row r="25052" spans="1:3" x14ac:dyDescent="0.25">
      <c r="A25052" s="1" t="s">
        <v>25051</v>
      </c>
      <c r="C25052" s="3">
        <v>1</v>
      </c>
    </row>
    <row r="25053" spans="1:3" x14ac:dyDescent="0.25">
      <c r="A25053" s="1" t="s">
        <v>25052</v>
      </c>
      <c r="C25053" s="3">
        <v>1</v>
      </c>
    </row>
    <row r="25054" spans="1:3" x14ac:dyDescent="0.25">
      <c r="A25054" s="1" t="s">
        <v>25053</v>
      </c>
      <c r="C25054" s="3">
        <v>1</v>
      </c>
    </row>
    <row r="25055" spans="1:3" x14ac:dyDescent="0.25">
      <c r="A25055" s="1" t="s">
        <v>25054</v>
      </c>
      <c r="C25055" s="3">
        <v>1</v>
      </c>
    </row>
    <row r="25056" spans="1:3" x14ac:dyDescent="0.25">
      <c r="A25056" s="1" t="s">
        <v>25055</v>
      </c>
      <c r="C25056" s="3">
        <v>1</v>
      </c>
    </row>
    <row r="25057" spans="1:3" x14ac:dyDescent="0.25">
      <c r="A25057" s="1" t="s">
        <v>25056</v>
      </c>
      <c r="C25057" s="3">
        <v>1</v>
      </c>
    </row>
    <row r="25058" spans="1:3" x14ac:dyDescent="0.25">
      <c r="A25058" s="1" t="s">
        <v>25057</v>
      </c>
      <c r="C25058" s="3">
        <v>1</v>
      </c>
    </row>
    <row r="25059" spans="1:3" x14ac:dyDescent="0.25">
      <c r="A25059" s="1" t="s">
        <v>25058</v>
      </c>
      <c r="C25059" s="3">
        <v>1</v>
      </c>
    </row>
    <row r="25060" spans="1:3" x14ac:dyDescent="0.25">
      <c r="A25060" s="1" t="s">
        <v>25059</v>
      </c>
      <c r="C25060" s="3">
        <v>1</v>
      </c>
    </row>
    <row r="25061" spans="1:3" x14ac:dyDescent="0.25">
      <c r="A25061" s="1" t="s">
        <v>25060</v>
      </c>
      <c r="C25061" s="3">
        <v>1</v>
      </c>
    </row>
    <row r="25062" spans="1:3" x14ac:dyDescent="0.25">
      <c r="A25062" s="1" t="s">
        <v>25061</v>
      </c>
      <c r="C25062" s="3">
        <v>1</v>
      </c>
    </row>
    <row r="25063" spans="1:3" x14ac:dyDescent="0.25">
      <c r="A25063" s="1" t="s">
        <v>25062</v>
      </c>
      <c r="C25063" s="3">
        <v>1</v>
      </c>
    </row>
    <row r="25064" spans="1:3" x14ac:dyDescent="0.25">
      <c r="A25064" s="1" t="s">
        <v>25063</v>
      </c>
      <c r="C25064" s="3">
        <v>1</v>
      </c>
    </row>
    <row r="25065" spans="1:3" x14ac:dyDescent="0.25">
      <c r="A25065" s="1" t="s">
        <v>25064</v>
      </c>
      <c r="C25065" s="3">
        <v>1</v>
      </c>
    </row>
    <row r="25066" spans="1:3" x14ac:dyDescent="0.25">
      <c r="A25066" s="1" t="s">
        <v>25065</v>
      </c>
      <c r="C25066" s="3">
        <v>1</v>
      </c>
    </row>
    <row r="25067" spans="1:3" x14ac:dyDescent="0.25">
      <c r="A25067" s="1" t="s">
        <v>25066</v>
      </c>
      <c r="C25067" s="3">
        <v>1</v>
      </c>
    </row>
    <row r="25068" spans="1:3" x14ac:dyDescent="0.25">
      <c r="A25068" s="1" t="s">
        <v>25067</v>
      </c>
      <c r="C25068" s="3">
        <v>1</v>
      </c>
    </row>
    <row r="25069" spans="1:3" x14ac:dyDescent="0.25">
      <c r="A25069" s="1" t="s">
        <v>25068</v>
      </c>
      <c r="C25069" s="3">
        <v>1</v>
      </c>
    </row>
    <row r="25070" spans="1:3" x14ac:dyDescent="0.25">
      <c r="A25070" s="1" t="s">
        <v>25069</v>
      </c>
      <c r="C25070" s="3">
        <v>1</v>
      </c>
    </row>
    <row r="25071" spans="1:3" x14ac:dyDescent="0.25">
      <c r="A25071" s="1" t="s">
        <v>25070</v>
      </c>
      <c r="C25071" s="3">
        <v>1</v>
      </c>
    </row>
    <row r="25072" spans="1:3" x14ac:dyDescent="0.25">
      <c r="A25072" s="1" t="s">
        <v>25071</v>
      </c>
      <c r="C25072" s="3">
        <v>1</v>
      </c>
    </row>
    <row r="25073" spans="1:3" x14ac:dyDescent="0.25">
      <c r="A25073" s="1" t="s">
        <v>25072</v>
      </c>
      <c r="C25073" s="3">
        <v>1</v>
      </c>
    </row>
    <row r="25074" spans="1:3" x14ac:dyDescent="0.25">
      <c r="A25074" s="1" t="s">
        <v>25073</v>
      </c>
      <c r="C25074" s="3">
        <v>1</v>
      </c>
    </row>
    <row r="25075" spans="1:3" x14ac:dyDescent="0.25">
      <c r="A25075" s="1" t="s">
        <v>25074</v>
      </c>
      <c r="C25075" s="3">
        <v>1</v>
      </c>
    </row>
    <row r="25076" spans="1:3" x14ac:dyDescent="0.25">
      <c r="A25076" s="1" t="s">
        <v>25075</v>
      </c>
      <c r="C25076" s="3">
        <v>1</v>
      </c>
    </row>
    <row r="25077" spans="1:3" x14ac:dyDescent="0.25">
      <c r="A25077" s="1" t="s">
        <v>25076</v>
      </c>
      <c r="C25077" s="3">
        <v>1</v>
      </c>
    </row>
    <row r="25078" spans="1:3" x14ac:dyDescent="0.25">
      <c r="A25078" s="1" t="s">
        <v>25077</v>
      </c>
      <c r="C25078" s="3">
        <v>1</v>
      </c>
    </row>
    <row r="25079" spans="1:3" x14ac:dyDescent="0.25">
      <c r="A25079" s="1" t="s">
        <v>25078</v>
      </c>
      <c r="C25079" s="3">
        <v>1</v>
      </c>
    </row>
    <row r="25080" spans="1:3" x14ac:dyDescent="0.25">
      <c r="A25080" s="1" t="s">
        <v>25079</v>
      </c>
      <c r="C25080" s="3">
        <v>1</v>
      </c>
    </row>
    <row r="25081" spans="1:3" x14ac:dyDescent="0.25">
      <c r="A25081" s="1" t="s">
        <v>25080</v>
      </c>
      <c r="C25081" s="3">
        <v>1</v>
      </c>
    </row>
    <row r="25082" spans="1:3" x14ac:dyDescent="0.25">
      <c r="A25082" s="1" t="s">
        <v>25081</v>
      </c>
      <c r="C25082" s="3">
        <v>1</v>
      </c>
    </row>
    <row r="25083" spans="1:3" x14ac:dyDescent="0.25">
      <c r="A25083" s="1" t="s">
        <v>25082</v>
      </c>
      <c r="C25083" s="3">
        <v>1</v>
      </c>
    </row>
    <row r="25084" spans="1:3" x14ac:dyDescent="0.25">
      <c r="A25084" s="1" t="s">
        <v>25083</v>
      </c>
      <c r="C25084" s="3">
        <v>1</v>
      </c>
    </row>
    <row r="25085" spans="1:3" x14ac:dyDescent="0.25">
      <c r="A25085" s="1" t="s">
        <v>25084</v>
      </c>
      <c r="C25085" s="3">
        <v>1</v>
      </c>
    </row>
    <row r="25086" spans="1:3" x14ac:dyDescent="0.25">
      <c r="A25086" s="1" t="s">
        <v>25085</v>
      </c>
      <c r="C25086" s="3">
        <v>1</v>
      </c>
    </row>
    <row r="25087" spans="1:3" x14ac:dyDescent="0.25">
      <c r="A25087" s="1" t="s">
        <v>25086</v>
      </c>
      <c r="C25087" s="3">
        <v>1</v>
      </c>
    </row>
    <row r="25088" spans="1:3" x14ac:dyDescent="0.25">
      <c r="A25088" s="1" t="s">
        <v>25087</v>
      </c>
      <c r="C25088" s="3">
        <v>1</v>
      </c>
    </row>
    <row r="25089" spans="1:3" x14ac:dyDescent="0.25">
      <c r="A25089" s="1" t="s">
        <v>25088</v>
      </c>
      <c r="C25089" s="3">
        <v>1</v>
      </c>
    </row>
    <row r="25090" spans="1:3" x14ac:dyDescent="0.25">
      <c r="A25090" s="1" t="s">
        <v>25089</v>
      </c>
      <c r="C25090" s="3">
        <v>1</v>
      </c>
    </row>
    <row r="25091" spans="1:3" x14ac:dyDescent="0.25">
      <c r="A25091" s="1" t="s">
        <v>25090</v>
      </c>
      <c r="C25091" s="3">
        <v>1</v>
      </c>
    </row>
    <row r="25092" spans="1:3" x14ac:dyDescent="0.25">
      <c r="A25092" s="1" t="s">
        <v>25091</v>
      </c>
      <c r="C25092" s="3">
        <v>1</v>
      </c>
    </row>
    <row r="25093" spans="1:3" x14ac:dyDescent="0.25">
      <c r="A25093" s="1" t="s">
        <v>25092</v>
      </c>
      <c r="C25093" s="3">
        <v>1</v>
      </c>
    </row>
    <row r="25094" spans="1:3" x14ac:dyDescent="0.25">
      <c r="A25094" s="1" t="s">
        <v>25093</v>
      </c>
      <c r="C25094" s="3">
        <v>1</v>
      </c>
    </row>
    <row r="25095" spans="1:3" x14ac:dyDescent="0.25">
      <c r="A25095" s="1" t="s">
        <v>25094</v>
      </c>
      <c r="C25095" s="3">
        <v>1</v>
      </c>
    </row>
    <row r="25096" spans="1:3" x14ac:dyDescent="0.25">
      <c r="A25096" s="1" t="s">
        <v>25095</v>
      </c>
      <c r="C25096" s="3">
        <v>1</v>
      </c>
    </row>
    <row r="25097" spans="1:3" x14ac:dyDescent="0.25">
      <c r="A25097" s="1" t="s">
        <v>25096</v>
      </c>
      <c r="C25097" s="3">
        <v>1</v>
      </c>
    </row>
    <row r="25098" spans="1:3" x14ac:dyDescent="0.25">
      <c r="A25098" s="1" t="s">
        <v>25097</v>
      </c>
      <c r="C25098" s="3">
        <v>1</v>
      </c>
    </row>
    <row r="25099" spans="1:3" x14ac:dyDescent="0.25">
      <c r="A25099" s="1" t="s">
        <v>25098</v>
      </c>
      <c r="C25099" s="3">
        <v>1</v>
      </c>
    </row>
    <row r="25100" spans="1:3" x14ac:dyDescent="0.25">
      <c r="A25100" s="1" t="s">
        <v>25099</v>
      </c>
      <c r="C25100" s="3">
        <v>1</v>
      </c>
    </row>
    <row r="25101" spans="1:3" x14ac:dyDescent="0.25">
      <c r="A25101" s="1" t="s">
        <v>25100</v>
      </c>
      <c r="C25101" s="3">
        <v>1</v>
      </c>
    </row>
    <row r="25102" spans="1:3" x14ac:dyDescent="0.25">
      <c r="A25102" s="1" t="s">
        <v>25101</v>
      </c>
      <c r="C25102" s="3">
        <v>1</v>
      </c>
    </row>
    <row r="25103" spans="1:3" x14ac:dyDescent="0.25">
      <c r="A25103" s="1" t="s">
        <v>25102</v>
      </c>
      <c r="C25103" s="3">
        <v>1</v>
      </c>
    </row>
    <row r="25104" spans="1:3" x14ac:dyDescent="0.25">
      <c r="A25104" s="1" t="s">
        <v>25103</v>
      </c>
      <c r="C25104" s="3">
        <v>1</v>
      </c>
    </row>
    <row r="25105" spans="1:3" x14ac:dyDescent="0.25">
      <c r="A25105" s="1" t="s">
        <v>25104</v>
      </c>
      <c r="C25105" s="3">
        <v>1</v>
      </c>
    </row>
    <row r="25106" spans="1:3" x14ac:dyDescent="0.25">
      <c r="A25106" s="1" t="s">
        <v>25105</v>
      </c>
      <c r="C25106" s="3">
        <v>1</v>
      </c>
    </row>
    <row r="25107" spans="1:3" x14ac:dyDescent="0.25">
      <c r="A25107" s="1" t="s">
        <v>25106</v>
      </c>
      <c r="C25107" s="3">
        <v>1</v>
      </c>
    </row>
    <row r="25108" spans="1:3" x14ac:dyDescent="0.25">
      <c r="A25108" s="1" t="s">
        <v>25107</v>
      </c>
      <c r="C25108" s="3">
        <v>1</v>
      </c>
    </row>
    <row r="25109" spans="1:3" x14ac:dyDescent="0.25">
      <c r="A25109" s="1" t="s">
        <v>25108</v>
      </c>
      <c r="C25109" s="3">
        <v>1</v>
      </c>
    </row>
    <row r="25110" spans="1:3" x14ac:dyDescent="0.25">
      <c r="A25110" s="1" t="s">
        <v>25109</v>
      </c>
      <c r="C25110" s="3">
        <v>1</v>
      </c>
    </row>
    <row r="25111" spans="1:3" x14ac:dyDescent="0.25">
      <c r="A25111" s="1" t="s">
        <v>25110</v>
      </c>
      <c r="C25111" s="3">
        <v>1</v>
      </c>
    </row>
    <row r="25112" spans="1:3" x14ac:dyDescent="0.25">
      <c r="A25112" s="1" t="s">
        <v>25111</v>
      </c>
      <c r="C25112" s="3">
        <v>1</v>
      </c>
    </row>
    <row r="25113" spans="1:3" x14ac:dyDescent="0.25">
      <c r="A25113" s="1" t="s">
        <v>25112</v>
      </c>
      <c r="C25113" s="3">
        <v>1</v>
      </c>
    </row>
    <row r="25114" spans="1:3" x14ac:dyDescent="0.25">
      <c r="A25114" s="1" t="s">
        <v>25113</v>
      </c>
      <c r="C25114" s="3">
        <v>1</v>
      </c>
    </row>
    <row r="25115" spans="1:3" x14ac:dyDescent="0.25">
      <c r="A25115" s="1" t="s">
        <v>25114</v>
      </c>
      <c r="C25115" s="3">
        <v>1</v>
      </c>
    </row>
    <row r="25116" spans="1:3" x14ac:dyDescent="0.25">
      <c r="A25116" s="1" t="s">
        <v>25115</v>
      </c>
      <c r="C25116" s="3">
        <v>1</v>
      </c>
    </row>
    <row r="25117" spans="1:3" x14ac:dyDescent="0.25">
      <c r="A25117" s="1" t="s">
        <v>25116</v>
      </c>
      <c r="C25117" s="3">
        <v>1</v>
      </c>
    </row>
    <row r="25118" spans="1:3" x14ac:dyDescent="0.25">
      <c r="A25118" s="1" t="s">
        <v>25117</v>
      </c>
      <c r="C25118" s="3">
        <v>1</v>
      </c>
    </row>
    <row r="25119" spans="1:3" x14ac:dyDescent="0.25">
      <c r="A25119" s="1" t="s">
        <v>25118</v>
      </c>
      <c r="C25119" s="3">
        <v>1</v>
      </c>
    </row>
    <row r="25120" spans="1:3" x14ac:dyDescent="0.25">
      <c r="A25120" s="1" t="s">
        <v>25119</v>
      </c>
      <c r="C25120" s="3">
        <v>1</v>
      </c>
    </row>
    <row r="25121" spans="1:3" x14ac:dyDescent="0.25">
      <c r="A25121" s="1" t="s">
        <v>25120</v>
      </c>
      <c r="C25121" s="3">
        <v>1</v>
      </c>
    </row>
    <row r="25122" spans="1:3" x14ac:dyDescent="0.25">
      <c r="A25122" s="1" t="s">
        <v>25121</v>
      </c>
      <c r="C25122" s="3">
        <v>1</v>
      </c>
    </row>
    <row r="25123" spans="1:3" x14ac:dyDescent="0.25">
      <c r="A25123" s="1" t="s">
        <v>25122</v>
      </c>
      <c r="C25123" s="3">
        <v>1</v>
      </c>
    </row>
    <row r="25124" spans="1:3" x14ac:dyDescent="0.25">
      <c r="A25124" s="1" t="s">
        <v>25123</v>
      </c>
      <c r="C25124" s="3">
        <v>1</v>
      </c>
    </row>
    <row r="25125" spans="1:3" x14ac:dyDescent="0.25">
      <c r="A25125" s="1" t="s">
        <v>25124</v>
      </c>
      <c r="C25125" s="3">
        <v>1</v>
      </c>
    </row>
    <row r="25126" spans="1:3" x14ac:dyDescent="0.25">
      <c r="A25126" s="1" t="s">
        <v>25125</v>
      </c>
      <c r="C25126" s="3">
        <v>1</v>
      </c>
    </row>
    <row r="25127" spans="1:3" x14ac:dyDescent="0.25">
      <c r="A25127" s="1" t="s">
        <v>25126</v>
      </c>
      <c r="C25127" s="3">
        <v>1</v>
      </c>
    </row>
    <row r="25128" spans="1:3" x14ac:dyDescent="0.25">
      <c r="A25128" s="1" t="s">
        <v>25127</v>
      </c>
      <c r="C25128" s="3">
        <v>1</v>
      </c>
    </row>
    <row r="25129" spans="1:3" x14ac:dyDescent="0.25">
      <c r="A25129" s="1" t="s">
        <v>25128</v>
      </c>
      <c r="C25129" s="3">
        <v>1</v>
      </c>
    </row>
    <row r="25130" spans="1:3" x14ac:dyDescent="0.25">
      <c r="A25130" s="1" t="s">
        <v>25129</v>
      </c>
      <c r="C25130" s="3">
        <v>1</v>
      </c>
    </row>
    <row r="25131" spans="1:3" x14ac:dyDescent="0.25">
      <c r="A25131" s="1" t="s">
        <v>25130</v>
      </c>
      <c r="C25131" s="3">
        <v>1</v>
      </c>
    </row>
    <row r="25132" spans="1:3" x14ac:dyDescent="0.25">
      <c r="A25132" s="1" t="s">
        <v>25131</v>
      </c>
      <c r="C25132" s="3">
        <v>1</v>
      </c>
    </row>
    <row r="25133" spans="1:3" x14ac:dyDescent="0.25">
      <c r="A25133" s="1" t="s">
        <v>25132</v>
      </c>
      <c r="C25133" s="3">
        <v>1</v>
      </c>
    </row>
    <row r="25134" spans="1:3" x14ac:dyDescent="0.25">
      <c r="A25134" s="1" t="s">
        <v>25133</v>
      </c>
      <c r="C25134" s="3">
        <v>1</v>
      </c>
    </row>
    <row r="25135" spans="1:3" x14ac:dyDescent="0.25">
      <c r="A25135" s="1" t="s">
        <v>25134</v>
      </c>
      <c r="C25135" s="3">
        <v>1</v>
      </c>
    </row>
    <row r="25136" spans="1:3" x14ac:dyDescent="0.25">
      <c r="A25136" s="1" t="s">
        <v>25135</v>
      </c>
      <c r="C25136" s="3">
        <v>1</v>
      </c>
    </row>
    <row r="25137" spans="1:3" x14ac:dyDescent="0.25">
      <c r="A25137" s="1" t="s">
        <v>25136</v>
      </c>
      <c r="C25137" s="3">
        <v>1</v>
      </c>
    </row>
    <row r="25138" spans="1:3" x14ac:dyDescent="0.25">
      <c r="A25138" s="1" t="s">
        <v>25137</v>
      </c>
      <c r="C25138" s="3">
        <v>1</v>
      </c>
    </row>
    <row r="25139" spans="1:3" x14ac:dyDescent="0.25">
      <c r="A25139" s="1" t="s">
        <v>25138</v>
      </c>
      <c r="C25139" s="3">
        <v>1</v>
      </c>
    </row>
    <row r="25140" spans="1:3" x14ac:dyDescent="0.25">
      <c r="A25140" s="1" t="s">
        <v>25139</v>
      </c>
      <c r="C25140" s="3">
        <v>1</v>
      </c>
    </row>
    <row r="25141" spans="1:3" x14ac:dyDescent="0.25">
      <c r="A25141" s="1" t="s">
        <v>25140</v>
      </c>
      <c r="C25141" s="3">
        <v>1</v>
      </c>
    </row>
    <row r="25142" spans="1:3" x14ac:dyDescent="0.25">
      <c r="A25142" s="1" t="s">
        <v>25141</v>
      </c>
      <c r="C25142" s="3">
        <v>1</v>
      </c>
    </row>
    <row r="25143" spans="1:3" x14ac:dyDescent="0.25">
      <c r="A25143" s="1" t="s">
        <v>25142</v>
      </c>
      <c r="C25143" s="3">
        <v>1</v>
      </c>
    </row>
    <row r="25144" spans="1:3" x14ac:dyDescent="0.25">
      <c r="A25144" s="1" t="s">
        <v>25143</v>
      </c>
      <c r="C25144" s="3">
        <v>1</v>
      </c>
    </row>
    <row r="25145" spans="1:3" x14ac:dyDescent="0.25">
      <c r="A25145" s="1" t="s">
        <v>25144</v>
      </c>
      <c r="C25145" s="3">
        <v>1</v>
      </c>
    </row>
    <row r="25146" spans="1:3" x14ac:dyDescent="0.25">
      <c r="A25146" s="1" t="s">
        <v>25145</v>
      </c>
      <c r="C25146" s="3">
        <v>1</v>
      </c>
    </row>
    <row r="25147" spans="1:3" x14ac:dyDescent="0.25">
      <c r="A25147" s="1" t="s">
        <v>25146</v>
      </c>
      <c r="C25147" s="3">
        <v>1</v>
      </c>
    </row>
    <row r="25148" spans="1:3" x14ac:dyDescent="0.25">
      <c r="A25148" s="1" t="s">
        <v>25147</v>
      </c>
      <c r="C25148" s="3">
        <v>1</v>
      </c>
    </row>
    <row r="25149" spans="1:3" x14ac:dyDescent="0.25">
      <c r="A25149" s="1" t="s">
        <v>25148</v>
      </c>
      <c r="C25149" s="3">
        <v>1</v>
      </c>
    </row>
    <row r="25150" spans="1:3" x14ac:dyDescent="0.25">
      <c r="A25150" s="1" t="s">
        <v>25149</v>
      </c>
      <c r="C25150" s="3">
        <v>1</v>
      </c>
    </row>
    <row r="25151" spans="1:3" x14ac:dyDescent="0.25">
      <c r="A25151" s="1" t="s">
        <v>25150</v>
      </c>
      <c r="C25151" s="3">
        <v>1</v>
      </c>
    </row>
    <row r="25152" spans="1:3" x14ac:dyDescent="0.25">
      <c r="A25152" s="1" t="s">
        <v>25151</v>
      </c>
      <c r="C25152" s="3">
        <v>1</v>
      </c>
    </row>
    <row r="25153" spans="1:3" x14ac:dyDescent="0.25">
      <c r="A25153" s="1" t="s">
        <v>25152</v>
      </c>
      <c r="C25153" s="3">
        <v>1</v>
      </c>
    </row>
    <row r="25154" spans="1:3" x14ac:dyDescent="0.25">
      <c r="A25154" s="1" t="s">
        <v>25153</v>
      </c>
      <c r="C25154" s="3">
        <v>1</v>
      </c>
    </row>
    <row r="25155" spans="1:3" x14ac:dyDescent="0.25">
      <c r="A25155" s="1" t="s">
        <v>25154</v>
      </c>
      <c r="C25155" s="3">
        <v>1</v>
      </c>
    </row>
    <row r="25156" spans="1:3" x14ac:dyDescent="0.25">
      <c r="A25156" s="1" t="s">
        <v>25155</v>
      </c>
      <c r="C25156" s="3">
        <v>1</v>
      </c>
    </row>
    <row r="25157" spans="1:3" x14ac:dyDescent="0.25">
      <c r="A25157" s="1" t="s">
        <v>25156</v>
      </c>
      <c r="C25157" s="3">
        <v>1</v>
      </c>
    </row>
    <row r="25158" spans="1:3" x14ac:dyDescent="0.25">
      <c r="A25158" s="1" t="s">
        <v>25157</v>
      </c>
      <c r="C25158" s="3">
        <v>1</v>
      </c>
    </row>
    <row r="25159" spans="1:3" x14ac:dyDescent="0.25">
      <c r="A25159" s="1" t="s">
        <v>25158</v>
      </c>
      <c r="C25159" s="3">
        <v>1</v>
      </c>
    </row>
    <row r="25160" spans="1:3" x14ac:dyDescent="0.25">
      <c r="A25160" s="1" t="s">
        <v>25159</v>
      </c>
      <c r="C25160" s="3">
        <v>1</v>
      </c>
    </row>
    <row r="25161" spans="1:3" x14ac:dyDescent="0.25">
      <c r="A25161" s="1" t="s">
        <v>25160</v>
      </c>
      <c r="C25161" s="3">
        <v>1</v>
      </c>
    </row>
    <row r="25162" spans="1:3" x14ac:dyDescent="0.25">
      <c r="A25162" s="1" t="s">
        <v>25161</v>
      </c>
      <c r="C25162" s="3">
        <v>1</v>
      </c>
    </row>
    <row r="25163" spans="1:3" x14ac:dyDescent="0.25">
      <c r="A25163" s="1" t="s">
        <v>25162</v>
      </c>
      <c r="C25163" s="3">
        <v>1</v>
      </c>
    </row>
    <row r="25164" spans="1:3" x14ac:dyDescent="0.25">
      <c r="A25164" s="1" t="s">
        <v>25163</v>
      </c>
      <c r="C25164" s="3">
        <v>1</v>
      </c>
    </row>
    <row r="25165" spans="1:3" x14ac:dyDescent="0.25">
      <c r="A25165" s="1" t="s">
        <v>25164</v>
      </c>
      <c r="C25165" s="3">
        <v>1</v>
      </c>
    </row>
    <row r="25166" spans="1:3" x14ac:dyDescent="0.25">
      <c r="A25166" s="1" t="s">
        <v>25165</v>
      </c>
      <c r="C25166" s="3">
        <v>1</v>
      </c>
    </row>
    <row r="25167" spans="1:3" x14ac:dyDescent="0.25">
      <c r="A25167" s="1" t="s">
        <v>25166</v>
      </c>
      <c r="C25167" s="3">
        <v>1</v>
      </c>
    </row>
    <row r="25168" spans="1:3" x14ac:dyDescent="0.25">
      <c r="A25168" s="1" t="s">
        <v>25167</v>
      </c>
      <c r="C25168" s="3">
        <v>1</v>
      </c>
    </row>
    <row r="25169" spans="1:3" x14ac:dyDescent="0.25">
      <c r="A25169" s="1" t="s">
        <v>25168</v>
      </c>
      <c r="C25169" s="3">
        <v>1</v>
      </c>
    </row>
    <row r="25170" spans="1:3" x14ac:dyDescent="0.25">
      <c r="A25170" s="1" t="s">
        <v>25169</v>
      </c>
      <c r="C25170" s="3">
        <v>1</v>
      </c>
    </row>
    <row r="25171" spans="1:3" x14ac:dyDescent="0.25">
      <c r="A25171" s="1" t="s">
        <v>25170</v>
      </c>
      <c r="C25171" s="3">
        <v>1</v>
      </c>
    </row>
    <row r="25172" spans="1:3" x14ac:dyDescent="0.25">
      <c r="A25172" s="1" t="s">
        <v>25171</v>
      </c>
      <c r="C25172" s="3">
        <v>1</v>
      </c>
    </row>
    <row r="25173" spans="1:3" x14ac:dyDescent="0.25">
      <c r="A25173" s="1" t="s">
        <v>25172</v>
      </c>
      <c r="C25173" s="3">
        <v>1</v>
      </c>
    </row>
    <row r="25174" spans="1:3" x14ac:dyDescent="0.25">
      <c r="A25174" s="1" t="s">
        <v>25173</v>
      </c>
      <c r="C25174" s="3">
        <v>1</v>
      </c>
    </row>
    <row r="25175" spans="1:3" x14ac:dyDescent="0.25">
      <c r="A25175" s="1" t="s">
        <v>25174</v>
      </c>
      <c r="C25175" s="3">
        <v>1</v>
      </c>
    </row>
    <row r="25176" spans="1:3" x14ac:dyDescent="0.25">
      <c r="A25176" s="1" t="s">
        <v>25175</v>
      </c>
      <c r="C25176" s="3">
        <v>1</v>
      </c>
    </row>
    <row r="25177" spans="1:3" x14ac:dyDescent="0.25">
      <c r="A25177" s="1" t="s">
        <v>25176</v>
      </c>
      <c r="C25177" s="3">
        <v>1</v>
      </c>
    </row>
    <row r="25178" spans="1:3" x14ac:dyDescent="0.25">
      <c r="A25178" s="1" t="s">
        <v>25177</v>
      </c>
      <c r="C25178" s="3">
        <v>1</v>
      </c>
    </row>
    <row r="25179" spans="1:3" x14ac:dyDescent="0.25">
      <c r="A25179" s="1" t="s">
        <v>25178</v>
      </c>
      <c r="C25179" s="3">
        <v>1</v>
      </c>
    </row>
    <row r="25180" spans="1:3" x14ac:dyDescent="0.25">
      <c r="A25180" s="1" t="s">
        <v>25179</v>
      </c>
      <c r="C25180" s="3">
        <v>1</v>
      </c>
    </row>
    <row r="25181" spans="1:3" x14ac:dyDescent="0.25">
      <c r="A25181" s="1" t="s">
        <v>25180</v>
      </c>
      <c r="C25181" s="3">
        <v>1</v>
      </c>
    </row>
    <row r="25182" spans="1:3" x14ac:dyDescent="0.25">
      <c r="A25182" s="1" t="s">
        <v>25181</v>
      </c>
      <c r="C25182" s="3">
        <v>1</v>
      </c>
    </row>
    <row r="25183" spans="1:3" x14ac:dyDescent="0.25">
      <c r="A25183" s="1" t="s">
        <v>25182</v>
      </c>
      <c r="C25183" s="3">
        <v>1</v>
      </c>
    </row>
    <row r="25184" spans="1:3" x14ac:dyDescent="0.25">
      <c r="A25184" s="1" t="s">
        <v>25183</v>
      </c>
      <c r="C25184" s="3">
        <v>1</v>
      </c>
    </row>
    <row r="25185" spans="1:3" x14ac:dyDescent="0.25">
      <c r="A25185" s="1" t="s">
        <v>25184</v>
      </c>
      <c r="C25185" s="3">
        <v>1</v>
      </c>
    </row>
    <row r="25186" spans="1:3" x14ac:dyDescent="0.25">
      <c r="A25186" s="1" t="s">
        <v>25185</v>
      </c>
      <c r="C25186" s="3">
        <v>1</v>
      </c>
    </row>
    <row r="25187" spans="1:3" x14ac:dyDescent="0.25">
      <c r="A25187" s="1" t="s">
        <v>25186</v>
      </c>
      <c r="C25187" s="3">
        <v>1</v>
      </c>
    </row>
    <row r="25188" spans="1:3" x14ac:dyDescent="0.25">
      <c r="A25188" s="1" t="s">
        <v>25187</v>
      </c>
      <c r="C25188" s="3">
        <v>1</v>
      </c>
    </row>
    <row r="25189" spans="1:3" x14ac:dyDescent="0.25">
      <c r="A25189" s="1" t="s">
        <v>25188</v>
      </c>
      <c r="C25189" s="3">
        <v>1</v>
      </c>
    </row>
    <row r="25190" spans="1:3" x14ac:dyDescent="0.25">
      <c r="A25190" s="1" t="s">
        <v>25189</v>
      </c>
      <c r="C25190" s="3">
        <v>1</v>
      </c>
    </row>
    <row r="25191" spans="1:3" x14ac:dyDescent="0.25">
      <c r="A25191" s="1" t="s">
        <v>25190</v>
      </c>
      <c r="C25191" s="3">
        <v>1</v>
      </c>
    </row>
    <row r="25192" spans="1:3" x14ac:dyDescent="0.25">
      <c r="A25192" s="1" t="s">
        <v>25191</v>
      </c>
      <c r="C25192" s="3">
        <v>1</v>
      </c>
    </row>
    <row r="25193" spans="1:3" x14ac:dyDescent="0.25">
      <c r="A25193" s="1" t="s">
        <v>25192</v>
      </c>
      <c r="C25193" s="3">
        <v>1</v>
      </c>
    </row>
    <row r="25194" spans="1:3" x14ac:dyDescent="0.25">
      <c r="A25194" s="1" t="s">
        <v>25193</v>
      </c>
      <c r="C25194" s="3">
        <v>1</v>
      </c>
    </row>
    <row r="25195" spans="1:3" x14ac:dyDescent="0.25">
      <c r="A25195" s="1" t="s">
        <v>25194</v>
      </c>
      <c r="C25195" s="3">
        <v>1</v>
      </c>
    </row>
    <row r="25196" spans="1:3" x14ac:dyDescent="0.25">
      <c r="A25196" s="1" t="s">
        <v>25195</v>
      </c>
      <c r="C25196" s="3">
        <v>1</v>
      </c>
    </row>
    <row r="25197" spans="1:3" x14ac:dyDescent="0.25">
      <c r="A25197" s="1" t="s">
        <v>25196</v>
      </c>
      <c r="C25197" s="3">
        <v>1</v>
      </c>
    </row>
    <row r="25198" spans="1:3" x14ac:dyDescent="0.25">
      <c r="A25198" s="1" t="s">
        <v>25197</v>
      </c>
      <c r="C25198" s="3">
        <v>1</v>
      </c>
    </row>
    <row r="25199" spans="1:3" x14ac:dyDescent="0.25">
      <c r="A25199" s="1" t="s">
        <v>25198</v>
      </c>
      <c r="C25199" s="3">
        <v>1</v>
      </c>
    </row>
    <row r="25200" spans="1:3" x14ac:dyDescent="0.25">
      <c r="A25200" s="1" t="s">
        <v>25199</v>
      </c>
      <c r="C25200" s="3">
        <v>1</v>
      </c>
    </row>
    <row r="25201" spans="1:3" x14ac:dyDescent="0.25">
      <c r="A25201" s="1" t="s">
        <v>25200</v>
      </c>
      <c r="C25201" s="3">
        <v>1</v>
      </c>
    </row>
    <row r="25202" spans="1:3" x14ac:dyDescent="0.25">
      <c r="A25202" s="1" t="s">
        <v>25201</v>
      </c>
      <c r="C25202" s="3">
        <v>1</v>
      </c>
    </row>
    <row r="25203" spans="1:3" x14ac:dyDescent="0.25">
      <c r="A25203" s="1" t="s">
        <v>25202</v>
      </c>
      <c r="C25203" s="3">
        <v>1</v>
      </c>
    </row>
    <row r="25204" spans="1:3" x14ac:dyDescent="0.25">
      <c r="A25204" s="1" t="s">
        <v>25203</v>
      </c>
      <c r="C25204" s="3">
        <v>1</v>
      </c>
    </row>
    <row r="25205" spans="1:3" x14ac:dyDescent="0.25">
      <c r="A25205" s="1" t="s">
        <v>25204</v>
      </c>
      <c r="C25205" s="3">
        <v>1</v>
      </c>
    </row>
    <row r="25206" spans="1:3" x14ac:dyDescent="0.25">
      <c r="A25206" s="1" t="s">
        <v>25205</v>
      </c>
      <c r="C25206" s="3">
        <v>1</v>
      </c>
    </row>
    <row r="25207" spans="1:3" x14ac:dyDescent="0.25">
      <c r="A25207" s="1" t="s">
        <v>25206</v>
      </c>
      <c r="C25207" s="3">
        <v>1</v>
      </c>
    </row>
    <row r="25208" spans="1:3" x14ac:dyDescent="0.25">
      <c r="A25208" s="1" t="s">
        <v>25207</v>
      </c>
      <c r="C25208" s="3">
        <v>1</v>
      </c>
    </row>
    <row r="25209" spans="1:3" x14ac:dyDescent="0.25">
      <c r="A25209" s="1" t="s">
        <v>25208</v>
      </c>
      <c r="C25209" s="3">
        <v>1</v>
      </c>
    </row>
    <row r="25210" spans="1:3" x14ac:dyDescent="0.25">
      <c r="A25210" s="1" t="s">
        <v>25209</v>
      </c>
      <c r="C25210" s="3">
        <v>1</v>
      </c>
    </row>
    <row r="25211" spans="1:3" x14ac:dyDescent="0.25">
      <c r="A25211" s="1" t="s">
        <v>25210</v>
      </c>
      <c r="C25211" s="3">
        <v>1</v>
      </c>
    </row>
    <row r="25212" spans="1:3" x14ac:dyDescent="0.25">
      <c r="A25212" s="1" t="s">
        <v>25211</v>
      </c>
      <c r="C25212" s="3">
        <v>1</v>
      </c>
    </row>
    <row r="25213" spans="1:3" x14ac:dyDescent="0.25">
      <c r="A25213" s="1" t="s">
        <v>25212</v>
      </c>
      <c r="C25213" s="3">
        <v>1</v>
      </c>
    </row>
    <row r="25214" spans="1:3" x14ac:dyDescent="0.25">
      <c r="A25214" s="1" t="s">
        <v>25213</v>
      </c>
      <c r="C25214" s="3">
        <v>1</v>
      </c>
    </row>
    <row r="25215" spans="1:3" x14ac:dyDescent="0.25">
      <c r="A25215" s="1" t="s">
        <v>25214</v>
      </c>
      <c r="C25215" s="3">
        <v>1</v>
      </c>
    </row>
    <row r="25216" spans="1:3" x14ac:dyDescent="0.25">
      <c r="A25216" s="1" t="s">
        <v>25215</v>
      </c>
      <c r="C25216" s="3">
        <v>1</v>
      </c>
    </row>
    <row r="25217" spans="1:3" x14ac:dyDescent="0.25">
      <c r="A25217" s="1" t="s">
        <v>25216</v>
      </c>
      <c r="C25217" s="3">
        <v>1</v>
      </c>
    </row>
    <row r="25218" spans="1:3" x14ac:dyDescent="0.25">
      <c r="A25218" s="1" t="s">
        <v>25217</v>
      </c>
      <c r="C25218" s="3">
        <v>1</v>
      </c>
    </row>
    <row r="25219" spans="1:3" x14ac:dyDescent="0.25">
      <c r="A25219" s="1" t="s">
        <v>25218</v>
      </c>
      <c r="C25219" s="3">
        <v>1</v>
      </c>
    </row>
    <row r="25220" spans="1:3" x14ac:dyDescent="0.25">
      <c r="A25220" s="1" t="s">
        <v>25219</v>
      </c>
      <c r="C25220" s="3">
        <v>1</v>
      </c>
    </row>
    <row r="25221" spans="1:3" x14ac:dyDescent="0.25">
      <c r="A25221" s="1" t="s">
        <v>25220</v>
      </c>
      <c r="C25221" s="3">
        <v>1</v>
      </c>
    </row>
    <row r="25222" spans="1:3" x14ac:dyDescent="0.25">
      <c r="A25222" s="1" t="s">
        <v>25221</v>
      </c>
      <c r="C25222" s="3">
        <v>1</v>
      </c>
    </row>
    <row r="25223" spans="1:3" x14ac:dyDescent="0.25">
      <c r="A25223" s="1" t="s">
        <v>25222</v>
      </c>
      <c r="C25223" s="3">
        <v>1</v>
      </c>
    </row>
    <row r="25224" spans="1:3" x14ac:dyDescent="0.25">
      <c r="A25224" s="1" t="s">
        <v>25223</v>
      </c>
      <c r="C25224" s="3">
        <v>1</v>
      </c>
    </row>
    <row r="25225" spans="1:3" x14ac:dyDescent="0.25">
      <c r="A25225" s="1" t="s">
        <v>25224</v>
      </c>
      <c r="C25225" s="3">
        <v>1</v>
      </c>
    </row>
    <row r="25226" spans="1:3" x14ac:dyDescent="0.25">
      <c r="A25226" s="1" t="s">
        <v>25225</v>
      </c>
      <c r="C25226" s="3">
        <v>1</v>
      </c>
    </row>
    <row r="25227" spans="1:3" x14ac:dyDescent="0.25">
      <c r="A25227" s="1" t="s">
        <v>25226</v>
      </c>
      <c r="C25227" s="3">
        <v>1</v>
      </c>
    </row>
    <row r="25228" spans="1:3" x14ac:dyDescent="0.25">
      <c r="A25228" s="1" t="s">
        <v>25227</v>
      </c>
      <c r="C25228" s="3">
        <v>1</v>
      </c>
    </row>
    <row r="25229" spans="1:3" x14ac:dyDescent="0.25">
      <c r="A25229" s="1" t="s">
        <v>25228</v>
      </c>
      <c r="C25229" s="3">
        <v>1</v>
      </c>
    </row>
    <row r="25230" spans="1:3" x14ac:dyDescent="0.25">
      <c r="A25230" s="1" t="s">
        <v>25229</v>
      </c>
      <c r="C25230" s="3">
        <v>1</v>
      </c>
    </row>
    <row r="25231" spans="1:3" x14ac:dyDescent="0.25">
      <c r="A25231" s="1" t="s">
        <v>25230</v>
      </c>
      <c r="C25231" s="3">
        <v>1</v>
      </c>
    </row>
    <row r="25232" spans="1:3" x14ac:dyDescent="0.25">
      <c r="A25232" s="1" t="s">
        <v>25231</v>
      </c>
      <c r="C25232" s="3">
        <v>1</v>
      </c>
    </row>
    <row r="25233" spans="1:3" x14ac:dyDescent="0.25">
      <c r="A25233" s="1" t="s">
        <v>25232</v>
      </c>
      <c r="C25233" s="3">
        <v>1</v>
      </c>
    </row>
    <row r="25234" spans="1:3" x14ac:dyDescent="0.25">
      <c r="A25234" s="1" t="s">
        <v>25233</v>
      </c>
      <c r="C25234" s="3">
        <v>1</v>
      </c>
    </row>
    <row r="25235" spans="1:3" x14ac:dyDescent="0.25">
      <c r="A25235" s="1" t="s">
        <v>25234</v>
      </c>
      <c r="C25235" s="3">
        <v>1</v>
      </c>
    </row>
    <row r="25236" spans="1:3" x14ac:dyDescent="0.25">
      <c r="A25236" s="1" t="s">
        <v>25235</v>
      </c>
      <c r="C25236" s="3">
        <v>1</v>
      </c>
    </row>
    <row r="25237" spans="1:3" x14ac:dyDescent="0.25">
      <c r="A25237" s="1" t="s">
        <v>25236</v>
      </c>
      <c r="C25237" s="3">
        <v>1</v>
      </c>
    </row>
    <row r="25238" spans="1:3" x14ac:dyDescent="0.25">
      <c r="A25238" s="1" t="s">
        <v>25237</v>
      </c>
      <c r="C25238" s="3">
        <v>1</v>
      </c>
    </row>
    <row r="25239" spans="1:3" x14ac:dyDescent="0.25">
      <c r="A25239" s="1" t="s">
        <v>25238</v>
      </c>
      <c r="C25239" s="3">
        <v>1</v>
      </c>
    </row>
    <row r="25240" spans="1:3" x14ac:dyDescent="0.25">
      <c r="A25240" s="1" t="s">
        <v>25239</v>
      </c>
      <c r="C25240" s="3">
        <v>1</v>
      </c>
    </row>
    <row r="25241" spans="1:3" x14ac:dyDescent="0.25">
      <c r="A25241" s="1" t="s">
        <v>25240</v>
      </c>
      <c r="C25241" s="3">
        <v>1</v>
      </c>
    </row>
    <row r="25242" spans="1:3" x14ac:dyDescent="0.25">
      <c r="A25242" s="1" t="s">
        <v>25241</v>
      </c>
      <c r="C25242" s="3">
        <v>1</v>
      </c>
    </row>
    <row r="25243" spans="1:3" x14ac:dyDescent="0.25">
      <c r="A25243" s="1" t="s">
        <v>25242</v>
      </c>
      <c r="C25243" s="3">
        <v>1</v>
      </c>
    </row>
    <row r="25244" spans="1:3" x14ac:dyDescent="0.25">
      <c r="A25244" s="1" t="s">
        <v>25243</v>
      </c>
      <c r="C25244" s="3">
        <v>1</v>
      </c>
    </row>
    <row r="25245" spans="1:3" x14ac:dyDescent="0.25">
      <c r="A25245" s="1" t="s">
        <v>25244</v>
      </c>
      <c r="C25245" s="3">
        <v>1</v>
      </c>
    </row>
    <row r="25246" spans="1:3" x14ac:dyDescent="0.25">
      <c r="A25246" s="1" t="s">
        <v>25245</v>
      </c>
      <c r="C25246" s="3">
        <v>1</v>
      </c>
    </row>
    <row r="25247" spans="1:3" x14ac:dyDescent="0.25">
      <c r="A25247" s="1" t="s">
        <v>25246</v>
      </c>
      <c r="C25247" s="3">
        <v>1</v>
      </c>
    </row>
    <row r="25248" spans="1:3" x14ac:dyDescent="0.25">
      <c r="A25248" s="1" t="s">
        <v>25247</v>
      </c>
      <c r="C25248" s="3">
        <v>1</v>
      </c>
    </row>
    <row r="25249" spans="1:3" x14ac:dyDescent="0.25">
      <c r="A25249" s="1" t="s">
        <v>25248</v>
      </c>
      <c r="C25249" s="3">
        <v>1</v>
      </c>
    </row>
    <row r="25250" spans="1:3" x14ac:dyDescent="0.25">
      <c r="A25250" s="1" t="s">
        <v>25249</v>
      </c>
      <c r="C25250" s="3">
        <v>1</v>
      </c>
    </row>
    <row r="25251" spans="1:3" x14ac:dyDescent="0.25">
      <c r="A25251" s="1" t="s">
        <v>25250</v>
      </c>
      <c r="C25251" s="3">
        <v>1</v>
      </c>
    </row>
    <row r="25252" spans="1:3" x14ac:dyDescent="0.25">
      <c r="A25252" s="1" t="s">
        <v>25251</v>
      </c>
      <c r="C25252" s="3">
        <v>1</v>
      </c>
    </row>
    <row r="25253" spans="1:3" x14ac:dyDescent="0.25">
      <c r="A25253" s="1" t="s">
        <v>25252</v>
      </c>
      <c r="C25253" s="3">
        <v>1</v>
      </c>
    </row>
    <row r="25254" spans="1:3" x14ac:dyDescent="0.25">
      <c r="A25254" s="1" t="s">
        <v>25253</v>
      </c>
      <c r="C25254" s="3">
        <v>1</v>
      </c>
    </row>
    <row r="25255" spans="1:3" x14ac:dyDescent="0.25">
      <c r="A25255" s="1" t="s">
        <v>25254</v>
      </c>
      <c r="C25255" s="3">
        <v>1</v>
      </c>
    </row>
    <row r="25256" spans="1:3" x14ac:dyDescent="0.25">
      <c r="A25256" s="1" t="s">
        <v>25255</v>
      </c>
      <c r="C25256" s="3">
        <v>1</v>
      </c>
    </row>
    <row r="25257" spans="1:3" x14ac:dyDescent="0.25">
      <c r="A25257" s="1" t="s">
        <v>25256</v>
      </c>
      <c r="C25257" s="3">
        <v>1</v>
      </c>
    </row>
    <row r="25258" spans="1:3" x14ac:dyDescent="0.25">
      <c r="A25258" s="1" t="s">
        <v>25257</v>
      </c>
      <c r="C25258" s="3">
        <v>1</v>
      </c>
    </row>
    <row r="25259" spans="1:3" x14ac:dyDescent="0.25">
      <c r="A25259" s="1" t="s">
        <v>25258</v>
      </c>
      <c r="C25259" s="3">
        <v>1</v>
      </c>
    </row>
    <row r="25260" spans="1:3" x14ac:dyDescent="0.25">
      <c r="A25260" s="1" t="s">
        <v>25259</v>
      </c>
      <c r="C25260" s="3">
        <v>1</v>
      </c>
    </row>
    <row r="25261" spans="1:3" x14ac:dyDescent="0.25">
      <c r="A25261" s="1" t="s">
        <v>25260</v>
      </c>
      <c r="C25261" s="3">
        <v>1</v>
      </c>
    </row>
    <row r="25262" spans="1:3" x14ac:dyDescent="0.25">
      <c r="A25262" s="1" t="s">
        <v>25261</v>
      </c>
      <c r="C25262" s="3">
        <v>1</v>
      </c>
    </row>
    <row r="25263" spans="1:3" x14ac:dyDescent="0.25">
      <c r="A25263" s="1" t="s">
        <v>25262</v>
      </c>
      <c r="C25263" s="3">
        <v>1</v>
      </c>
    </row>
    <row r="25264" spans="1:3" x14ac:dyDescent="0.25">
      <c r="A25264" s="1" t="s">
        <v>25263</v>
      </c>
      <c r="C25264" s="3">
        <v>1</v>
      </c>
    </row>
    <row r="25265" spans="1:3" x14ac:dyDescent="0.25">
      <c r="A25265" s="1" t="s">
        <v>25264</v>
      </c>
      <c r="C25265" s="3">
        <v>1</v>
      </c>
    </row>
    <row r="25266" spans="1:3" x14ac:dyDescent="0.25">
      <c r="A25266" s="1" t="s">
        <v>25265</v>
      </c>
      <c r="C25266" s="3">
        <v>1</v>
      </c>
    </row>
    <row r="25267" spans="1:3" x14ac:dyDescent="0.25">
      <c r="A25267" s="1" t="s">
        <v>25266</v>
      </c>
      <c r="C25267" s="3">
        <v>1</v>
      </c>
    </row>
    <row r="25268" spans="1:3" x14ac:dyDescent="0.25">
      <c r="A25268" s="1" t="s">
        <v>25267</v>
      </c>
      <c r="C25268" s="3">
        <v>1</v>
      </c>
    </row>
    <row r="25269" spans="1:3" x14ac:dyDescent="0.25">
      <c r="A25269" s="1" t="s">
        <v>25268</v>
      </c>
      <c r="C25269" s="3">
        <v>1</v>
      </c>
    </row>
    <row r="25270" spans="1:3" x14ac:dyDescent="0.25">
      <c r="A25270" s="1" t="s">
        <v>25269</v>
      </c>
      <c r="C25270" s="3">
        <v>1</v>
      </c>
    </row>
    <row r="25271" spans="1:3" x14ac:dyDescent="0.25">
      <c r="A25271" s="1" t="s">
        <v>25270</v>
      </c>
      <c r="C25271" s="3">
        <v>1</v>
      </c>
    </row>
    <row r="25272" spans="1:3" x14ac:dyDescent="0.25">
      <c r="A25272" s="1" t="s">
        <v>25271</v>
      </c>
      <c r="C25272" s="3">
        <v>1</v>
      </c>
    </row>
    <row r="25273" spans="1:3" x14ac:dyDescent="0.25">
      <c r="A25273" s="1" t="s">
        <v>25272</v>
      </c>
      <c r="C25273" s="3">
        <v>1</v>
      </c>
    </row>
    <row r="25274" spans="1:3" x14ac:dyDescent="0.25">
      <c r="A25274" s="1" t="s">
        <v>25273</v>
      </c>
      <c r="C25274" s="3">
        <v>1</v>
      </c>
    </row>
    <row r="25275" spans="1:3" x14ac:dyDescent="0.25">
      <c r="A25275" s="1" t="s">
        <v>25274</v>
      </c>
      <c r="C25275" s="3">
        <v>1</v>
      </c>
    </row>
    <row r="25276" spans="1:3" x14ac:dyDescent="0.25">
      <c r="A25276" s="1" t="s">
        <v>25275</v>
      </c>
      <c r="C25276" s="3">
        <v>1</v>
      </c>
    </row>
    <row r="25277" spans="1:3" x14ac:dyDescent="0.25">
      <c r="A25277" s="1" t="s">
        <v>25276</v>
      </c>
      <c r="C25277" s="3">
        <v>1</v>
      </c>
    </row>
    <row r="25278" spans="1:3" x14ac:dyDescent="0.25">
      <c r="A25278" s="1" t="s">
        <v>25277</v>
      </c>
      <c r="C25278" s="3">
        <v>1</v>
      </c>
    </row>
    <row r="25279" spans="1:3" x14ac:dyDescent="0.25">
      <c r="A25279" s="1" t="s">
        <v>25278</v>
      </c>
      <c r="C25279" s="3">
        <v>1</v>
      </c>
    </row>
    <row r="25280" spans="1:3" x14ac:dyDescent="0.25">
      <c r="A25280" s="1" t="s">
        <v>25279</v>
      </c>
      <c r="C25280" s="3">
        <v>1</v>
      </c>
    </row>
    <row r="25281" spans="1:3" x14ac:dyDescent="0.25">
      <c r="A25281" s="1" t="s">
        <v>25280</v>
      </c>
      <c r="C25281" s="3">
        <v>1</v>
      </c>
    </row>
    <row r="25282" spans="1:3" x14ac:dyDescent="0.25">
      <c r="A25282" s="1" t="s">
        <v>25281</v>
      </c>
      <c r="C25282" s="3">
        <v>1</v>
      </c>
    </row>
    <row r="25283" spans="1:3" x14ac:dyDescent="0.25">
      <c r="A25283" s="1" t="s">
        <v>25282</v>
      </c>
      <c r="C25283" s="3">
        <v>1</v>
      </c>
    </row>
    <row r="25284" spans="1:3" x14ac:dyDescent="0.25">
      <c r="A25284" s="1" t="s">
        <v>25283</v>
      </c>
      <c r="C25284" s="3">
        <v>1</v>
      </c>
    </row>
    <row r="25285" spans="1:3" x14ac:dyDescent="0.25">
      <c r="A25285" s="1" t="s">
        <v>25284</v>
      </c>
      <c r="C25285" s="3">
        <v>1</v>
      </c>
    </row>
    <row r="25286" spans="1:3" x14ac:dyDescent="0.25">
      <c r="A25286" s="1" t="s">
        <v>25285</v>
      </c>
      <c r="C25286" s="3">
        <v>1</v>
      </c>
    </row>
    <row r="25287" spans="1:3" x14ac:dyDescent="0.25">
      <c r="A25287" s="1" t="s">
        <v>25286</v>
      </c>
      <c r="C25287" s="3">
        <v>1</v>
      </c>
    </row>
    <row r="25288" spans="1:3" x14ac:dyDescent="0.25">
      <c r="A25288" s="1" t="s">
        <v>25287</v>
      </c>
      <c r="C25288" s="3">
        <v>1</v>
      </c>
    </row>
    <row r="25289" spans="1:3" x14ac:dyDescent="0.25">
      <c r="A25289" s="1" t="s">
        <v>25288</v>
      </c>
      <c r="C25289" s="3">
        <v>1</v>
      </c>
    </row>
    <row r="25290" spans="1:3" x14ac:dyDescent="0.25">
      <c r="A25290" s="1" t="s">
        <v>25289</v>
      </c>
      <c r="C25290" s="3">
        <v>1</v>
      </c>
    </row>
    <row r="25291" spans="1:3" x14ac:dyDescent="0.25">
      <c r="A25291" s="1" t="s">
        <v>25290</v>
      </c>
      <c r="C25291" s="3">
        <v>1</v>
      </c>
    </row>
    <row r="25292" spans="1:3" x14ac:dyDescent="0.25">
      <c r="A25292" s="1" t="s">
        <v>25291</v>
      </c>
      <c r="C25292" s="3">
        <v>1</v>
      </c>
    </row>
    <row r="25293" spans="1:3" x14ac:dyDescent="0.25">
      <c r="A25293" s="1" t="s">
        <v>25292</v>
      </c>
      <c r="C25293" s="3">
        <v>1</v>
      </c>
    </row>
    <row r="25294" spans="1:3" x14ac:dyDescent="0.25">
      <c r="A25294" s="1" t="s">
        <v>25293</v>
      </c>
      <c r="C25294" s="3">
        <v>1</v>
      </c>
    </row>
    <row r="25295" spans="1:3" x14ac:dyDescent="0.25">
      <c r="A25295" s="1" t="s">
        <v>25294</v>
      </c>
      <c r="C25295" s="3">
        <v>1</v>
      </c>
    </row>
    <row r="25296" spans="1:3" x14ac:dyDescent="0.25">
      <c r="A25296" s="1" t="s">
        <v>25295</v>
      </c>
      <c r="C25296" s="3">
        <v>1</v>
      </c>
    </row>
    <row r="25297" spans="1:3" x14ac:dyDescent="0.25">
      <c r="A25297" s="1" t="s">
        <v>25296</v>
      </c>
      <c r="C25297" s="3">
        <v>1</v>
      </c>
    </row>
    <row r="25298" spans="1:3" x14ac:dyDescent="0.25">
      <c r="A25298" s="1" t="s">
        <v>25297</v>
      </c>
      <c r="C25298" s="3">
        <v>1</v>
      </c>
    </row>
    <row r="25299" spans="1:3" x14ac:dyDescent="0.25">
      <c r="A25299" s="1" t="s">
        <v>25298</v>
      </c>
      <c r="C25299" s="3">
        <v>1</v>
      </c>
    </row>
    <row r="25300" spans="1:3" x14ac:dyDescent="0.25">
      <c r="A25300" s="1" t="s">
        <v>25299</v>
      </c>
      <c r="C25300" s="3">
        <v>1</v>
      </c>
    </row>
    <row r="25301" spans="1:3" x14ac:dyDescent="0.25">
      <c r="A25301" s="1" t="s">
        <v>25300</v>
      </c>
      <c r="C25301" s="3">
        <v>1</v>
      </c>
    </row>
    <row r="25302" spans="1:3" x14ac:dyDescent="0.25">
      <c r="A25302" s="1" t="s">
        <v>25301</v>
      </c>
      <c r="C25302" s="3">
        <v>1</v>
      </c>
    </row>
    <row r="25303" spans="1:3" x14ac:dyDescent="0.25">
      <c r="A25303" s="1" t="s">
        <v>25302</v>
      </c>
      <c r="C25303" s="3">
        <v>1</v>
      </c>
    </row>
    <row r="25304" spans="1:3" x14ac:dyDescent="0.25">
      <c r="A25304" s="1" t="s">
        <v>25303</v>
      </c>
      <c r="C25304" s="3">
        <v>1</v>
      </c>
    </row>
    <row r="25305" spans="1:3" x14ac:dyDescent="0.25">
      <c r="A25305" s="1" t="s">
        <v>25304</v>
      </c>
      <c r="C25305" s="3">
        <v>1</v>
      </c>
    </row>
    <row r="25306" spans="1:3" x14ac:dyDescent="0.25">
      <c r="A25306" s="1" t="s">
        <v>25305</v>
      </c>
      <c r="C25306" s="3">
        <v>1</v>
      </c>
    </row>
    <row r="25307" spans="1:3" x14ac:dyDescent="0.25">
      <c r="A25307" s="1" t="s">
        <v>25306</v>
      </c>
      <c r="C25307" s="3">
        <v>1</v>
      </c>
    </row>
    <row r="25308" spans="1:3" x14ac:dyDescent="0.25">
      <c r="A25308" s="1" t="s">
        <v>25307</v>
      </c>
      <c r="C25308" s="3">
        <v>1</v>
      </c>
    </row>
    <row r="25309" spans="1:3" x14ac:dyDescent="0.25">
      <c r="A25309" s="1" t="s">
        <v>25308</v>
      </c>
      <c r="C25309" s="3">
        <v>1</v>
      </c>
    </row>
    <row r="25310" spans="1:3" x14ac:dyDescent="0.25">
      <c r="A25310" s="1" t="s">
        <v>25309</v>
      </c>
      <c r="C25310" s="3">
        <v>1</v>
      </c>
    </row>
    <row r="25311" spans="1:3" x14ac:dyDescent="0.25">
      <c r="A25311" s="1" t="s">
        <v>25310</v>
      </c>
      <c r="C25311" s="3">
        <v>1</v>
      </c>
    </row>
    <row r="25312" spans="1:3" x14ac:dyDescent="0.25">
      <c r="A25312" s="1" t="s">
        <v>25311</v>
      </c>
      <c r="C25312" s="3">
        <v>1</v>
      </c>
    </row>
    <row r="25313" spans="1:3" x14ac:dyDescent="0.25">
      <c r="A25313" s="1" t="s">
        <v>25312</v>
      </c>
      <c r="C25313" s="3">
        <v>1</v>
      </c>
    </row>
    <row r="25314" spans="1:3" x14ac:dyDescent="0.25">
      <c r="A25314" s="1" t="s">
        <v>25313</v>
      </c>
      <c r="C25314" s="3">
        <v>1</v>
      </c>
    </row>
    <row r="25315" spans="1:3" x14ac:dyDescent="0.25">
      <c r="A25315" s="1" t="s">
        <v>25314</v>
      </c>
      <c r="C25315" s="3">
        <v>1</v>
      </c>
    </row>
    <row r="25316" spans="1:3" x14ac:dyDescent="0.25">
      <c r="A25316" s="1" t="s">
        <v>25315</v>
      </c>
      <c r="C25316" s="3">
        <v>1</v>
      </c>
    </row>
    <row r="25317" spans="1:3" x14ac:dyDescent="0.25">
      <c r="A25317" s="1" t="s">
        <v>25316</v>
      </c>
      <c r="C25317" s="3">
        <v>1</v>
      </c>
    </row>
    <row r="25318" spans="1:3" x14ac:dyDescent="0.25">
      <c r="A25318" s="1" t="s">
        <v>25317</v>
      </c>
      <c r="C25318" s="3">
        <v>1</v>
      </c>
    </row>
    <row r="25319" spans="1:3" x14ac:dyDescent="0.25">
      <c r="A25319" s="1" t="s">
        <v>25318</v>
      </c>
      <c r="C25319" s="3">
        <v>1</v>
      </c>
    </row>
    <row r="25320" spans="1:3" x14ac:dyDescent="0.25">
      <c r="A25320" s="1" t="s">
        <v>25319</v>
      </c>
      <c r="C25320" s="3">
        <v>1</v>
      </c>
    </row>
    <row r="25321" spans="1:3" x14ac:dyDescent="0.25">
      <c r="A25321" s="1" t="s">
        <v>25320</v>
      </c>
      <c r="C25321" s="3">
        <v>1</v>
      </c>
    </row>
    <row r="25322" spans="1:3" x14ac:dyDescent="0.25">
      <c r="A25322" s="1" t="s">
        <v>25321</v>
      </c>
      <c r="C25322" s="3">
        <v>1</v>
      </c>
    </row>
    <row r="25323" spans="1:3" x14ac:dyDescent="0.25">
      <c r="A25323" s="1" t="s">
        <v>25322</v>
      </c>
      <c r="C25323" s="3">
        <v>1</v>
      </c>
    </row>
    <row r="25324" spans="1:3" x14ac:dyDescent="0.25">
      <c r="A25324" s="1" t="s">
        <v>25323</v>
      </c>
      <c r="C25324" s="3">
        <v>1</v>
      </c>
    </row>
    <row r="25325" spans="1:3" x14ac:dyDescent="0.25">
      <c r="A25325" s="1" t="s">
        <v>25324</v>
      </c>
      <c r="C25325" s="3">
        <v>1</v>
      </c>
    </row>
    <row r="25326" spans="1:3" x14ac:dyDescent="0.25">
      <c r="A25326" s="1" t="s">
        <v>25325</v>
      </c>
      <c r="C25326" s="3">
        <v>1</v>
      </c>
    </row>
    <row r="25327" spans="1:3" x14ac:dyDescent="0.25">
      <c r="A25327" s="1" t="s">
        <v>25326</v>
      </c>
      <c r="C25327" s="3">
        <v>1</v>
      </c>
    </row>
    <row r="25328" spans="1:3" x14ac:dyDescent="0.25">
      <c r="A25328" s="1" t="s">
        <v>25327</v>
      </c>
      <c r="C25328" s="3">
        <v>1</v>
      </c>
    </row>
    <row r="25329" spans="1:3" x14ac:dyDescent="0.25">
      <c r="A25329" s="1" t="s">
        <v>25328</v>
      </c>
      <c r="C25329" s="3">
        <v>1</v>
      </c>
    </row>
    <row r="25330" spans="1:3" x14ac:dyDescent="0.25">
      <c r="A25330" s="1" t="s">
        <v>25329</v>
      </c>
      <c r="C25330" s="3">
        <v>1</v>
      </c>
    </row>
    <row r="25331" spans="1:3" x14ac:dyDescent="0.25">
      <c r="A25331" s="1" t="s">
        <v>25330</v>
      </c>
      <c r="C25331" s="3">
        <v>1</v>
      </c>
    </row>
    <row r="25332" spans="1:3" x14ac:dyDescent="0.25">
      <c r="A25332" s="1" t="s">
        <v>25331</v>
      </c>
      <c r="C25332" s="3">
        <v>1</v>
      </c>
    </row>
    <row r="25333" spans="1:3" x14ac:dyDescent="0.25">
      <c r="A25333" s="1" t="s">
        <v>25332</v>
      </c>
      <c r="C25333" s="3">
        <v>1</v>
      </c>
    </row>
    <row r="25334" spans="1:3" x14ac:dyDescent="0.25">
      <c r="A25334" s="1" t="s">
        <v>25333</v>
      </c>
      <c r="C25334" s="3">
        <v>1</v>
      </c>
    </row>
    <row r="25335" spans="1:3" x14ac:dyDescent="0.25">
      <c r="A25335" s="1" t="s">
        <v>25334</v>
      </c>
      <c r="C25335" s="3">
        <v>1</v>
      </c>
    </row>
    <row r="25336" spans="1:3" x14ac:dyDescent="0.25">
      <c r="A25336" s="1" t="s">
        <v>25335</v>
      </c>
      <c r="C25336" s="3">
        <v>1</v>
      </c>
    </row>
    <row r="25337" spans="1:3" x14ac:dyDescent="0.25">
      <c r="A25337" s="1" t="s">
        <v>25336</v>
      </c>
      <c r="C25337" s="3">
        <v>1</v>
      </c>
    </row>
    <row r="25338" spans="1:3" x14ac:dyDescent="0.25">
      <c r="A25338" s="1" t="s">
        <v>25337</v>
      </c>
      <c r="C25338" s="3">
        <v>1</v>
      </c>
    </row>
    <row r="25339" spans="1:3" x14ac:dyDescent="0.25">
      <c r="A25339" s="1" t="s">
        <v>25338</v>
      </c>
      <c r="C25339" s="3">
        <v>1</v>
      </c>
    </row>
    <row r="25340" spans="1:3" x14ac:dyDescent="0.25">
      <c r="A25340" s="1" t="s">
        <v>25339</v>
      </c>
      <c r="C25340" s="3">
        <v>1</v>
      </c>
    </row>
    <row r="25341" spans="1:3" x14ac:dyDescent="0.25">
      <c r="A25341" s="1" t="s">
        <v>25340</v>
      </c>
      <c r="C25341" s="3">
        <v>1</v>
      </c>
    </row>
    <row r="25342" spans="1:3" x14ac:dyDescent="0.25">
      <c r="A25342" s="1" t="s">
        <v>25341</v>
      </c>
      <c r="C25342" s="3">
        <v>1</v>
      </c>
    </row>
    <row r="25343" spans="1:3" x14ac:dyDescent="0.25">
      <c r="A25343" s="1" t="s">
        <v>25342</v>
      </c>
      <c r="C25343" s="3">
        <v>1</v>
      </c>
    </row>
    <row r="25344" spans="1:3" x14ac:dyDescent="0.25">
      <c r="A25344" s="1" t="s">
        <v>25343</v>
      </c>
      <c r="C25344" s="3">
        <v>1</v>
      </c>
    </row>
    <row r="25345" spans="1:3" x14ac:dyDescent="0.25">
      <c r="A25345" s="1" t="s">
        <v>25344</v>
      </c>
      <c r="C25345" s="3">
        <v>1</v>
      </c>
    </row>
    <row r="25346" spans="1:3" x14ac:dyDescent="0.25">
      <c r="A25346" s="1" t="s">
        <v>25345</v>
      </c>
      <c r="C25346" s="3">
        <v>1</v>
      </c>
    </row>
    <row r="25347" spans="1:3" x14ac:dyDescent="0.25">
      <c r="A25347" s="1" t="s">
        <v>25346</v>
      </c>
      <c r="C25347" s="3">
        <v>1</v>
      </c>
    </row>
    <row r="25348" spans="1:3" x14ac:dyDescent="0.25">
      <c r="A25348" s="1" t="s">
        <v>25347</v>
      </c>
      <c r="C25348" s="3">
        <v>1</v>
      </c>
    </row>
    <row r="25349" spans="1:3" x14ac:dyDescent="0.25">
      <c r="A25349" s="1" t="s">
        <v>25348</v>
      </c>
      <c r="C25349" s="3">
        <v>1</v>
      </c>
    </row>
    <row r="25350" spans="1:3" x14ac:dyDescent="0.25">
      <c r="A25350" s="1" t="s">
        <v>25349</v>
      </c>
      <c r="C25350" s="3">
        <v>1</v>
      </c>
    </row>
    <row r="25351" spans="1:3" x14ac:dyDescent="0.25">
      <c r="A25351" s="1" t="s">
        <v>25350</v>
      </c>
      <c r="C25351" s="3">
        <v>1</v>
      </c>
    </row>
    <row r="25352" spans="1:3" x14ac:dyDescent="0.25">
      <c r="A25352" s="1" t="s">
        <v>25351</v>
      </c>
      <c r="C25352" s="3">
        <v>1</v>
      </c>
    </row>
    <row r="25353" spans="1:3" x14ac:dyDescent="0.25">
      <c r="A25353" s="1" t="s">
        <v>25352</v>
      </c>
      <c r="C25353" s="3">
        <v>1</v>
      </c>
    </row>
    <row r="25354" spans="1:3" x14ac:dyDescent="0.25">
      <c r="A25354" s="1" t="s">
        <v>25353</v>
      </c>
      <c r="C25354" s="3">
        <v>1</v>
      </c>
    </row>
    <row r="25355" spans="1:3" x14ac:dyDescent="0.25">
      <c r="A25355" s="1" t="s">
        <v>25354</v>
      </c>
      <c r="C25355" s="3">
        <v>1</v>
      </c>
    </row>
    <row r="25356" spans="1:3" x14ac:dyDescent="0.25">
      <c r="A25356" s="1" t="s">
        <v>25355</v>
      </c>
      <c r="C25356" s="3">
        <v>1</v>
      </c>
    </row>
    <row r="25357" spans="1:3" x14ac:dyDescent="0.25">
      <c r="A25357" s="1" t="s">
        <v>25356</v>
      </c>
      <c r="C25357" s="3">
        <v>1</v>
      </c>
    </row>
    <row r="25358" spans="1:3" x14ac:dyDescent="0.25">
      <c r="A25358" s="1" t="s">
        <v>25357</v>
      </c>
      <c r="C25358" s="3">
        <v>1</v>
      </c>
    </row>
    <row r="25359" spans="1:3" x14ac:dyDescent="0.25">
      <c r="A25359" s="1" t="s">
        <v>25358</v>
      </c>
      <c r="C25359" s="3">
        <v>1</v>
      </c>
    </row>
    <row r="25360" spans="1:3" x14ac:dyDescent="0.25">
      <c r="A25360" s="1" t="s">
        <v>25359</v>
      </c>
      <c r="C25360" s="3">
        <v>1</v>
      </c>
    </row>
    <row r="25361" spans="1:3" x14ac:dyDescent="0.25">
      <c r="A25361" s="1" t="s">
        <v>25360</v>
      </c>
      <c r="C25361" s="3">
        <v>1</v>
      </c>
    </row>
    <row r="25362" spans="1:3" x14ac:dyDescent="0.25">
      <c r="A25362" s="1" t="s">
        <v>25361</v>
      </c>
      <c r="C25362" s="3">
        <v>1</v>
      </c>
    </row>
    <row r="25363" spans="1:3" x14ac:dyDescent="0.25">
      <c r="A25363" s="1" t="s">
        <v>25362</v>
      </c>
      <c r="C25363" s="3">
        <v>1</v>
      </c>
    </row>
    <row r="25364" spans="1:3" x14ac:dyDescent="0.25">
      <c r="A25364" s="1" t="s">
        <v>25363</v>
      </c>
      <c r="C25364" s="3">
        <v>1</v>
      </c>
    </row>
    <row r="25365" spans="1:3" x14ac:dyDescent="0.25">
      <c r="A25365" s="1" t="s">
        <v>25364</v>
      </c>
      <c r="C25365" s="3">
        <v>1</v>
      </c>
    </row>
    <row r="25366" spans="1:3" x14ac:dyDescent="0.25">
      <c r="A25366" s="1" t="s">
        <v>25365</v>
      </c>
      <c r="C25366" s="3">
        <v>1</v>
      </c>
    </row>
    <row r="25367" spans="1:3" x14ac:dyDescent="0.25">
      <c r="A25367" s="1" t="s">
        <v>25366</v>
      </c>
      <c r="C25367" s="3">
        <v>1</v>
      </c>
    </row>
    <row r="25368" spans="1:3" x14ac:dyDescent="0.25">
      <c r="A25368" s="1" t="s">
        <v>25367</v>
      </c>
      <c r="C25368" s="3">
        <v>1</v>
      </c>
    </row>
    <row r="25369" spans="1:3" x14ac:dyDescent="0.25">
      <c r="A25369" s="1" t="s">
        <v>25368</v>
      </c>
      <c r="C25369" s="3">
        <v>1</v>
      </c>
    </row>
    <row r="25370" spans="1:3" x14ac:dyDescent="0.25">
      <c r="A25370" s="1" t="s">
        <v>25369</v>
      </c>
      <c r="C25370" s="3">
        <v>1</v>
      </c>
    </row>
    <row r="25371" spans="1:3" x14ac:dyDescent="0.25">
      <c r="A25371" s="1" t="s">
        <v>25370</v>
      </c>
      <c r="C25371" s="3">
        <v>1</v>
      </c>
    </row>
    <row r="25372" spans="1:3" x14ac:dyDescent="0.25">
      <c r="A25372" s="1" t="s">
        <v>25371</v>
      </c>
      <c r="C25372" s="3">
        <v>1</v>
      </c>
    </row>
    <row r="25373" spans="1:3" x14ac:dyDescent="0.25">
      <c r="A25373" s="1" t="s">
        <v>25372</v>
      </c>
      <c r="C25373" s="3">
        <v>1</v>
      </c>
    </row>
    <row r="25374" spans="1:3" x14ac:dyDescent="0.25">
      <c r="A25374" s="1" t="s">
        <v>25373</v>
      </c>
      <c r="C25374" s="3">
        <v>1</v>
      </c>
    </row>
    <row r="25375" spans="1:3" x14ac:dyDescent="0.25">
      <c r="A25375" s="1" t="s">
        <v>25374</v>
      </c>
      <c r="C25375" s="3">
        <v>1</v>
      </c>
    </row>
    <row r="25376" spans="1:3" x14ac:dyDescent="0.25">
      <c r="A25376" s="1" t="s">
        <v>25375</v>
      </c>
      <c r="C25376" s="3">
        <v>1</v>
      </c>
    </row>
    <row r="25377" spans="1:3" x14ac:dyDescent="0.25">
      <c r="A25377" s="1" t="s">
        <v>25376</v>
      </c>
      <c r="C25377" s="3">
        <v>1</v>
      </c>
    </row>
    <row r="25378" spans="1:3" x14ac:dyDescent="0.25">
      <c r="A25378" s="1" t="s">
        <v>25377</v>
      </c>
      <c r="C25378" s="3">
        <v>1</v>
      </c>
    </row>
    <row r="25379" spans="1:3" x14ac:dyDescent="0.25">
      <c r="A25379" s="1" t="s">
        <v>25378</v>
      </c>
      <c r="C25379" s="3">
        <v>1</v>
      </c>
    </row>
    <row r="25380" spans="1:3" x14ac:dyDescent="0.25">
      <c r="A25380" s="1" t="s">
        <v>25379</v>
      </c>
      <c r="C25380" s="3">
        <v>1</v>
      </c>
    </row>
    <row r="25381" spans="1:3" x14ac:dyDescent="0.25">
      <c r="A25381" s="1" t="s">
        <v>25380</v>
      </c>
      <c r="C25381" s="3">
        <v>1</v>
      </c>
    </row>
    <row r="25382" spans="1:3" x14ac:dyDescent="0.25">
      <c r="A25382" s="1" t="s">
        <v>25381</v>
      </c>
      <c r="C25382" s="3">
        <v>1</v>
      </c>
    </row>
    <row r="25383" spans="1:3" x14ac:dyDescent="0.25">
      <c r="A25383" s="1" t="s">
        <v>25382</v>
      </c>
      <c r="C25383" s="3">
        <v>1</v>
      </c>
    </row>
    <row r="25384" spans="1:3" x14ac:dyDescent="0.25">
      <c r="A25384" s="1" t="s">
        <v>25383</v>
      </c>
      <c r="C25384" s="3">
        <v>1</v>
      </c>
    </row>
    <row r="25385" spans="1:3" x14ac:dyDescent="0.25">
      <c r="A25385" s="1" t="s">
        <v>25384</v>
      </c>
      <c r="C25385" s="3">
        <v>1</v>
      </c>
    </row>
    <row r="25386" spans="1:3" x14ac:dyDescent="0.25">
      <c r="A25386" s="1" t="s">
        <v>25385</v>
      </c>
      <c r="C25386" s="3">
        <v>1</v>
      </c>
    </row>
    <row r="25387" spans="1:3" x14ac:dyDescent="0.25">
      <c r="A25387" s="1" t="s">
        <v>25386</v>
      </c>
      <c r="C25387" s="3">
        <v>1</v>
      </c>
    </row>
    <row r="25388" spans="1:3" x14ac:dyDescent="0.25">
      <c r="A25388" s="1" t="s">
        <v>25387</v>
      </c>
      <c r="C25388" s="3">
        <v>1</v>
      </c>
    </row>
    <row r="25389" spans="1:3" x14ac:dyDescent="0.25">
      <c r="A25389" s="1" t="s">
        <v>25388</v>
      </c>
      <c r="C25389" s="3">
        <v>1</v>
      </c>
    </row>
    <row r="25390" spans="1:3" x14ac:dyDescent="0.25">
      <c r="A25390" s="1" t="s">
        <v>25389</v>
      </c>
      <c r="C25390" s="3">
        <v>1</v>
      </c>
    </row>
    <row r="25391" spans="1:3" x14ac:dyDescent="0.25">
      <c r="A25391" s="1" t="s">
        <v>25390</v>
      </c>
      <c r="C25391" s="3">
        <v>1</v>
      </c>
    </row>
    <row r="25392" spans="1:3" x14ac:dyDescent="0.25">
      <c r="A25392" s="1" t="s">
        <v>25391</v>
      </c>
      <c r="C25392" s="3">
        <v>1</v>
      </c>
    </row>
    <row r="25393" spans="1:3" x14ac:dyDescent="0.25">
      <c r="A25393" s="1" t="s">
        <v>25392</v>
      </c>
      <c r="C25393" s="3">
        <v>1</v>
      </c>
    </row>
    <row r="25394" spans="1:3" x14ac:dyDescent="0.25">
      <c r="A25394" s="1" t="s">
        <v>25393</v>
      </c>
      <c r="C25394" s="3">
        <v>1</v>
      </c>
    </row>
    <row r="25395" spans="1:3" x14ac:dyDescent="0.25">
      <c r="A25395" s="1" t="s">
        <v>25394</v>
      </c>
      <c r="C25395" s="3">
        <v>1</v>
      </c>
    </row>
    <row r="25396" spans="1:3" x14ac:dyDescent="0.25">
      <c r="A25396" s="1" t="s">
        <v>25395</v>
      </c>
      <c r="C25396" s="3">
        <v>1</v>
      </c>
    </row>
    <row r="25397" spans="1:3" x14ac:dyDescent="0.25">
      <c r="A25397" s="1" t="s">
        <v>25396</v>
      </c>
      <c r="C25397" s="3">
        <v>1</v>
      </c>
    </row>
    <row r="25398" spans="1:3" x14ac:dyDescent="0.25">
      <c r="A25398" s="1" t="s">
        <v>25397</v>
      </c>
      <c r="C25398" s="3">
        <v>1</v>
      </c>
    </row>
    <row r="25399" spans="1:3" x14ac:dyDescent="0.25">
      <c r="A25399" s="1" t="s">
        <v>25398</v>
      </c>
      <c r="C25399" s="3">
        <v>1</v>
      </c>
    </row>
    <row r="25400" spans="1:3" x14ac:dyDescent="0.25">
      <c r="A25400" s="1" t="s">
        <v>25399</v>
      </c>
      <c r="C25400" s="3">
        <v>1</v>
      </c>
    </row>
    <row r="25401" spans="1:3" x14ac:dyDescent="0.25">
      <c r="A25401" s="1" t="s">
        <v>25400</v>
      </c>
      <c r="C25401" s="3">
        <v>1</v>
      </c>
    </row>
    <row r="25402" spans="1:3" x14ac:dyDescent="0.25">
      <c r="A25402" s="1" t="s">
        <v>25401</v>
      </c>
      <c r="C25402" s="3">
        <v>1</v>
      </c>
    </row>
    <row r="25403" spans="1:3" x14ac:dyDescent="0.25">
      <c r="A25403" s="1" t="s">
        <v>25402</v>
      </c>
      <c r="C25403" s="3">
        <v>1</v>
      </c>
    </row>
    <row r="25404" spans="1:3" x14ac:dyDescent="0.25">
      <c r="A25404" s="1" t="s">
        <v>25403</v>
      </c>
      <c r="C25404" s="3">
        <v>1</v>
      </c>
    </row>
    <row r="25405" spans="1:3" x14ac:dyDescent="0.25">
      <c r="A25405" s="1" t="s">
        <v>25404</v>
      </c>
      <c r="C25405" s="3">
        <v>1</v>
      </c>
    </row>
    <row r="25406" spans="1:3" x14ac:dyDescent="0.25">
      <c r="A25406" s="1" t="s">
        <v>25405</v>
      </c>
      <c r="C25406" s="3">
        <v>1</v>
      </c>
    </row>
  </sheetData>
  <sortState ref="R1:R25406">
    <sortCondition ref="R1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Hoja1</vt:lpstr>
      <vt:lpstr>Hoja1!Área_de_extracción</vt:lpstr>
      <vt:lpstr>Hoja1!Criterios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</cp:lastModifiedBy>
  <dcterms:created xsi:type="dcterms:W3CDTF">2020-02-05T18:55:56Z</dcterms:created>
  <dcterms:modified xsi:type="dcterms:W3CDTF">2020-02-10T18:20:20Z</dcterms:modified>
</cp:coreProperties>
</file>